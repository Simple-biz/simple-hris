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atch Paper" sheetId="1" r:id="rId5"/>
    <sheet state="visible" name="Accounting" sheetId="2" r:id="rId6"/>
    <sheet state="visible" name="Edit" sheetId="3" r:id="rId7"/>
    <sheet state="visible" name="DevSite Building" sheetId="4" r:id="rId8"/>
    <sheet state="visible" name="Lead Gen" sheetId="5" r:id="rId9"/>
    <sheet state="visible" name="US - Manager Bonus" sheetId="6" r:id="rId10"/>
    <sheet state="visible" name="Callback" sheetId="7" r:id="rId11"/>
    <sheet state="visible" name="QC" sheetId="8" r:id="rId12"/>
    <sheet state="visible" name="Discovery" sheetId="9" r:id="rId13"/>
    <sheet state="visible" name="HR" sheetId="10" r:id="rId14"/>
    <sheet state="visible" name="Sales Asst." sheetId="11" r:id="rId15"/>
    <sheet state="visible" name="HSL" sheetId="12" r:id="rId16"/>
    <sheet state="visible" name="SmartStaff" sheetId="13" r:id="rId17"/>
    <sheet state="visible" name="Social Media" sheetId="14" r:id="rId18"/>
    <sheet state="visible" name="Hours (raw)" sheetId="15" r:id="rId19"/>
  </sheets>
  <definedNames>
    <definedName hidden="1" localSheetId="1" name="_xlnm._FilterDatabase">Accounting!$A$3:$H$726</definedName>
    <definedName hidden="1" localSheetId="2" name="_xlnm._FilterDatabase">Edit!$A$2:$E$1975</definedName>
    <definedName hidden="1" localSheetId="3" name="_xlnm._FilterDatabase">'DevSite Building'!$A$4:$Z$248</definedName>
    <definedName hidden="1" localSheetId="4" name="_xlnm._FilterDatabase">'Lead Gen'!$A$1:$F$10158</definedName>
    <definedName hidden="1" localSheetId="5" name="_xlnm._FilterDatabase">'US - Manager Bonus'!$A$3:$E$1052</definedName>
    <definedName hidden="1" localSheetId="6" name="_xlnm._FilterDatabase">Callback!$A$3:$AA$689</definedName>
    <definedName hidden="1" localSheetId="7" name="_xlnm._FilterDatabase">QC!$A$3:$D$1504</definedName>
    <definedName hidden="1" localSheetId="8" name="_xlnm._FilterDatabase">Discovery!$A$3:$D$1090</definedName>
    <definedName hidden="1" localSheetId="9" name="_xlnm._FilterDatabase">HR!$A$2:$J$62</definedName>
    <definedName hidden="1" localSheetId="10" name="_xlnm._FilterDatabase">'Sales Asst.'!$A$3:$E$1454</definedName>
    <definedName hidden="1" localSheetId="13" name="_xlnm._FilterDatabase">'Social Media'!$A$3:$F$1012</definedName>
    <definedName hidden="1" localSheetId="14" name="_xlnm._FilterDatabase">'Hours (raw)'!$A$1:$P$457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=A1 &amp; " completed tickets"
</t>
      </text>
    </comment>
  </commentList>
</comments>
</file>

<file path=xl/sharedStrings.xml><?xml version="1.0" encoding="utf-8"?>
<sst xmlns="http://schemas.openxmlformats.org/spreadsheetml/2006/main" count="48474" uniqueCount="5551">
  <si>
    <t>If 17 payments are collected, 200. If 22 payments are collected, 300. (daily bonus paid out weekly)</t>
  </si>
  <si>
    <t>This is calculated on a different spreadsheet. Claire or I will copy paste it over</t>
  </si>
  <si>
    <t>Pay Week</t>
  </si>
  <si>
    <t>Name</t>
  </si>
  <si>
    <t>M</t>
  </si>
  <si>
    <t>T</t>
  </si>
  <si>
    <t>W</t>
  </si>
  <si>
    <t>R</t>
  </si>
  <si>
    <t>F</t>
  </si>
  <si>
    <t>Total</t>
  </si>
  <si>
    <t>Week 6/1/25 - 6/7/25</t>
  </si>
  <si>
    <t>Bondoc, Joshua Michael "Josh"</t>
  </si>
  <si>
    <t>Calma , King Gaspar "King"</t>
  </si>
  <si>
    <t>Cataag, Danielle Angela "Danielle"</t>
  </si>
  <si>
    <t>Gamo, Michelle Anne C "Michelle"</t>
  </si>
  <si>
    <t>Garcia, Ruth Clarise</t>
  </si>
  <si>
    <t>Lizardo, Leigh Anthony "Anthony"</t>
  </si>
  <si>
    <t>Marcine, Ma. Franisa "Fran"</t>
  </si>
  <si>
    <t>Oguis, Jupiter Jan "Jupiter"</t>
  </si>
  <si>
    <t>Punzalan, Darrell "D"</t>
  </si>
  <si>
    <t>Regner, Julia Azaliah</t>
  </si>
  <si>
    <t>Saldua, Joana Mae</t>
  </si>
  <si>
    <t>Tesalona, Maria Linda "Lenny"</t>
  </si>
  <si>
    <t>Verdejo, Mary Rose Ann</t>
  </si>
  <si>
    <t>Week 5/25/25 - 5/31/25</t>
  </si>
  <si>
    <t>Week 5/18/25 - 5/24/25</t>
  </si>
  <si>
    <t>Week 5/11/25 - 5/17/25</t>
  </si>
  <si>
    <t>Week 5/4/25 - 5/10/25</t>
  </si>
  <si>
    <t>Week 4/27/25 - 5/3/25</t>
  </si>
  <si>
    <t>Week 3/22/26 - 3/28/26</t>
  </si>
  <si>
    <t>Aduan, Nancy "Nancy"</t>
  </si>
  <si>
    <t>2 Swifty, 1 dancing Queen &amp; 1 Flirty &amp; Thriving</t>
  </si>
  <si>
    <t>Boco, Jeanne C. "Jeanne"</t>
  </si>
  <si>
    <t>Lim, Jerrek Anthony</t>
  </si>
  <si>
    <t>Espiritu, Shaira "Shai"</t>
  </si>
  <si>
    <t>Binas, Petalyn "Lynn"</t>
  </si>
  <si>
    <t>Galang, April Pearl "April"</t>
  </si>
  <si>
    <t>Labo, Kristine Abigail "Kristine"</t>
  </si>
  <si>
    <t>Week 3/15/26 - 3/21/26</t>
  </si>
  <si>
    <t>3 Swifty, 0 dancing Queen &amp; 2 Flirty &amp; Thriving</t>
  </si>
  <si>
    <t>Week 3/8/26 - 3/14/26</t>
  </si>
  <si>
    <t>2 Swifty, 1 dancing Queen &amp; 0 Flirty &amp; Thriving</t>
  </si>
  <si>
    <t>Week 3/1/26 - 3/7/26</t>
  </si>
  <si>
    <t>1 Swifty, 0 dancing Queen &amp; 4 Flirty &amp; Thriving</t>
  </si>
  <si>
    <t>Week 2/22/26 - 2/28/26</t>
  </si>
  <si>
    <t>2 Swifty, 0 dancing Queen &amp; 3 Flirty &amp; Thriving</t>
  </si>
  <si>
    <t>Week 2/15/26 - 2/21/26</t>
  </si>
  <si>
    <t>4 Swifty, 0 dancing Queen &amp; 1 Flirty &amp; Thriving</t>
  </si>
  <si>
    <t>Week 2/8/26 - 2/14/26</t>
  </si>
  <si>
    <t>0 Swifty, 0 dancing Queen &amp; 4 Flirty &amp; Thriving</t>
  </si>
  <si>
    <t>Week 2/1/26 - 2/7/26</t>
  </si>
  <si>
    <t>3 Swifty, 0 dancing Queen &amp; 1 Flirty &amp; Thriving</t>
  </si>
  <si>
    <t>Week 1/25/26 - 1/31/26</t>
  </si>
  <si>
    <t>Potestas, Mary Ann "Mary"</t>
  </si>
  <si>
    <t>4 Swifty, 0 dancing Queen &amp; 0 Flirty &amp; Thriving</t>
  </si>
  <si>
    <t>Week 1/18/26 - 1/24/26</t>
  </si>
  <si>
    <t>BARREDO, KRYSTAL SHAYNNE  "Krystal"</t>
  </si>
  <si>
    <t>Week 1/11/26 - 1/17/26</t>
  </si>
  <si>
    <t>3 Swifty, 1 dancing Queen &amp; 1 Flirty &amp; Thriving</t>
  </si>
  <si>
    <t>Week 1/4/26 - 1/10/26</t>
  </si>
  <si>
    <t>0 Swifty, 0 dancing Queen &amp; 3 Flirty &amp; Thriving</t>
  </si>
  <si>
    <t>Barte, Maria Estrella "Star"</t>
  </si>
  <si>
    <t xml:space="preserve">Week 12/28/25 - 1/3/25 </t>
  </si>
  <si>
    <t xml:space="preserve">Week 12/21/25 - 12/27/25 </t>
  </si>
  <si>
    <t>1 Swifty, 0 dancing Queen &amp; 1 Flirty &amp; Thriving</t>
  </si>
  <si>
    <t>Week 12/14/25 - 12/20/25</t>
  </si>
  <si>
    <t>1 Swifty, 2 dancing Queen &amp; 2 Flirty &amp; Thriving</t>
  </si>
  <si>
    <t>Week 12/7/25 - 12/13/25</t>
  </si>
  <si>
    <t>1 Swifty, 1 dancing Queen &amp; 3 Flirty &amp; Thriving</t>
  </si>
  <si>
    <t>Week 11/30/25 - 12/6/25</t>
  </si>
  <si>
    <t>0 Swifty, 0 dancing Queen &amp; 5 Flirty &amp; Thriving</t>
  </si>
  <si>
    <t>Week 11/23/25 - 11/29/25</t>
  </si>
  <si>
    <t>2 Swifty, 0 dancing Queen &amp; 1 Flirty &amp; Thriving</t>
  </si>
  <si>
    <t>Week 11/16/25 - 11/22/25</t>
  </si>
  <si>
    <t>Week 11/9/25 - 11/15/25</t>
  </si>
  <si>
    <t>Week 11/2/25 - 11/8/25</t>
  </si>
  <si>
    <t>2 Swifty, 2 dancing Queen &amp; 0 Flirty &amp; Thriving</t>
  </si>
  <si>
    <t>Week 10/26/25 - 11/1/25</t>
  </si>
  <si>
    <t>1 Swifty, 1 dancing Queen &amp; 1 Flirty &amp; Thriving</t>
  </si>
  <si>
    <t>Week 10/19/25 - 10/25/25</t>
  </si>
  <si>
    <t>2 Swifty, 1 dancing Queens &amp; 0 Flirty &amp; Thriving</t>
  </si>
  <si>
    <t>Week 10/12/25 - 10/18/25</t>
  </si>
  <si>
    <t>1 Swifty, 2 dancing Queens &amp; 2 Flirty &amp; Thriving</t>
  </si>
  <si>
    <t>Week 10/5/25 - 10/11/25</t>
  </si>
  <si>
    <t>2 Swifties, 0 dancing Queen &amp; 3 Flirty &amp; Thriving</t>
  </si>
  <si>
    <t>Week 9/28/25 - 10/4/25</t>
  </si>
  <si>
    <t>2 Swifties, 1 dancing Queen &amp; 2 Flirty &amp; Thriving</t>
  </si>
  <si>
    <t>Week 9/21/25 - 9/27/25</t>
  </si>
  <si>
    <t>4 Thirty, Flirty &amp; Thriving &amp; 1 Swifty</t>
  </si>
  <si>
    <t>Week 9/14/25 - 9/20/25</t>
  </si>
  <si>
    <t>Arca, Joanna Marie "Joan"</t>
  </si>
  <si>
    <t>3 Dancing Queen &amp; 2 Thirties</t>
  </si>
  <si>
    <t>Week 9/07/25 - 9/13/25</t>
  </si>
  <si>
    <t>2 Swifties</t>
  </si>
  <si>
    <t>2 Dancing Queen, 3 Swifties</t>
  </si>
  <si>
    <t>Week 8/31/25 - 9/06/25</t>
  </si>
  <si>
    <t>2 Thirty, Flirty &amp; Thriving; 1 Swifty</t>
  </si>
  <si>
    <t>Week 8/24/25 - 8/30/25</t>
  </si>
  <si>
    <t>Week 8/17/25 - 8/23/25</t>
  </si>
  <si>
    <t xml:space="preserve">Week 8/10/25 - 8/16/25 </t>
  </si>
  <si>
    <t>Week 8/3/25 - 8/9/25</t>
  </si>
  <si>
    <t>2 Swifties | 2 Dancing Queen</t>
  </si>
  <si>
    <t>Week 7/27/25 - 8/2/25</t>
  </si>
  <si>
    <t>Swifty | Dancing Queen |Thirty, Flirty &amp; Thriving | Dancing Queen | Swifty</t>
  </si>
  <si>
    <t>Week 7/20/25 - 7/26/25</t>
  </si>
  <si>
    <t>Week 7/13/25 - 7/19/25</t>
  </si>
  <si>
    <t xml:space="preserve">Week 7/6/25 - 7/12/25 </t>
  </si>
  <si>
    <t>Week 6/29/25 - 7/5/25</t>
  </si>
  <si>
    <t>Week 6/22/25 - 6/28/25</t>
  </si>
  <si>
    <t>Week 6/15/25 - 6/21/25</t>
  </si>
  <si>
    <t>Week 6/8/25 - 6/14/25</t>
  </si>
  <si>
    <t>Week 4/20/25 - 4/26/25</t>
  </si>
  <si>
    <t>Week 4/13/25 - 4/19/25</t>
  </si>
  <si>
    <t>Barros, Rhobbie Jane "Robby"</t>
  </si>
  <si>
    <t>Week 4/6/25 - 4/12/25</t>
  </si>
  <si>
    <t>Week 3/30/25 -  4/5/25</t>
  </si>
  <si>
    <t>Week 3/23/25 - 3/29/25</t>
  </si>
  <si>
    <t>Gabriel, Shenny Mae</t>
  </si>
  <si>
    <t>Week 3/2/25 - 3/8/25</t>
  </si>
  <si>
    <t>Week 3/16/25 - 3/22/25</t>
  </si>
  <si>
    <t>50 PHP/ticket completed (Warren send report)</t>
  </si>
  <si>
    <t>Email</t>
  </si>
  <si>
    <t>Agent</t>
  </si>
  <si>
    <t>Tickets</t>
  </si>
  <si>
    <t>Amount</t>
  </si>
  <si>
    <t>Week 3/9/25 - 3/15/25</t>
  </si>
  <si>
    <t>Bollozos, Jay Michael "Jay"</t>
  </si>
  <si>
    <t>Capulong, Jazmine Anne "Jaz"</t>
  </si>
  <si>
    <t>Cipriano, Marcus Peter Raphael</t>
  </si>
  <si>
    <t>Dela Peña, Marjorie Pelomina</t>
  </si>
  <si>
    <t>Dua, Alieza "Ali"</t>
  </si>
  <si>
    <t>Enriquez, Harry Jr. "Harry"</t>
  </si>
  <si>
    <t>Esquivel, Thia "Thia"</t>
  </si>
  <si>
    <t>Felices, John Carl</t>
  </si>
  <si>
    <t>Flores, Justin Marie</t>
  </si>
  <si>
    <t>Heramil, Michael Bryan</t>
  </si>
  <si>
    <t>Jamero, Gerymae Anthia "Thia"</t>
  </si>
  <si>
    <t>Lagundi, Bryan</t>
  </si>
  <si>
    <t>Lorenzo, Shareena "Reena"</t>
  </si>
  <si>
    <t>Mayor, Gerald</t>
  </si>
  <si>
    <t>Mayor, Jane</t>
  </si>
  <si>
    <t>Moleno, Sharlaine</t>
  </si>
  <si>
    <t>Mulingbayan, Kobe Christian "Kobe"</t>
  </si>
  <si>
    <t>Pabalan, Mark La Salle "Adrian"</t>
  </si>
  <si>
    <t>Penaflor, Angela "Angel"</t>
  </si>
  <si>
    <t>Prajedes, John Kristofer</t>
  </si>
  <si>
    <t>Ranis, Christian A. "Chris"</t>
  </si>
  <si>
    <t>Roseos, Ruben Junior P  "Ben"</t>
  </si>
  <si>
    <t>Ruiz, Loueje "Louie"</t>
  </si>
  <si>
    <t>Sagun, Joel Mandy "Mandy"</t>
  </si>
  <si>
    <t>Seguis, Warren</t>
  </si>
  <si>
    <t>Solijon, Joanna Marie L "Jo"</t>
  </si>
  <si>
    <t>Soliman, Danica</t>
  </si>
  <si>
    <t>Teves, Christy Leony</t>
  </si>
  <si>
    <t>Umbac, Miguel A.</t>
  </si>
  <si>
    <t>Velasco, Anjeo "Joe"</t>
  </si>
  <si>
    <t>Capulong, Jazmine "Jaz" Anne L.</t>
  </si>
  <si>
    <t>Cipriano, Marcus</t>
  </si>
  <si>
    <t>Dela Peña, Marjorie</t>
  </si>
  <si>
    <t>Enriquez Jr, Harry</t>
  </si>
  <si>
    <t>janem@simple.biz</t>
  </si>
  <si>
    <t>danicas@simple.biz</t>
  </si>
  <si>
    <t>johnp@simple.biz</t>
  </si>
  <si>
    <t>Prajedes, John</t>
  </si>
  <si>
    <t>marjorie@simple.biz</t>
  </si>
  <si>
    <t>mikeh@simple.biz</t>
  </si>
  <si>
    <t>Heramil, Mike</t>
  </si>
  <si>
    <t>marcusc@simple.biz</t>
  </si>
  <si>
    <t>adrianp@simple.biz</t>
  </si>
  <si>
    <t>Pabalan, Adrian</t>
  </si>
  <si>
    <t>jan@simple.biz</t>
  </si>
  <si>
    <t>Juanillas, Jan</t>
  </si>
  <si>
    <t>justinf@simple.biz</t>
  </si>
  <si>
    <t>Flores, Justin</t>
  </si>
  <si>
    <t>louier@simple.biz</t>
  </si>
  <si>
    <t>Ruiz, Louie</t>
  </si>
  <si>
    <t>alid@simple.biz</t>
  </si>
  <si>
    <t>angelp@simple.biz</t>
  </si>
  <si>
    <t>benr@simple.biz</t>
  </si>
  <si>
    <t>Roseos, Ruben Junior P "Ben"</t>
  </si>
  <si>
    <t>reenal@simple.biz</t>
  </si>
  <si>
    <t>Lorenzo, Shareena "Rina"</t>
  </si>
  <si>
    <t>jos@simple.biz</t>
  </si>
  <si>
    <t>Solijon, Joanna Marie L.</t>
  </si>
  <si>
    <t>jazc@simple.biz</t>
  </si>
  <si>
    <t>Capulong, Jazmine "Jaz" Anne</t>
  </si>
  <si>
    <t>thiaj@simple.biz</t>
  </si>
  <si>
    <t>Jamero, Gerymae Anthia "Ting"</t>
  </si>
  <si>
    <t>kennethr@simple.biz</t>
  </si>
  <si>
    <t>Radam, Kenneth Edward</t>
  </si>
  <si>
    <t>macd@simple.biz</t>
  </si>
  <si>
    <t>Ravago, Marcus</t>
  </si>
  <si>
    <t>riza@simple.biz</t>
  </si>
  <si>
    <t>Lapaz, Riza</t>
  </si>
  <si>
    <t>angelam@simple.biz</t>
  </si>
  <si>
    <t>Mananquil, Angela</t>
  </si>
  <si>
    <t>janinep@simple.biz</t>
  </si>
  <si>
    <t>Pacis, Janine</t>
  </si>
  <si>
    <t>maxm@simple.biz</t>
  </si>
  <si>
    <t>Martinez, Alexa Maxene</t>
  </si>
  <si>
    <t>vincentb@simple.biz</t>
  </si>
  <si>
    <t>Berdon, Vincent Josh</t>
  </si>
  <si>
    <t>charless@simple.biz</t>
  </si>
  <si>
    <t>Sojor, Charles</t>
  </si>
  <si>
    <t>vanjohnp@simple.biz</t>
  </si>
  <si>
    <t>Panton, Van John</t>
  </si>
  <si>
    <t>miguelm@simple.biz</t>
  </si>
  <si>
    <t>Mayor, Miguel Dien</t>
  </si>
  <si>
    <t>gotm@simple.biz</t>
  </si>
  <si>
    <t>Martinez, Got</t>
  </si>
  <si>
    <t>charmaineq@simple.biz</t>
  </si>
  <si>
    <t>Quizon, Charmaine</t>
  </si>
  <si>
    <t>kobem@simple.biz</t>
  </si>
  <si>
    <t>Mulingbayan, Kobe Christian</t>
  </si>
  <si>
    <t>ruffag@simple.biz</t>
  </si>
  <si>
    <t>Gallego, Ruffa</t>
  </si>
  <si>
    <t>dericl@simple.biz</t>
  </si>
  <si>
    <t>Deric Reign Lopez</t>
  </si>
  <si>
    <t>jernalyni@simple.biz</t>
  </si>
  <si>
    <t>Jernalyn "Lyn" Iglesias</t>
  </si>
  <si>
    <t>christiant@simple.biz</t>
  </si>
  <si>
    <t>Christian Tabudlong</t>
  </si>
  <si>
    <t>cjb@simple.biz</t>
  </si>
  <si>
    <t>Calvin Joseph "CJ" Baltazar</t>
  </si>
  <si>
    <t>acelip@simple.biz</t>
  </si>
  <si>
    <t>Aceli "Lay" Pangilinan</t>
  </si>
  <si>
    <t>cristalm@simple.biz</t>
  </si>
  <si>
    <t>Christalyn "Cristal" Maramag</t>
  </si>
  <si>
    <t>jakes@simple.biz</t>
  </si>
  <si>
    <t>Allan "Jake" Sindac</t>
  </si>
  <si>
    <t>cargila@simple.biz</t>
  </si>
  <si>
    <t>Cargil "Gil" Andres</t>
  </si>
  <si>
    <t>steve@simple.biz</t>
  </si>
  <si>
    <t>Superta, Jaypee "Steve"</t>
  </si>
  <si>
    <t>karln@simple.biz</t>
  </si>
  <si>
    <t>Noynay, Karl "Carl"</t>
  </si>
  <si>
    <t>harrye@simple.biz</t>
  </si>
  <si>
    <t>Babor, Jhon Meeko "Mico"</t>
  </si>
  <si>
    <t>jecka@simple.biz</t>
  </si>
  <si>
    <t>Alvarez, Jecky "Jack"</t>
  </si>
  <si>
    <t>eugeneg@simple.biz</t>
  </si>
  <si>
    <t>Guzon, Eugene "Eugene"</t>
  </si>
  <si>
    <t>jone@simple.biz</t>
  </si>
  <si>
    <t>Escultor, Jonathan S. "Ethan"</t>
  </si>
  <si>
    <t>clangg@simple.biz</t>
  </si>
  <si>
    <t>Gonzales, Clarise "Chloe"</t>
  </si>
  <si>
    <t>genep@simple.biz</t>
  </si>
  <si>
    <t>Pasay, Gene Alphonse "Jay"</t>
  </si>
  <si>
    <t>chrisd@simple.biz</t>
  </si>
  <si>
    <t>Dacara, Mary Chris "Alicia"</t>
  </si>
  <si>
    <t>bryanl@simple.biz</t>
  </si>
  <si>
    <t>Enriquez Jr., Harry</t>
  </si>
  <si>
    <t>geraldm@simple.biz</t>
  </si>
  <si>
    <t>andre@simple.biz</t>
  </si>
  <si>
    <t>Gindoy, Jan Andrae "Andre"</t>
  </si>
  <si>
    <t>Week 3/9/26 - 3/15/26</t>
  </si>
  <si>
    <t>maria@simple.biz</t>
  </si>
  <si>
    <t>Tanjusay, Maria Fe "Maria"</t>
  </si>
  <si>
    <t>rexg@simple.biz</t>
  </si>
  <si>
    <t>Gerado, Rhic Zandro Royo "Ricky"</t>
  </si>
  <si>
    <t>chrisr@simple.biz</t>
  </si>
  <si>
    <t>Ranis, Christian "Chris"</t>
  </si>
  <si>
    <t>iann@simple.biz</t>
  </si>
  <si>
    <t>Nuqui, Jayson Randolph "Ian"</t>
  </si>
  <si>
    <t>romera@simple.biz</t>
  </si>
  <si>
    <t>Adora, Romerson "Romer"</t>
  </si>
  <si>
    <t>enzo@simple.biz</t>
  </si>
  <si>
    <t>Arriesgado, Lorenzo "Enzo"</t>
  </si>
  <si>
    <t>zn@simple.biz</t>
  </si>
  <si>
    <t>Naid, Hazel Rose</t>
  </si>
  <si>
    <t>jayb@simple.biz</t>
  </si>
  <si>
    <t>abbym@simple.biz</t>
  </si>
  <si>
    <t>Martin, Avi Pearl Garcia "Olivia"</t>
  </si>
  <si>
    <t>jimg@simple.biz</t>
  </si>
  <si>
    <t>Guzago, Jimron "Jim"</t>
  </si>
  <si>
    <t>joe@simple.biz</t>
  </si>
  <si>
    <t>Vergara, Jo Benson "JB"</t>
  </si>
  <si>
    <t>ryan@simple.biz</t>
  </si>
  <si>
    <t>Domingo, Ryan</t>
  </si>
  <si>
    <t>judy@simple.biz</t>
  </si>
  <si>
    <t>Cadayday, Judelyn "Judy"</t>
  </si>
  <si>
    <t>joshua@simple.biz</t>
  </si>
  <si>
    <t>Borlongan, Joshua D.A. "Josh"</t>
  </si>
  <si>
    <t>maggie@simple.biz</t>
  </si>
  <si>
    <t>Maggie Tabora</t>
  </si>
  <si>
    <t>Naid, Hazel Rose "Hazel"</t>
  </si>
  <si>
    <t>joel@simple.biz</t>
  </si>
  <si>
    <t>Honoridez, Jerome "Kyle"</t>
  </si>
  <si>
    <t>ferns@simple.biz</t>
  </si>
  <si>
    <t>Sanchez Jr, Fernando, "Fernando"</t>
  </si>
  <si>
    <t>Nuqui, Jayson Randolph Ian "Ian"</t>
  </si>
  <si>
    <t>reid@simple.biz</t>
  </si>
  <si>
    <t>Dacara, Ramil Ordeneza "Reid"</t>
  </si>
  <si>
    <t>nancy@simple.biz</t>
  </si>
  <si>
    <t>Orcajada, Nancy</t>
  </si>
  <si>
    <t>miguelu@simple.biz</t>
  </si>
  <si>
    <t>Umbac, Miguel</t>
  </si>
  <si>
    <t>christyt@simple.biz</t>
  </si>
  <si>
    <t>Tanjusay, Maria Fe "Maria Trent"</t>
  </si>
  <si>
    <t>brigel@simple.biz</t>
  </si>
  <si>
    <t>Lopez, Brigitte "Brige"</t>
  </si>
  <si>
    <t>Martin, Avi Pearl Garcia, "Olivia"</t>
  </si>
  <si>
    <t>mels@simple.biz</t>
  </si>
  <si>
    <t>Sabino, Mel Astilla "Melvin"</t>
  </si>
  <si>
    <t>Naid, Hazel Rose "Hazel "</t>
  </si>
  <si>
    <t>clintv@simple.biz</t>
  </si>
  <si>
    <t>Villegas,Clint Raven "Clint"</t>
  </si>
  <si>
    <t>jengp@simple.biz</t>
  </si>
  <si>
    <t>Paynor, Maria Lourdes "Stacy"</t>
  </si>
  <si>
    <t>darlene@simple.biz</t>
  </si>
  <si>
    <t>Belangoy, Darlene</t>
  </si>
  <si>
    <t>vincem@simple.biz</t>
  </si>
  <si>
    <t>Macarulay, Vincent Jade "Vince"</t>
  </si>
  <si>
    <t>Diaz, Darlene</t>
  </si>
  <si>
    <t>Tabora, Maggie</t>
  </si>
  <si>
    <t>khenl@simple.biz</t>
  </si>
  <si>
    <t>Largo, Khenjie "Adam"</t>
  </si>
  <si>
    <t>amy@simple.biz</t>
  </si>
  <si>
    <t>Regil, Imee "Amy"</t>
  </si>
  <si>
    <t>joshb@simple.biz</t>
  </si>
  <si>
    <t>Borlongan, Joshua "Josh Beltran"</t>
  </si>
  <si>
    <t>Borlongan, Joshua "Josh" D.A.</t>
  </si>
  <si>
    <t>mandys@simple.biz</t>
  </si>
  <si>
    <t>Sagun, Joel "Mandy"</t>
  </si>
  <si>
    <t>ben@simple.biz</t>
  </si>
  <si>
    <t>Canete, Charles Kith "Chuck "</t>
  </si>
  <si>
    <t>mark@simple.biz</t>
  </si>
  <si>
    <t>Fabillar, Mark Xander</t>
  </si>
  <si>
    <t>Suarez, Randel</t>
  </si>
  <si>
    <t>Regil, Imee</t>
  </si>
  <si>
    <t>Canete, Charles Kith</t>
  </si>
  <si>
    <t>johnf@simple.biz</t>
  </si>
  <si>
    <t>april@simple.biz</t>
  </si>
  <si>
    <t>Galang, April Pearl</t>
  </si>
  <si>
    <t>roi@simple.biz</t>
  </si>
  <si>
    <t>Castillo, Roi Vincent</t>
  </si>
  <si>
    <t>chuck@simple.biz</t>
  </si>
  <si>
    <t>20 completed tickets</t>
  </si>
  <si>
    <t>32 completed tickets</t>
  </si>
  <si>
    <t>27 completed tickets</t>
  </si>
  <si>
    <t>38 completed tickets</t>
  </si>
  <si>
    <t>31 completed tickets</t>
  </si>
  <si>
    <t>28 completed tickets</t>
  </si>
  <si>
    <t>29 completed tickets</t>
  </si>
  <si>
    <t>13 completed tickets</t>
  </si>
  <si>
    <t>40 completed tickets</t>
  </si>
  <si>
    <t>42 completed tickets</t>
  </si>
  <si>
    <t>49 completed tickets</t>
  </si>
  <si>
    <t>36 completed tickets</t>
  </si>
  <si>
    <t>47 completed tickets</t>
  </si>
  <si>
    <t>17 completed tickets</t>
  </si>
  <si>
    <t>64 completed tickets</t>
  </si>
  <si>
    <t>34 completed tickets</t>
  </si>
  <si>
    <t>18 completed tickets</t>
  </si>
  <si>
    <t>26 completed tickets</t>
  </si>
  <si>
    <t>44 completed tickets</t>
  </si>
  <si>
    <t>24 completed tickets</t>
  </si>
  <si>
    <t>22 completed tickets</t>
  </si>
  <si>
    <t>4 completed tickets</t>
  </si>
  <si>
    <t>16 completed tickets</t>
  </si>
  <si>
    <t>14 completed tickets</t>
  </si>
  <si>
    <t>11 completed tickets</t>
  </si>
  <si>
    <t>2 completed tickets</t>
  </si>
  <si>
    <t>thiae@simple.biz</t>
  </si>
  <si>
    <t>Esquivel, Thia</t>
  </si>
  <si>
    <t>gary@simple.biz</t>
  </si>
  <si>
    <t>Allego, Gary</t>
  </si>
  <si>
    <t>gerald@simple.biz</t>
  </si>
  <si>
    <t>Navarrete, Jorald</t>
  </si>
  <si>
    <t>Cadayday, Judelyn</t>
  </si>
  <si>
    <t>jessica@simple.biz</t>
  </si>
  <si>
    <t>Espinosa, Marie Jessica</t>
  </si>
  <si>
    <t>cliff@simple.biz</t>
  </si>
  <si>
    <t>Marfil, Cliff Charles</t>
  </si>
  <si>
    <t>lily@simple.biz</t>
  </si>
  <si>
    <t>Fabillar, Love "Lily"</t>
  </si>
  <si>
    <t>daniel@simple.biz</t>
  </si>
  <si>
    <t>Garcia, Joshua Dainiel "Daniel"</t>
  </si>
  <si>
    <t>Ranis, Christian "Chris" A.</t>
  </si>
  <si>
    <t>joshuat@simple.biz</t>
  </si>
  <si>
    <t>Mathew, Joshua</t>
  </si>
  <si>
    <t>randallp@simple.biz</t>
  </si>
  <si>
    <t>Panganiban, Rhandle</t>
  </si>
  <si>
    <t>Week 3/30/25 - 4/5/25</t>
  </si>
  <si>
    <t xml:space="preserve">joshua@simple.biz </t>
  </si>
  <si>
    <t>Brian and Chris R build sites @ 50PHP/site -- they send invoices</t>
  </si>
  <si>
    <t>Joe V and John F checking side of Dev Team - 250PHP/ Navy Blue Approval</t>
  </si>
  <si>
    <t>Sites Delivered</t>
  </si>
  <si>
    <t>Sites Checked</t>
  </si>
  <si>
    <t>pay next week</t>
  </si>
  <si>
    <t>12 sites checked</t>
  </si>
  <si>
    <t>8 Limes Stes Checked</t>
  </si>
  <si>
    <t>9 Limes Stes Checked</t>
  </si>
  <si>
    <t>has a bonus on edit tab, make sure to combine</t>
  </si>
  <si>
    <t>250 PHP/appt set if 1-9 appt.  If 10+ appts set, each appt is 500 PHP</t>
  </si>
  <si>
    <t>Pay week</t>
  </si>
  <si>
    <t>Appt</t>
  </si>
  <si>
    <t>geloa@simplesitecompany.com</t>
  </si>
  <si>
    <t>Abaca, Angelo "Gelo"</t>
  </si>
  <si>
    <t>jamesa@simplesitecompany.com</t>
  </si>
  <si>
    <t>Abamonga, James Patrick "James"</t>
  </si>
  <si>
    <t>eja@simplesitecompany.com</t>
  </si>
  <si>
    <t>Adviento, Earl Juane "EJ"</t>
  </si>
  <si>
    <t>rjaya@simplesitecompany.com</t>
  </si>
  <si>
    <t>Agustin, Rjay "Rjay"</t>
  </si>
  <si>
    <t>juditha@simple.biz</t>
  </si>
  <si>
    <t>Albiar, Judith "Judith"</t>
  </si>
  <si>
    <t>fela@simplesitecompany.com</t>
  </si>
  <si>
    <t>Alejo, Felrei Aikel "Fel"</t>
  </si>
  <si>
    <t>garya@simple.biz</t>
  </si>
  <si>
    <t>Allego, Gary "Gary"</t>
  </si>
  <si>
    <t>matta@simple.biz</t>
  </si>
  <si>
    <t>Alolod, Matt Jr</t>
  </si>
  <si>
    <t>teodya@simple.biz</t>
  </si>
  <si>
    <t>Amaro, Teody</t>
  </si>
  <si>
    <t>gila@simplesitecompany.com</t>
  </si>
  <si>
    <t>Andres, Cargil "Gil"</t>
  </si>
  <si>
    <t>rafa@simple.biz</t>
  </si>
  <si>
    <t>Andres, Rafael Angelo "Raf"</t>
  </si>
  <si>
    <t>staceya@simplesitecompany.com</t>
  </si>
  <si>
    <t>Anievas , Stacey "Stacey"</t>
  </si>
  <si>
    <t>bena@simplesitecompany.com</t>
  </si>
  <si>
    <t>Arquero, Benson "Ben"</t>
  </si>
  <si>
    <t>vinza@simplesitecompany.com</t>
  </si>
  <si>
    <t>Articulo, Vinz Angelie Grace "Vinz"</t>
  </si>
  <si>
    <t>rja@simple.biz</t>
  </si>
  <si>
    <t>Asuncion, Rue Jeanne "RJ"</t>
  </si>
  <si>
    <t>jaoa@simplesitecompany.com</t>
  </si>
  <si>
    <t>Azarse, John Albert "Jao"</t>
  </si>
  <si>
    <t>sebb@simplesitecompany.com</t>
  </si>
  <si>
    <t>Baang, Sebastian Andales "Seb"</t>
  </si>
  <si>
    <t>danicab@simple.biz</t>
  </si>
  <si>
    <t>Bacalso, Danica "Danica"</t>
  </si>
  <si>
    <t>ruthb@simple.biz</t>
  </si>
  <si>
    <t>Bacalso, Ruth A.</t>
  </si>
  <si>
    <t>rochieb@simple.biz</t>
  </si>
  <si>
    <t>Baclagan, Rochie "Rochie"</t>
  </si>
  <si>
    <t>robb@simplesitecompany.com</t>
  </si>
  <si>
    <t>Bagay, Robbeneth De Lara "Rob"</t>
  </si>
  <si>
    <t>mikeb@simple.biz</t>
  </si>
  <si>
    <t>Baillo, Jan Michael M "Mike"</t>
  </si>
  <si>
    <t>jadeb@simplesitecompany.com</t>
  </si>
  <si>
    <t>Bandola, Jelady "Jade"</t>
  </si>
  <si>
    <t>kimb@simple.biz</t>
  </si>
  <si>
    <t>Bartolome, "Kim" Joshua</t>
  </si>
  <si>
    <t>tanyab@simple.biz</t>
  </si>
  <si>
    <t>Bartolome, Tanya "Tanya"</t>
  </si>
  <si>
    <t>ambib@simple.biz</t>
  </si>
  <si>
    <t>Basilides, Antonio "Ambi"</t>
  </si>
  <si>
    <t>jumarieb@simple.biz</t>
  </si>
  <si>
    <t>Bayonito, Jumarie "Jumarie"</t>
  </si>
  <si>
    <t>arthurb@simple.biz</t>
  </si>
  <si>
    <t>Benitez, Arthur</t>
  </si>
  <si>
    <t>edb@simple.biz</t>
  </si>
  <si>
    <t>Betonio , Edwin "Ed"</t>
  </si>
  <si>
    <t>kimb@simplesitecompany.com</t>
  </si>
  <si>
    <t>Biao, Kim Manuel "Kim"</t>
  </si>
  <si>
    <t>samb@simple.biz</t>
  </si>
  <si>
    <t>Bonnevie, Samson "Sam"</t>
  </si>
  <si>
    <t>Borlongan, Johsua "Josh" D.A</t>
  </si>
  <si>
    <t>bjb@simplesitecompany.com</t>
  </si>
  <si>
    <t>Bravo, Bj "BJ"</t>
  </si>
  <si>
    <t>arcyb@simple.biz</t>
  </si>
  <si>
    <t>Bucu, Arcy R.</t>
  </si>
  <si>
    <t>johnj@simplesitecompany.com</t>
  </si>
  <si>
    <t>Bugayong, John Joseph "John"</t>
  </si>
  <si>
    <t>albertc@simplesitecompany.com</t>
  </si>
  <si>
    <t>Cabañero, Albert "Albert"</t>
  </si>
  <si>
    <t>juliac@simple.biz</t>
  </si>
  <si>
    <t>Cabañez, Julianne "Julia"</t>
  </si>
  <si>
    <t>carloc@simplesitecompany.com</t>
  </si>
  <si>
    <t>Cabradilla, Carlo "Carlo"</t>
  </si>
  <si>
    <t>el@simple.biz</t>
  </si>
  <si>
    <t>Cacatian, Elihu "EL" L. Jr.</t>
  </si>
  <si>
    <t>kenc@simplesitecompany.com</t>
  </si>
  <si>
    <t>Cadabos, Kenneth "Ken"</t>
  </si>
  <si>
    <t>marcc@simple.biz</t>
  </si>
  <si>
    <t>Cahig, Marc Joseph</t>
  </si>
  <si>
    <t>melc@simplesitecompany.com</t>
  </si>
  <si>
    <t>Cahilog, Mel Steven "Mel"</t>
  </si>
  <si>
    <t>brynerc@simple.biz</t>
  </si>
  <si>
    <t>Calabio, Bryner "Bryner"</t>
  </si>
  <si>
    <t>kevinc@simplesitecompany.com</t>
  </si>
  <si>
    <t>Caldino, Kevin "Kevin"</t>
  </si>
  <si>
    <t>josephc@simplesitecompany.com</t>
  </si>
  <si>
    <t>Caluag, Jhon Joseph "Joseph"</t>
  </si>
  <si>
    <t>jaypc@simple.biz</t>
  </si>
  <si>
    <t>Calubaquub, Jay Padilla</t>
  </si>
  <si>
    <t>stephc@simplesitecompany.com</t>
  </si>
  <si>
    <t>Canales, Mary Stiphanny "Steph"</t>
  </si>
  <si>
    <t>regif@simplesitecompany.com</t>
  </si>
  <si>
    <t>Canoy II, Reginald Felix "Regi"</t>
  </si>
  <si>
    <t>jackiec@simplesitecompany.com</t>
  </si>
  <si>
    <t>Capuras, Jackie Louize "Jackie"</t>
  </si>
  <si>
    <t>ganic@simple.biz</t>
  </si>
  <si>
    <t>Caraat, Isagane "Gani"</t>
  </si>
  <si>
    <t>danc@simplesitecompany.com</t>
  </si>
  <si>
    <t>Caraig, Daniell "Dan"</t>
  </si>
  <si>
    <t>christianc@simplesitecompany.com</t>
  </si>
  <si>
    <t>Cariño, Christian Jovic "Christian"</t>
  </si>
  <si>
    <t>aunicec@simple.biz</t>
  </si>
  <si>
    <t>Caro, Aunice</t>
  </si>
  <si>
    <t>julzc@simple.biz</t>
  </si>
  <si>
    <t>Casona, Julian Karl "Julz"</t>
  </si>
  <si>
    <t>darc@simplesitecompany.com</t>
  </si>
  <si>
    <t>Catapia, Darius "Dar"</t>
  </si>
  <si>
    <t>johnc@simplesitecompany.com</t>
  </si>
  <si>
    <t>Celestial, John "John"</t>
  </si>
  <si>
    <t>josec@simplesitecompany.com</t>
  </si>
  <si>
    <t>Cestina, Jose Wromwaldo "Jose"</t>
  </si>
  <si>
    <t>harleyc@simple.biz</t>
  </si>
  <si>
    <t>Clavano, Maharlika M "Harley"</t>
  </si>
  <si>
    <t>jackielouc@simplesitecompany.com</t>
  </si>
  <si>
    <t>Collado, Jackielou "Jackie"</t>
  </si>
  <si>
    <t>rayc@simplesitecompany.com</t>
  </si>
  <si>
    <t>Conejos, Jhon Rhey "Ray"</t>
  </si>
  <si>
    <t>kevinc@simple.biz</t>
  </si>
  <si>
    <t>Cosico, Kevin</t>
  </si>
  <si>
    <t>mitchc@simple.biz</t>
  </si>
  <si>
    <t>Crespo, Michelle "Mitch"</t>
  </si>
  <si>
    <t>luisd@simplesitecompany.com</t>
  </si>
  <si>
    <t>Damasco, Luis "Luis"</t>
  </si>
  <si>
    <t>rossetteg@simple.biz</t>
  </si>
  <si>
    <t>De Guzman, Rossette Anne "Rossette"</t>
  </si>
  <si>
    <t>keithd@simple.biz</t>
  </si>
  <si>
    <t>De Luna, Keith Andrea M. "Keith"</t>
  </si>
  <si>
    <t>chatd@simplesitecompany.com</t>
  </si>
  <si>
    <t>Dela Rosa, Charity Joyce"Chat"</t>
  </si>
  <si>
    <t>nickd@simplesitecompany.com</t>
  </si>
  <si>
    <t>Derramas, Nick Bryan "Nick"</t>
  </si>
  <si>
    <t>karend@simple.biz</t>
  </si>
  <si>
    <t>Dimaano, Karen C "Karen"</t>
  </si>
  <si>
    <t>marcd@simple.biz</t>
  </si>
  <si>
    <t>Dimaranan, Marc Paulo</t>
  </si>
  <si>
    <t>phild@simple.biz</t>
  </si>
  <si>
    <t>Dingal, Philipp John Phil"</t>
  </si>
  <si>
    <t>katc@simplesitecompany.com</t>
  </si>
  <si>
    <t>Diocares, Katrina Anne "Kat'</t>
  </si>
  <si>
    <t>patrickm@simplesitecompany.com</t>
  </si>
  <si>
    <t>Diolata, Patrick Miguel "Patrick"</t>
  </si>
  <si>
    <t>iked@simple.biz</t>
  </si>
  <si>
    <t>Dispo, "Ike" Kenneth</t>
  </si>
  <si>
    <t>doma@simple.biz</t>
  </si>
  <si>
    <t>Domingo, Alcantara Jr "Dom"</t>
  </si>
  <si>
    <t>athenad@simplesitecompany.com</t>
  </si>
  <si>
    <t>Domingo, Athena "Athena"</t>
  </si>
  <si>
    <t>clarad@simple.biz</t>
  </si>
  <si>
    <t>Domingo, Clara "Clara"</t>
  </si>
  <si>
    <t>kend@simplesitecompany.com</t>
  </si>
  <si>
    <t>Duhaylungsod , Ken "Ken"</t>
  </si>
  <si>
    <t>josephd@simplesitecompany.com</t>
  </si>
  <si>
    <t>Dulaca, Joseph "Joseph"</t>
  </si>
  <si>
    <t>gilbertd@simplesitecompany.com</t>
  </si>
  <si>
    <t>Duran, Gilbert "Gilbert"</t>
  </si>
  <si>
    <t>charliee@simplesitecompany.com</t>
  </si>
  <si>
    <t>Espanol, Charlie "Charlie"</t>
  </si>
  <si>
    <t>sarahf@simplesitecompany.com</t>
  </si>
  <si>
    <t>Fantilagan, Sarah "Sarah "</t>
  </si>
  <si>
    <t>darylf@simplesitecompany.com</t>
  </si>
  <si>
    <t>Felipe, Daryl Hector "Daryl"</t>
  </si>
  <si>
    <t>dennisf@simple.biz</t>
  </si>
  <si>
    <t>Fernandez, Dennis "Dennis"</t>
  </si>
  <si>
    <t>karlf@simplesitecompany.com</t>
  </si>
  <si>
    <t>Fernandez, Karl Joezer "Karl"</t>
  </si>
  <si>
    <t>marjf@simple.biz</t>
  </si>
  <si>
    <t>Fernandez, Marjorie Garcia "Marj"</t>
  </si>
  <si>
    <t>ralphf@simple.biz</t>
  </si>
  <si>
    <t>Figuerres, Ralph Bruce "Ralph"</t>
  </si>
  <si>
    <t>inaf@simplesitecompany.com</t>
  </si>
  <si>
    <t>Flora, Charina "Ina"</t>
  </si>
  <si>
    <t>erroldg@simplesitecompany.com</t>
  </si>
  <si>
    <t>Gajardo, Jerrold Richmond "Errold"</t>
  </si>
  <si>
    <t>johnrg@simple.biz</t>
  </si>
  <si>
    <t>Gamo, "John" Angelo Rey</t>
  </si>
  <si>
    <t>mikeeg@simplesitecompany.com</t>
  </si>
  <si>
    <t>Garcia, Mikee Mae "Mikee"</t>
  </si>
  <si>
    <t>mattg@simple.biz</t>
  </si>
  <si>
    <t>Genito, April Matthew "Matt"</t>
  </si>
  <si>
    <t>jhong@simplesitecompany.com</t>
  </si>
  <si>
    <t>Geraldizo, Jhoneil Allen "Jhon"</t>
  </si>
  <si>
    <t>andrewg@simplesitecompany.com</t>
  </si>
  <si>
    <t>Gersaniba, Andrew "Andrew"</t>
  </si>
  <si>
    <t>royg@simple.biz</t>
  </si>
  <si>
    <t>Giducos, John Roy "Roy"</t>
  </si>
  <si>
    <t>verag@simplesitecompany.com</t>
  </si>
  <si>
    <t>Giducos, Vera "Vera"</t>
  </si>
  <si>
    <t>rjg@simplesitecompany.com</t>
  </si>
  <si>
    <t>Golez, Roxan Jean "RJ"</t>
  </si>
  <si>
    <t>brandong@simplesitecompany.com</t>
  </si>
  <si>
    <t>Gonzales, Brandon Jay "Brandon"</t>
  </si>
  <si>
    <t>johng@simple.biz</t>
  </si>
  <si>
    <t>Gonzales, John Rhei "John"</t>
  </si>
  <si>
    <t>lukeg@simplesitecompany.com</t>
  </si>
  <si>
    <t>Gregorio, John Luke "Luke"</t>
  </si>
  <si>
    <t>goreeg@simplesitecompany.com</t>
  </si>
  <si>
    <t>Guarin, Roger Joseph "Goree"</t>
  </si>
  <si>
    <t>alohag@simple.biz</t>
  </si>
  <si>
    <t>Gupilan, Aloha M. "Aloha"</t>
  </si>
  <si>
    <t>lhexh@simplesitecompany.com</t>
  </si>
  <si>
    <t>Hamili, Chairo Lhex Asuncion "Lhex"</t>
  </si>
  <si>
    <t>luish@simplesitecompany.com</t>
  </si>
  <si>
    <t>Hilario, Carmel Luis "Luis"</t>
  </si>
  <si>
    <t>anthonyh@simple.biz</t>
  </si>
  <si>
    <t>Huab, John Anthony "Anthony"</t>
  </si>
  <si>
    <t>pio@simple.biz</t>
  </si>
  <si>
    <t>Ibanez, Piokit "Pio"</t>
  </si>
  <si>
    <t>gladysi@simple.biz</t>
  </si>
  <si>
    <t>Ilagan, Gladys Ann "Gladys"</t>
  </si>
  <si>
    <t>jonj@simple.biz</t>
  </si>
  <si>
    <t>Jaring, Jon Francis "Jon"</t>
  </si>
  <si>
    <t>hannahj@simplesitecompany.com</t>
  </si>
  <si>
    <t>Joannes, Hanna "Hannah"</t>
  </si>
  <si>
    <t>e.it@simplesitecompany.com</t>
  </si>
  <si>
    <t>Joven, Tirso Jr "E.i."</t>
  </si>
  <si>
    <t>karlj@simplesitecompany.com</t>
  </si>
  <si>
    <t>Juanitas, Karlene Anne "Karl"</t>
  </si>
  <si>
    <t>jhackl@simplesitecompany.com</t>
  </si>
  <si>
    <t>Lacson, Jackie Lou "Jhack"</t>
  </si>
  <si>
    <t>johnl@simple.biz</t>
  </si>
  <si>
    <t>Lagos, John Michael "John"</t>
  </si>
  <si>
    <t>kenl@simple.biz</t>
  </si>
  <si>
    <t>Lam, Orven Kendall "Ken" S.</t>
  </si>
  <si>
    <t>kayl@simple.biz</t>
  </si>
  <si>
    <t>Launo, Rhea Chen "Kay"</t>
  </si>
  <si>
    <t>peterl@simple.biz</t>
  </si>
  <si>
    <t>Lawas, Peter Paul T "Peter"</t>
  </si>
  <si>
    <t>jomarl@simple.biz</t>
  </si>
  <si>
    <t>Layno, Jomar F "Jomar"</t>
  </si>
  <si>
    <t>charlesl@simple.biz</t>
  </si>
  <si>
    <t>Leano, Charles Christopher, C. "Chris"</t>
  </si>
  <si>
    <t>alexl@simplesitecompany.com</t>
  </si>
  <si>
    <t>Legaspi, Alexis "Alex"</t>
  </si>
  <si>
    <t>haroldl@simplesitecompany.com</t>
  </si>
  <si>
    <t>Lobo, Harold "Harold"</t>
  </si>
  <si>
    <t>jitza@simplesitecompany.com</t>
  </si>
  <si>
    <t>Lopez Aviles, Jitz Romnet "Jitz"</t>
  </si>
  <si>
    <t>epil@simplesitecompany.com</t>
  </si>
  <si>
    <t>Lopez JR, Epimaco"Epi"</t>
  </si>
  <si>
    <t>maryl@simplesitecompany.com</t>
  </si>
  <si>
    <t>Lopez, Mary Rose Z "Mary"</t>
  </si>
  <si>
    <t>fritzl@simple.biz</t>
  </si>
  <si>
    <t>Lubiano, Fritz</t>
  </si>
  <si>
    <t>arielm@simple.biz</t>
  </si>
  <si>
    <t>Mahilum, Ariel "Ariel"</t>
  </si>
  <si>
    <t>jaysonm@simple.biz</t>
  </si>
  <si>
    <t>Mahinay, Jayson</t>
  </si>
  <si>
    <t>jakem@simplesitecompany.com</t>
  </si>
  <si>
    <t>Mallari, Jake "Jake"</t>
  </si>
  <si>
    <t>celm@simplesitecompany.com</t>
  </si>
  <si>
    <t>Manalastas, Krisceel "Cel"</t>
  </si>
  <si>
    <t>melm@simple.biz</t>
  </si>
  <si>
    <t>Manalo, Armel D. "Mel"</t>
  </si>
  <si>
    <t>andym@simplesitecompany.com</t>
  </si>
  <si>
    <t>Manzano, Andy "Andy"</t>
  </si>
  <si>
    <t>chistianm@simplesitecompany.com</t>
  </si>
  <si>
    <t>Mariano, Christian "Chris"</t>
  </si>
  <si>
    <t>kennm@simple.biz</t>
  </si>
  <si>
    <t>Melliza , Kenneth "Ken"</t>
  </si>
  <si>
    <t>jlm@simplesitecompany.com</t>
  </si>
  <si>
    <t>Mirabueno, Jeiel Kevin "JL"</t>
  </si>
  <si>
    <t>robm@simplesitecompany.com</t>
  </si>
  <si>
    <t>Mula, Robert "Rob"</t>
  </si>
  <si>
    <t>normsn@simplesitecompany.com</t>
  </si>
  <si>
    <t>Nanale, Norman "Norms"</t>
  </si>
  <si>
    <t>joen@simplesitecompany.com</t>
  </si>
  <si>
    <t>Navarez, Joemar "Joe"</t>
  </si>
  <si>
    <t>jamo@simplesitecompany.com</t>
  </si>
  <si>
    <t>Ocmen, Richard Jam Prejan "Jam"</t>
  </si>
  <si>
    <t>gabrielo@simplesitecompany.com</t>
  </si>
  <si>
    <t>Orias, Gabriel Anthony "Gabriel"</t>
  </si>
  <si>
    <t>angep@simplesitecompany.com</t>
  </si>
  <si>
    <t>Pabualan, Angeline "Ange"</t>
  </si>
  <si>
    <t>jamesp@simple.biz</t>
  </si>
  <si>
    <t>Padua, James "James"</t>
  </si>
  <si>
    <t>gelp@simplesitecompany.com</t>
  </si>
  <si>
    <t>Paltao, Gellie Rose "Gel"</t>
  </si>
  <si>
    <t>vonp@simplesitecompany.com</t>
  </si>
  <si>
    <t>Pamaybay, Von Gerbie "Von"</t>
  </si>
  <si>
    <t>ryp@simplesitecompany.com</t>
  </si>
  <si>
    <t>Panganiban, Ryn Eisen "Ry"</t>
  </si>
  <si>
    <t>gladysp@simple.biz</t>
  </si>
  <si>
    <t>Parreno, Gladys Orsaga "G"</t>
  </si>
  <si>
    <t>jerryp@simple.biz</t>
  </si>
  <si>
    <t>Paunillan, Jerrymie "Jerry"</t>
  </si>
  <si>
    <t>danp@simple.biz</t>
  </si>
  <si>
    <t>Pena, Dan Albert "Dan"</t>
  </si>
  <si>
    <t>elp@simplesitecompany.com</t>
  </si>
  <si>
    <t>Peñaranda, Mariel "El"</t>
  </si>
  <si>
    <t>mikep@simple.biz</t>
  </si>
  <si>
    <t>Placia, Michael S "Mike"</t>
  </si>
  <si>
    <t>mariep@simplesitecompany.com</t>
  </si>
  <si>
    <t>Portugal, Rosemarie "Marie"</t>
  </si>
  <si>
    <t>Puertollano, Ma. Lourdes "Jeng"</t>
  </si>
  <si>
    <t>patrickq@simple.biz</t>
  </si>
  <si>
    <t>Quillo, John "Patrick"</t>
  </si>
  <si>
    <t>guiaq@simplesitecompany.com</t>
  </si>
  <si>
    <t>Quillosa, Guia Maria Mercado "Guia"</t>
  </si>
  <si>
    <t>reeveq@simplesitecompany.com</t>
  </si>
  <si>
    <t>Quismundo, Reeve Ian "Reeve"</t>
  </si>
  <si>
    <t>ricar@simple.biz</t>
  </si>
  <si>
    <t>Rabutin, Maria Fredericka "Rica"</t>
  </si>
  <si>
    <t>romr@simple.biz</t>
  </si>
  <si>
    <t>Rebucas, Rommel A "Rom"</t>
  </si>
  <si>
    <t>imeer@simple.biz</t>
  </si>
  <si>
    <t>Regil, Imee Velenzuela "Imee"</t>
  </si>
  <si>
    <t>florr@simple.biz</t>
  </si>
  <si>
    <t>Remata, Floriann "Flor"</t>
  </si>
  <si>
    <t>chrisr@simplesitecompany.com</t>
  </si>
  <si>
    <t>Rentutar, Christopher "Chris"</t>
  </si>
  <si>
    <t>leovenc@simple.biz</t>
  </si>
  <si>
    <t>Reuyan, Leoven A "Ben"</t>
  </si>
  <si>
    <t>joer@simplesitecompany.com</t>
  </si>
  <si>
    <t>Reyes, Joe Lorenz "Joe"</t>
  </si>
  <si>
    <t>alyr@simplesitecompany.com</t>
  </si>
  <si>
    <t>Reynes, Alynedel "Aly"</t>
  </si>
  <si>
    <t>danr@simplesitecompany.com</t>
  </si>
  <si>
    <t>Ricaro, Dan Louise "Dan"</t>
  </si>
  <si>
    <t>janer@simple.biz</t>
  </si>
  <si>
    <t>Rivera, Jane "Jane"</t>
  </si>
  <si>
    <t>josephr@simple.biz</t>
  </si>
  <si>
    <t>Robles, Joseph "Joseph"</t>
  </si>
  <si>
    <t>syr@simple.biz</t>
  </si>
  <si>
    <t>Rosal, Isabelle "Sy"</t>
  </si>
  <si>
    <t>nathanr@simple.biz</t>
  </si>
  <si>
    <t>Rosal, Nathaniel A "Nathan"</t>
  </si>
  <si>
    <t>jcr@simple.biz</t>
  </si>
  <si>
    <t>Rosales, Jolly "JC"</t>
  </si>
  <si>
    <t>mys@simplesitecompany.com</t>
  </si>
  <si>
    <t>Sabandeja, Myrheyl "My"</t>
  </si>
  <si>
    <t>allans@simple.biz</t>
  </si>
  <si>
    <t>Sagibal, Allan Cris "Allan"</t>
  </si>
  <si>
    <t>neils@simplesitecompany.com</t>
  </si>
  <si>
    <t>Salado, Neil "Neil"</t>
  </si>
  <si>
    <t>Sitchon Reumel "Mel"</t>
  </si>
  <si>
    <t>johns@simplesitecompany.com</t>
  </si>
  <si>
    <t>Solabo, John Jhordan "John"</t>
  </si>
  <si>
    <t>alains@simple.biz</t>
  </si>
  <si>
    <t>Soriano, Alain</t>
  </si>
  <si>
    <t>lyns@simplesitecompany.com</t>
  </si>
  <si>
    <t>Sunglao, Jocelyn "Lyn"</t>
  </si>
  <si>
    <t>leaht@simplesitecompany.com</t>
  </si>
  <si>
    <t>Taclay, Leah Grace "Leah"</t>
  </si>
  <si>
    <t>bry@simple.biz</t>
  </si>
  <si>
    <t>Tagle, Carl Bryan "Bry"</t>
  </si>
  <si>
    <t>atan@simple.biz</t>
  </si>
  <si>
    <t>Tan, Abigail</t>
  </si>
  <si>
    <t>shawnt@simple.biz</t>
  </si>
  <si>
    <t>Tangcalagan, Shawn "Shawn"</t>
  </si>
  <si>
    <t>mat@simplesitecompany.com</t>
  </si>
  <si>
    <t>Tanjusay Maria Fe "MaFe"</t>
  </si>
  <si>
    <t>queent@simplesitecompany.com</t>
  </si>
  <si>
    <t>Teschen , Queenie "Queen"</t>
  </si>
  <si>
    <t>vincet@simple.biz</t>
  </si>
  <si>
    <t>Tolo, Edgar Vincent " Vince"</t>
  </si>
  <si>
    <t>jefft@simplesitecompany.com</t>
  </si>
  <si>
    <t>Tongco, Jerald "Jeff"</t>
  </si>
  <si>
    <t>miket@simple.biz</t>
  </si>
  <si>
    <t>Torres, Michael John "Mike"</t>
  </si>
  <si>
    <t>larat@simple.biz</t>
  </si>
  <si>
    <t>Trinidad, "Lara" Mae Co</t>
  </si>
  <si>
    <t>diegot@simplesitecompany.com</t>
  </si>
  <si>
    <t>Ty, Diego Francis "Diego"</t>
  </si>
  <si>
    <t>kenu@simple.biz</t>
  </si>
  <si>
    <t>Ubay, Ken "Ken"</t>
  </si>
  <si>
    <t>gleng@simple.biz</t>
  </si>
  <si>
    <t>Villanueva, Glenda "Glen"</t>
  </si>
  <si>
    <t>jayy@simple.biz</t>
  </si>
  <si>
    <t>Yap, Ritter Mallari "Jay"</t>
  </si>
  <si>
    <t>ajb@simplesitecompany.com</t>
  </si>
  <si>
    <t>Borres, Arnel James "AJ"</t>
  </si>
  <si>
    <t>karlc@simplesitecompany.com</t>
  </si>
  <si>
    <t>Cagas, Karl Christian Andrei "Karl"</t>
  </si>
  <si>
    <t>dianac@simplesitecompany.com</t>
  </si>
  <si>
    <t>Calapan, Princess Dianna "Diana"</t>
  </si>
  <si>
    <t>neilc@simplesitecompany.com</t>
  </si>
  <si>
    <t>Cruz, Neil Joy "Neil"</t>
  </si>
  <si>
    <t>aellaf@simplesitecompany.com</t>
  </si>
  <si>
    <t>Fernandez, Aella Mae "Aella"</t>
  </si>
  <si>
    <t>nephig@simplesitecompany.com</t>
  </si>
  <si>
    <t>Gonzales, Nephi A "Nephi"</t>
  </si>
  <si>
    <t>maryj@simplesitecompany.com</t>
  </si>
  <si>
    <t>Joseph, Marry Joy Ann "Mary"</t>
  </si>
  <si>
    <t>annem@simplesitecompany.com</t>
  </si>
  <si>
    <t>Marquez, Anna Meryll, San Agustin "Anne"</t>
  </si>
  <si>
    <t>patm@simplesitecompany.com</t>
  </si>
  <si>
    <t>Molina, Patrick Oliver "Pat"</t>
  </si>
  <si>
    <t>ceep@simplesitecompany.com</t>
  </si>
  <si>
    <t>Paguio, Celine Marjorie "Cee"</t>
  </si>
  <si>
    <t>condzp@simplesitecompany.com</t>
  </si>
  <si>
    <t>Perez, Conrade "Condz"</t>
  </si>
  <si>
    <t>renzr@simplesitecompany.com</t>
  </si>
  <si>
    <t>Redondiez, Lawrence "Renz"</t>
  </si>
  <si>
    <t>scottr@simplesitecompany.com</t>
  </si>
  <si>
    <t>leos@simplesitecompany.com</t>
  </si>
  <si>
    <t>Sayson, Leonard Joy "Leo"</t>
  </si>
  <si>
    <t>jennys@simplesitecompany.com</t>
  </si>
  <si>
    <t>Seboc, Jenine "Jenny"</t>
  </si>
  <si>
    <t>koyt@simplesitecompany.com</t>
  </si>
  <si>
    <t>Timbang, Mark Raizen "Koy"</t>
  </si>
  <si>
    <t>crezt@simplesitecompany.com</t>
  </si>
  <si>
    <t>Torralba, Creselyn "Crez"</t>
  </si>
  <si>
    <t>ashleyb@simplesitecompany.com</t>
  </si>
  <si>
    <t>Baragona, Aslamah "Ashley"</t>
  </si>
  <si>
    <t>jenba@simple.biz</t>
  </si>
  <si>
    <t>Bartolome, Jen "Jen"</t>
  </si>
  <si>
    <t>kimbr@simple.biz</t>
  </si>
  <si>
    <t>Briones, Kim "Kim"</t>
  </si>
  <si>
    <t>lourenm@simple.biz</t>
  </si>
  <si>
    <t>Martin, Lourenan Mae "Louren"</t>
  </si>
  <si>
    <t>ricy@simplesitecompany.com</t>
  </si>
  <si>
    <t>Yu, Ric Lorenzo "Ric"</t>
  </si>
  <si>
    <t>jericl@simplesitecompany.com</t>
  </si>
  <si>
    <t>Ladores, Jeric Prince M. "Jeric"</t>
  </si>
  <si>
    <t>shanen@simple.biz</t>
  </si>
  <si>
    <t>Napoles, Neil Shane "Shane"</t>
  </si>
  <si>
    <t>mikekja@simple.biz</t>
  </si>
  <si>
    <t>Agtag, Mike king jay Erano "Mike"</t>
  </si>
  <si>
    <t>cliffl@simplesitecompany.com</t>
  </si>
  <si>
    <t>Lopez, Cliff Roven "Cliff'</t>
  </si>
  <si>
    <t>danm@simplesitecompany.com</t>
  </si>
  <si>
    <t>Masacote, Dan Kristoffer "Dan"</t>
  </si>
  <si>
    <t>camillm@simple.biz</t>
  </si>
  <si>
    <t>Mercado, Joyce Camill "Camill"</t>
  </si>
  <si>
    <t>cathys@simple.biz</t>
  </si>
  <si>
    <t>Siochi, Catherine Rina "Cathy"</t>
  </si>
  <si>
    <t>bela@simple.biz</t>
  </si>
  <si>
    <t>Anastacio, Lovella "Bel"</t>
  </si>
  <si>
    <t>jayb@simplesitecompany.com</t>
  </si>
  <si>
    <t>Beramo, Jayzon P. "Jay"</t>
  </si>
  <si>
    <t>allanc@simplesitecompany.com</t>
  </si>
  <si>
    <t>Cordero, Jose Allan "Allan"</t>
  </si>
  <si>
    <t>kathl@simplesitecompany.com</t>
  </si>
  <si>
    <t>Lapure, Kathleen "Kath"</t>
  </si>
  <si>
    <t>donb@simple.biz</t>
  </si>
  <si>
    <t>Billones, Brandon "Don"</t>
  </si>
  <si>
    <t>alexb@simplesitecompany.com</t>
  </si>
  <si>
    <t>Busano, Lorenzo "Alex"</t>
  </si>
  <si>
    <t>mma@simplesitecompany.com</t>
  </si>
  <si>
    <t>Alivio, Apple Mary "MM"</t>
  </si>
  <si>
    <t>vina@simplesitecompany.com</t>
  </si>
  <si>
    <t>Allada, Kevin "Vin"</t>
  </si>
  <si>
    <t>fairyb@simple.biz</t>
  </si>
  <si>
    <t>Baconguis, Fairy Jay "Fairy"</t>
  </si>
  <si>
    <t>tobic@simple.biz</t>
  </si>
  <si>
    <t>Cadag, Tobi "Tobi"</t>
  </si>
  <si>
    <t>kingc@simplesitecompany.com</t>
  </si>
  <si>
    <t>floydc@simplesitecompany.com</t>
  </si>
  <si>
    <t>Cañete, Floyd John "Floyd"</t>
  </si>
  <si>
    <t>vanessac@simple.biz</t>
  </si>
  <si>
    <t>Cultura, Vanessa "Vanessa"</t>
  </si>
  <si>
    <t>karlad@simple.biz</t>
  </si>
  <si>
    <t>Damiles, Karla "Karla"</t>
  </si>
  <si>
    <t>dales@simple.biz</t>
  </si>
  <si>
    <t>Delos Santos,Dale "Dale"</t>
  </si>
  <si>
    <t>maddid@simplesitecompany.com</t>
  </si>
  <si>
    <t>Deocareza, Joan Rose "Maddie"</t>
  </si>
  <si>
    <t>jime@simplesitecompany.com</t>
  </si>
  <si>
    <t>Estrera, Josiah James "Jim"</t>
  </si>
  <si>
    <t>raffyf@simplesitecompany.com</t>
  </si>
  <si>
    <t>Floresca, Rufino "Raffy"</t>
  </si>
  <si>
    <t>kimf@simplesitecompany.com</t>
  </si>
  <si>
    <t>Francisco, Kim Nikolai "Kim"</t>
  </si>
  <si>
    <t>shennyh@simple.biz</t>
  </si>
  <si>
    <t>Gabriel, Shenny Mae Catacutan</t>
  </si>
  <si>
    <t>chrisg@simplesitecompany.com</t>
  </si>
  <si>
    <t>Gaurino, Christian Jericho "Chris"</t>
  </si>
  <si>
    <t>minag@simple.biz</t>
  </si>
  <si>
    <t>Guindulman, Normina "Mina"</t>
  </si>
  <si>
    <t>sashal@simplesitecompany.com</t>
  </si>
  <si>
    <t>Lamsin, Trizzia Ann"Sasha"</t>
  </si>
  <si>
    <t>reinal@simple.biz</t>
  </si>
  <si>
    <t>Lawas, Reina</t>
  </si>
  <si>
    <t>archel@simple.biz</t>
  </si>
  <si>
    <t>Legaspi, Arche "Arche"</t>
  </si>
  <si>
    <t>ellye@simplesitecompany.com</t>
  </si>
  <si>
    <t>Limpin, N Eluezer "Elie"</t>
  </si>
  <si>
    <t>migsl@simplesitecompany.com</t>
  </si>
  <si>
    <t>Locmayon, Miguel "Migs"</t>
  </si>
  <si>
    <t>linkm@simple.biz</t>
  </si>
  <si>
    <t>Mamaril, Lincoln Gerard A "Link"</t>
  </si>
  <si>
    <t>mauim@simplesitecompany.com</t>
  </si>
  <si>
    <t>Manahan, Mauricio "Maui"</t>
  </si>
  <si>
    <t>debm@simple.biz</t>
  </si>
  <si>
    <t>Maniquiz, Debraleen "Deb"</t>
  </si>
  <si>
    <t>widsm@simple.biz</t>
  </si>
  <si>
    <t>Musa, Abdul Wahid "Wids"</t>
  </si>
  <si>
    <t>reya@simplesitecompany.com</t>
  </si>
  <si>
    <t>Namok, Alford "Rey"</t>
  </si>
  <si>
    <t>rennyp@simplesitecompany.com</t>
  </si>
  <si>
    <t>Pelias, Renny Glynn "Renny"</t>
  </si>
  <si>
    <t>graces@simple.biz</t>
  </si>
  <si>
    <t>Salusod, Alma Grace "Grace"</t>
  </si>
  <si>
    <t>blaket@simplesitecompany.com</t>
  </si>
  <si>
    <t>Talanay, Adolf "Blake"</t>
  </si>
  <si>
    <t>jaket@simplesitecompany.com</t>
  </si>
  <si>
    <t>Tapere, John Benedict "Jake"</t>
  </si>
  <si>
    <t>josephinet@simple.biz</t>
  </si>
  <si>
    <t>Torralba, Josephine</t>
  </si>
  <si>
    <t>patv@simple.biz</t>
  </si>
  <si>
    <t>Velasco, Patricia Mikaela "Pat"</t>
  </si>
  <si>
    <t>jonathanv@simple.biz</t>
  </si>
  <si>
    <t>Villarosa, Jonathan Mae</t>
  </si>
  <si>
    <t>recheery@simple.biz</t>
  </si>
  <si>
    <t>Ybanez, Recheer "Cheers" Ian</t>
  </si>
  <si>
    <t>reza@simplesitecompany.com</t>
  </si>
  <si>
    <t>Abueva, Reizzell Marie "Rez"</t>
  </si>
  <si>
    <t>cjb@simplesitecompany.com</t>
  </si>
  <si>
    <t>Baguio, Crisjun Philip "CJ"</t>
  </si>
  <si>
    <t>riem@simplesitecompany.com</t>
  </si>
  <si>
    <t>Bocio, Marieniel "Rie"</t>
  </si>
  <si>
    <t>norhannb@simple.biz</t>
  </si>
  <si>
    <t>Brizo, Norrhann "Norrhann"</t>
  </si>
  <si>
    <t>marilouc@simplesitecompany.com</t>
  </si>
  <si>
    <t>Carbon, Marilou "Marilou"</t>
  </si>
  <si>
    <t>tianp@simplesitecompany.com</t>
  </si>
  <si>
    <t>Castro,Christian Paul "Tian"</t>
  </si>
  <si>
    <t>coleenc@simple.biz</t>
  </si>
  <si>
    <t>Cimafranca, Char'z Coleen "Coleen"</t>
  </si>
  <si>
    <t>kristofferc@simple.biz</t>
  </si>
  <si>
    <t>Conejero, Kristoffer Dominique "Kris"</t>
  </si>
  <si>
    <t>jeromec@simplesitecompany.com</t>
  </si>
  <si>
    <t>Cristobal, Jerome "Jerome"</t>
  </si>
  <si>
    <t>dianad@simple.biz</t>
  </si>
  <si>
    <t>Damian, Diana Michelle "Diana"</t>
  </si>
  <si>
    <t>carlosr@simplesitecompany.com</t>
  </si>
  <si>
    <t>De Cartagena, Carlos Rafael "Carlos"</t>
  </si>
  <si>
    <t>winnied@simplesitecompany.com</t>
  </si>
  <si>
    <t>De La Serna, Winnie John "Winnie"</t>
  </si>
  <si>
    <t>harvyb@simplesitecompany.com</t>
  </si>
  <si>
    <t>Dela Cruz, Harvy John "Harvy"</t>
  </si>
  <si>
    <t>markyj@simplesitecompany.com</t>
  </si>
  <si>
    <t>Deliverio, Mark Jayson "Marky"</t>
  </si>
  <si>
    <t>adonisd@simple.biz</t>
  </si>
  <si>
    <t>Domanais, Adonis "Don"</t>
  </si>
  <si>
    <t>fayee@simple.biz</t>
  </si>
  <si>
    <t>Eduria, Louiza Faye L "Faye"</t>
  </si>
  <si>
    <t>nikom@simplesitecompany.com</t>
  </si>
  <si>
    <t>Gejima, Niko Mater "Niko"</t>
  </si>
  <si>
    <t>rhyang@simple.biz</t>
  </si>
  <si>
    <t>Guerrero, Rhyan "Rhyan"</t>
  </si>
  <si>
    <t>kenl@simplesitecompany.com</t>
  </si>
  <si>
    <t>Longakit, Ankenia "Ken"</t>
  </si>
  <si>
    <t>samm@simplesitecompany.com</t>
  </si>
  <si>
    <t>Maglunsod, Samantha "Sam"</t>
  </si>
  <si>
    <t>angelm@simple.biz</t>
  </si>
  <si>
    <t>Melo, Angelly Atillo "Angel"</t>
  </si>
  <si>
    <t>johp@simplesitecompany.com</t>
  </si>
  <si>
    <t>Pacod, Juhayma "Joh"</t>
  </si>
  <si>
    <t>jenp@simplesitecompany.com</t>
  </si>
  <si>
    <t>Polito, Jennifer "Jen"</t>
  </si>
  <si>
    <t>kittyr@simple.biz</t>
  </si>
  <si>
    <t>Ramelo, Mary Alice "Kitty"</t>
  </si>
  <si>
    <t>krist@simple.biz</t>
  </si>
  <si>
    <t>Talaugon, Marie Kris "Kris"</t>
  </si>
  <si>
    <t>ramt@simple.biz</t>
  </si>
  <si>
    <t>Tamayo, Rosmar - "Ram"</t>
  </si>
  <si>
    <t>mariat@simple.biz</t>
  </si>
  <si>
    <t>Tan, Maria Theresa</t>
  </si>
  <si>
    <t>ricot@simplesitecompany.com</t>
  </si>
  <si>
    <t>Toledo, Rico Clark "Rico"</t>
  </si>
  <si>
    <t>anthonyt@simple.biz</t>
  </si>
  <si>
    <t>Tristan, Anthony "Anthony"</t>
  </si>
  <si>
    <t>daryll@simplesitecompany.com</t>
  </si>
  <si>
    <t>Layasan, Daryl "Daryl"</t>
  </si>
  <si>
    <t>ralfs@simple.biz</t>
  </si>
  <si>
    <t>Sinarillos, Rolan "Ralph"</t>
  </si>
  <si>
    <t>ayiem@simple.biz</t>
  </si>
  <si>
    <t>Marasigan, Ma. Lany L "Ayie"</t>
  </si>
  <si>
    <t>diannea@simple.biz</t>
  </si>
  <si>
    <t>Arado, Mar Alma Dianne "Dianne"</t>
  </si>
  <si>
    <t>rong@simple.biz</t>
  </si>
  <si>
    <t>Astronomo Greefen"Ron"</t>
  </si>
  <si>
    <t>kayeb@simple.biz</t>
  </si>
  <si>
    <t>Baconguis, Francis Kaye "Kaye"</t>
  </si>
  <si>
    <t>jehdb@simple.biz</t>
  </si>
  <si>
    <t>Basman,Jehd Monsour "Jhed"</t>
  </si>
  <si>
    <t>graceb@simple.biz</t>
  </si>
  <si>
    <t>Blanza, Grace "Grace"</t>
  </si>
  <si>
    <t>davec@simplesitecompany.com</t>
  </si>
  <si>
    <t>Castillo Jr, Ricky Dave "Dave"</t>
  </si>
  <si>
    <t>jaync@simple.biz</t>
  </si>
  <si>
    <t>Comendador, Jay Nico "Jay</t>
  </si>
  <si>
    <t>carc@simple.biz</t>
  </si>
  <si>
    <t>Cronico, Maricar "Car"</t>
  </si>
  <si>
    <t>gilc@simple.biz</t>
  </si>
  <si>
    <t>Cuevas, Virgil "Gil"</t>
  </si>
  <si>
    <t>nield@simple.biz</t>
  </si>
  <si>
    <t>Damian, Niel</t>
  </si>
  <si>
    <t>kingd@simple.biz</t>
  </si>
  <si>
    <t>Darroca, Ferdinand II "King"</t>
  </si>
  <si>
    <t>Eduria, Louiza Faye L "Faye" - Hogan</t>
  </si>
  <si>
    <t>micd@simple.biz</t>
  </si>
  <si>
    <t>Darias, Micah "Mic"</t>
  </si>
  <si>
    <t>rexr@simple.biz</t>
  </si>
  <si>
    <t>Espiritu, Rexel "Rex"</t>
  </si>
  <si>
    <t>leof@simple.biz</t>
  </si>
  <si>
    <t>Flores, Leo Allan "LA"</t>
  </si>
  <si>
    <t>jaye@simple.biz</t>
  </si>
  <si>
    <t>Echona, R-Jay "Jay"</t>
  </si>
  <si>
    <t>markg@simple.biz</t>
  </si>
  <si>
    <t>Garcia, Mark "Mark"</t>
  </si>
  <si>
    <t>paulj@simple.biz</t>
  </si>
  <si>
    <t>Javier, Cris Paul "Paul"</t>
  </si>
  <si>
    <t>greyl@simple.biz</t>
  </si>
  <si>
    <t>Lloyd, Greyson "Grey"</t>
  </si>
  <si>
    <t>jaem@simple.biz</t>
  </si>
  <si>
    <t>Mendoza, Jnymel Rose "Jae"</t>
  </si>
  <si>
    <t>samm@simple.biz</t>
  </si>
  <si>
    <t>Mendoza, S. Samantha "Sam"</t>
  </si>
  <si>
    <t>jannam@simplesitecompany.com</t>
  </si>
  <si>
    <t>Meneses, Janna Patricia "Janna"</t>
  </si>
  <si>
    <t>jlm@simple.biz</t>
  </si>
  <si>
    <t>Molino, John Leo "Leo"</t>
  </si>
  <si>
    <t>marian@simple.biz</t>
  </si>
  <si>
    <t>Nadera, Maria Cassandra "Maria"</t>
  </si>
  <si>
    <t>kryzp@simple.biz</t>
  </si>
  <si>
    <t>Pabillar, Kryz Venneth "Kryz"</t>
  </si>
  <si>
    <t>crystalp@simple.biz</t>
  </si>
  <si>
    <t>Pancho, Crystal Mae "Crystal"</t>
  </si>
  <si>
    <t>mackp@simple.biz</t>
  </si>
  <si>
    <t>Plugio, Joseph Michael "Mack"</t>
  </si>
  <si>
    <t>janp@simple.biz</t>
  </si>
  <si>
    <t>Prado, V-Jan Del "Jan"</t>
  </si>
  <si>
    <t>pauloq@simple.biz</t>
  </si>
  <si>
    <t>Quimbo, Edito Paulo "Paulo"</t>
  </si>
  <si>
    <t>renards@simple.biz</t>
  </si>
  <si>
    <t>Seledio, Renard "Renard"</t>
  </si>
  <si>
    <t>reyshels@simple.biz</t>
  </si>
  <si>
    <t>Serilla, Reyshel Grace "Reyshel"</t>
  </si>
  <si>
    <t>dens@simplesitecompany.com</t>
  </si>
  <si>
    <t>Sison, Denzelle A"Den"</t>
  </si>
  <si>
    <t>jays@simplesitecompany.com</t>
  </si>
  <si>
    <t>Sison, John Raymond "Jay"</t>
  </si>
  <si>
    <t>julies@simple.biz</t>
  </si>
  <si>
    <t>Sumalinog, Julie Ann</t>
  </si>
  <si>
    <t>seanc@simple.biz</t>
  </si>
  <si>
    <t>Venzon, Sean Casiano "Sean"</t>
  </si>
  <si>
    <t>annav@simple.biz</t>
  </si>
  <si>
    <t>Viaje, Anna May Caparos "Anna"</t>
  </si>
  <si>
    <t>markv@simple.biz</t>
  </si>
  <si>
    <t>Villarba, Mark Anthony "Mark"</t>
  </si>
  <si>
    <t>ianz@simplesitecompany.com</t>
  </si>
  <si>
    <t>Zambrano, Ian James "Ian"</t>
  </si>
  <si>
    <t>ele@simple.biz</t>
  </si>
  <si>
    <t>Baligod, Elisar Payba "El"</t>
  </si>
  <si>
    <t>nadiab@simple.biz</t>
  </si>
  <si>
    <t>Bornel, Nadia "Aja"</t>
  </si>
  <si>
    <t>dinedinec@simple.biz</t>
  </si>
  <si>
    <t>Cahagnaan, Jenaldine "Dinedine"</t>
  </si>
  <si>
    <t>deanb@simple.biz</t>
  </si>
  <si>
    <t>Bernasibo, Dean "Dean"</t>
  </si>
  <si>
    <t>krisd@simple.biz</t>
  </si>
  <si>
    <t>Diez, Marjorie Kriestyl "Kris"</t>
  </si>
  <si>
    <t>marieg@simple.biz</t>
  </si>
  <si>
    <t>Gilos, Arriz "Ariz"</t>
  </si>
  <si>
    <t>jasperh@simple.biz</t>
  </si>
  <si>
    <t>Herbieto, Rayv Jasper "Jasper"</t>
  </si>
  <si>
    <t>femj@simple.biz</t>
  </si>
  <si>
    <t>Jabla, Femaelyn Grace Abriol "Fem"</t>
  </si>
  <si>
    <t>zarahj@simple.biz</t>
  </si>
  <si>
    <t>Jorre, Zarah Jane L "Zarah"</t>
  </si>
  <si>
    <t>joej@simple.biz</t>
  </si>
  <si>
    <t>Labor, Jodard "Joe"</t>
  </si>
  <si>
    <t>paom@simple.biz</t>
  </si>
  <si>
    <t>Mapanao, Paolo Gabriel "Pao"</t>
  </si>
  <si>
    <t>schermam@simple.biz</t>
  </si>
  <si>
    <t>Manalo, Scherma Maye "Scherma"</t>
  </si>
  <si>
    <t>hannan@simple.biz</t>
  </si>
  <si>
    <t>Nacional, Hanna Mae "Hanna"</t>
  </si>
  <si>
    <t>kryzeln@simple.biz</t>
  </si>
  <si>
    <t>Navarosa, Kryzel - "Kryzel"</t>
  </si>
  <si>
    <t>josho@simple.biz</t>
  </si>
  <si>
    <t>Olavario, Joshua Jon Salas "Josh"</t>
  </si>
  <si>
    <t>lemp@simple.biz</t>
  </si>
  <si>
    <t>Perez, Lemuel "Lem"</t>
  </si>
  <si>
    <t>peachyq@simple.biz</t>
  </si>
  <si>
    <t>Quimbo. Peachy "Peachy"</t>
  </si>
  <si>
    <t>alvinr@simple.biz</t>
  </si>
  <si>
    <t>Roman, Alvin "Alvin"</t>
  </si>
  <si>
    <t>marielr@simple.biz</t>
  </si>
  <si>
    <t>Rosal, Marielle "Mariel"</t>
  </si>
  <si>
    <t>jeromer@simple.biz</t>
  </si>
  <si>
    <t>Rosero, Jerome</t>
  </si>
  <si>
    <t>marst@simple.biz</t>
  </si>
  <si>
    <t>Tatoy, Marlotte "Mars"</t>
  </si>
  <si>
    <t>nixt@simple.biz</t>
  </si>
  <si>
    <t>Temporal, Nicca "Nix"</t>
  </si>
  <si>
    <t>jericz@simple.biz</t>
  </si>
  <si>
    <t>Zamora, Jeric "Jeric"</t>
  </si>
  <si>
    <t>emsa@simple.biz</t>
  </si>
  <si>
    <t>Amparo, Emie Fatima "Ems"</t>
  </si>
  <si>
    <t>randelb@simple.biz</t>
  </si>
  <si>
    <t>Bayacsan, Randel "Randel"</t>
  </si>
  <si>
    <t>mayb@simple.biz</t>
  </si>
  <si>
    <t>Binghoy, May M "May"</t>
  </si>
  <si>
    <t>kellyc@simple.biz</t>
  </si>
  <si>
    <t>Canave, Melisa Kelly "Kelly"</t>
  </si>
  <si>
    <t>ac@simple.biz</t>
  </si>
  <si>
    <t>Capuyan, Amor "A"</t>
  </si>
  <si>
    <t>bryc@simple.biz</t>
  </si>
  <si>
    <t>Colis, Bryton John "Bry"</t>
  </si>
  <si>
    <t>rend@simple.biz</t>
  </si>
  <si>
    <t>Domingo, Mariren Sto "Ren"</t>
  </si>
  <si>
    <t>pavid@simple.biz</t>
  </si>
  <si>
    <t>Doromal, Pavi May "Pavi"</t>
  </si>
  <si>
    <t>christianf@simple.biz</t>
  </si>
  <si>
    <t>Fordelon, Christian "Christian"</t>
  </si>
  <si>
    <t>chadg@simple.biz</t>
  </si>
  <si>
    <t>Globio, Richard Jake G "Chad"</t>
  </si>
  <si>
    <t>jasong@simple.biz</t>
  </si>
  <si>
    <t>Guiao, Jason II "Jsin"</t>
  </si>
  <si>
    <t>franceh@simple.biz</t>
  </si>
  <si>
    <t>Hortelano, Francis Frence "France"</t>
  </si>
  <si>
    <t>kristinec@simple.biz</t>
  </si>
  <si>
    <t>jakel@simple.biz</t>
  </si>
  <si>
    <t>Labtic, Junjill jake "Jake"</t>
  </si>
  <si>
    <t>lencem@simple.biz</t>
  </si>
  <si>
    <t>Martinez, Darlence "Lence"</t>
  </si>
  <si>
    <t>paulr@simple.biz</t>
  </si>
  <si>
    <t>Roque, Paul "Paul"</t>
  </si>
  <si>
    <t>irwins@simple.biz</t>
  </si>
  <si>
    <t>Sumagaysay, Irwin Clifford "Irwin"</t>
  </si>
  <si>
    <t>nics@simple.biz</t>
  </si>
  <si>
    <t>Sornito, Nicole "Nic"</t>
  </si>
  <si>
    <t>laraa@simple.biz</t>
  </si>
  <si>
    <t>Ando, Lara Kathleen Kim Marie "Lara"</t>
  </si>
  <si>
    <t>Bartolome, Tanya "Tanya" (Recruitment Temp)</t>
  </si>
  <si>
    <t>francisf@simple.biz</t>
  </si>
  <si>
    <t>Boybanting, Francis Jay "Francis"</t>
  </si>
  <si>
    <t>carlo@simple.biz</t>
  </si>
  <si>
    <t>Cabrera, Justine Carl "Carl"</t>
  </si>
  <si>
    <t>rhobbieb@simple.biz</t>
  </si>
  <si>
    <t>Barros, Rhobbie Jane "Rhobbie"</t>
  </si>
  <si>
    <t>heartc@simple.biz</t>
  </si>
  <si>
    <t>Candia, Heart Divine "Heart"-</t>
  </si>
  <si>
    <t>markf@simple.biz</t>
  </si>
  <si>
    <t>Florentino, "Mark" Lester</t>
  </si>
  <si>
    <t>biancag@simple.biz</t>
  </si>
  <si>
    <t>Gallar, Lyka Bianca M "Bianca"</t>
  </si>
  <si>
    <t>jeromej@simple.biz</t>
  </si>
  <si>
    <t>Jaime, Jerome "Jerome"</t>
  </si>
  <si>
    <t>craigm@simple.biz</t>
  </si>
  <si>
    <t>Manayos, Craig Lans "Craig"</t>
  </si>
  <si>
    <t>deanm@simple.biz</t>
  </si>
  <si>
    <t>Maniquiz, Dean Kevin "Kevin"</t>
  </si>
  <si>
    <t>markm@simple.biz</t>
  </si>
  <si>
    <t>Morales, Mark Joseph "Mark"</t>
  </si>
  <si>
    <t>crystalo@simple.biz</t>
  </si>
  <si>
    <t>Olalo, Crystal Grace "Crystal"</t>
  </si>
  <si>
    <t>billr@simple.biz</t>
  </si>
  <si>
    <t>Rebenque, Guiller John A "Bill"</t>
  </si>
  <si>
    <t>jms@simple.biz</t>
  </si>
  <si>
    <t>Sarana, John Michael R "JM"</t>
  </si>
  <si>
    <t>hannahs@simple.biz</t>
  </si>
  <si>
    <t>Soledad, Hannah Sheka "Hannah"</t>
  </si>
  <si>
    <t>glyzat@simple.biz</t>
  </si>
  <si>
    <t>Teves, Glyza Marie "Glyza"</t>
  </si>
  <si>
    <t>mya@simple.biz</t>
  </si>
  <si>
    <t>Adonay, Mylene "My"</t>
  </si>
  <si>
    <t>allya@simple.biz</t>
  </si>
  <si>
    <t>Agustin, Allyza "Ally"</t>
  </si>
  <si>
    <t>sama@simple.biz</t>
  </si>
  <si>
    <t>Aranda, Jomarie Sam "Sam"</t>
  </si>
  <si>
    <t>larryb@simple.biz</t>
  </si>
  <si>
    <t>Bueno, Laurence "Larry"</t>
  </si>
  <si>
    <t>arcc@simple.biz</t>
  </si>
  <si>
    <t>Catalan, Arc "Arc"</t>
  </si>
  <si>
    <t>elenae@simple.biz</t>
  </si>
  <si>
    <t>Erese, Maria Elena "Elena"</t>
  </si>
  <si>
    <t>erickae@simple.biz</t>
  </si>
  <si>
    <t>Escabosa, Ericka "Ericka</t>
  </si>
  <si>
    <t>anng@simple.biz</t>
  </si>
  <si>
    <t>Gevido, Annrose "Ann"</t>
  </si>
  <si>
    <t>jhetc@simple.biz</t>
  </si>
  <si>
    <t>Legaspi, Jhet "Jhet"</t>
  </si>
  <si>
    <t>kengl@simple.biz</t>
  </si>
  <si>
    <t>Lim, Ken Gabrielle P "Ken"</t>
  </si>
  <si>
    <t>maryl@simple.biz</t>
  </si>
  <si>
    <t>Locsin, Mary Rose "Mary"</t>
  </si>
  <si>
    <t>clydem@simple.biz</t>
  </si>
  <si>
    <t>Mangawang ,Clyde "Clyde"</t>
  </si>
  <si>
    <t>angiep@simple.biz</t>
  </si>
  <si>
    <t>Perales, Angie Saballa "Angie"</t>
  </si>
  <si>
    <t>creep@simple.biz</t>
  </si>
  <si>
    <t>Perez, Cristine "Cree""</t>
  </si>
  <si>
    <t>jmp@simple.biz</t>
  </si>
  <si>
    <t>Porlares, Jommel "JM"</t>
  </si>
  <si>
    <t>desireer@simple.biz</t>
  </si>
  <si>
    <t>Raposala, Desiree "Jay"</t>
  </si>
  <si>
    <t>sals@simple.biz</t>
  </si>
  <si>
    <t>Sakaluran, Salman "Sal"</t>
  </si>
  <si>
    <t>talat@simple.biz</t>
  </si>
  <si>
    <t>Tia, Cristal Joyce "Tala"</t>
  </si>
  <si>
    <t>vanessav@simple.biz</t>
  </si>
  <si>
    <t>Vitalicio, Vannessa "Vanessa"</t>
  </si>
  <si>
    <t>fernandaa@simple.biz</t>
  </si>
  <si>
    <t>Agbay, Fernanda Mae "Mae"</t>
  </si>
  <si>
    <t>jeoa@simple.biz</t>
  </si>
  <si>
    <t>Agbo, Jeofry kim "Jeo"</t>
  </si>
  <si>
    <t>jeromea@simple.biz</t>
  </si>
  <si>
    <t>Aguirre, Jerome G "Jerome"</t>
  </si>
  <si>
    <t>acea@simple.biz</t>
  </si>
  <si>
    <t>Aprecia, Genesis Ace "Ace"</t>
  </si>
  <si>
    <t>amiea@simple.biz</t>
  </si>
  <si>
    <t>Arbol, Amelou "Amie"</t>
  </si>
  <si>
    <t>jayc@simple.biz</t>
  </si>
  <si>
    <t>Carranza. Ebuenga "Jay"</t>
  </si>
  <si>
    <t>wenc@simple.biz</t>
  </si>
  <si>
    <t>Casenas, Wendchel "Wen"</t>
  </si>
  <si>
    <t>maec@simple.biz</t>
  </si>
  <si>
    <t>Concepcion, Crisha "Mae"</t>
  </si>
  <si>
    <t>pearlg@simple.biz</t>
  </si>
  <si>
    <t>De Guzman, Mae Pearl "Pearl"</t>
  </si>
  <si>
    <t>ellec@simple.biz</t>
  </si>
  <si>
    <t>Dela Cruz, Rachelle "Elle"</t>
  </si>
  <si>
    <t>frankc@simple.biz</t>
  </si>
  <si>
    <t>Derecho, Feljan Frank "Frank"</t>
  </si>
  <si>
    <t>cale@simple.biz</t>
  </si>
  <si>
    <t>Ecarma, Calvin "Cal"</t>
  </si>
  <si>
    <t>christinee@simple.biz</t>
  </si>
  <si>
    <t>Elinne, Christine "Christine"</t>
  </si>
  <si>
    <t>mervine@simple.biz</t>
  </si>
  <si>
    <t>Embrado, Mervin "Mervin"</t>
  </si>
  <si>
    <t>allane@simple.biz</t>
  </si>
  <si>
    <t>Espinosa Jr, Allan C "Allan"</t>
  </si>
  <si>
    <t>vanf@simple.biz</t>
  </si>
  <si>
    <t>Fernando, Seth Ivan "Van"</t>
  </si>
  <si>
    <t>jetg@simple.biz</t>
  </si>
  <si>
    <t>Galino, Jet "Jet"</t>
  </si>
  <si>
    <t>genag@simple.biz</t>
  </si>
  <si>
    <t>Garcia, Genalyn Dela Cruz "Gena"</t>
  </si>
  <si>
    <t>harroldg@simple.biz</t>
  </si>
  <si>
    <t>Geraldino, Harrold "Harrold"</t>
  </si>
  <si>
    <t>yhaneh@simple.biz</t>
  </si>
  <si>
    <t>Herbilla, Dianne Marie "Yhane"</t>
  </si>
  <si>
    <t>kidh@simple.biz</t>
  </si>
  <si>
    <t>Hitosis, Erickson Wong "Kid"</t>
  </si>
  <si>
    <t>jeni@simple.biz</t>
  </si>
  <si>
    <t>Ipili, Lynie Jane "Jen"</t>
  </si>
  <si>
    <t>shanel@simple.biz</t>
  </si>
  <si>
    <t>Lumancas, Sharon May "Shane"</t>
  </si>
  <si>
    <t>ckm@simple.biz</t>
  </si>
  <si>
    <t>Mataban, Shalimar Ckei "CK"</t>
  </si>
  <si>
    <t>angien@simple.biz</t>
  </si>
  <si>
    <t>Naciongayo, Angeli Marie "Angie"</t>
  </si>
  <si>
    <t>josen@simple.biz</t>
  </si>
  <si>
    <t>Novela, Joanne Arde "Jo"</t>
  </si>
  <si>
    <t>kareno@simple.biz</t>
  </si>
  <si>
    <t>Obenza, Karen Nina "Karen"</t>
  </si>
  <si>
    <t>hendryp@simple.biz</t>
  </si>
  <si>
    <t>Pamatian, Hendry "Hendry"</t>
  </si>
  <si>
    <t>paulp@simple.biz</t>
  </si>
  <si>
    <t>Penaranda, Paul John "Paul"</t>
  </si>
  <si>
    <t>kristiner@simple.biz</t>
  </si>
  <si>
    <t>Raguing, Kristine "Kristine"</t>
  </si>
  <si>
    <t>reir@simple.biz</t>
  </si>
  <si>
    <t>Ramos, Rei Dominic "Rei"</t>
  </si>
  <si>
    <t>gracer@simple.biz</t>
  </si>
  <si>
    <t>Regondola, Mary Grace "Grace"</t>
  </si>
  <si>
    <t>jesr@simple.biz</t>
  </si>
  <si>
    <t>Roxas, Jesica "Jes"</t>
  </si>
  <si>
    <t>mias@simple.biz</t>
  </si>
  <si>
    <t>Sangual, Mary May "Mia"</t>
  </si>
  <si>
    <t>jemt@simple.biz</t>
  </si>
  <si>
    <t>Tañajora, Jeremy "Jem"</t>
  </si>
  <si>
    <t>tinv@simple.biz</t>
  </si>
  <si>
    <t>Valmorida , Kristine Joy "Tin"</t>
  </si>
  <si>
    <t>michelleg@simple.biz</t>
  </si>
  <si>
    <t>Bartoces, Kate "Kate"</t>
  </si>
  <si>
    <t>Fortunato, Jade Nicholai "Nick"</t>
  </si>
  <si>
    <t>Glariada, John Misael "John"</t>
  </si>
  <si>
    <t>Glase, Danica Jane "Danica"</t>
  </si>
  <si>
    <t>Locsin, Andre Serafin Rene "Andre"</t>
  </si>
  <si>
    <t>Mansalay, Ephraim "Ephraim"</t>
  </si>
  <si>
    <t>Retiza, Rodessa Alcober "Rey"</t>
  </si>
  <si>
    <t>Somontina, Leah "Leah"</t>
  </si>
  <si>
    <t>bjb@simple.biz</t>
  </si>
  <si>
    <t>rayc@simple.biz</t>
  </si>
  <si>
    <t>kend@simple.biz</t>
  </si>
  <si>
    <t>lyns@simple.biz</t>
  </si>
  <si>
    <t>angeloa@simple.biz</t>
  </si>
  <si>
    <t>vincenta@simple.biz</t>
  </si>
  <si>
    <t>Adolfo, John Vincent"Vincent"</t>
  </si>
  <si>
    <t>rjaya@simple.biz</t>
  </si>
  <si>
    <t>dexl@simple.biz</t>
  </si>
  <si>
    <t>Aldrich, Lipata "Dex"</t>
  </si>
  <si>
    <t>fela@simple.biz</t>
  </si>
  <si>
    <t>chestera@simple.biz</t>
  </si>
  <si>
    <t>Almonte, Chester Elvis "Chester"</t>
  </si>
  <si>
    <t>mariona@simple.biz</t>
  </si>
  <si>
    <t>Andrez, Vener Marion "Marion"</t>
  </si>
  <si>
    <t>bena@simple.biz</t>
  </si>
  <si>
    <t>vinza@simple.biz</t>
  </si>
  <si>
    <t>maib@simple.biz</t>
  </si>
  <si>
    <t>Baleros, Leai Mai "Mai"</t>
  </si>
  <si>
    <t>murieb@simple.biz</t>
  </si>
  <si>
    <t>Benavente, Murie "Murie"</t>
  </si>
  <si>
    <t>kailab@simple.biz</t>
  </si>
  <si>
    <t>Benito, Mechaila "Kaila"</t>
  </si>
  <si>
    <t>jbb@simple.biz</t>
  </si>
  <si>
    <t>Blanco, Jhenel "JB"</t>
  </si>
  <si>
    <t>justineb@simple.biz</t>
  </si>
  <si>
    <t>Buenvenida, Bong Justine</t>
  </si>
  <si>
    <t>albertc@simple.biz</t>
  </si>
  <si>
    <t>kevinrc@simple.biz</t>
  </si>
  <si>
    <t>raymondc@simple.biz</t>
  </si>
  <si>
    <t>Calendacion, Raymond "Raymond"</t>
  </si>
  <si>
    <t>stevec@simple.biz</t>
  </si>
  <si>
    <t>Calleja, Steven Jay "Steve"</t>
  </si>
  <si>
    <t>josephc@simple.biz</t>
  </si>
  <si>
    <t>glennc@simple.biz</t>
  </si>
  <si>
    <t>Cañada, Glenn "Glenn"</t>
  </si>
  <si>
    <t>judyannc@simple.biz</t>
  </si>
  <si>
    <t>Canales,Judy Ann "Judy"</t>
  </si>
  <si>
    <t>regif@simple.biz</t>
  </si>
  <si>
    <t>jeremyc@simple.biz</t>
  </si>
  <si>
    <t>Cierva, Jeremiah "Jeremy"</t>
  </si>
  <si>
    <t>kennethc@simple.biz</t>
  </si>
  <si>
    <t>Cinco, Kenneth "Ken"</t>
  </si>
  <si>
    <t>catc@simple.biz</t>
  </si>
  <si>
    <t>Cruz, Nicole Catrina "Cat"</t>
  </si>
  <si>
    <t>marad@simple.biz</t>
  </si>
  <si>
    <t>David, Maraya "Maria"</t>
  </si>
  <si>
    <t>jeremyd@simple.biz</t>
  </si>
  <si>
    <t>Daza, Jeremy James "Jeremy"</t>
  </si>
  <si>
    <t>jericc@simple.biz</t>
  </si>
  <si>
    <t>Dela Cruz, Jeric "Jeric"</t>
  </si>
  <si>
    <t>chatd@simple.biz</t>
  </si>
  <si>
    <t>meld@simple.biz</t>
  </si>
  <si>
    <t>Delfin, Rommel "Mel"</t>
  </si>
  <si>
    <t>nickd@simple.biz</t>
  </si>
  <si>
    <t>patrickm@simple.biz</t>
  </si>
  <si>
    <t>athenad@simple.biz</t>
  </si>
  <si>
    <t>joed@simple.biz</t>
  </si>
  <si>
    <t>gilbertd@simple.biz</t>
  </si>
  <si>
    <t>johne@simple.biz</t>
  </si>
  <si>
    <t>Echavez, John Vincent "John"</t>
  </si>
  <si>
    <t>shellye@simple.biz</t>
  </si>
  <si>
    <t>Eres, Shelly</t>
  </si>
  <si>
    <t>henrye@simple.biz</t>
  </si>
  <si>
    <t>Estavillo, Henry Fretche "Henry"</t>
  </si>
  <si>
    <t>karlf@simple.biz</t>
  </si>
  <si>
    <t>ralphr@simple.biz</t>
  </si>
  <si>
    <t>Fernandez, Ralph William "Ralph"</t>
  </si>
  <si>
    <t>inaf@simple.biz</t>
  </si>
  <si>
    <t>khater@simple.biz</t>
  </si>
  <si>
    <t>Franziel, Raagas Khate "Khate"</t>
  </si>
  <si>
    <t>lloydf@simple.biz</t>
  </si>
  <si>
    <t>Fuentes, Lloyd "Lloyd"</t>
  </si>
  <si>
    <t>jog@simple.biz</t>
  </si>
  <si>
    <t>Galenzoga, Jomari "Jo"</t>
  </si>
  <si>
    <t>babg@simple.biz</t>
  </si>
  <si>
    <t>Galindo, Sofia "Bab"</t>
  </si>
  <si>
    <t>paug@simple.biz</t>
  </si>
  <si>
    <t>Garcia, Pauline Hope "Pau"</t>
  </si>
  <si>
    <t>jhong@simple.biz</t>
  </si>
  <si>
    <t>andrewg@simple.biz</t>
  </si>
  <si>
    <t>verag@simple.biz</t>
  </si>
  <si>
    <t>rjg@simple.biz</t>
  </si>
  <si>
    <t>derickg@simple.biz</t>
  </si>
  <si>
    <t>Gonzales, Alderich "Derick"</t>
  </si>
  <si>
    <t>brandong@simple.biz</t>
  </si>
  <si>
    <t>lukeg@simple.biz</t>
  </si>
  <si>
    <t>romsg@simple.biz</t>
  </si>
  <si>
    <t>Guevarra, Romulo "Roms"</t>
  </si>
  <si>
    <t>bernardh@simple.biz</t>
  </si>
  <si>
    <t>Hedraga, Bernard Mantos "Bernard"</t>
  </si>
  <si>
    <t>macj@simple.biz</t>
  </si>
  <si>
    <t>Junsay, Mark Jason "Mac"</t>
  </si>
  <si>
    <t>markl@simple.biz</t>
  </si>
  <si>
    <t>Lamosao, Paul Harris "Mark"</t>
  </si>
  <si>
    <t>haroldl@simple.biz</t>
  </si>
  <si>
    <t>epil@simple.biz</t>
  </si>
  <si>
    <t>mavickm@simple.biz</t>
  </si>
  <si>
    <t>Macarulay, Maria Victoria "Mavick"</t>
  </si>
  <si>
    <t>jakem@simple.biz</t>
  </si>
  <si>
    <t>celm@simple.biz</t>
  </si>
  <si>
    <t>laram@simple.biz</t>
  </si>
  <si>
    <t>Marasigan, Lara Mae "Lara"</t>
  </si>
  <si>
    <t>christianm@simple.biz</t>
  </si>
  <si>
    <t>acem@simple.biz</t>
  </si>
  <si>
    <t>Mateo, Ace "Ace"</t>
  </si>
  <si>
    <t>robertm@simple.biz</t>
  </si>
  <si>
    <t>Matunog, Robert "Robert"</t>
  </si>
  <si>
    <t>ixonm@simple.biz</t>
  </si>
  <si>
    <t>Mayang, Brixzon "Brixon"</t>
  </si>
  <si>
    <t>Mayor, Miguel Dien "Miguel"</t>
  </si>
  <si>
    <t>alm@simple.biz</t>
  </si>
  <si>
    <t>Mercado, Al "Al"</t>
  </si>
  <si>
    <t>justinem@simple.biz</t>
  </si>
  <si>
    <t>Merculio, Justine "Justine"</t>
  </si>
  <si>
    <t>princem@simple.biz</t>
  </si>
  <si>
    <t>Montejo, Prince J "Prince"</t>
  </si>
  <si>
    <t>jann@simple.biz</t>
  </si>
  <si>
    <t>Navarra, Jan Genesis "Jan"</t>
  </si>
  <si>
    <t>gabrielo@simple.biz</t>
  </si>
  <si>
    <t>zenm@simple.biz</t>
  </si>
  <si>
    <t>Orticio, Zheene Mhaica "Zen"</t>
  </si>
  <si>
    <t>eliep@simple.biz</t>
  </si>
  <si>
    <t>Pabericio, Elierie "Elie"</t>
  </si>
  <si>
    <t>mickyp@simple.biz</t>
  </si>
  <si>
    <t>Padilla, Michael Jefferson "Micky"</t>
  </si>
  <si>
    <t>gabp@simple.biz</t>
  </si>
  <si>
    <t>Pagbilao, Marc Gabriel "Gab"</t>
  </si>
  <si>
    <t>dancp@simple.biz</t>
  </si>
  <si>
    <t>Pagharion, Dan Carlo "Dan"</t>
  </si>
  <si>
    <t>airap@simple.biz</t>
  </si>
  <si>
    <t>Pallasigui, Aira Joy "Aira"</t>
  </si>
  <si>
    <t>gelp@simple.biz</t>
  </si>
  <si>
    <t>vonp@simple.biz</t>
  </si>
  <si>
    <t>niqap@simple.biz</t>
  </si>
  <si>
    <t>Panaligan, Monique "Niqa"</t>
  </si>
  <si>
    <t>ryp@simple.biz</t>
  </si>
  <si>
    <t>ejp@simple.biz</t>
  </si>
  <si>
    <t>Patino, Eli John Legaspi "EJ"</t>
  </si>
  <si>
    <t>jomp@simple.biz</t>
  </si>
  <si>
    <t>Portales, Jomel "Jom"</t>
  </si>
  <si>
    <t>mariep@simple.biz</t>
  </si>
  <si>
    <t>christopherr@simple.biz</t>
  </si>
  <si>
    <t>christianr@simple.biz</t>
  </si>
  <si>
    <t>Resuena, Rex Christian R. "Rex"</t>
  </si>
  <si>
    <t>joer@simple.biz</t>
  </si>
  <si>
    <t>jadyr@simple.biz</t>
  </si>
  <si>
    <t>Ricarte, John Dave "Jady"</t>
  </si>
  <si>
    <t>rvr@simple.biz</t>
  </si>
  <si>
    <t>Rivera, Roy "RV"</t>
  </si>
  <si>
    <t>joshr@simple.biz</t>
  </si>
  <si>
    <t>Ruedas, Joshua Andrei "Josh"</t>
  </si>
  <si>
    <t>eds@simple.biz</t>
  </si>
  <si>
    <t>Salgado, Edgar Mari "Ed"</t>
  </si>
  <si>
    <t>tines@simple.biz</t>
  </si>
  <si>
    <t>Sally, Kristine "Tine"</t>
  </si>
  <si>
    <t>shies@simple.biz</t>
  </si>
  <si>
    <t>Sanchez, Shiela "Shie"</t>
  </si>
  <si>
    <t>johns@simple.biz</t>
  </si>
  <si>
    <t>leaht@simple.biz</t>
  </si>
  <si>
    <t>ryant@simple.biz</t>
  </si>
  <si>
    <t>Tam, Ryan "Ryan"</t>
  </si>
  <si>
    <t>jonaht@simple.biz</t>
  </si>
  <si>
    <t>Tan, Jonathan "Jonah"</t>
  </si>
  <si>
    <t>leont@simple.biz</t>
  </si>
  <si>
    <t>Tan, Leon Jose "Leon"</t>
  </si>
  <si>
    <t>mat@simple.biz</t>
  </si>
  <si>
    <t>jefft@simple.biz</t>
  </si>
  <si>
    <t>sashaa@simple.biz</t>
  </si>
  <si>
    <t>Trizzia Ann Lamsin "Sasha"</t>
  </si>
  <si>
    <t>yohannt@simple.biz</t>
  </si>
  <si>
    <t>Tuazon, Johann J "Yohann"</t>
  </si>
  <si>
    <t>chrisz@simple.biz</t>
  </si>
  <si>
    <t>Zabala, Christian "Chris"</t>
  </si>
  <si>
    <t>felinned@simplesitecompany.com</t>
  </si>
  <si>
    <t>Deguito, Felinne "Felinne"</t>
  </si>
  <si>
    <t>chaseg@simplesitecompany.com</t>
  </si>
  <si>
    <t>Gerundiano, Chase "Chase"</t>
  </si>
  <si>
    <t>Dispo, Kenneth "Ike"</t>
  </si>
  <si>
    <t>amielaa@simple.biz</t>
  </si>
  <si>
    <t>Algenio, Amiela "Amie"</t>
  </si>
  <si>
    <t>wilf@simple.biz</t>
  </si>
  <si>
    <t>Fernandez, Wilfredo Jr "Will"</t>
  </si>
  <si>
    <t>berng@simple.biz</t>
  </si>
  <si>
    <t>Gansatao, Bernard Donn "Bern"</t>
  </si>
  <si>
    <t>jordanp@simple.biz</t>
  </si>
  <si>
    <t>Pelino, Glen Jordan H "Jordan"</t>
  </si>
  <si>
    <t>alfredc@simple.biz</t>
  </si>
  <si>
    <t>Quismorio, Alfredo Jr. "Alfred"</t>
  </si>
  <si>
    <t>jonb@simple.biz</t>
  </si>
  <si>
    <t>Burazon, Agustin Jr "Jon"</t>
  </si>
  <si>
    <t>dwightc@simple.biz</t>
  </si>
  <si>
    <t>Cortez, Dwight Joshua "Dwight"</t>
  </si>
  <si>
    <t>jads@simple.biz</t>
  </si>
  <si>
    <t>Sulit, Jad Lexmar "Jad"</t>
  </si>
  <si>
    <t>simonr@simple.biz</t>
  </si>
  <si>
    <t>Capillo, Simeon Jr. "Simon"</t>
  </si>
  <si>
    <t>vine@simple.biz</t>
  </si>
  <si>
    <t>Evangelista, Chaelvin Aron</t>
  </si>
  <si>
    <t>elie@simple.biz</t>
  </si>
  <si>
    <t>Espanto, Eli Biol Jr "Eli"</t>
  </si>
  <si>
    <t>joep@simple.biz</t>
  </si>
  <si>
    <t>Pajanel, Jovin Marx "Joe"</t>
  </si>
  <si>
    <t>jayveea@simple.biz</t>
  </si>
  <si>
    <t>Aliser, Jayvee Lloyd "Jayvee"</t>
  </si>
  <si>
    <t>alexr@simple.biz</t>
  </si>
  <si>
    <t>De Rama, Rufio Alexander "Alex"</t>
  </si>
  <si>
    <t>vano@simple.biz</t>
  </si>
  <si>
    <t>Ortiz, Van Aeron "Van"</t>
  </si>
  <si>
    <t>edwardt@simple.biz</t>
  </si>
  <si>
    <t>Tahil, Edward Maverick "Edward"</t>
  </si>
  <si>
    <t>mikea@simple.biz</t>
  </si>
  <si>
    <t>Aguilar, John Michael "Mike"</t>
  </si>
  <si>
    <t>jaysonl@simple.biz</t>
  </si>
  <si>
    <t>Lucban, Jayson "Jayson"</t>
  </si>
  <si>
    <t>kevc@simple.biz</t>
  </si>
  <si>
    <t>Cabual, Kevenly Art "Kev"</t>
  </si>
  <si>
    <t>mayc@simple.biz</t>
  </si>
  <si>
    <t>Carmelotes, May Ann "May"</t>
  </si>
  <si>
    <t>noreenb@simple.biz</t>
  </si>
  <si>
    <t>Blanz, Noreen "Noreen"</t>
  </si>
  <si>
    <t>jayarp@simple.biz</t>
  </si>
  <si>
    <t>Pagliawan, Orlando "Jayar"</t>
  </si>
  <si>
    <t>rainp@simple.biz</t>
  </si>
  <si>
    <t>Postrano, Reynan "Rain"</t>
  </si>
  <si>
    <t>james@simple.biz</t>
  </si>
  <si>
    <t>charlesd@simple.biz</t>
  </si>
  <si>
    <t>Diego, Charles Vacil Tardo "Charles"</t>
  </si>
  <si>
    <t>exa@simple.biz</t>
  </si>
  <si>
    <t>Atoy, Expedito "Ex"</t>
  </si>
  <si>
    <t>francem@simple.biz</t>
  </si>
  <si>
    <t>Magallon, Francis "France"</t>
  </si>
  <si>
    <t>geraldc@simple.biz</t>
  </si>
  <si>
    <t>Cantoria, Gerald Dela Cruz "Gerald"</t>
  </si>
  <si>
    <t>ivanm@simple.biz</t>
  </si>
  <si>
    <t>Mendez, Ivan Mark "Ivan"</t>
  </si>
  <si>
    <t>jenh@simple.biz</t>
  </si>
  <si>
    <t>Hortezuela, Jeneva "Jen"</t>
  </si>
  <si>
    <t>joshuas@simple.biz</t>
  </si>
  <si>
    <t>Sogueco, Joshua Angelo "Josh"</t>
  </si>
  <si>
    <t>janr@simple.biz</t>
  </si>
  <si>
    <t>Reynes, Jan Jeremy "Jan"</t>
  </si>
  <si>
    <t>justiner@simple.biz</t>
  </si>
  <si>
    <t>Rama, Justine Karl "Justine"</t>
  </si>
  <si>
    <t>kayem@simple.biz</t>
  </si>
  <si>
    <t>Mabalay, Kaye Niegel "Kaye"</t>
  </si>
  <si>
    <t>myraf@simple.biz</t>
  </si>
  <si>
    <t>Fernandez, Myrachelle "Myra"</t>
  </si>
  <si>
    <t>echod@simple.biz</t>
  </si>
  <si>
    <t>Dimaranan, Mikholo Nino Adrian "Echo"</t>
  </si>
  <si>
    <t>jaywlc@simple.biz</t>
  </si>
  <si>
    <t>Cabatingan, Mark Jaywl "Mark"</t>
  </si>
  <si>
    <t>regu@simple.biz</t>
  </si>
  <si>
    <t>Uy, Regene "Uy"</t>
  </si>
  <si>
    <t>shaunc@simple.biz</t>
  </si>
  <si>
    <t>Cimafranca, Mark "Mark"</t>
  </si>
  <si>
    <t>stacys@simple.biz</t>
  </si>
  <si>
    <t>Saputalo, Stacy "Stacy"</t>
  </si>
  <si>
    <t>vernd@simple.biz</t>
  </si>
  <si>
    <t>Duray, Vern Christine "Vern"</t>
  </si>
  <si>
    <t>beijayh@simple.biz</t>
  </si>
  <si>
    <t>Halog, Beijay "Beijay"</t>
  </si>
  <si>
    <t>tinf@simple.biz</t>
  </si>
  <si>
    <t>Fortuna, Celestina "Tin"</t>
  </si>
  <si>
    <t>cathyp@simple.biz</t>
  </si>
  <si>
    <t>Palera, Cathy Jean "Cathy"</t>
  </si>
  <si>
    <t>Fullente, Christian Jay "Christian"</t>
  </si>
  <si>
    <t>cji@simple.biz</t>
  </si>
  <si>
    <t>Ilustre, Christian Jerome "CJ"</t>
  </si>
  <si>
    <t>dazelm@simple.biz</t>
  </si>
  <si>
    <t>Maniquiz, Dazel "Dazel"</t>
  </si>
  <si>
    <t>djg@simple.biz</t>
  </si>
  <si>
    <t>Granada, Deffy John "DJ"</t>
  </si>
  <si>
    <t>faml@simple.biz</t>
  </si>
  <si>
    <t>Longakit, Famela Y "Fam"</t>
  </si>
  <si>
    <t>jingc@simple.biz</t>
  </si>
  <si>
    <t>Cille, Jecellie "Jing"</t>
  </si>
  <si>
    <t>jullp@simple.biz</t>
  </si>
  <si>
    <t>Pascual, Julienne Nicole "Jull"</t>
  </si>
  <si>
    <t>jeffj@simple.biz</t>
  </si>
  <si>
    <t>Jabonero, Jeff "Jeff"</t>
  </si>
  <si>
    <t>jhonh@simple.biz</t>
  </si>
  <si>
    <t>Hernandez, Jhon Nichole Deanne "Jhon"</t>
  </si>
  <si>
    <t>karlm@simple.biz</t>
  </si>
  <si>
    <t>Mahusay, Karl Anton "Karl"</t>
  </si>
  <si>
    <t>kerviev@simple.biz</t>
  </si>
  <si>
    <t>Villarino, Kervie Angel "Kervie"</t>
  </si>
  <si>
    <t>maryt@simple.biz</t>
  </si>
  <si>
    <t>Tan, Mary Jean P. "Jean</t>
  </si>
  <si>
    <t>myke@simple.biz</t>
  </si>
  <si>
    <t>Erpelo, Michael Adrian "Myk"</t>
  </si>
  <si>
    <t>mykf@simple.biz</t>
  </si>
  <si>
    <t>Fabian, Michael "Myk"</t>
  </si>
  <si>
    <t>pearlm@simple.biz</t>
  </si>
  <si>
    <t>Mejia, Pearly Dalumpienes "Pearl"</t>
  </si>
  <si>
    <t>inac@simple.biz</t>
  </si>
  <si>
    <t>Cabales, Reina "Ina"</t>
  </si>
  <si>
    <t>rennd@simple.biz</t>
  </si>
  <si>
    <t>Doroy, Renn "Renn"</t>
  </si>
  <si>
    <t>fredj@simple.biz</t>
  </si>
  <si>
    <t>Juaton, Siegfred "Fred"</t>
  </si>
  <si>
    <t>miela@simple.biz</t>
  </si>
  <si>
    <t>Villaruel, Amiel "Miel"</t>
  </si>
  <si>
    <t>chrisl@simple.biz</t>
  </si>
  <si>
    <t>Lawang, Christopher "Chris"</t>
  </si>
  <si>
    <t>chrisb@simple.biz</t>
  </si>
  <si>
    <t>Beceril, Christian L. "Chris"</t>
  </si>
  <si>
    <t>angelob@simple.biz</t>
  </si>
  <si>
    <t>Barros, Frenz Angelo "Angelo"</t>
  </si>
  <si>
    <t>franzs@simple.biz</t>
  </si>
  <si>
    <t>Franz Vincent Sancio "Franz"</t>
  </si>
  <si>
    <t>kennethb@simple.biz</t>
  </si>
  <si>
    <t>Bairan, Kenneth Ian “Ken”</t>
  </si>
  <si>
    <t>kits@simple.biz</t>
  </si>
  <si>
    <t>Delos Santos, Kit Lloyd "Kit"</t>
  </si>
  <si>
    <t>alexb@simple.biz</t>
  </si>
  <si>
    <t>olivet@simple.biz</t>
  </si>
  <si>
    <t>Tabigue, Lynn Olive "Olive"</t>
  </si>
  <si>
    <t>mistyj@simple.biz</t>
  </si>
  <si>
    <t>Jurado, Misty "Misty"</t>
  </si>
  <si>
    <t>geln@simple.biz</t>
  </si>
  <si>
    <t>Nasis, Angel "Gel"</t>
  </si>
  <si>
    <t>arviev@simple.biz</t>
  </si>
  <si>
    <t>De Villa, Arvie "Arvie"</t>
  </si>
  <si>
    <t>bryb@simple.biz</t>
  </si>
  <si>
    <t>Cabbab, Biyo Bryan Kavin "Bry"</t>
  </si>
  <si>
    <t>chrisg@simple.biz</t>
  </si>
  <si>
    <t>Gabas, Christian Jake "Chris"</t>
  </si>
  <si>
    <t>dandt@simple.biz</t>
  </si>
  <si>
    <t>Tongol, Dan Dexter "Dan"</t>
  </si>
  <si>
    <t>dhear@simple.biz</t>
  </si>
  <si>
    <t>Ribon, Dhea Marie "Dhea"</t>
  </si>
  <si>
    <t>earlc@simple.biz</t>
  </si>
  <si>
    <t>Chiquillo, Earl "Earl"</t>
  </si>
  <si>
    <t>gile@simple.biz</t>
  </si>
  <si>
    <t>Espinosa, Gil Marc "Gil"</t>
  </si>
  <si>
    <t>gracel@simple.biz</t>
  </si>
  <si>
    <t>Lacson, Grace "Grace"</t>
  </si>
  <si>
    <t>bryann@simple.biz</t>
  </si>
  <si>
    <t>Nee, Jose Bryan “Bryan”</t>
  </si>
  <si>
    <t>jant@simple.biz</t>
  </si>
  <si>
    <t>Tayag, Janine "Jan"</t>
  </si>
  <si>
    <t>jennyr@simple.biz</t>
  </si>
  <si>
    <t>Ronquillo, Jenny Art "Jenny"</t>
  </si>
  <si>
    <t>Bong Justine Buenvenida</t>
  </si>
  <si>
    <t>lancez@simple.biz</t>
  </si>
  <si>
    <t>Zabala, Lancer "Lance"</t>
  </si>
  <si>
    <t>maryo@simple.biz</t>
  </si>
  <si>
    <t>Obando, Mary Grace "Mary"</t>
  </si>
  <si>
    <t>michellev@simple.biz</t>
  </si>
  <si>
    <t>Villacorta, Michelle Ann "Michelle"</t>
  </si>
  <si>
    <t>nhyllc@simple.biz</t>
  </si>
  <si>
    <t>Cagampan, Nyll Cagampan "Nhyll"</t>
  </si>
  <si>
    <t>Damian, Niel "Niel"</t>
  </si>
  <si>
    <t>rachellen@simple.biz</t>
  </si>
  <si>
    <t>Daguman, Rachele P "Rachelle"</t>
  </si>
  <si>
    <t>rjq@simple.biz</t>
  </si>
  <si>
    <t>Quijano, Ronnel Joshua "RJ"</t>
  </si>
  <si>
    <t>abigailv@simple.biz</t>
  </si>
  <si>
    <t>Villanueva, Abigail "Abi"</t>
  </si>
  <si>
    <t>arriad@simple.biz</t>
  </si>
  <si>
    <t>Domingo, Arriane "Arria"</t>
  </si>
  <si>
    <t>adrianeg@simple.biz</t>
  </si>
  <si>
    <t>Gumanay, Adriane "Adriane"</t>
  </si>
  <si>
    <t>alecj@simple.biz</t>
  </si>
  <si>
    <t>Jordan, Alec Nikhael "Alec"</t>
  </si>
  <si>
    <t>tinyn@simple.biz</t>
  </si>
  <si>
    <t>Nadela, Christine Mae "Tiny"</t>
  </si>
  <si>
    <t>camilleb@simple.biz</t>
  </si>
  <si>
    <t>Bantay, Camille "Camille"</t>
  </si>
  <si>
    <t>johnm@simple.biz</t>
  </si>
  <si>
    <t>Malazarte, Dave "John"</t>
  </si>
  <si>
    <t>arjayc@simple.biz</t>
  </si>
  <si>
    <t>elic@simple.biz</t>
  </si>
  <si>
    <t>Cano, Elizar Jr. "Eli"</t>
  </si>
  <si>
    <t>glyzap@simple.biz</t>
  </si>
  <si>
    <t>Peras, Glyza Marie M "Gly"</t>
  </si>
  <si>
    <t>jenv@simple.biz</t>
  </si>
  <si>
    <t>Viado, Jenalyn May "Jen"</t>
  </si>
  <si>
    <t>jeanb@simple.biz</t>
  </si>
  <si>
    <t>Batula, Jean "Jean"</t>
  </si>
  <si>
    <t>josephusd@simple.biz</t>
  </si>
  <si>
    <t>Dejoras, Josephus A "Joseph"</t>
  </si>
  <si>
    <t>josephrr@simple.biz</t>
  </si>
  <si>
    <t>Refamonte, Joseph Renz "Joseph"</t>
  </si>
  <si>
    <t>khasseyg@simple.biz</t>
  </si>
  <si>
    <t>Gahi, Kharessa "Khassey"</t>
  </si>
  <si>
    <t>Odchimar, Karen "Karen"</t>
  </si>
  <si>
    <t>kristinf@simple.biz</t>
  </si>
  <si>
    <t>Fernandez, Kristine "Kristin"</t>
  </si>
  <si>
    <t>maev@simple.biz</t>
  </si>
  <si>
    <t>Villarta, Leah Mae "Mae"</t>
  </si>
  <si>
    <t>luckye@simple.biz</t>
  </si>
  <si>
    <t>Ilagan, Michael E. "Lucky"</t>
  </si>
  <si>
    <t>migsr@simple.biz</t>
  </si>
  <si>
    <t>Ramirez, Miguel "Migs"</t>
  </si>
  <si>
    <t>markmo@simple.biz</t>
  </si>
  <si>
    <t>Molarte, Mark</t>
  </si>
  <si>
    <t>miguelg@simple.biz</t>
  </si>
  <si>
    <t>Grospe, Miguel Juan Angelo "Miguel"</t>
  </si>
  <si>
    <t>nikaelab@simple.biz</t>
  </si>
  <si>
    <t>Banzali, Nikaela Grace “Nika”</t>
  </si>
  <si>
    <t>philu@simple.biz</t>
  </si>
  <si>
    <t>Uclaray, Phil Keaggy "Phil"</t>
  </si>
  <si>
    <t>roberts@simple.biz</t>
  </si>
  <si>
    <t>Salvatierra, Roberto "Robert"</t>
  </si>
  <si>
    <t>wendellb@simple.biz</t>
  </si>
  <si>
    <t>Butanas, Wendell Alain "Wendell"</t>
  </si>
  <si>
    <t>troyg@simple.biz</t>
  </si>
  <si>
    <t>Guevara, Troy Dominic L "Troy"</t>
  </si>
  <si>
    <t>marcusu@simple.biz</t>
  </si>
  <si>
    <t>Umpad, Marcus "Marcus"</t>
  </si>
  <si>
    <t>jayg@simple.biz</t>
  </si>
  <si>
    <t>Gullermo, Jesus Seno "Jay"</t>
  </si>
  <si>
    <t>lauricej@simple.biz</t>
  </si>
  <si>
    <t>Justiniane, Laurice Monette, C "Laurice"</t>
  </si>
  <si>
    <t>jeant@simple.biz</t>
  </si>
  <si>
    <t>Tupas, Honey Jean "Jean"</t>
  </si>
  <si>
    <t>clarizr@simple.biz</t>
  </si>
  <si>
    <t>Rosales, Clariza Mae  "Clariz"</t>
  </si>
  <si>
    <t>nerryd@simple.biz</t>
  </si>
  <si>
    <t>Deloria, Nerry Mae "Nerry"</t>
  </si>
  <si>
    <t>arvsn@simple.biz</t>
  </si>
  <si>
    <t>Navarro, Arvin "Arvs"</t>
  </si>
  <si>
    <t>ferdieb@simple.biz</t>
  </si>
  <si>
    <t>Bondoc, Ferdinand "Ferdie"</t>
  </si>
  <si>
    <t>jaya@simple.biz</t>
  </si>
  <si>
    <t>Aguado, Jayson "Jay”</t>
  </si>
  <si>
    <t>argylt@simple.biz</t>
  </si>
  <si>
    <t>Tabula, Argyl "Argyl"</t>
  </si>
  <si>
    <t>angelicac@simple.biz</t>
  </si>
  <si>
    <t>Concepcion, Angelica "Angel"</t>
  </si>
  <si>
    <t>khrism@simple.biz</t>
  </si>
  <si>
    <t>Moises, Khrisna "Khris"</t>
  </si>
  <si>
    <t>jct@simple.biz</t>
  </si>
  <si>
    <t>Tembrina, John Carlo "JC"</t>
  </si>
  <si>
    <t>michaelb@simple.biz</t>
  </si>
  <si>
    <t>Bacalla, Michael Ryan "MIchael"</t>
  </si>
  <si>
    <t>alexe@simple.biz</t>
  </si>
  <si>
    <t>Evangelista, Alexander</t>
  </si>
  <si>
    <t>nancya@simple.biz</t>
  </si>
  <si>
    <t>vhanm@simple.biz</t>
  </si>
  <si>
    <t>Mendaña, Ivhan Christian"Vhan"</t>
  </si>
  <si>
    <t>jomsm@simple.biz</t>
  </si>
  <si>
    <t>Maxino, Jose Mari "Joms"</t>
  </si>
  <si>
    <t>francism@simple.biz</t>
  </si>
  <si>
    <t>Manansala, Francis John "Francis"</t>
  </si>
  <si>
    <t>jeanneb@simple.biz</t>
  </si>
  <si>
    <t>jeannea@simple.biz</t>
  </si>
  <si>
    <t>Amaro, Jeanne "Jeanne"</t>
  </si>
  <si>
    <t>aprilc@simple.biz</t>
  </si>
  <si>
    <t>Carriaga, April Mae "April"</t>
  </si>
  <si>
    <t>briang@simple.biz</t>
  </si>
  <si>
    <t>Galvez, Brian Martinez "Brian</t>
  </si>
  <si>
    <t>clarenr@simple.biz</t>
  </si>
  <si>
    <t>Ramos, Claren Benedict Occiano "Ben"</t>
  </si>
  <si>
    <t>yannai@simple.biz</t>
  </si>
  <si>
    <t>Indino, Diana Mae "Yanna"</t>
  </si>
  <si>
    <t>fayel@simple.biz</t>
  </si>
  <si>
    <t>Laudit, Ilyfaea "Faye"</t>
  </si>
  <si>
    <t>solc@simple.biz</t>
  </si>
  <si>
    <t>Cootauco, Marisol S "Sol"</t>
  </si>
  <si>
    <t>ruthm@simple.biz</t>
  </si>
  <si>
    <t>Maluya, Ruth "Ruth"</t>
  </si>
  <si>
    <t>allif@simple.biz</t>
  </si>
  <si>
    <t>Farinas, Allianah Jem Madriaga "Alli"</t>
  </si>
  <si>
    <t>lorenab@simple.biz</t>
  </si>
  <si>
    <t>Barro, Ana Lorena</t>
  </si>
  <si>
    <t>andreac@simple.biz</t>
  </si>
  <si>
    <t>Cantalejo, Andrea "Andrea"</t>
  </si>
  <si>
    <t>cristyf@simple.biz</t>
  </si>
  <si>
    <t>Fernandez, Cristy E "Cristy"</t>
  </si>
  <si>
    <t>zela@simple.biz</t>
  </si>
  <si>
    <t>Alcos, Franzel Marie "Zel"</t>
  </si>
  <si>
    <t>happyd@simple.biz</t>
  </si>
  <si>
    <t>Diego, Happy "Happy"</t>
  </si>
  <si>
    <t>jeffersoni@simple.biz</t>
  </si>
  <si>
    <t>Ibañez, Jefferson Clark “Clark”</t>
  </si>
  <si>
    <t>sain@simple.biz</t>
  </si>
  <si>
    <t>Narvasa, Jessa "Sai"</t>
  </si>
  <si>
    <t>rencem@simple.biz</t>
  </si>
  <si>
    <t>Macale, Lawrence "Rence"</t>
  </si>
  <si>
    <t>mikel@simple.biz</t>
  </si>
  <si>
    <t>Losa, Michael "Mike"</t>
  </si>
  <si>
    <t>Bayot, May Pearl "May"</t>
  </si>
  <si>
    <t>algiem@simple.biz</t>
  </si>
  <si>
    <t>Manzano, Algie Anne R "Algie"</t>
  </si>
  <si>
    <t>andym@simple.biz</t>
  </si>
  <si>
    <t>marbieb@simple.biz</t>
  </si>
  <si>
    <t>Buat, Janmarie Bernadette Ocampo "Marbie"</t>
  </si>
  <si>
    <t>Anastacio, Lovella "Belle"</t>
  </si>
  <si>
    <t>luisd@simple.biz</t>
  </si>
  <si>
    <t>jenessap@simple.biz</t>
  </si>
  <si>
    <t>Paraiso, Janessa "Jen"</t>
  </si>
  <si>
    <t>jpb@simple.biz</t>
  </si>
  <si>
    <t>Bacallan, John Paul "JP"</t>
  </si>
  <si>
    <t>robinp@simple.biz</t>
  </si>
  <si>
    <t>Peñalosa, Rovina Peñalosa "Robin"</t>
  </si>
  <si>
    <t>breyl@simple.biz</t>
  </si>
  <si>
    <t>Lim, Breynald John "Brey"</t>
  </si>
  <si>
    <t>rrt@simple.biz</t>
  </si>
  <si>
    <t>Tan, Rommel Romeo "RR"</t>
  </si>
  <si>
    <t>honeyl@simple.biz</t>
  </si>
  <si>
    <t>Lama, Honey Girl "Honey"</t>
  </si>
  <si>
    <t>alig@simple.biz</t>
  </si>
  <si>
    <t>De Guzman, Alyssa Mae "Ali"</t>
  </si>
  <si>
    <t>jayl@simple.biz</t>
  </si>
  <si>
    <t>Langitan, Jay-ar "Jay"</t>
  </si>
  <si>
    <t>louc@simple.biz</t>
  </si>
  <si>
    <t>Cepeda, Louis Jane "Lou"</t>
  </si>
  <si>
    <t>marymm@simple.biz</t>
  </si>
  <si>
    <t>Madaje, Mary Michelle "Mary"</t>
  </si>
  <si>
    <t>magnoliag@simple.biz</t>
  </si>
  <si>
    <t>Gomez, Magnolia Hipolito Maggie"</t>
  </si>
  <si>
    <t>maryb@simple.biz</t>
  </si>
  <si>
    <t>Bataluna, Mary "Mary"</t>
  </si>
  <si>
    <t>michelleanneg@simple.biz</t>
  </si>
  <si>
    <t>loriem@simple.biz</t>
  </si>
  <si>
    <t>San Mateo, Lorie Ann "Lorie"</t>
  </si>
  <si>
    <t>lowellan@simple.biz</t>
  </si>
  <si>
    <t>Nuñez, Ave Lowella "Lowella"</t>
  </si>
  <si>
    <t>angelinec@simple.biz</t>
  </si>
  <si>
    <t>Calimbayan, Angeline "Angeline"</t>
  </si>
  <si>
    <t>deepc@simple.biz</t>
  </si>
  <si>
    <t>Carpeso, Deepbleu "Deep"</t>
  </si>
  <si>
    <t>dans@simple.biz</t>
  </si>
  <si>
    <t>Soro, Eliel Dan "Dan"</t>
  </si>
  <si>
    <t>errola@simple.biz</t>
  </si>
  <si>
    <t>Araña, Errol James "Errol"</t>
  </si>
  <si>
    <t>vonm@simple.biz</t>
  </si>
  <si>
    <t>Mosende, Ivony "Von"</t>
  </si>
  <si>
    <t>jonad@simple.biz</t>
  </si>
  <si>
    <t>Domen, Jona Mae Domen "Jona"</t>
  </si>
  <si>
    <t>karlab@simple.biz</t>
  </si>
  <si>
    <t>Bausa, Karla Margarita "Karla"</t>
  </si>
  <si>
    <t>mafee@simple.biz</t>
  </si>
  <si>
    <t>Espanilla, Marife Zara "Mafe"</t>
  </si>
  <si>
    <t>rafb@simple.biz</t>
  </si>
  <si>
    <t>Bagauisan, Rafael Lanz "Raf"</t>
  </si>
  <si>
    <t>rizag@simple.biz</t>
  </si>
  <si>
    <t>Guia, Rizaline "Riza"</t>
  </si>
  <si>
    <t>kayc@simple.biz</t>
  </si>
  <si>
    <t>Cuizon, Sarah Kay "Kay"</t>
  </si>
  <si>
    <t>aubreyt@simple.biz</t>
  </si>
  <si>
    <t>Tulaña, Aubrey Joy "Aubrey"</t>
  </si>
  <si>
    <t>rachelc@simple.biz</t>
  </si>
  <si>
    <t>Cagape, Rachel Amor Ybio "Rachel"</t>
  </si>
  <si>
    <t>izrahm@simple.biz</t>
  </si>
  <si>
    <t>Macute, Nur-Izrah "Izrah"</t>
  </si>
  <si>
    <t>marka@simple.biz</t>
  </si>
  <si>
    <t>arriola, mark anthony "Mark"</t>
  </si>
  <si>
    <t>gioa@simple.biz</t>
  </si>
  <si>
    <t>Andres, Gio Patrick "Gio"</t>
  </si>
  <si>
    <t>marya@simple.biz</t>
  </si>
  <si>
    <t>Arche, Mary Ann "Mary"</t>
  </si>
  <si>
    <t>louiser@simple.biz</t>
  </si>
  <si>
    <t>Ramiro, Mary Louise "Louise"</t>
  </si>
  <si>
    <t>Ompad, Mark Jhoswie "MJ"</t>
  </si>
  <si>
    <t>davidd@simple.biz</t>
  </si>
  <si>
    <t>Dumlao, David Jazz "David"</t>
  </si>
  <si>
    <t>yowc@simple.biz</t>
  </si>
  <si>
    <t>Cahilog, Eiaou R "Yow"</t>
  </si>
  <si>
    <t>gregl@simple.biz</t>
  </si>
  <si>
    <t>Lopez, Gregory "Greg"</t>
  </si>
  <si>
    <t>jaym@simple.biz</t>
  </si>
  <si>
    <t>Mckeehan, Jeremie Matthew "Jay"</t>
  </si>
  <si>
    <t>joshl@simple.biz</t>
  </si>
  <si>
    <t>Labrada, Joshua "Josh"</t>
  </si>
  <si>
    <t>jtt@simple.biz</t>
  </si>
  <si>
    <t>Toral, Jay Ann "JT"</t>
  </si>
  <si>
    <t>limq@simple.biz</t>
  </si>
  <si>
    <t>Quejada, John Limoel "Lim"</t>
  </si>
  <si>
    <t>jemarieo@simple.biz</t>
  </si>
  <si>
    <t>Oncines, Jemarie Niño "Jemarie"</t>
  </si>
  <si>
    <t>feyd@simple.biz</t>
  </si>
  <si>
    <t>Dacayana, Lady Feyr "Fey"</t>
  </si>
  <si>
    <t>patp@simple.biz</t>
  </si>
  <si>
    <t>Pasagui, Patrick Megan "Pat"</t>
  </si>
  <si>
    <t>pena@simple.biz</t>
  </si>
  <si>
    <t>Abbugao, Penelope "Pen"</t>
  </si>
  <si>
    <t>piap@simple.biz</t>
  </si>
  <si>
    <t>Pil, Pia Amor "Pia"</t>
  </si>
  <si>
    <t>rossetted@simple.biz</t>
  </si>
  <si>
    <t>filc@simple.biz</t>
  </si>
  <si>
    <t>Cagas, Hamad Filip "Fil</t>
  </si>
  <si>
    <t>bryane@simple.biz</t>
  </si>
  <si>
    <t>Ambos, Bryan James "Byan"</t>
  </si>
  <si>
    <t>claudep@simple.biz</t>
  </si>
  <si>
    <t>Punay, Claudine A "Claude"</t>
  </si>
  <si>
    <t>froilanm@simple.biz</t>
  </si>
  <si>
    <t>Miranda, Mark Froilan "Mark"</t>
  </si>
  <si>
    <t>jasperm@simple.biz</t>
  </si>
  <si>
    <t>Moreno, Jasper Jay "Jasper"</t>
  </si>
  <si>
    <t>aceeo@simple.biz</t>
  </si>
  <si>
    <t>Ocampo, Ace Marie "Acee"</t>
  </si>
  <si>
    <t>diannev@simple.biz</t>
  </si>
  <si>
    <t>Valleser, Dianne May "Dianne"</t>
  </si>
  <si>
    <t>jimb@simple.biz</t>
  </si>
  <si>
    <t>Boongaling, Gim Clark "Jim"</t>
  </si>
  <si>
    <t>allynp@simple.biz</t>
  </si>
  <si>
    <t>Pinto, Jo Allyn Tomo "Allyn"</t>
  </si>
  <si>
    <t>kathleent@simple.biz</t>
  </si>
  <si>
    <t>Tutor, Kathleen "Kathleen"</t>
  </si>
  <si>
    <t>vernet@simple.biz</t>
  </si>
  <si>
    <t>Tacson, Verne Jhun Aralar "Verne"</t>
  </si>
  <si>
    <t>field@simple.biz</t>
  </si>
  <si>
    <t>Deguito, Fiel</t>
  </si>
  <si>
    <t>cessp@simple.biz</t>
  </si>
  <si>
    <t>Perez, Princess Joan "Cess"</t>
  </si>
  <si>
    <t>mainm@simple.biz</t>
  </si>
  <si>
    <t>Magno, Germain "Main"</t>
  </si>
  <si>
    <t>Escultor, Jonathan "Jon"</t>
  </si>
  <si>
    <t>Gonzales, Clarise "Clang"</t>
  </si>
  <si>
    <t>Pasay, Gene Alphonse "Gene"</t>
  </si>
  <si>
    <t>Alvarez, Jecky "Jeck"</t>
  </si>
  <si>
    <t>jhonb@simple.biz</t>
  </si>
  <si>
    <t>Babor, Jhon Meeko "Jhon"</t>
  </si>
  <si>
    <t>brianb@simple.biz</t>
  </si>
  <si>
    <t>Beljera, Brian "Brian"</t>
  </si>
  <si>
    <t>geld@simple.biz</t>
  </si>
  <si>
    <t>Diaz, Argel Edward "Gel"</t>
  </si>
  <si>
    <t>rays@simple.biz</t>
  </si>
  <si>
    <t>Sitchon, Reumel "Mel"</t>
  </si>
  <si>
    <t>nathand@simple.biz</t>
  </si>
  <si>
    <t>Daud, Nor Ibrahim "Nathan"</t>
  </si>
  <si>
    <t>carolc@simple.biz</t>
  </si>
  <si>
    <t>Cuadra, Carolyn Dela "Carol"</t>
  </si>
  <si>
    <t>endoc@simple.biz</t>
  </si>
  <si>
    <t>Cruz, John Endo "Endo"</t>
  </si>
  <si>
    <t>nessv@simple.biz</t>
  </si>
  <si>
    <t>Virtudes, Beness "Ness"</t>
  </si>
  <si>
    <t>jackiej@simple.biz</t>
  </si>
  <si>
    <t>Jose, Jacqueline "Jackie"</t>
  </si>
  <si>
    <t>yamp@simple.biz</t>
  </si>
  <si>
    <t>Perez, Mariam "Yam"</t>
  </si>
  <si>
    <t>raphs@simple.biz</t>
  </si>
  <si>
    <t>Sepnio, Raphael "Raph"</t>
  </si>
  <si>
    <t>maet@simple.biz</t>
  </si>
  <si>
    <t>Tiongco, Sarian Mae "Mae"</t>
  </si>
  <si>
    <t>karlc@simple.biz</t>
  </si>
  <si>
    <t>Campos, Karl Leister "Karl"</t>
  </si>
  <si>
    <t>charmd@simple.biz</t>
  </si>
  <si>
    <t>Deleverio, Charmaine "Charm"</t>
  </si>
  <si>
    <t>edi@simple.biz</t>
  </si>
  <si>
    <t>Infante, Eddie boy</t>
  </si>
  <si>
    <t>jerrekl@simple.biz</t>
  </si>
  <si>
    <t>Noynay, Karl</t>
  </si>
  <si>
    <t>noelm@simple.biz</t>
  </si>
  <si>
    <t>Manlulu, Noel "Noel"</t>
  </si>
  <si>
    <t>lynnb@simple.biz</t>
  </si>
  <si>
    <t>shaie@simple.biz</t>
  </si>
  <si>
    <t>chrisw@simple.biz</t>
  </si>
  <si>
    <t>Wania, Christian Balatbat "Chris"</t>
  </si>
  <si>
    <t>rhysl@simple.biz</t>
  </si>
  <si>
    <t>Luz, Rhys Cyril Jair "Rhys"</t>
  </si>
  <si>
    <t>stepheng@simple.biz</t>
  </si>
  <si>
    <t>Gopez, John Stephen "Stephen"</t>
  </si>
  <si>
    <t>rizav@simple.biz</t>
  </si>
  <si>
    <t>Valmadrid, Riza "Riza"</t>
  </si>
  <si>
    <t>markc@simple.biz</t>
  </si>
  <si>
    <t>Cabahug, Mark Chrisli "Mark"</t>
  </si>
  <si>
    <t>josied@simple.biz</t>
  </si>
  <si>
    <t>Doon, Josephine "Josie"</t>
  </si>
  <si>
    <t>reyd@simple.biz</t>
  </si>
  <si>
    <t>Demaisip, "Rey" Six Four</t>
  </si>
  <si>
    <t>vanr@simple.biz</t>
  </si>
  <si>
    <t>Roldan, Vandamm "Van"</t>
  </si>
  <si>
    <t>willt@simple.biz</t>
  </si>
  <si>
    <t>Tambaoan, Wilfred "Will"</t>
  </si>
  <si>
    <t>yujit@simple.biz</t>
  </si>
  <si>
    <t>Tsukamoto Yuji "Yuji"</t>
  </si>
  <si>
    <t>mitsa@simple.biz</t>
  </si>
  <si>
    <t>Aguilar Mitsume "Mits"</t>
  </si>
  <si>
    <t>mickyr@simple.biz</t>
  </si>
  <si>
    <t>Reynante, Micky Jenelyn A "Micky"</t>
  </si>
  <si>
    <t>arnoldb@simple.biz</t>
  </si>
  <si>
    <t>Balbin, Arnold "Arnold"</t>
  </si>
  <si>
    <t>jdd@simple.biz</t>
  </si>
  <si>
    <t>Dagatan, Jensen "JD"</t>
  </si>
  <si>
    <t>ninsr@simple.biz</t>
  </si>
  <si>
    <t>Rondez, Niño Ronald "Nins"</t>
  </si>
  <si>
    <t>cherryt@simple.biz</t>
  </si>
  <si>
    <t>Taguba, Cherry Ann "Cherry"</t>
  </si>
  <si>
    <t>Cababaro, Ellaica "Elle"</t>
  </si>
  <si>
    <t>maicsf@simple.biz</t>
  </si>
  <si>
    <t>Fuentes, Micah "Maics"</t>
  </si>
  <si>
    <t>queens@simple.biz</t>
  </si>
  <si>
    <t>Sasutana, Queen Ediefel "Queen"</t>
  </si>
  <si>
    <t>trixiec@simple.biz</t>
  </si>
  <si>
    <t>Calvadores, Trixie Nicole "Trixie"</t>
  </si>
  <si>
    <t>markd@simple.biz</t>
  </si>
  <si>
    <t>Descalzo, Mark Vincent</t>
  </si>
  <si>
    <t>jaket@simple.biz</t>
  </si>
  <si>
    <t>johnq@simple.biz</t>
  </si>
  <si>
    <t>Querijero, John Rhiel</t>
  </si>
  <si>
    <t>geloa@simple.biz</t>
  </si>
  <si>
    <t>Abuel, Paul Angelo R. "Gelo"</t>
  </si>
  <si>
    <t>cannys@simple.biz</t>
  </si>
  <si>
    <t>Savillo, Canny Rose "Canny"</t>
  </si>
  <si>
    <t>nesm@simple.biz</t>
  </si>
  <si>
    <t>Macajelos, Nessan "Nes”</t>
  </si>
  <si>
    <t>mackyj@simple.biz</t>
  </si>
  <si>
    <t>Jordan, Reymark Japon "Macky"</t>
  </si>
  <si>
    <t>edzg@simple.biz</t>
  </si>
  <si>
    <t>Garcia, Edlaine "Edz"</t>
  </si>
  <si>
    <t>erjiee@simple.biz</t>
  </si>
  <si>
    <t>Estolonio, Erjie "Erjie"</t>
  </si>
  <si>
    <t>lovelyc@simple.biz</t>
  </si>
  <si>
    <t>Celis, Lovely V "Love"</t>
  </si>
  <si>
    <t>Gersaniba, Andrew</t>
  </si>
  <si>
    <t>carlb@simple.biz</t>
  </si>
  <si>
    <t>Bernardo, Carl Phillip "Carl"</t>
  </si>
  <si>
    <t>josha@simple.biz</t>
  </si>
  <si>
    <t>Aquino, Joshua Jake "Josh"</t>
  </si>
  <si>
    <t>kimr@simple.biz</t>
  </si>
  <si>
    <t>Roxas, Kim Augusteine "Kim"</t>
  </si>
  <si>
    <t>mariam@simple.biz</t>
  </si>
  <si>
    <t>Magallano, Maria Corazon "Maria"</t>
  </si>
  <si>
    <t>crisc@simple.biz</t>
  </si>
  <si>
    <t>Cañete, Ma. Crismae Mae "Cris"</t>
  </si>
  <si>
    <t>jerryl@simple.biz</t>
  </si>
  <si>
    <t>Langcuyan, Jerelee "Jerry"</t>
  </si>
  <si>
    <t>beao@simple.biz</t>
  </si>
  <si>
    <t>Olarte, Bea Patricia "Bea"</t>
  </si>
  <si>
    <t>miguiellec@simple.biz</t>
  </si>
  <si>
    <t>Clemente, Juan Miguielle "Miguielle"</t>
  </si>
  <si>
    <t>johnryg@simple.biz</t>
  </si>
  <si>
    <t>Garbanzos, Johnry "John"</t>
  </si>
  <si>
    <t>alenm@simple.biz</t>
  </si>
  <si>
    <t>Mendoza Xerxis Alen "Alen"</t>
  </si>
  <si>
    <t>sheenai@simple.biz</t>
  </si>
  <si>
    <t>Inocencio, Sheena "Sheena"</t>
  </si>
  <si>
    <t>johannas@simple.biz</t>
  </si>
  <si>
    <t>Sacedon, Johanna Grace "Johanna"</t>
  </si>
  <si>
    <t>kcj@simple.biz</t>
  </si>
  <si>
    <t>De Jesus, KC Raquel "KC"</t>
  </si>
  <si>
    <t>rosed@simple.biz</t>
  </si>
  <si>
    <t>Dente, Rosemary Joy "Rose"</t>
  </si>
  <si>
    <t>jisaab@simple.biz</t>
  </si>
  <si>
    <t>Briones, Jesalyn "Jisaa"</t>
  </si>
  <si>
    <t>lanym@simple.biz</t>
  </si>
  <si>
    <t>Marasigan, Ma Lany "Ayie"</t>
  </si>
  <si>
    <t>kated@simple.biz</t>
  </si>
  <si>
    <t>Danao, Catline Rose "Kate</t>
  </si>
  <si>
    <t>leighl@simple.biz</t>
  </si>
  <si>
    <t>Lawa, Leigh "Leigh"</t>
  </si>
  <si>
    <t>maum@simple.biz</t>
  </si>
  <si>
    <t>Mempin, Maureen Anne "Mau"</t>
  </si>
  <si>
    <t>arcd@simple.biz</t>
  </si>
  <si>
    <t>Dordas, Arcturus "Arc"</t>
  </si>
  <si>
    <t>jakej@simple.biz</t>
  </si>
  <si>
    <t>Jackson, Jacob John "Jake"</t>
  </si>
  <si>
    <t>Calalo, Elorka "Eli"</t>
  </si>
  <si>
    <t>syim@simple.biz</t>
  </si>
  <si>
    <t>Marquez, Sheila "Syi"</t>
  </si>
  <si>
    <t>Manila, Trisha Kristi "Kaye"</t>
  </si>
  <si>
    <t>maryjv@simple.biz</t>
  </si>
  <si>
    <t>Venus, Mary Jane "Mary"</t>
  </si>
  <si>
    <t>gila@simple.biz</t>
  </si>
  <si>
    <t>camilleg@simple.biz</t>
  </si>
  <si>
    <t>Galang, Camille "Camille"</t>
  </si>
  <si>
    <t>ethanc@simple.biz</t>
  </si>
  <si>
    <t>Castro, Ethan Japhet L. "Ethan"</t>
  </si>
  <si>
    <t>eunicec@simple.biz</t>
  </si>
  <si>
    <t>Cabales, Eunice "Eunice"</t>
  </si>
  <si>
    <t>Gallo, Jhon Mark "John"</t>
  </si>
  <si>
    <t>leic@simple.biz</t>
  </si>
  <si>
    <t>Canlas, Lei "Lei"</t>
  </si>
  <si>
    <t>maimais@simple.biz</t>
  </si>
  <si>
    <t>Serman, Merill Tiffany "Maimai"</t>
  </si>
  <si>
    <t>treciae@simple.biz</t>
  </si>
  <si>
    <t>Entrolizo, Trecia "Trecia"</t>
  </si>
  <si>
    <t>alainp@simple.biz</t>
  </si>
  <si>
    <t>Peque, John Alain Ezron M. "Alain"</t>
  </si>
  <si>
    <t>russelm@simple.biz</t>
  </si>
  <si>
    <t>Russel Macabali "Russel"</t>
  </si>
  <si>
    <t>katet@simple.biz</t>
  </si>
  <si>
    <t>Tugna, Rencel Khate "Kate"</t>
  </si>
  <si>
    <t>hannesm@simple.biz</t>
  </si>
  <si>
    <t>Mendez, Hannes "Hannes"</t>
  </si>
  <si>
    <t>ktelc@simple.biz</t>
  </si>
  <si>
    <t>Catuday, Kristel Joy "Ktel"</t>
  </si>
  <si>
    <t>macp@simple.biz</t>
  </si>
  <si>
    <t>Pahunang Mark Anthony L. "Mac"</t>
  </si>
  <si>
    <t>tinz@simple.biz</t>
  </si>
  <si>
    <t>Zambra, Ma.Justine "Tin"</t>
  </si>
  <si>
    <t>jenl@simple.biz</t>
  </si>
  <si>
    <t>Lagos, Jennifer "Jen"</t>
  </si>
  <si>
    <t>erict@simple.biz</t>
  </si>
  <si>
    <t>Teano, Ericson "Eric"</t>
  </si>
  <si>
    <t>Mangawang, Clyde "Clyde"</t>
  </si>
  <si>
    <t>janinec@simple.biz</t>
  </si>
  <si>
    <t>Certeza, Janine M "Janine"</t>
  </si>
  <si>
    <t>km@simple.biz</t>
  </si>
  <si>
    <t>Melveda, Kerwin John "K"</t>
  </si>
  <si>
    <t>robm@simple.biz</t>
  </si>
  <si>
    <t>Mula, Robert "Rob”</t>
  </si>
  <si>
    <t>arjays@simple.biz</t>
  </si>
  <si>
    <t>Serafin, Arjay "Arjay"</t>
  </si>
  <si>
    <t>domt@simple.biz</t>
  </si>
  <si>
    <t>Traya, Domingo Jr. "Dom"</t>
  </si>
  <si>
    <t>sharissp@simple.biz</t>
  </si>
  <si>
    <t>Patubo, Shariss Gray "Shariss"</t>
  </si>
  <si>
    <t>dawnc@simple.biz</t>
  </si>
  <si>
    <t>Cagalawan, Dawn "Dawn"</t>
  </si>
  <si>
    <t>rodericks@simple.biz</t>
  </si>
  <si>
    <t>Santos, Roderick "Erick"</t>
  </si>
  <si>
    <t>reyc@simple.biz</t>
  </si>
  <si>
    <t>Castillo, Rey Andrew "Rey"</t>
  </si>
  <si>
    <t>sazr@simple.biz</t>
  </si>
  <si>
    <t>De Los Reyes, Sazel "Saz"</t>
  </si>
  <si>
    <t>aaronm@simple.biz</t>
  </si>
  <si>
    <t>Masajo, Aron Gabriem "Aaron"</t>
  </si>
  <si>
    <t>armandov@simple.biz</t>
  </si>
  <si>
    <t>Villanueva, Armando jr "Armando"</t>
  </si>
  <si>
    <t>elliem@simple.biz</t>
  </si>
  <si>
    <t>Mirabel, Ellie Geneva "Ellie"</t>
  </si>
  <si>
    <t>hanza@simple.biz</t>
  </si>
  <si>
    <t>Alpuerto, Hanzel "Hanz"</t>
  </si>
  <si>
    <t>christyc@simple.biz</t>
  </si>
  <si>
    <t>Calcetas, Joan Christy "Christy"</t>
  </si>
  <si>
    <t>jaypb@simple.biz</t>
  </si>
  <si>
    <t>jeffe@simple.biz</t>
  </si>
  <si>
    <t>Espiritu, Jafet "Jeff"</t>
  </si>
  <si>
    <t>jimm@simple.biz</t>
  </si>
  <si>
    <t>Mogawa, Algim "Jim"</t>
  </si>
  <si>
    <t>juniels@simple.biz</t>
  </si>
  <si>
    <t>Sarmiento, Juniel "Juniel"</t>
  </si>
  <si>
    <t>kb@simple.biz</t>
  </si>
  <si>
    <t>Barros, Kayela "K"</t>
  </si>
  <si>
    <t>michf@simple.biz</t>
  </si>
  <si>
    <t>Faidalan, Michelle "Mich"</t>
  </si>
  <si>
    <t>mikeyh@simple.biz</t>
  </si>
  <si>
    <t>Hernandez, Michael "Mikey"</t>
  </si>
  <si>
    <t>Sabino, Mel Astilla "Mel"</t>
  </si>
  <si>
    <t>nielc@simple.biz</t>
  </si>
  <si>
    <t>Cabilona, Niel "Niel"</t>
  </si>
  <si>
    <t>winniee@simple.biz</t>
  </si>
  <si>
    <t>Enrique, Winnie May "Winnie"</t>
  </si>
  <si>
    <t>chrisy@simple.biz</t>
  </si>
  <si>
    <t>Ysulat, Christian Dominique "Chris"</t>
  </si>
  <si>
    <t>charmainei@simple.biz</t>
  </si>
  <si>
    <t>Intud, Charmaine "Charmaine"</t>
  </si>
  <si>
    <t>dant@simple.biz</t>
  </si>
  <si>
    <t>Tantay, Danica Protacio "Dan"</t>
  </si>
  <si>
    <t>francisr@simple.biz</t>
  </si>
  <si>
    <t>Rubis, Francis "Francis"</t>
  </si>
  <si>
    <t>gaba@simple.biz</t>
  </si>
  <si>
    <t>Aquino, Gabrielle Isaac Morales "Gab"</t>
  </si>
  <si>
    <t>jomsb@simple.biz</t>
  </si>
  <si>
    <t>Benavides, Jomary "Joms"</t>
  </si>
  <si>
    <t>joshs@simple.biz</t>
  </si>
  <si>
    <t>Sergio, Josiah "Josh"</t>
  </si>
  <si>
    <t>johnmp@simple.biz</t>
  </si>
  <si>
    <t>Pascubillo, John Michael Brian "John"</t>
  </si>
  <si>
    <t>lanzs@simple.biz</t>
  </si>
  <si>
    <t>Saballa, Lanz Czar "Lanz"</t>
  </si>
  <si>
    <t>lupeo@simple.biz</t>
  </si>
  <si>
    <t>Olais, Lupe "Lupe"</t>
  </si>
  <si>
    <t>saml@simple.biz</t>
  </si>
  <si>
    <t>Laus, Psalms Christian "Sam"</t>
  </si>
  <si>
    <t>miloc@simple.biz</t>
  </si>
  <si>
    <t>Congreso, Remerlo D. "Milo"</t>
  </si>
  <si>
    <t>willp@simple.biz</t>
  </si>
  <si>
    <t>Pulido, William "Will"</t>
  </si>
  <si>
    <t>jennys@simple.biz</t>
  </si>
  <si>
    <t>Sexiona, Jenny "Jenny"</t>
  </si>
  <si>
    <t>rafp@simple.biz</t>
  </si>
  <si>
    <t>Polosan, John Rafael "Raf"</t>
  </si>
  <si>
    <t>ejb@simple.biz</t>
  </si>
  <si>
    <t>Berame, Eduardo Jr. "EJ"</t>
  </si>
  <si>
    <t>hansc@simple.biz</t>
  </si>
  <si>
    <t>Cabrera, Hans Clark Rommel "Hans"</t>
  </si>
  <si>
    <t>nicr@simple.biz</t>
  </si>
  <si>
    <t>Rodriguez, Nicholli Rodriguez "Nic"</t>
  </si>
  <si>
    <t>ellal@simple.biz</t>
  </si>
  <si>
    <t>Lavarez, Reizsha Ella May "Ella"</t>
  </si>
  <si>
    <t>rosea@simple.biz</t>
  </si>
  <si>
    <t>Anotado, Rose Jane G "Jane"</t>
  </si>
  <si>
    <t>bryt@simple.biz</t>
  </si>
  <si>
    <t>Ty, Bryan Dune "Bry</t>
  </si>
  <si>
    <t>aurai@simple.biz</t>
  </si>
  <si>
    <t>Ibañez, Auraluz A. "Aura"</t>
  </si>
  <si>
    <t>bellem@simple.biz</t>
  </si>
  <si>
    <t>Magalzo, Briar Rose "Belle"</t>
  </si>
  <si>
    <t>abb@simple.biz</t>
  </si>
  <si>
    <t>Ballais, Angel Ruth "Angel"</t>
  </si>
  <si>
    <t>lorensi@simple.biz</t>
  </si>
  <si>
    <t>Intino, Lorensito "Lorens"</t>
  </si>
  <si>
    <t>nesyc@simple.biz</t>
  </si>
  <si>
    <t>De La Cruz, Nesy "Nesy"</t>
  </si>
  <si>
    <t>kirbyb@simple.biz</t>
  </si>
  <si>
    <t>Bantayan, Romar "Kirby"</t>
  </si>
  <si>
    <t>amib@simple.biz</t>
  </si>
  <si>
    <t>Bacunawa, Almira "Ami"</t>
  </si>
  <si>
    <t>argelo@simple.biz</t>
  </si>
  <si>
    <t>Opina, Argel "Argel"</t>
  </si>
  <si>
    <t>shao@simple.biz</t>
  </si>
  <si>
    <t>Olaco, Elsha "Sha"</t>
  </si>
  <si>
    <t>gians@simple.biz</t>
  </si>
  <si>
    <t>Sabido, Gian Alfred P. "Gian"</t>
  </si>
  <si>
    <t>hapsam@simple.biz</t>
  </si>
  <si>
    <t>Mocles, Hapsa U "Hapsa"</t>
  </si>
  <si>
    <t>ianp@simple.biz</t>
  </si>
  <si>
    <t>Pangan, Ian Lloyd "Ian"</t>
  </si>
  <si>
    <t>joyced@simple.biz</t>
  </si>
  <si>
    <t>Deveza, Joyce Ann "Joyce"</t>
  </si>
  <si>
    <t>russc@simple.biz</t>
  </si>
  <si>
    <t>Carganilla, Russell "Russ"</t>
  </si>
  <si>
    <t>savs@simple.biz</t>
  </si>
  <si>
    <t>Sabido, Roger Jr. "Sav"</t>
  </si>
  <si>
    <t>robertg@simple.biz</t>
  </si>
  <si>
    <t>Galang, Robert Roman "Robert"</t>
  </si>
  <si>
    <t>chariso@simple.biz</t>
  </si>
  <si>
    <t>Orbiso, Charisma "Charis"</t>
  </si>
  <si>
    <t>hanss@simple.biz</t>
  </si>
  <si>
    <t>Sabellano, Hans Joseph "Hans"</t>
  </si>
  <si>
    <t>annb@simple.biz</t>
  </si>
  <si>
    <t>Belderol, Ashley Ann "Ashley"</t>
  </si>
  <si>
    <t>kenr@simple.biz</t>
  </si>
  <si>
    <t>Reyes, Kenneth Victor Delos "Ken"</t>
  </si>
  <si>
    <t>rizam@simple.biz</t>
  </si>
  <si>
    <t>Moya, Riza "Riza"</t>
  </si>
  <si>
    <t>angelab@simple.biz</t>
  </si>
  <si>
    <t>Barriga, Maria Angela "Angela"</t>
  </si>
  <si>
    <t>blessm@simple.biz</t>
  </si>
  <si>
    <t>Minorete, Blessing Grace "Bless"</t>
  </si>
  <si>
    <t>nicg@simple.biz</t>
  </si>
  <si>
    <t>Guinto, Nicholas "Nic"</t>
  </si>
  <si>
    <t>billy@simple.biz</t>
  </si>
  <si>
    <t>Yenogacio, Bill Glencil "Bill"</t>
  </si>
  <si>
    <t>jigsj@simple.biz</t>
  </si>
  <si>
    <t>Jugan, Randy John "Jigs"</t>
  </si>
  <si>
    <t>sweetp@simple.biz</t>
  </si>
  <si>
    <t>Paragas, Sweet Heziel "Sweet"</t>
  </si>
  <si>
    <t>Rosales, Clariza Mae "Clariz"</t>
  </si>
  <si>
    <t>luiso@simple.biz</t>
  </si>
  <si>
    <t>Ongteco, Alfonso Luis "Luis"</t>
  </si>
  <si>
    <t>Ty, Bryan Dune "Bry"</t>
  </si>
  <si>
    <t>diegoc@simple.biz</t>
  </si>
  <si>
    <t>Cagadas, Diego "Diego"</t>
  </si>
  <si>
    <t>Bundang, Kenneth Jasper "Ken"</t>
  </si>
  <si>
    <t>romeop@simple.biz</t>
  </si>
  <si>
    <t>Panganiban, Romeo "Romeo"</t>
  </si>
  <si>
    <t>arcr@simple.biz</t>
  </si>
  <si>
    <t>Arcel, Rose "Arc"</t>
  </si>
  <si>
    <t>choloh@simple.biz</t>
  </si>
  <si>
    <t>Hernandez, Cholo "Cholo"</t>
  </si>
  <si>
    <t>primes@simple.biz</t>
  </si>
  <si>
    <t>Santia, Preema Michah "Prime"</t>
  </si>
  <si>
    <t>triciam@simple.biz</t>
  </si>
  <si>
    <t>Masilungan, Anna Tricia "Tricia"</t>
  </si>
  <si>
    <t>ejm@simple.biz</t>
  </si>
  <si>
    <t>Melchor, Ej "EJ"</t>
  </si>
  <si>
    <t>eriellef@simple.biz</t>
  </si>
  <si>
    <t>Flores, Erielle "Erielle"</t>
  </si>
  <si>
    <t>josephf@simple.biz</t>
  </si>
  <si>
    <t>Florita, Joseph Anthony "Joseph"</t>
  </si>
  <si>
    <t>porsa@simple.biz</t>
  </si>
  <si>
    <t>Albino, Lucilito "Pors"</t>
  </si>
  <si>
    <t>nadjirp@simple.biz</t>
  </si>
  <si>
    <t>Poingan, Nadjir "Nadjir"</t>
  </si>
  <si>
    <t>Concepcion, Crisha Mae "Mae"</t>
  </si>
  <si>
    <t>edwarda@simple.biz</t>
  </si>
  <si>
    <t>Avila, Edward Joshua "Edward"</t>
  </si>
  <si>
    <t>joshuar@simple.biz</t>
  </si>
  <si>
    <t>Ramos Joshua Gabriel "Josh"</t>
  </si>
  <si>
    <t>neillp@simple.biz</t>
  </si>
  <si>
    <t>Perez, Neill Antoinette "Neill"</t>
  </si>
  <si>
    <t>sheryld@simple.biz</t>
  </si>
  <si>
    <t>Diano, Sheryl Aiza "Sheryl"</t>
  </si>
  <si>
    <t>Carmelotes, Teofilo Jr Bantilad "Fil"</t>
  </si>
  <si>
    <t>rayo@simple.biz</t>
  </si>
  <si>
    <t>Ocsio, Raynald "Ray"</t>
  </si>
  <si>
    <t>ariannep@simple.biz</t>
  </si>
  <si>
    <t>Patingo, Arianne Mae "Arianne"</t>
  </si>
  <si>
    <t>christineb@simple.biz</t>
  </si>
  <si>
    <t>Banlasan, Christine "Tin"</t>
  </si>
  <si>
    <t>howellm@simple.biz</t>
  </si>
  <si>
    <t>Masanque, Howell Joseph "Howell"</t>
  </si>
  <si>
    <t>sheleya@simple.biz</t>
  </si>
  <si>
    <t>Anievas, Sheley "Sheley"-</t>
  </si>
  <si>
    <t>chriss@simple.biz</t>
  </si>
  <si>
    <t>Santillan, Jc "Chris"</t>
  </si>
  <si>
    <t>maricard@simple.biz</t>
  </si>
  <si>
    <t>Docallos, Maricar "Maricar"</t>
  </si>
  <si>
    <t>cindyg@simple.biz</t>
  </si>
  <si>
    <t>Gonzales, Cindy "Cindy"</t>
  </si>
  <si>
    <t>robt@simple.biz</t>
  </si>
  <si>
    <t>Tantiado, Rob "Rob"</t>
  </si>
  <si>
    <t>vinzm@simple.biz</t>
  </si>
  <si>
    <t>Medina, Vince Hubert "Vinz"</t>
  </si>
  <si>
    <t>miahl@simple.biz</t>
  </si>
  <si>
    <t>Leosala , Nehemiah "Miah"</t>
  </si>
  <si>
    <t>jemv@simple.biz</t>
  </si>
  <si>
    <t>Vasquez, Jeremy "Jem"</t>
  </si>
  <si>
    <t>charlesc@simple.biz</t>
  </si>
  <si>
    <t>Dela Cruz, Charles Kerzey "Charles"</t>
  </si>
  <si>
    <t>angelc@simple.biz</t>
  </si>
  <si>
    <t>Cosep, Angel Mae "Angel"</t>
  </si>
  <si>
    <t>jhett@simple.biz</t>
  </si>
  <si>
    <t>Tiaba, Jheric "Jhet"</t>
  </si>
  <si>
    <t>marthap@simple.biz</t>
  </si>
  <si>
    <t>Prudente, Mardy "Martha"</t>
  </si>
  <si>
    <t>raychelleg@simple.biz</t>
  </si>
  <si>
    <t>Gerona, Raychelle Mae "Raychelle"</t>
  </si>
  <si>
    <t>cyt@simple.biz</t>
  </si>
  <si>
    <t>Dela Torre, Cyril John "Cy"</t>
  </si>
  <si>
    <t>justinb@simple.biz</t>
  </si>
  <si>
    <t>Borja, Justine "Justin"</t>
  </si>
  <si>
    <t>krishar@simple.biz</t>
  </si>
  <si>
    <t>Ramos, Krisha Linn "Krisha"</t>
  </si>
  <si>
    <t>lamberti@simple.biz</t>
  </si>
  <si>
    <t>Iranzo, Lambert "Lambert"</t>
  </si>
  <si>
    <t>njt@simple.biz</t>
  </si>
  <si>
    <t>Traquina, Nellen Jon "NJ"</t>
  </si>
  <si>
    <t>haarisr@simple.biz</t>
  </si>
  <si>
    <t>Rizvi, Haaris "Haaris"</t>
  </si>
  <si>
    <t>joycet@simple.biz</t>
  </si>
  <si>
    <t>Tan, Jeannette Joyce "Joyce"</t>
  </si>
  <si>
    <t>Dollente, Martius "David"</t>
  </si>
  <si>
    <t>mas@simple.biz</t>
  </si>
  <si>
    <t>Sapad, Mark Angelo "Mark"</t>
  </si>
  <si>
    <t>domv@simple.biz</t>
  </si>
  <si>
    <t>Ventura Jr, Dominador "Dom"</t>
  </si>
  <si>
    <t>bethm@simple.biz</t>
  </si>
  <si>
    <t>Marcelo. Elizabeth B "Beth"</t>
  </si>
  <si>
    <t>illyz@simple.biz</t>
  </si>
  <si>
    <t>Zara, Illy Nichole "Illy</t>
  </si>
  <si>
    <t>jofa@simple.biz</t>
  </si>
  <si>
    <t>Aroma, Jofrey Jr M. "Jof"</t>
  </si>
  <si>
    <t>jamesb@simple.biz</t>
  </si>
  <si>
    <t>Buenavista, Kristine James "James"</t>
  </si>
  <si>
    <t>kcr@simple.biz</t>
  </si>
  <si>
    <t>Regidor, Kc "KC"</t>
  </si>
  <si>
    <t>deep@simple.biz</t>
  </si>
  <si>
    <t>Panungcat, Lourdie Mie "Dee"</t>
  </si>
  <si>
    <t>marimara@simple.biz</t>
  </si>
  <si>
    <t>Abenido, Marimar "Mae"</t>
  </si>
  <si>
    <t>maxc@simple.biz</t>
  </si>
  <si>
    <t>Yeo, Maximo Jr "Max"</t>
  </si>
  <si>
    <t>dennisc@simple.biz</t>
  </si>
  <si>
    <t>Condes, Mark Dennis "Mark"</t>
  </si>
  <si>
    <t>merrye@simple.biz</t>
  </si>
  <si>
    <t>Estrada, MerryChrist "Merry"</t>
  </si>
  <si>
    <t>raquels@simple.biz</t>
  </si>
  <si>
    <t>Singuay, Raquel "Raquel"</t>
  </si>
  <si>
    <t>ronaldv@simple.biz</t>
  </si>
  <si>
    <t>Valdez, Ronald "Ronald"</t>
  </si>
  <si>
    <t>tishal@simple.biz</t>
  </si>
  <si>
    <t>Lumictin, Tisha Faye "Tisha"</t>
  </si>
  <si>
    <t>zm@simple.biz</t>
  </si>
  <si>
    <t>Montecalvo, Zerlyn "Z"</t>
  </si>
  <si>
    <t>gracej@simple.biz</t>
  </si>
  <si>
    <t>Jumawan, Nolee Grace "Grace"</t>
  </si>
  <si>
    <t>jelog@simple.biz</t>
  </si>
  <si>
    <t>Gabales, Jelohim "Jelo"</t>
  </si>
  <si>
    <t>emmanuelf@simple.biz</t>
  </si>
  <si>
    <t>Frivaldo, Emmanuel John "Emmanuel"</t>
  </si>
  <si>
    <t>airar@simple.biz</t>
  </si>
  <si>
    <t>Del Rosario, Aira "Aira"</t>
  </si>
  <si>
    <t>royp@simple.biz</t>
  </si>
  <si>
    <t>Parohinog, Elson Roy "Roy"</t>
  </si>
  <si>
    <t>winc@simple.biz</t>
  </si>
  <si>
    <t>Carandang, Erwin "Win"</t>
  </si>
  <si>
    <t>wengm@simple.biz</t>
  </si>
  <si>
    <t>Menor, Rowena Grace "Weng"</t>
  </si>
  <si>
    <t>angelaj@simple.biz</t>
  </si>
  <si>
    <t>San Juan, Ma Angela "Angela"</t>
  </si>
  <si>
    <t>niccab@simple.biz</t>
  </si>
  <si>
    <t>Barretto, Nicca "Nicca"</t>
  </si>
  <si>
    <t>valh@simple.biz</t>
  </si>
  <si>
    <t>Hiponia, Valerie "Val"</t>
  </si>
  <si>
    <t>Tabaranza, Christly Mae "Mae"</t>
  </si>
  <si>
    <t>bluee@simple.biz</t>
  </si>
  <si>
    <t>Omaña, Ebarle Zyndl "Blue"</t>
  </si>
  <si>
    <t>gerlier@simple.biz</t>
  </si>
  <si>
    <t>Rangas, Gerlie "Gerlie"</t>
  </si>
  <si>
    <t>lloydc@simple.biz</t>
  </si>
  <si>
    <t>Canut, Kevin lloyd "Kevin"</t>
  </si>
  <si>
    <t>louiseo@simple.biz</t>
  </si>
  <si>
    <t>Obsioma, Louise Marie "Louise"</t>
  </si>
  <si>
    <t>mathews@simple.biz</t>
  </si>
  <si>
    <t>Smith, Mathew "Mat"</t>
  </si>
  <si>
    <t>mitchp@simple.biz</t>
  </si>
  <si>
    <t>Pradillo, Michelle "Mitch"</t>
  </si>
  <si>
    <t>mgv@simple.biz</t>
  </si>
  <si>
    <t>Veric, Mary Grace "Mary"</t>
  </si>
  <si>
    <t>Bugna, Mary Nicole "Mary"</t>
  </si>
  <si>
    <t>natet@simple.biz</t>
  </si>
  <si>
    <t>Tradio, Nathaniel "Nate"</t>
  </si>
  <si>
    <t>pringa@simple.biz</t>
  </si>
  <si>
    <t>Agad, Princess Mae "Pring"</t>
  </si>
  <si>
    <t>rachelb@simple.biz</t>
  </si>
  <si>
    <t>Blas, Rachel Anne "Rachel"</t>
  </si>
  <si>
    <t>marielm@simple.biz</t>
  </si>
  <si>
    <t>Morallas, Mariel "Mariel"</t>
  </si>
  <si>
    <t>crisa@simple.biz</t>
  </si>
  <si>
    <t>Alonso, Cris Anthony "Cris"</t>
  </si>
  <si>
    <t>Sanchez, Fernando Ditche Jr "Fern"</t>
  </si>
  <si>
    <t>Aquino, Mark Angelo "Mark"</t>
  </si>
  <si>
    <t>ericm@simple.biz</t>
  </si>
  <si>
    <t>Manansala, Eric Gerome “Eric”</t>
  </si>
  <si>
    <t>maryannp@simple.biz</t>
  </si>
  <si>
    <t>princessr@simple.biz</t>
  </si>
  <si>
    <t>Rubis, Princess "Princess"</t>
  </si>
  <si>
    <t>jedm@simple.biz</t>
  </si>
  <si>
    <t>Mallapre, John Edison "Jed"</t>
  </si>
  <si>
    <t>lyna@simple.biz</t>
  </si>
  <si>
    <t>Apa, Lyndie "Lyn"</t>
  </si>
  <si>
    <t>Gerado, Rhic Zandro Royo "Rex"</t>
  </si>
  <si>
    <t>shirleya@simple.biz</t>
  </si>
  <si>
    <t>Atag, Shirley "Shirley"</t>
  </si>
  <si>
    <t>aprill@simple.biz</t>
  </si>
  <si>
    <t>Lapaz, April "April"</t>
  </si>
  <si>
    <t>roda@simple.biz</t>
  </si>
  <si>
    <t>Alejandre , Girod "Rod"</t>
  </si>
  <si>
    <t>aimberh@simple.biz</t>
  </si>
  <si>
    <t>Hernandez, Jhan Aimber Eunice "Aimber"</t>
  </si>
  <si>
    <t>harvsm@simple.biz</t>
  </si>
  <si>
    <t>Majuca, Harvy "Harvs"</t>
  </si>
  <si>
    <t>aizt@simple.biz</t>
  </si>
  <si>
    <t>Trinidad, Aileen A "Aiz"</t>
  </si>
  <si>
    <t>feebem@simple.biz</t>
  </si>
  <si>
    <t>Madeja, Feebetrisha Angela "Feebe"</t>
  </si>
  <si>
    <t>janec@simple.biz</t>
  </si>
  <si>
    <t>Cañazares, Lirca Jane "Jane"</t>
  </si>
  <si>
    <t>anneg@simple.biz</t>
  </si>
  <si>
    <t>Gutierrez, Mary Anne "Anne"</t>
  </si>
  <si>
    <t>kylen@simple.biz</t>
  </si>
  <si>
    <t>Nuñez, Mikael Cesar "Kyle"</t>
  </si>
  <si>
    <t>maddies@simple.biz</t>
  </si>
  <si>
    <t>Sabado, Madison Lori L "Maddie"</t>
  </si>
  <si>
    <t>ryej@simple.biz</t>
  </si>
  <si>
    <t>De Jesus, Ryan Rigel "Rye"</t>
  </si>
  <si>
    <t>Fernandez, Wilfredo Jr "Wil"</t>
  </si>
  <si>
    <t>daryls@simple.biz</t>
  </si>
  <si>
    <t>Santos, Daryl Adam "Daryl"</t>
  </si>
  <si>
    <t>Pahunang, Mark Anthony L. "Mac"</t>
  </si>
  <si>
    <t>breen@simple.biz</t>
  </si>
  <si>
    <t>Nalangan, Aubrey Therese "Bree"</t>
  </si>
  <si>
    <t>dona@simple.biz</t>
  </si>
  <si>
    <t>Antolin, Donato Jr "Don"</t>
  </si>
  <si>
    <t>giand@simple.biz</t>
  </si>
  <si>
    <t>De Leon, Gian Carlo "Gian"</t>
  </si>
  <si>
    <t>michellep@simple.biz</t>
  </si>
  <si>
    <t>Pekitpekit, Michelle "Mitch"</t>
  </si>
  <si>
    <t>neliab@simple.biz</t>
  </si>
  <si>
    <t>Boiser, Nelia "Nelia"</t>
  </si>
  <si>
    <t>raffyl@simple.biz</t>
  </si>
  <si>
    <t>Lopezbaños, Rafael N. "Raffy"</t>
  </si>
  <si>
    <t>angelicab@simple.biz</t>
  </si>
  <si>
    <t>Bayoneto, Angelica "Angel"</t>
  </si>
  <si>
    <t>annab@simple.biz</t>
  </si>
  <si>
    <t>Balagtas, Anna Mayer "Anna"</t>
  </si>
  <si>
    <t>gennyb@simple.biz</t>
  </si>
  <si>
    <t>Boongaling, Genny Marie "Genny"</t>
  </si>
  <si>
    <t>jhonp@simple.biz</t>
  </si>
  <si>
    <t>Padit, Jhon Petter "Jhon"</t>
  </si>
  <si>
    <t>Cargando, Kenneth "Kenneth"</t>
  </si>
  <si>
    <t>petea@simple.biz</t>
  </si>
  <si>
    <t>Araneta, Peter Jayson "Pete"</t>
  </si>
  <si>
    <t>vincentp@simple.biz</t>
  </si>
  <si>
    <t>Polo, Vincent Brian "Vincent"</t>
  </si>
  <si>
    <t>shielas@simple.biz</t>
  </si>
  <si>
    <t>Serra, Sheila Mae S "Shiela"</t>
  </si>
  <si>
    <t>roxys@simple.biz</t>
  </si>
  <si>
    <t>Simon, Roxanne Dilag "Roxy"</t>
  </si>
  <si>
    <t>johnpaulp@simple.biz</t>
  </si>
  <si>
    <t>Perez, John Paul "John"</t>
  </si>
  <si>
    <t>cassiusc@simple.biz</t>
  </si>
  <si>
    <t>Cortes, Cassius Clay E "Cassius"</t>
  </si>
  <si>
    <t>phetg@simple.biz</t>
  </si>
  <si>
    <t>Gumaga, Phet Reneel "Phet"</t>
  </si>
  <si>
    <t>abim@simple.biz</t>
  </si>
  <si>
    <t>Mabini, Abigail "Abi"</t>
  </si>
  <si>
    <t>annea@simple.biz</t>
  </si>
  <si>
    <t>Apostol, Anne Franchezka "Anne"</t>
  </si>
  <si>
    <t>herbertr@simple.biz</t>
  </si>
  <si>
    <t>Rayala, Herbert III "Herbert"</t>
  </si>
  <si>
    <t>jeang@simple.biz</t>
  </si>
  <si>
    <t>Gerra, Jean "Jean"</t>
  </si>
  <si>
    <t>kayec@simple.biz</t>
  </si>
  <si>
    <t>Cinco, Kaye Annie "Kaye"</t>
  </si>
  <si>
    <t>Samontan, Raynan Ballescas "Ray"</t>
  </si>
  <si>
    <t>shelao@simple.biz</t>
  </si>
  <si>
    <t>Obalobao, shela may "Shela"</t>
  </si>
  <si>
    <t>tyronev@simple.biz</t>
  </si>
  <si>
    <t>Valix, Tyrone Jasper "Tyrone'</t>
  </si>
  <si>
    <t>bradb@simple.biz</t>
  </si>
  <si>
    <t>Bayonon, Aldreen Brad "Brad"</t>
  </si>
  <si>
    <t>ashl@simple.biz</t>
  </si>
  <si>
    <t>Lizardo, Allyscia Ashley "Ash"</t>
  </si>
  <si>
    <t>anas@simple.biz</t>
  </si>
  <si>
    <t>Sarabia, Ana Mae M. "Ana"</t>
  </si>
  <si>
    <t>axle@simple.biz</t>
  </si>
  <si>
    <t>Edralin, Axl Ross "Axl"</t>
  </si>
  <si>
    <t>gloviem@simple.biz</t>
  </si>
  <si>
    <t>Manzanilla, Glovie Joy B "Glovie"</t>
  </si>
  <si>
    <t>bobd@simple.biz</t>
  </si>
  <si>
    <t>Delfin, Robert "Bob"</t>
  </si>
  <si>
    <t>rafm@simple.biz</t>
  </si>
  <si>
    <t>Morales, Rafael "Raffy"</t>
  </si>
  <si>
    <t>zeem@simple.biz</t>
  </si>
  <si>
    <t>Mirasol, Zoren A "Zee"</t>
  </si>
  <si>
    <t>inchetm@simple.biz</t>
  </si>
  <si>
    <t>Marasigan, Ma. Victoria "Inchet"</t>
  </si>
  <si>
    <t>Martinez John Leslie Garcia</t>
  </si>
  <si>
    <t>alb@simple.biz</t>
  </si>
  <si>
    <t>Butantan, Albern "Al"</t>
  </si>
  <si>
    <t>evap@simple.biz</t>
  </si>
  <si>
    <t>Pimentel, Eva Joy "Eva"</t>
  </si>
  <si>
    <t>roses@simple.biz</t>
  </si>
  <si>
    <t>Sardan, Rosemarie Marquez "Rose"</t>
  </si>
  <si>
    <t>Sancio, Franz Vincent "Franz"</t>
  </si>
  <si>
    <t>edg@simple.biz</t>
  </si>
  <si>
    <t>Genitar, Edgar Granada Jr "Ed"</t>
  </si>
  <si>
    <t>georgec@simple.biz</t>
  </si>
  <si>
    <t>Cadena, George Nikko Pelagio "George"</t>
  </si>
  <si>
    <t>christ@simple.biz</t>
  </si>
  <si>
    <t>Tibaldo, Chrismar "Chris"</t>
  </si>
  <si>
    <t>germainea@simple.biz</t>
  </si>
  <si>
    <t>Avelino, Germaine Fay Lo "Germaine"</t>
  </si>
  <si>
    <t>jadem@simple.biz</t>
  </si>
  <si>
    <t>Maglasang, Maxene Jade "Max"</t>
  </si>
  <si>
    <t>ving@simple.biz</t>
  </si>
  <si>
    <t>Gebe, Marvin "Vin"</t>
  </si>
  <si>
    <t>mikkap@simple.biz</t>
  </si>
  <si>
    <t>Ponce, Mikka Ela "Mikka"</t>
  </si>
  <si>
    <t>path@simple.biz</t>
  </si>
  <si>
    <t>Herrera, John Patrick "Pat"</t>
  </si>
  <si>
    <t>lexl@simple.biz</t>
  </si>
  <si>
    <t>De Leon, Lexter Hernandez "Lex"</t>
  </si>
  <si>
    <t>michaelp@simple.biz</t>
  </si>
  <si>
    <t>Paz, Michael Angelo "Mike"</t>
  </si>
  <si>
    <t>reginm@simple.biz</t>
  </si>
  <si>
    <t>Matus, Regin "Regin"</t>
  </si>
  <si>
    <t>guiam@simple.biz</t>
  </si>
  <si>
    <t>Martillano, Guia Sheri N. "Guia"</t>
  </si>
  <si>
    <t>kiml@simple.biz</t>
  </si>
  <si>
    <t>Labez, Kesel Mae "Kim"</t>
  </si>
  <si>
    <t>jomsa@simple.biz</t>
  </si>
  <si>
    <t>Arce, Jomar "Jom"</t>
  </si>
  <si>
    <t>dextert@simple.biz</t>
  </si>
  <si>
    <t>Tagulinao, Ryan Dexter "Dexter"</t>
  </si>
  <si>
    <t>ralfp@simple.biz</t>
  </si>
  <si>
    <t>Pamintuan, Joseph Ralf "Joe"</t>
  </si>
  <si>
    <t>raec@simple.biz</t>
  </si>
  <si>
    <t>Cuaresma, Arshile Rae "Rae"</t>
  </si>
  <si>
    <t>romm@simple.biz</t>
  </si>
  <si>
    <t>Morante, Romulus "Rom"</t>
  </si>
  <si>
    <t>aprilr@simple.biz</t>
  </si>
  <si>
    <t>Rodriguez, April Jean "April"</t>
  </si>
  <si>
    <t>jeffs@simple.biz</t>
  </si>
  <si>
    <t>Joeffrey Sarita "Jeff"</t>
  </si>
  <si>
    <t>kimg@simple.biz</t>
  </si>
  <si>
    <t>De Guzman, Kimberly C "Kim"</t>
  </si>
  <si>
    <t>Abucejo, Michael Norman "Mike"</t>
  </si>
  <si>
    <t>tigm@simple.biz</t>
  </si>
  <si>
    <t>Merlas, Tigran "Tig"</t>
  </si>
  <si>
    <t>camss@simple.biz</t>
  </si>
  <si>
    <t>Salvatierra, Camille "Cams"</t>
  </si>
  <si>
    <t>donv@simple.biz</t>
  </si>
  <si>
    <t>Valenzuela, Donna Espiritu "Don"</t>
  </si>
  <si>
    <t>freyap@simple.biz</t>
  </si>
  <si>
    <t>Pilpa, Freya Mikaela "Freya"</t>
  </si>
  <si>
    <t>vrixn@simple.biz</t>
  </si>
  <si>
    <t>Navarro, Jan Vrix Martin V.</t>
  </si>
  <si>
    <t>reda@simple.biz</t>
  </si>
  <si>
    <t>Anquillano, Redenthor "Red"</t>
  </si>
  <si>
    <t>ryanr@simple.biz</t>
  </si>
  <si>
    <t>Rashid, Rayyan Hadji "Ryan"</t>
  </si>
  <si>
    <t>christiannr@simple.biz</t>
  </si>
  <si>
    <t>Roa, Christian "Chris"</t>
  </si>
  <si>
    <t>olivia@simple.biz</t>
  </si>
  <si>
    <t>Martin, Avi Pearl "Abby"</t>
  </si>
  <si>
    <t>Villegas, Clint Raven "Clint"</t>
  </si>
  <si>
    <t>jessh@simple.biz</t>
  </si>
  <si>
    <t>Heredia, Jessa marie "Jess"</t>
  </si>
  <si>
    <t>beckyp@simple.biz</t>
  </si>
  <si>
    <t>Pascual, Rebecca "Becky"</t>
  </si>
  <si>
    <t>gracec@simple.biz</t>
  </si>
  <si>
    <t>Custodio, Grace L "Grace"</t>
  </si>
  <si>
    <t>lerav@simple.biz</t>
  </si>
  <si>
    <t>Valenzuela, Lera Mae "Lera"</t>
  </si>
  <si>
    <t>melissaj@simple.biz</t>
  </si>
  <si>
    <t>Javellana, Melisande Anthea "Melissa"</t>
  </si>
  <si>
    <t>marvinj@simple.biz</t>
  </si>
  <si>
    <t>Julian, Marvin Jay “Marvin”</t>
  </si>
  <si>
    <t>dinahb@simple.biz</t>
  </si>
  <si>
    <t>Balante, Ardinah Grace "Dinah"</t>
  </si>
  <si>
    <t>Gabales, Christian "Chris"</t>
  </si>
  <si>
    <t>seana@simple.biz</t>
  </si>
  <si>
    <t>Arriesgado, Christian Mart "Sean"</t>
  </si>
  <si>
    <t>joshm@simple.biz</t>
  </si>
  <si>
    <t>Macabio, Joshua "Josh"</t>
  </si>
  <si>
    <t>junelv@simple.biz</t>
  </si>
  <si>
    <t>Valles, Junel "Junel"</t>
  </si>
  <si>
    <t>kingg@simple.biz</t>
  </si>
  <si>
    <t>Galvez, King Miro Franz "King"</t>
  </si>
  <si>
    <t>reymarkj@simple.biz</t>
  </si>
  <si>
    <t>Jordan, Reymark "Reymark"</t>
  </si>
  <si>
    <t>sheryls@simple.biz</t>
  </si>
  <si>
    <t>Sotelliza, Sheryl "Sheryl"</t>
  </si>
  <si>
    <t>syedp@simple.biz</t>
  </si>
  <si>
    <t>Pikit, Syed "Syed"</t>
  </si>
  <si>
    <t>Aguilar, Mitsume "Mits"</t>
  </si>
  <si>
    <t>zekg@simple.biz</t>
  </si>
  <si>
    <t>Gil, Ezekiel "Zek"</t>
  </si>
  <si>
    <t>edenm@simple.biz</t>
  </si>
  <si>
    <t>Mateos, Eden Joy "Eden"</t>
  </si>
  <si>
    <t>phoebee@simple.biz</t>
  </si>
  <si>
    <t>Elbiña, Phoebe A. "Phoebe"</t>
  </si>
  <si>
    <t>aceo@simple.biz</t>
  </si>
  <si>
    <t>Ortiz, Vernon Ace R "Ace"</t>
  </si>
  <si>
    <t>alfredg@simple.biz</t>
  </si>
  <si>
    <t>Gabon, Alfredo III “Alfred”</t>
  </si>
  <si>
    <t>felizac@simple.biz</t>
  </si>
  <si>
    <t>Capuyon, Feliza "Feliza"</t>
  </si>
  <si>
    <t>jacs@simple.biz</t>
  </si>
  <si>
    <t>Simon, Jaclyn "Jac"</t>
  </si>
  <si>
    <t>west@simple.biz</t>
  </si>
  <si>
    <t>Tobino, Wesley Duave "Wes"</t>
  </si>
  <si>
    <t>joshe@simple.biz</t>
  </si>
  <si>
    <t>Edis, Joshua "Josh"</t>
  </si>
  <si>
    <t>mirah@simple.biz</t>
  </si>
  <si>
    <t>Hapitan, Mira Nina "Mira"</t>
  </si>
  <si>
    <t>kena@simple.biz</t>
  </si>
  <si>
    <t>Aguilar, Rafael Kenneth "Ken"</t>
  </si>
  <si>
    <t>jay-arc@simple.biz</t>
  </si>
  <si>
    <t>Castaños, Jr Allan "Jay Ar"</t>
  </si>
  <si>
    <t>irav@simple.biz</t>
  </si>
  <si>
    <t>Villanueva, Ira Marie "Ira"</t>
  </si>
  <si>
    <t>irism@simple.biz</t>
  </si>
  <si>
    <t>Moncada Iris "Iris"</t>
  </si>
  <si>
    <t>klenna@simple.biz</t>
  </si>
  <si>
    <t>Adlawan, Klenn Karlo "Klenn"</t>
  </si>
  <si>
    <t>davea@simple.biz</t>
  </si>
  <si>
    <t>Alabado, Mark Davis "Dave"</t>
  </si>
  <si>
    <t>melg@simple.biz</t>
  </si>
  <si>
    <t>Gomez, Mel Lian 'Mel"</t>
  </si>
  <si>
    <t>clearc@simple.biz</t>
  </si>
  <si>
    <t>Cuizon, Therance Clear "Clear"</t>
  </si>
  <si>
    <t>jjr@simple.biz</t>
  </si>
  <si>
    <t>Romero, Jc John "JC"</t>
  </si>
  <si>
    <t>Naid, Hazel Rose "Z"</t>
  </si>
  <si>
    <t>altheal@simple.biz</t>
  </si>
  <si>
    <t>Liwanen, Althea Chariz Ilalim "Althea"</t>
  </si>
  <si>
    <t>beautyi@simple.biz</t>
  </si>
  <si>
    <t>Insepedo, Beauty "Beauty"</t>
  </si>
  <si>
    <t>cynthiaf@simple.biz</t>
  </si>
  <si>
    <t>Fenwick, Cynthia "Cynthia"</t>
  </si>
  <si>
    <t>elfea@simple.biz</t>
  </si>
  <si>
    <t>AU, Elfe "Elfe"</t>
  </si>
  <si>
    <t>kiaa@simple.biz</t>
  </si>
  <si>
    <t>Aggabao, Kia Camille "Kia"</t>
  </si>
  <si>
    <t>vieg@simple.biz</t>
  </si>
  <si>
    <t>Gonzales, Avon "Vie"</t>
  </si>
  <si>
    <t>marcog@simple.biz</t>
  </si>
  <si>
    <t>Garces, Bjorn Marco "Marco"</t>
  </si>
  <si>
    <t>hannac@simple.biz</t>
  </si>
  <si>
    <t>Cabatana, Hanalee "Hanna"</t>
  </si>
  <si>
    <t>hannahb@simple.biz</t>
  </si>
  <si>
    <t>Borinaga, Hannan Shakira "Hannah"</t>
  </si>
  <si>
    <t>michaelm@simple.biz</t>
  </si>
  <si>
    <t>Manansala, John Michael "Mike"</t>
  </si>
  <si>
    <t>maggiec@simple.biz</t>
  </si>
  <si>
    <t>Maraño, Margie Borja "Maggie"</t>
  </si>
  <si>
    <t>ninor@simple.biz</t>
  </si>
  <si>
    <t>Raytos, Nino "Nino"</t>
  </si>
  <si>
    <t>shamsg@simple.biz</t>
  </si>
  <si>
    <t>Garangan, Shamiah Windlyn Quieta "Shams"</t>
  </si>
  <si>
    <t>francoism@simple.biz</t>
  </si>
  <si>
    <t>Manrique, Francois Claire "France</t>
  </si>
  <si>
    <t>gioq@simple.biz</t>
  </si>
  <si>
    <t>Querijero, Gio "Gio"</t>
  </si>
  <si>
    <t>Reyes, Joshua Dawn Delos "Josh"</t>
  </si>
  <si>
    <t>kail@simple.biz</t>
  </si>
  <si>
    <t>Shekinah, Joyce Lorenzo "Kai"</t>
  </si>
  <si>
    <t>jeanc@simple.biz</t>
  </si>
  <si>
    <t>Cruz, Jhean Pauline "Jean"</t>
  </si>
  <si>
    <t>joannas@simple.biz</t>
  </si>
  <si>
    <t>Saniel, Joanna Xenia "Joanna"</t>
  </si>
  <si>
    <t>lanied@simple.biz</t>
  </si>
  <si>
    <t>Diego, Mary Lanie "Lanie"</t>
  </si>
  <si>
    <t>markusu@simple.biz</t>
  </si>
  <si>
    <t>Unabia, Mark Ken "Markus"</t>
  </si>
  <si>
    <t>wynnd@simple.biz</t>
  </si>
  <si>
    <t>Durado, Wynnvie Rico "Wynn"</t>
  </si>
  <si>
    <t>jammers@simple.biz</t>
  </si>
  <si>
    <t>Solijon, Jammer "Jam"</t>
  </si>
  <si>
    <t>jay-ra@simple.biz</t>
  </si>
  <si>
    <t>Avellana, Jay-R "Jay"</t>
  </si>
  <si>
    <t>austines@simple.biz</t>
  </si>
  <si>
    <t>Austine, Arnold Simba</t>
  </si>
  <si>
    <t>fredq@simple.biz</t>
  </si>
  <si>
    <t>Quidato, Freddie Bayaga "Fred"</t>
  </si>
  <si>
    <t>jessicad@simple.biz</t>
  </si>
  <si>
    <t>Dales, Jessica "Jessica"</t>
  </si>
  <si>
    <t>jbc@simple.biz</t>
  </si>
  <si>
    <t>Chanco, John Bernard "JB"</t>
  </si>
  <si>
    <t>adrianf@simple.biz</t>
  </si>
  <si>
    <t>Ferrer, Mark Adrian "Mark"</t>
  </si>
  <si>
    <t>olit@simple.biz</t>
  </si>
  <si>
    <t>Tamondon, Oliver "Oli"</t>
  </si>
  <si>
    <t>roxyb@simple.biz</t>
  </si>
  <si>
    <t>Bautista, Roxanne Joie "Roxy"</t>
  </si>
  <si>
    <t>amyp@simple.biz</t>
  </si>
  <si>
    <t>Perin, Amites "Amy"</t>
  </si>
  <si>
    <t>zaka@simple.biz</t>
  </si>
  <si>
    <t>Asackil, Aguell "Zak"</t>
  </si>
  <si>
    <t>Villarosa, Jemima "Jem"</t>
  </si>
  <si>
    <t>lal@simple.biz</t>
  </si>
  <si>
    <t>rogerc@simple.biz</t>
  </si>
  <si>
    <t>CASTRO, ROGER "Roger"</t>
  </si>
  <si>
    <t>domd@simple.biz</t>
  </si>
  <si>
    <t>Dubouzet, Arly Dominique R. "Dom"</t>
  </si>
  <si>
    <t>briceb@simple.biz</t>
  </si>
  <si>
    <t>Buenaventura, Brice "Brice"</t>
  </si>
  <si>
    <t>ejr@simple.biz</t>
  </si>
  <si>
    <t>Rellora, EJ "EJ"</t>
  </si>
  <si>
    <t>jani@simple.biz</t>
  </si>
  <si>
    <t>Ignacio, Jan Niño "Jan"</t>
  </si>
  <si>
    <t>kenns@simple.biz</t>
  </si>
  <si>
    <t>Sampiano, Kenneth James Jorolan "Kenn"</t>
  </si>
  <si>
    <t>jerim@simple.biz</t>
  </si>
  <si>
    <t>Sta, Maria Jeri "Jeri"</t>
  </si>
  <si>
    <t>krystalb@simple.biz</t>
  </si>
  <si>
    <t>Barredo, Krystal Shaynne "Krystal"</t>
  </si>
  <si>
    <t>kimc@simple.biz</t>
  </si>
  <si>
    <t>Cabual, Kim Micah "Kim"</t>
  </si>
  <si>
    <t>jays@simple.biz</t>
  </si>
  <si>
    <t>Sarmiento, Jaymar "Jay"</t>
  </si>
  <si>
    <t>marianp@simple.biz</t>
  </si>
  <si>
    <t>Pasamba, Angelique "Marian"</t>
  </si>
  <si>
    <t>karylj@simple.biz</t>
  </si>
  <si>
    <t>Jimenez, Karyl Jigs "Karyl"</t>
  </si>
  <si>
    <t>starb@simple.biz</t>
  </si>
  <si>
    <t>tinac@simple.biz</t>
  </si>
  <si>
    <t>Cabalfin, Christine "Tina"</t>
  </si>
  <si>
    <t>clintong@simple.biz</t>
  </si>
  <si>
    <t>Guevarra, Clinton "Clinton"</t>
  </si>
  <si>
    <t>chelb@simple.biz</t>
  </si>
  <si>
    <t>Ballesteros, Retchel "Chel"</t>
  </si>
  <si>
    <t>reynab@simple.biz</t>
  </si>
  <si>
    <t>Bermudez, Reyna Marie " Reyna"</t>
  </si>
  <si>
    <t>gaia@simple.biz</t>
  </si>
  <si>
    <t>Haggai, Abrigon "Gai"</t>
  </si>
  <si>
    <t>andreab@simple.biz</t>
  </si>
  <si>
    <t>Blanco, Andrea Rossan "Andrea"</t>
  </si>
  <si>
    <t>byronc@simple.biz</t>
  </si>
  <si>
    <t>Camat, Byron Philip "Byron"</t>
  </si>
  <si>
    <t>jkd@simple.biz</t>
  </si>
  <si>
    <t>Daoayan, James Kyle "JK"</t>
  </si>
  <si>
    <t>paula@simple.biz</t>
  </si>
  <si>
    <t>Antonio, Paul Stanley "Paul"</t>
  </si>
  <si>
    <t>Fernandez-Samama, Roxanne "Roxy"</t>
  </si>
  <si>
    <t>rodd@simple.biz</t>
  </si>
  <si>
    <t>Abuyen, Rod David “Rod”</t>
  </si>
  <si>
    <t>renzym@simple.biz</t>
  </si>
  <si>
    <t>Morano, Cesar "Renry"</t>
  </si>
  <si>
    <t>jersonc@simple.biz</t>
  </si>
  <si>
    <t>Caña, Jerson "Jerson"</t>
  </si>
  <si>
    <t>paua@simple.biz</t>
  </si>
  <si>
    <t>Almonte, Paul "Paul</t>
  </si>
  <si>
    <t>bobg@simple.biz</t>
  </si>
  <si>
    <t>Galimba, Dexter Paul "Bob"</t>
  </si>
  <si>
    <t>danb@simple.biz</t>
  </si>
  <si>
    <t>Bellord, Christopher Daniel "Dan"</t>
  </si>
  <si>
    <t>rams@simple.biz</t>
  </si>
  <si>
    <t>Sabisol, Rammel "Ram"</t>
  </si>
  <si>
    <t>rosellac@simple.biz</t>
  </si>
  <si>
    <t>Cesario, Rosella "Rosella"</t>
  </si>
  <si>
    <t>johnn@simple.biz</t>
  </si>
  <si>
    <t>Nieves, John Paul "John"</t>
  </si>
  <si>
    <t>Ramirez, Ralph William "Ralph"</t>
  </si>
  <si>
    <t>edryckm@simple.biz</t>
  </si>
  <si>
    <t>Mira, Edryck Mae N "Ed"</t>
  </si>
  <si>
    <t>fredi@simple.biz</t>
  </si>
  <si>
    <t>Sevilla III, Seigfredo "Fred"</t>
  </si>
  <si>
    <t>marjunm@simple.biz</t>
  </si>
  <si>
    <t>Macamay, Marjun "Marjun"</t>
  </si>
  <si>
    <t>melchezedeks@simple.biz</t>
  </si>
  <si>
    <t>Sumandang, Melchezedek "Mel"</t>
  </si>
  <si>
    <t>jeriemym@simple.biz</t>
  </si>
  <si>
    <t>Adove, Jeriemy Mckinly "Jeriemy"</t>
  </si>
  <si>
    <t>airahe@simple.biz</t>
  </si>
  <si>
    <t>Estologa, Airah Sol D. "Airah"</t>
  </si>
  <si>
    <t>jedp@simple.biz</t>
  </si>
  <si>
    <t>Porquez, Jeremy Jed "Jed"</t>
  </si>
  <si>
    <t>edm@simple.biz</t>
  </si>
  <si>
    <t>Mabaga, Edrown John "ED"</t>
  </si>
  <si>
    <t>ireneh@simple.biz</t>
  </si>
  <si>
    <t>Hernandez, Ma. Irene Ruth N. "Irene"</t>
  </si>
  <si>
    <t>Noynay, Karl Louie "Karl"</t>
  </si>
  <si>
    <t>dencyc@simple.biz</t>
  </si>
  <si>
    <t>Canonayon, Dency "Dency"</t>
  </si>
  <si>
    <t>richardm@simple.biz</t>
  </si>
  <si>
    <t>Manuyag, Richard Angelo "Richard"</t>
  </si>
  <si>
    <t>kasselm@simple.biz</t>
  </si>
  <si>
    <t>Macorol, Kassel "Kass"</t>
  </si>
  <si>
    <t>oliver@simple.biz</t>
  </si>
  <si>
    <t>Dela Rosa, Olivia Salud Bañaga "Olive"</t>
  </si>
  <si>
    <t>ashm@simple.biz</t>
  </si>
  <si>
    <t>Mohammad,Aisha "Ash"</t>
  </si>
  <si>
    <t>hopen@simple.biz</t>
  </si>
  <si>
    <t>Nava, Athena Hope "Hope"</t>
  </si>
  <si>
    <t>niels@simple.biz</t>
  </si>
  <si>
    <t>Sajulga, Nielyden "Niel"</t>
  </si>
  <si>
    <t>nicolev@simple.biz</t>
  </si>
  <si>
    <t>Vasquez, Nicole P "Nicole"</t>
  </si>
  <si>
    <t>harveye@simple.biz</t>
  </si>
  <si>
    <t>Ermino Harvey "Harvey"</t>
  </si>
  <si>
    <t>jamesd@simple.biz</t>
  </si>
  <si>
    <t>Demetilla, James Kevin "James"</t>
  </si>
  <si>
    <t>jiezelp@simple.biz</t>
  </si>
  <si>
    <t>Portallo, Jiezel Carmel B "Jiezel"</t>
  </si>
  <si>
    <t>johannar@simple.biz</t>
  </si>
  <si>
    <t>Rivera, Johanna "Johanna"</t>
  </si>
  <si>
    <t>julier@simple.biz</t>
  </si>
  <si>
    <t>Ramos, Julie Ann Medel "Julie"</t>
  </si>
  <si>
    <t>davec@simple.biz</t>
  </si>
  <si>
    <t>Villanueva, Laudimer Pastidio "Dave"</t>
  </si>
  <si>
    <t>Blanza, Mary "Mary"</t>
  </si>
  <si>
    <t>nicxa@simple.biz</t>
  </si>
  <si>
    <t>Amboy, Nicca "Nicx"</t>
  </si>
  <si>
    <t>ramona@simple.biz</t>
  </si>
  <si>
    <t>Acosta, Ramoncito "Ramon"</t>
  </si>
  <si>
    <t>lawrencet@simple.biz</t>
  </si>
  <si>
    <t>Tendenilla, Lawrence "Lawrence "</t>
  </si>
  <si>
    <t>cathd@simple.biz</t>
  </si>
  <si>
    <t>Dublin, Catherine "Cath"</t>
  </si>
  <si>
    <t>rockym@simple.biz</t>
  </si>
  <si>
    <t>Macalinga, Rocky Jedd "Rocky"</t>
  </si>
  <si>
    <t>emill@simple.biz</t>
  </si>
  <si>
    <t>De Leon, Emiliano "Emil"</t>
  </si>
  <si>
    <t>robp@simple.biz</t>
  </si>
  <si>
    <t>Pegorosa, Bel Robert "Rob"</t>
  </si>
  <si>
    <t>mgm@simple.biz</t>
  </si>
  <si>
    <t>Manalo, Mary Grace "MG"</t>
  </si>
  <si>
    <t>Infante, Eddie "ED"</t>
  </si>
  <si>
    <t>shellys@simple.biz</t>
  </si>
  <si>
    <t>joana@simple.biz</t>
  </si>
  <si>
    <t>Largo, Khenjie "Khen"</t>
  </si>
  <si>
    <t>clinti@simple.biz</t>
  </si>
  <si>
    <t>Imperial, Clinton I "Clint"</t>
  </si>
  <si>
    <t>karenb@simple.biz</t>
  </si>
  <si>
    <t>Bagarinao, Karen "Karen"</t>
  </si>
  <si>
    <t>chet@simple.biz</t>
  </si>
  <si>
    <t>Tecson, Ma. Theresa "Che"</t>
  </si>
  <si>
    <t>carlylec@simple.biz</t>
  </si>
  <si>
    <t>Cortes, Carlyle "Carlyle"</t>
  </si>
  <si>
    <t>eib@simple.biz</t>
  </si>
  <si>
    <t>Bermudez, Eileen A "Ei"</t>
  </si>
  <si>
    <t>juliusc@simple.biz</t>
  </si>
  <si>
    <t>Cañares Julius "Julius"</t>
  </si>
  <si>
    <t>carlav@simple.biz</t>
  </si>
  <si>
    <t>Virtucio, Carla Marie "Carla"</t>
  </si>
  <si>
    <t>keepsc@simple.biz</t>
  </si>
  <si>
    <t>iral@simple.biz</t>
  </si>
  <si>
    <t>Laude, Iranel "Ira"</t>
  </si>
  <si>
    <t>jamesg@simple.biz</t>
  </si>
  <si>
    <t>Globio, James "James"</t>
  </si>
  <si>
    <t>jans@simple.biz</t>
  </si>
  <si>
    <t>Sameon, Jan "Drey"</t>
  </si>
  <si>
    <t>jamesc@simple.biz</t>
  </si>
  <si>
    <t>Ceniza James John "James"</t>
  </si>
  <si>
    <t>Lota, Jayson "Jayson"</t>
  </si>
  <si>
    <t>jaysond@simple.biz</t>
  </si>
  <si>
    <t>Dao-ayan, Jayson O. "Jayson"</t>
  </si>
  <si>
    <t>mvv@simple.biz</t>
  </si>
  <si>
    <t>Villa Verde, Mark "Mark"</t>
  </si>
  <si>
    <t>marsec@simple.biz</t>
  </si>
  <si>
    <t>Cuenca, Marse Leonidas "Marse"</t>
  </si>
  <si>
    <t>dawna@simple.biz</t>
  </si>
  <si>
    <t>Arao, Dawn "Dawn"</t>
  </si>
  <si>
    <t>elzeng@simple.biz</t>
  </si>
  <si>
    <t>Guela, Elzen John "Elzen"</t>
  </si>
  <si>
    <t>jader@simple.biz</t>
  </si>
  <si>
    <t>Rosario, Jeremy Jade Del "Jade"</t>
  </si>
  <si>
    <t>jefff@simple.biz</t>
  </si>
  <si>
    <t>Felipe, Jeffersone "Jeff"</t>
  </si>
  <si>
    <t>jcc@simple.biz</t>
  </si>
  <si>
    <t>Calucag, Jan Cedric "JC</t>
  </si>
  <si>
    <t>leih@simple.biz</t>
  </si>
  <si>
    <t>Hidalgo, Najalei "Lei "</t>
  </si>
  <si>
    <t>annt@simple.biz</t>
  </si>
  <si>
    <t>Togonon, Rose Ann "Ann"</t>
  </si>
  <si>
    <t>roanaa@simple.biz</t>
  </si>
  <si>
    <t>Adriano, Roana Kaye "Roana"</t>
  </si>
  <si>
    <t>bellap@simple.biz</t>
  </si>
  <si>
    <t>Panopio, Ysabella Dawn "Bella"</t>
  </si>
  <si>
    <t>hannaa@simple.biz</t>
  </si>
  <si>
    <t>Abad, Hannah Lynn "Hannah"</t>
  </si>
  <si>
    <t>jonathani@simple.biz</t>
  </si>
  <si>
    <t>Ibale, Jonathan "Jonathan"</t>
  </si>
  <si>
    <t>stevenc@simple.biz</t>
  </si>
  <si>
    <t>Capoquian, Steven "Steve"</t>
  </si>
  <si>
    <t>reeds@simple.biz</t>
  </si>
  <si>
    <t>Salvador, Reed Jensen "Rees"</t>
  </si>
  <si>
    <t>robertb@simple.biz</t>
  </si>
  <si>
    <t>Bennett, Robert Tracy Nichole "Robert"</t>
  </si>
  <si>
    <t>rjm@simple.biz</t>
  </si>
  <si>
    <t>Mallorca, Rudel Jr "RJ"</t>
  </si>
  <si>
    <t>alexg@simple.biz</t>
  </si>
  <si>
    <t>Go, Alexander "Alex"</t>
  </si>
  <si>
    <t>ravena@simple.biz</t>
  </si>
  <si>
    <t>Alviar, Ace Raven "Ace"</t>
  </si>
  <si>
    <t>renrym@simple.biz</t>
  </si>
  <si>
    <t>geneo@simple.biz</t>
  </si>
  <si>
    <t>Ortiz, Gene Camille R. "Gene"</t>
  </si>
  <si>
    <t>reumels@simple.biz</t>
  </si>
  <si>
    <t>daniellea@simple.biz</t>
  </si>
  <si>
    <t>Arizapa, Danielle "Dan"</t>
  </si>
  <si>
    <t>davem@simple.biz</t>
  </si>
  <si>
    <t>Mendoza, Dave Alexys "Dave"</t>
  </si>
  <si>
    <t>erickp@simple.biz</t>
  </si>
  <si>
    <t>Polonan, Frederick</t>
  </si>
  <si>
    <t>delb@simple.biz</t>
  </si>
  <si>
    <t>Bancuyo, Medel "Del"</t>
  </si>
  <si>
    <t>renaa@simple.biz</t>
  </si>
  <si>
    <t>Alcanzare, Rebalyn S "Rena"</t>
  </si>
  <si>
    <t>cyrusn@simple.biz</t>
  </si>
  <si>
    <t>Nadal, Cyrus Van "Cyrus"</t>
  </si>
  <si>
    <t>Bacalla, Michael Ryan "Mike"</t>
  </si>
  <si>
    <t>djm@simple.biz</t>
  </si>
  <si>
    <t>Mahipus, Denny John "DJ"</t>
  </si>
  <si>
    <t>shunw@simple.biz</t>
  </si>
  <si>
    <t>Waniwan, Shun Albert "Shun"</t>
  </si>
  <si>
    <t>brym@simple.biz</t>
  </si>
  <si>
    <t>Magbanua, Bryden "Bry"</t>
  </si>
  <si>
    <t>patt@simple.biz</t>
  </si>
  <si>
    <t>Tanchingco, Maripaz "Pat"</t>
  </si>
  <si>
    <t>wenr@simple.biz</t>
  </si>
  <si>
    <t>Rallos, Wennielyn "Wen"</t>
  </si>
  <si>
    <t>briyllea@simple.biz</t>
  </si>
  <si>
    <t>Alivio, Briylle "Briylle"</t>
  </si>
  <si>
    <t>ivanz@simple.biz</t>
  </si>
  <si>
    <t>Zape, Ivan Earl S "Ivan"</t>
  </si>
  <si>
    <t>jasonb@simple.biz</t>
  </si>
  <si>
    <t>Brillo, Jason "Jason"</t>
  </si>
  <si>
    <t>yonc@simple.biz</t>
  </si>
  <si>
    <t>Cabudlan, Marion "Yon"</t>
  </si>
  <si>
    <t>aprilf@simple.biz</t>
  </si>
  <si>
    <t>Fahit, April "April"</t>
  </si>
  <si>
    <t>krisc@simple.biz</t>
  </si>
  <si>
    <t>Cañete, Kris Shantelle Maray "Kris"</t>
  </si>
  <si>
    <t>marvinl@simple.biz</t>
  </si>
  <si>
    <t>Lobrio, Marvin "Marv"</t>
  </si>
  <si>
    <t>pauld@simple.biz</t>
  </si>
  <si>
    <t>Dizon, Paul Keith Allind "Paul"</t>
  </si>
  <si>
    <t>reaa@simple.biz</t>
  </si>
  <si>
    <t>Alteza, Rea Grace "Rei"</t>
  </si>
  <si>
    <t>reynaldoh@simple.biz</t>
  </si>
  <si>
    <t>Hiballes, Reynaldo Jr " Rey"</t>
  </si>
  <si>
    <t>romd@simple.biz</t>
  </si>
  <si>
    <t>Delfin, Rommeld "Rom"</t>
  </si>
  <si>
    <t>reaniec@simple.biz</t>
  </si>
  <si>
    <t>Colaste, Reanie Adobo "Reanie"</t>
  </si>
  <si>
    <t>brianr@simple.biz</t>
  </si>
  <si>
    <t>Rieta, Brian Joshua "Brian"</t>
  </si>
  <si>
    <t>marip@simple.biz</t>
  </si>
  <si>
    <t>Panida, Marinol "Mari"</t>
  </si>
  <si>
    <t>brendav@simple.biz</t>
  </si>
  <si>
    <t>Dela Cruz Villanueva, Brenda Aizel "Brenda"</t>
  </si>
  <si>
    <t>jeffp@simple.biz</t>
  </si>
  <si>
    <t>Pepito, Jeff Nikko "Jeff"</t>
  </si>
  <si>
    <t>vincer@simple.biz</t>
  </si>
  <si>
    <t>Ramas, Allan Venci "Vince"</t>
  </si>
  <si>
    <t>artp@simple.biz</t>
  </si>
  <si>
    <t>Plaza, Art "Art"</t>
  </si>
  <si>
    <t>jeana@simple.biz</t>
  </si>
  <si>
    <t>Auditor, Jean "Jean"</t>
  </si>
  <si>
    <t>kevinu@simple.biz</t>
  </si>
  <si>
    <t>Uy, Kevin Karl "Kevin"</t>
  </si>
  <si>
    <t>jaysons@simple.biz</t>
  </si>
  <si>
    <t>Sevilla, Martin Jason "Jason"</t>
  </si>
  <si>
    <t>khaelg@simple.biz</t>
  </si>
  <si>
    <t>Generoso, Mikhael "Khael"</t>
  </si>
  <si>
    <t>vincentd@simple.biz</t>
  </si>
  <si>
    <t>David, Mark Vincent T "Mark"</t>
  </si>
  <si>
    <t>tackyt@simple.biz</t>
  </si>
  <si>
    <t>Tacuycuy, Adrian "Tacky"</t>
  </si>
  <si>
    <t>dollyl@simple.biz</t>
  </si>
  <si>
    <t>Lamban, Dolly "Dolly"</t>
  </si>
  <si>
    <t>jaih@simple.biz</t>
  </si>
  <si>
    <t>Hechanova, Jairah Mae "Jai"</t>
  </si>
  <si>
    <t>Amolo, Mark Anthony "Mark"</t>
  </si>
  <si>
    <t>Garde, Mark "Mark"</t>
  </si>
  <si>
    <t>claireg@simple.biz</t>
  </si>
  <si>
    <t>Garciano, Renclaire "Claire"</t>
  </si>
  <si>
    <t>rjl@simple.biz</t>
  </si>
  <si>
    <t>Lusabio, Renan Jon "RJ"</t>
  </si>
  <si>
    <t>arneea@simple.biz</t>
  </si>
  <si>
    <t>Aquino, Arnee "Arnee"</t>
  </si>
  <si>
    <t>dianaq@simple.biz</t>
  </si>
  <si>
    <t>Quintal, Diana "Diana"</t>
  </si>
  <si>
    <t>efrenr@simple.biz</t>
  </si>
  <si>
    <t>Regala, Efren John</t>
  </si>
  <si>
    <t>gerardb@simple.biz</t>
  </si>
  <si>
    <t>Bacaling, Gerard Martin "Gerard"</t>
  </si>
  <si>
    <t>junewardb@simple.biz</t>
  </si>
  <si>
    <t>Bianzon, Juneward "Jay"</t>
  </si>
  <si>
    <t>jimcarlob@simple.biz</t>
  </si>
  <si>
    <t>Buton, Jim Carlo "Jim"</t>
  </si>
  <si>
    <t>liezela@simple.biz</t>
  </si>
  <si>
    <t>Abayan, Liezel "Liezel"</t>
  </si>
  <si>
    <t>nicav@simple.biz</t>
  </si>
  <si>
    <t>Velez, Nica "Nica"</t>
  </si>
  <si>
    <t>shaner@simple.biz</t>
  </si>
  <si>
    <t>Rato, Shane Maureen " Shane"</t>
  </si>
  <si>
    <t>cristyb@simple.biz</t>
  </si>
  <si>
    <t>Baquiran, Maria Cristy "Cristy"</t>
  </si>
  <si>
    <t>kouh@simple.biz</t>
  </si>
  <si>
    <t>Hosseini, Kouther "Kou"</t>
  </si>
  <si>
    <t>liccac@simple.biz</t>
  </si>
  <si>
    <t>Castillo, Noreen Licca "Licca"</t>
  </si>
  <si>
    <t>cheriea@simple.biz</t>
  </si>
  <si>
    <t>Alumno, Cherie Ann "Cherie"</t>
  </si>
  <si>
    <t>noimeg@simple.biz</t>
  </si>
  <si>
    <t>Gaspar, Noime "Noime"</t>
  </si>
  <si>
    <t>Danao, Catline Rose "Kate"</t>
  </si>
  <si>
    <t>ruffamaeg@simple.biz</t>
  </si>
  <si>
    <t>Generalao, Ruffa Mae "Ruffa"</t>
  </si>
  <si>
    <t>tonrayc@simple.biz</t>
  </si>
  <si>
    <t>Caldoza,Tonray "Ray"</t>
  </si>
  <si>
    <t>cjc@simple.biz</t>
  </si>
  <si>
    <t>Cortes, Cee Jei "CJ"</t>
  </si>
  <si>
    <t>abih@simple.biz</t>
  </si>
  <si>
    <t>Hortizuela, Abigail C "Abi"</t>
  </si>
  <si>
    <t>iang@simple.biz</t>
  </si>
  <si>
    <t>Grampon, Ianfil "Ian"</t>
  </si>
  <si>
    <t>izzya@simple.biz</t>
  </si>
  <si>
    <t>Apora, Israel "Izzy"</t>
  </si>
  <si>
    <t>tobbiev@simple.biz</t>
  </si>
  <si>
    <t>Villafuerte, Tobbie Lance Villasanta "Tobbie"</t>
  </si>
  <si>
    <t>danm@simple.biz</t>
  </si>
  <si>
    <t>iand@simple.biz</t>
  </si>
  <si>
    <t>Davis, Kelly Ian "Ian"</t>
  </si>
  <si>
    <t>Rodrigo, Princess Niña "Princess"</t>
  </si>
  <si>
    <t>rholenc@simple.biz</t>
  </si>
  <si>
    <t>Cambal, Rholen Pitogo "Rholen"</t>
  </si>
  <si>
    <t>paull@simple.biz</t>
  </si>
  <si>
    <t>Ly , Gene Paul "Paul"</t>
  </si>
  <si>
    <t>Sillote, Jeoseph "Josh"</t>
  </si>
  <si>
    <t>janxelf@simple.biz</t>
  </si>
  <si>
    <t>Ferolino, Janxel Marie "Janxel"</t>
  </si>
  <si>
    <t>jcl@simple.biz</t>
  </si>
  <si>
    <t>Lelis, Jhoanna "JC"</t>
  </si>
  <si>
    <t>kimf@simple.biz</t>
  </si>
  <si>
    <t>Fabronero, Kim "Kim"</t>
  </si>
  <si>
    <t>mjd@simple.biz</t>
  </si>
  <si>
    <t>Dayanan, Marcelle John "MJ"</t>
  </si>
  <si>
    <t>dess@simple.biz</t>
  </si>
  <si>
    <t>Solangon, Ma. Lourdes Jean D. "Des"</t>
  </si>
  <si>
    <t>ruperts@simple.biz</t>
  </si>
  <si>
    <t>Santos, Rupert Morris "Rupert"</t>
  </si>
  <si>
    <t>patj@simple.biz</t>
  </si>
  <si>
    <t>Janier, Patrecia "Pat"</t>
  </si>
  <si>
    <t>jeffersonp@simple.biz</t>
  </si>
  <si>
    <t>Patalinghung, Jefferson "Jeff"</t>
  </si>
  <si>
    <t>mariettac@simple.biz</t>
  </si>
  <si>
    <t>Candor, Marietta "May"</t>
  </si>
  <si>
    <t>lawrenced@simple.biz</t>
  </si>
  <si>
    <t>David, Lawrence Francis "Lawrence"</t>
  </si>
  <si>
    <t>djd@simple.biz</t>
  </si>
  <si>
    <t>Damasco Jr. Danilo "DJ"</t>
  </si>
  <si>
    <t>siephb@simple.biz</t>
  </si>
  <si>
    <t>Ballarta, Siepth Stanley "Siepth"</t>
  </si>
  <si>
    <t>christiana@simple.biz</t>
  </si>
  <si>
    <t>Arevalo, Christian Jess "Chris"</t>
  </si>
  <si>
    <t>43 Set Appointments</t>
  </si>
  <si>
    <t>38 Set Appointments</t>
  </si>
  <si>
    <t>24 Set Appointments</t>
  </si>
  <si>
    <t>18 Set Appointments</t>
  </si>
  <si>
    <t>17 Set Appointments</t>
  </si>
  <si>
    <t>15 Set Appointments</t>
  </si>
  <si>
    <t>14 Set Appointments</t>
  </si>
  <si>
    <t>13 Set Appointments</t>
  </si>
  <si>
    <t>12 Set Appointments</t>
  </si>
  <si>
    <t>11 Set Appointments</t>
  </si>
  <si>
    <t>10 Set Appointments</t>
  </si>
  <si>
    <t>9 Set Appointments</t>
  </si>
  <si>
    <t>8 Set Appointments</t>
  </si>
  <si>
    <t>codyc@simple.biz</t>
  </si>
  <si>
    <t>Cepeda, Allan "Cody"</t>
  </si>
  <si>
    <t>7 Set Appointments</t>
  </si>
  <si>
    <t>6 Set Appointments</t>
  </si>
  <si>
    <t>angeld@simple.biz</t>
  </si>
  <si>
    <t>Dalusong, Angelica "Angel"</t>
  </si>
  <si>
    <t>5 Set Appointments</t>
  </si>
  <si>
    <t>4 Set Appointments</t>
  </si>
  <si>
    <t>ruswellb@simple.biz</t>
  </si>
  <si>
    <t>Bartolata, Ruswell ""Ruswell"</t>
  </si>
  <si>
    <t>3 Set Appointments</t>
  </si>
  <si>
    <t>redd@simple.biz</t>
  </si>
  <si>
    <t>Damayo, Jarted "Red"</t>
  </si>
  <si>
    <t>shenc@simple.biz</t>
  </si>
  <si>
    <t>Calijan, Shena Mae "Shen"</t>
  </si>
  <si>
    <t>2 Set Appointments</t>
  </si>
  <si>
    <t>earld@simple.biz</t>
  </si>
  <si>
    <t>Dizon, Earl Kirsten "Earl"</t>
  </si>
  <si>
    <t>elainep@simple.biz</t>
  </si>
  <si>
    <t>Pagusara, Elaine "Elaine"</t>
  </si>
  <si>
    <t>1 Set Appointments</t>
  </si>
  <si>
    <t>albertb@simple.biz</t>
  </si>
  <si>
    <t>Beronio, Albert "Albert"</t>
  </si>
  <si>
    <t>erickas@simple.biz</t>
  </si>
  <si>
    <t>Sabale, Ericka "Ericka"</t>
  </si>
  <si>
    <t>echog@simple.biz</t>
  </si>
  <si>
    <t>Galera, Jericho M. "Echo"</t>
  </si>
  <si>
    <t>jeffm@simple.biz</t>
  </si>
  <si>
    <t>Mayuga, Jefferson "Jeff"</t>
  </si>
  <si>
    <t>jcb@simple.biz</t>
  </si>
  <si>
    <t>Baron, July "July"</t>
  </si>
  <si>
    <t>leev@simple.biz</t>
  </si>
  <si>
    <t>Veranga, Ludwig John "Lee"</t>
  </si>
  <si>
    <t>kyleh@simple.biz</t>
  </si>
  <si>
    <t>Hobanil, Romy Kyle "Kyle"</t>
  </si>
  <si>
    <t>margam@simple.biz</t>
  </si>
  <si>
    <t>Melendres, Ma.Susmitha Margaret S. "Marga"</t>
  </si>
  <si>
    <t>seanw@simple.biz</t>
  </si>
  <si>
    <t>Wabe, Sean "Sean"</t>
  </si>
  <si>
    <t>Garcia, Stephen Kyle "Stephen"</t>
  </si>
  <si>
    <t>micm@simple.biz</t>
  </si>
  <si>
    <t>Mangubat, Mariel Mae "Mic"</t>
  </si>
  <si>
    <t>laog@simple.biz</t>
  </si>
  <si>
    <t>Gerongay, Lawrence John "Lao"</t>
  </si>
  <si>
    <t>jeofp@simple.biz</t>
  </si>
  <si>
    <t>Pino, Jeff "Jeff"</t>
  </si>
  <si>
    <t>camilled@simple.biz</t>
  </si>
  <si>
    <t>Dimaranan, Camille "Camille"</t>
  </si>
  <si>
    <t>joea@simple.biz</t>
  </si>
  <si>
    <t>Arroyo, Jose Mari "Joe"</t>
  </si>
  <si>
    <t>jima@simple.biz</t>
  </si>
  <si>
    <t>Jefferson, Amosora Jhimuel "Jim"</t>
  </si>
  <si>
    <t>daver@simple.biz</t>
  </si>
  <si>
    <t>Retis, John David "Dave"</t>
  </si>
  <si>
    <t>keithc@simple.biz</t>
  </si>
  <si>
    <t>Cayosa, Keith Xavier Jonathan"Keith"</t>
  </si>
  <si>
    <t>dorad@simple.biz</t>
  </si>
  <si>
    <t>Dosdos, Dorramae "Dora"</t>
  </si>
  <si>
    <t>macc@simple.biz</t>
  </si>
  <si>
    <t>Calumpag, Isabelle "Mac"</t>
  </si>
  <si>
    <t>Alob, Joshua Ramas "Josh"</t>
  </si>
  <si>
    <t>samanthab@simple.biz</t>
  </si>
  <si>
    <t>Banot, Samantha Chloie "Sam"</t>
  </si>
  <si>
    <t>belleg@simple.biz</t>
  </si>
  <si>
    <t>Gratil , Maria Jobelle "Bell"</t>
  </si>
  <si>
    <t>juned@simple.biz</t>
  </si>
  <si>
    <t>Discipulo Jr, Ramir "June"</t>
  </si>
  <si>
    <t>arnr@simple.biz</t>
  </si>
  <si>
    <t>Delos Reyes, Arnold James "Arn"</t>
  </si>
  <si>
    <t>barryr@simple.biz</t>
  </si>
  <si>
    <t>Radaza, Barry Jan Aldous "Barry"</t>
  </si>
  <si>
    <t>rjayq@simple.biz</t>
  </si>
  <si>
    <t>Quevido, Julieto "Rjay"</t>
  </si>
  <si>
    <t>mikaym@simple.biz</t>
  </si>
  <si>
    <t>Melliza, Khymae B. "Mikay"</t>
  </si>
  <si>
    <t>krishae@simple.biz</t>
  </si>
  <si>
    <t>Espejo, Krisha Flor Palma "Krisha"</t>
  </si>
  <si>
    <t>liefe@simple.biz</t>
  </si>
  <si>
    <t>Enriquez, Lief Lester "Leif"</t>
  </si>
  <si>
    <t>nicas@simple.biz</t>
  </si>
  <si>
    <t>Santos, Maria Veronica Andrade "Nica"</t>
  </si>
  <si>
    <t>manuelc@simple.biz</t>
  </si>
  <si>
    <t>Braga, Manuel "Manuel"</t>
  </si>
  <si>
    <t>patricks@simple.biz</t>
  </si>
  <si>
    <t>Segundo, Patrick Joesen "Patrick"</t>
  </si>
  <si>
    <t>Rivera, Maria Janica "Jan"</t>
  </si>
  <si>
    <t>al@simple.biz</t>
  </si>
  <si>
    <t>Lagma , Arnie "A"</t>
  </si>
  <si>
    <t>Banay, Angela "Angela"</t>
  </si>
  <si>
    <t>azela@simple.biz</t>
  </si>
  <si>
    <t>Asilo, Giracel Azel Someday "Azel"</t>
  </si>
  <si>
    <t>bryana@simple.biz</t>
  </si>
  <si>
    <t>Acierto, Bryan Nelvin "Bryan"</t>
  </si>
  <si>
    <t>carlosr@simple.biz</t>
  </si>
  <si>
    <t>Ricote, Carlos "Carlos"</t>
  </si>
  <si>
    <t>Sumampong, Dan Jazer "Dan"</t>
  </si>
  <si>
    <t>denisec@simple.biz</t>
  </si>
  <si>
    <t>Dela Cruz, Denise "Denise"</t>
  </si>
  <si>
    <t>erroln@simple.biz</t>
  </si>
  <si>
    <t>Nodado, Errol "Errol"</t>
  </si>
  <si>
    <t>glitzc@simple.biz</t>
  </si>
  <si>
    <t>Ciano, Glitz Clarence "Glitz"</t>
  </si>
  <si>
    <t>hazell@simple.biz</t>
  </si>
  <si>
    <t>Lleno, Hazel "Hazel"</t>
  </si>
  <si>
    <t>jakeb@simple.biz</t>
  </si>
  <si>
    <t>Bacalso, Jessie Jake "Jake"</t>
  </si>
  <si>
    <t>Bacli , Ryu James "James"</t>
  </si>
  <si>
    <t>jezr@simple.biz</t>
  </si>
  <si>
    <t>Regala, Jezelle Andone "Jez"</t>
  </si>
  <si>
    <t>jpa@simple.biz</t>
  </si>
  <si>
    <t>Angeles, James Patrick "James"</t>
  </si>
  <si>
    <t>katg@simple.biz</t>
  </si>
  <si>
    <t>Gonzales, Catherine S. "Kat"</t>
  </si>
  <si>
    <t>leov@simple.biz</t>
  </si>
  <si>
    <t>Villadiego, Leonides Linus "Leo"</t>
  </si>
  <si>
    <t>mandyy@simple.biz</t>
  </si>
  <si>
    <t>Yben, Clifford "Mandy"</t>
  </si>
  <si>
    <t>mats@simple.biz</t>
  </si>
  <si>
    <t>Salas, Mathew King "Mat"</t>
  </si>
  <si>
    <t>miked@simple.biz</t>
  </si>
  <si>
    <t>Dematera, John-Michael "Mike"</t>
  </si>
  <si>
    <t>nicoh@simple.biz</t>
  </si>
  <si>
    <t>Herrera, Nico "Nico"</t>
  </si>
  <si>
    <t>nikaa@simple.biz</t>
  </si>
  <si>
    <t>Aldohueza, Nika Alexis "Nika"</t>
  </si>
  <si>
    <t>paoa@simple.biz</t>
  </si>
  <si>
    <t>Aguilar, Paolo Enrico "Pao"</t>
  </si>
  <si>
    <t>pold@simple.biz</t>
  </si>
  <si>
    <t>Dagoc, Pol Jayson "Pol"</t>
  </si>
  <si>
    <t>renzof@simple.biz</t>
  </si>
  <si>
    <t>Francisco,John Renzo "Renzo"</t>
  </si>
  <si>
    <t>Causing, Rey Alejandro "Rey"</t>
  </si>
  <si>
    <t>rhalfg@simple.biz</t>
  </si>
  <si>
    <t>Guzarem, Rhalf "Rhalf"</t>
  </si>
  <si>
    <t>ronaf@simple.biz</t>
  </si>
  <si>
    <t>Flores, Ronalhet Pascual "Rona"</t>
  </si>
  <si>
    <t>solens@simple.biz</t>
  </si>
  <si>
    <t>Solen, Jonalyn "Solen"</t>
  </si>
  <si>
    <t>vanessas@simple.biz</t>
  </si>
  <si>
    <t>Sabadlab, Mary Grace Vanessa D. "Vanessa"</t>
  </si>
  <si>
    <t>vlado@simple.biz</t>
  </si>
  <si>
    <t>Olarte, Vladimir Voltaire "Vlad"</t>
  </si>
  <si>
    <t>marks@simple.biz</t>
  </si>
  <si>
    <t>Smith, Mark "Mark"</t>
  </si>
  <si>
    <t>olie@simple.biz</t>
  </si>
  <si>
    <t>Estanislao, Olimar Ramos "Oli"</t>
  </si>
  <si>
    <t>melvsf@simple.biz</t>
  </si>
  <si>
    <t>Faeldan, Melvin "Melvs"</t>
  </si>
  <si>
    <t>ryana@simple.biz</t>
  </si>
  <si>
    <t>Acabal, John Ryan "Ryan"</t>
  </si>
  <si>
    <t>cathyb@simple.biz</t>
  </si>
  <si>
    <t>Banca, Catherine "Cathy"</t>
  </si>
  <si>
    <t>haleelb@simple.biz</t>
  </si>
  <si>
    <t>Bermundo, Mahaleel Sheryl "Haleel"</t>
  </si>
  <si>
    <t>tonc@simple.biz</t>
  </si>
  <si>
    <t>Caceres, Clinton "Ton"</t>
  </si>
  <si>
    <t>jenc@simple.biz</t>
  </si>
  <si>
    <t>Calanno, Jenikka "Jen"</t>
  </si>
  <si>
    <t>liac@simple.biz</t>
  </si>
  <si>
    <t>Calongcalong, Engelbert Pancipane "Lia"</t>
  </si>
  <si>
    <t>elmerc@simple.biz</t>
  </si>
  <si>
    <t>Cañega, Elmer "Elmer"</t>
  </si>
  <si>
    <t>shennc@simple.biz</t>
  </si>
  <si>
    <t>Collarin, Shenna Christi "Shenn"</t>
  </si>
  <si>
    <t>donnd@simple.biz</t>
  </si>
  <si>
    <t>Dignadice, Don "Don"</t>
  </si>
  <si>
    <t>bryang@simple.biz</t>
  </si>
  <si>
    <t>Gabriel, Bryan Osmond "Bryan"</t>
  </si>
  <si>
    <t>jhoym@simple.biz</t>
  </si>
  <si>
    <t>Moreno, Rhey Shellyne Jhoy "Jhoy"</t>
  </si>
  <si>
    <t>johnrobertp@simple.biz</t>
  </si>
  <si>
    <t>Patricio, John Robert "John"</t>
  </si>
  <si>
    <t>kimp@simple.biz</t>
  </si>
  <si>
    <t>Pendo, Kimmy Jean "Kim"</t>
  </si>
  <si>
    <t>arnp@simple.biz</t>
  </si>
  <si>
    <t>Principio, Arneth "Arn"</t>
  </si>
  <si>
    <t>jebr@simple.biz</t>
  </si>
  <si>
    <t>Ravanilla, Jeb Patrick "Jeb"</t>
  </si>
  <si>
    <t>jayr@simple.biz</t>
  </si>
  <si>
    <t>Rubin, Rolito "Jay"</t>
  </si>
  <si>
    <t>zya@simple.biz</t>
  </si>
  <si>
    <t>Ablir, Zarella Bermudez "Zy"</t>
  </si>
  <si>
    <t>cja@simple.biz</t>
  </si>
  <si>
    <t>Arcangel , Cristelle Joy</t>
  </si>
  <si>
    <t>db@simple.biz</t>
  </si>
  <si>
    <t>Bautista, Divine Grace "D"</t>
  </si>
  <si>
    <t>piab@simple.biz</t>
  </si>
  <si>
    <t>Buenvenida, Pia Hagos "Pia"</t>
  </si>
  <si>
    <t>elyc@simple.biz</t>
  </si>
  <si>
    <t>Celetaria, Ma. Elaine Dominique J "Ely"</t>
  </si>
  <si>
    <t>abid@simple.biz</t>
  </si>
  <si>
    <t>Diaz, Abigail "Abi"</t>
  </si>
  <si>
    <t>efrene@simple.biz</t>
  </si>
  <si>
    <t>Encabo, Efren "Efren"</t>
  </si>
  <si>
    <t>clarkg@simple.biz</t>
  </si>
  <si>
    <t>Ganipes, Clark Kevin "Clark"</t>
  </si>
  <si>
    <t>Hieras, Jasper Alan "Jasper"</t>
  </si>
  <si>
    <t>lorenzj@simple.biz</t>
  </si>
  <si>
    <t>Jose, Edwinson Lorenz "Lorenz"</t>
  </si>
  <si>
    <t>jeak@simple.biz</t>
  </si>
  <si>
    <t>Krizamanta, Jea "Jea"</t>
  </si>
  <si>
    <t>Masorong, Muhammad Edris Eddie "Ed"</t>
  </si>
  <si>
    <t>gelm@simple.biz</t>
  </si>
  <si>
    <t>Mirasol, Angela Mae "Gel"</t>
  </si>
  <si>
    <t>sheem@simple.biz</t>
  </si>
  <si>
    <t>Montemayor, Shella "Shee"</t>
  </si>
  <si>
    <t>shauln@simple.biz</t>
  </si>
  <si>
    <t>Navaja, Shaula Jean B. "Shaul"</t>
  </si>
  <si>
    <t>maryp@simple.biz</t>
  </si>
  <si>
    <t>michaelq@simple.biz</t>
  </si>
  <si>
    <t>Quijano , Michael "Michael"</t>
  </si>
  <si>
    <t>sylviar@simple.biz</t>
  </si>
  <si>
    <t>Rebuqiao, Sylvia</t>
  </si>
  <si>
    <t>gabs@simple.biz</t>
  </si>
  <si>
    <t>Saturnino, Gabriel "Gab"</t>
  </si>
  <si>
    <t>jaya@simplesitecompany.com</t>
  </si>
  <si>
    <t>Aguado, Jayson "Jay"</t>
  </si>
  <si>
    <t>dexl@simplesitecompany.com</t>
  </si>
  <si>
    <t>chestera@simplesitecompany.com</t>
  </si>
  <si>
    <t>mariona@simplesitecompany.com</t>
  </si>
  <si>
    <t>cessb@simplesitecompany.com</t>
  </si>
  <si>
    <t>Balauro, Princess "Cess"</t>
  </si>
  <si>
    <t>maib@simplesitecompany.com</t>
  </si>
  <si>
    <t>jbb@simplesitecompany.com</t>
  </si>
  <si>
    <t>raymondc@simplesitecompany.com</t>
  </si>
  <si>
    <t>stevec@simplesitecompany.com</t>
  </si>
  <si>
    <t>trixiec@simplesitecompany.com</t>
  </si>
  <si>
    <t>Carmelo, Trixie B "Trixie"</t>
  </si>
  <si>
    <t>jeremyc@simplesitecompany.com</t>
  </si>
  <si>
    <t>kennethc@simplesitecompany.com</t>
  </si>
  <si>
    <t>katrinac@simplesitecompany.com</t>
  </si>
  <si>
    <t>Cordova, Katrina "Kat"</t>
  </si>
  <si>
    <t>catc@simplesitecompany.com</t>
  </si>
  <si>
    <t>marad@simplesitecompany.com</t>
  </si>
  <si>
    <t>jericc@simplesitecompany.com</t>
  </si>
  <si>
    <t>meld@simplesitecompany.com</t>
  </si>
  <si>
    <t>allane@simplesitecompany.com</t>
  </si>
  <si>
    <t>Espique, Allan McDale "Allan"</t>
  </si>
  <si>
    <t>ralphr@simplesitecompany.com</t>
  </si>
  <si>
    <t>khater@simplesitecompany.com</t>
  </si>
  <si>
    <t>jog@simplesitecompany.com</t>
  </si>
  <si>
    <t>babg@simplesitecompany.com</t>
  </si>
  <si>
    <t>paug@simplesitecompany.com</t>
  </si>
  <si>
    <t>macj@simplesitecompany.com</t>
  </si>
  <si>
    <t>shairal@simplesitecompany.com</t>
  </si>
  <si>
    <t>Laki, Shaira Lyra "Shaira"</t>
  </si>
  <si>
    <t>nesm@simplesitecompany.com</t>
  </si>
  <si>
    <t>Macajelos, Nessan "Nes"</t>
  </si>
  <si>
    <t>mavickm@simplesitecompany.com</t>
  </si>
  <si>
    <t>sherrizahm@simplesitecompany.com</t>
  </si>
  <si>
    <t>Mantes, Sherrizah Mei "Sherrizah"</t>
  </si>
  <si>
    <t>christianm@simplesitecompany.com</t>
  </si>
  <si>
    <t>acem@simplesitecompany.com</t>
  </si>
  <si>
    <t>robertm@simplesitecompany.com</t>
  </si>
  <si>
    <t>ixonm@simplesitecompany.com</t>
  </si>
  <si>
    <t>miguelm@simplesitecompany.com</t>
  </si>
  <si>
    <t>louisem@simplesitecompany.com</t>
  </si>
  <si>
    <t>Melendez, Angelu "Louise"</t>
  </si>
  <si>
    <t>kingm@simplesitecompany.com</t>
  </si>
  <si>
    <t>Miones, King Baltazar "King"</t>
  </si>
  <si>
    <t>princem@simplesitecompany.com</t>
  </si>
  <si>
    <t>mickyp@simplesitecompany.com</t>
  </si>
  <si>
    <t>danp@simplesitecompany.com</t>
  </si>
  <si>
    <t>airap@simplesitecompany.com</t>
  </si>
  <si>
    <t>niqap@simplesitecompany.com</t>
  </si>
  <si>
    <t>den-denp@simplesitecompany.com</t>
  </si>
  <si>
    <t>Pastor, Lyn Den "Den-den"</t>
  </si>
  <si>
    <t>ejp@simplesitecompany.com</t>
  </si>
  <si>
    <t>jomp@simplesitecompany.com</t>
  </si>
  <si>
    <t>rvr@simplesitecompany.com</t>
  </si>
  <si>
    <t>ckr@simplesitecompany.com</t>
  </si>
  <si>
    <t>Rotone, Calvin Klein "CK"</t>
  </si>
  <si>
    <t>joshr@simplesitecompany.com</t>
  </si>
  <si>
    <t>johannas@simplesitecompany.com</t>
  </si>
  <si>
    <t>als@simplesitecompany.com</t>
  </si>
  <si>
    <t>Salariosa, Alfie "Al"</t>
  </si>
  <si>
    <t>shies@simplesitecompany.com</t>
  </si>
  <si>
    <t>jamt@simplesitecompany.com</t>
  </si>
  <si>
    <t>Tinio, Jamaicha "Jam"</t>
  </si>
  <si>
    <t>sashaa@simplesitecompany.com</t>
  </si>
  <si>
    <t>alisonv@simple.biz</t>
  </si>
  <si>
    <t>Villagonzalo, Alison Yap "Alison"</t>
  </si>
  <si>
    <t>chrisz@simplesitecompany.com</t>
  </si>
  <si>
    <t>tinz@simplesitecompany.com</t>
  </si>
  <si>
    <t>kerta@simplesitecompany.com</t>
  </si>
  <si>
    <t>Aguinaldo, Rekert "Kert"</t>
  </si>
  <si>
    <t>girlieb@simplesitecompany.com</t>
  </si>
  <si>
    <t>Baylon, Girlie "Girlie"</t>
  </si>
  <si>
    <t>Canlas, Neil Bryan "Neil"</t>
  </si>
  <si>
    <t>johnnyd@simplesitecompany.com</t>
  </si>
  <si>
    <t>Dadizon, Johnny "Johnny"</t>
  </si>
  <si>
    <t>jand@simplesitecompany.com</t>
  </si>
  <si>
    <t>Dolor, Jan Nino "Jan"</t>
  </si>
  <si>
    <t>jeak@simplesitecompany.com</t>
  </si>
  <si>
    <t>vincel@simplesitecompany.com</t>
  </si>
  <si>
    <t>Languita, Vincent "Vince"</t>
  </si>
  <si>
    <t>rego@simplesitecompany.com</t>
  </si>
  <si>
    <t>Oyangorin, Reggy "Reg"</t>
  </si>
  <si>
    <t>jordans@simplesitecompany.com</t>
  </si>
  <si>
    <t>Samara, Abdallah "Jordan"</t>
  </si>
  <si>
    <t>arisg@simple.biz</t>
  </si>
  <si>
    <t>Gerra, Aristotle Leonado "Aris"</t>
  </si>
  <si>
    <t>25% of total leads</t>
  </si>
  <si>
    <t>$30/night if worked until 8pm EST</t>
  </si>
  <si>
    <t>Manager</t>
  </si>
  <si>
    <t>Total leads</t>
  </si>
  <si>
    <t>Total 8pm Shifts</t>
  </si>
  <si>
    <t>Bonus total</t>
  </si>
  <si>
    <t>Zapata, Jackie</t>
  </si>
  <si>
    <t>Week 7/6/25 - 7/12/25 All Dept</t>
  </si>
  <si>
    <t>50 PHP/appt set.</t>
  </si>
  <si>
    <t>If Call Back has lead gens calls, they get 250 PHP/appt set if 1-9 appt. If 10+ appts set, each appt is 500 PHP</t>
  </si>
  <si>
    <t>Bonus Total</t>
  </si>
  <si>
    <t>sheilac@simple.biz</t>
  </si>
  <si>
    <t>Cadua, Sheila</t>
  </si>
  <si>
    <t>joanalyn@simple.biz</t>
  </si>
  <si>
    <t>Rondina, Joanalyn</t>
  </si>
  <si>
    <t>janes@simple.biz</t>
  </si>
  <si>
    <t>Singcahon, Nieva "Jane"</t>
  </si>
  <si>
    <t>22 Callback Appointments</t>
  </si>
  <si>
    <t>4 Callback Appointments</t>
  </si>
  <si>
    <t>12 Callback Appointments</t>
  </si>
  <si>
    <t>0 Callback Appointments</t>
  </si>
  <si>
    <t>25 Callback Appointments</t>
  </si>
  <si>
    <t>2 Callback Appointments</t>
  </si>
  <si>
    <t>1 Callback Appointments</t>
  </si>
  <si>
    <t>46 Callback Appointments</t>
  </si>
  <si>
    <t>17 Callback Appointments</t>
  </si>
  <si>
    <t>33 Callback Appointments</t>
  </si>
  <si>
    <t>20 Callback Appointments</t>
  </si>
  <si>
    <t>8 Callback Appointments</t>
  </si>
  <si>
    <t xml:space="preserve">Bacalso, Danica </t>
  </si>
  <si>
    <t>150 PHP per unit sold in prior week.  This total is divided evenly by the number of people in the QC team.  If less than 6 members on these teams, the 150PHP will drop to 125PHP</t>
  </si>
  <si>
    <t># of units sold</t>
  </si>
  <si>
    <t>Benedictos, Alfieri "Perry"</t>
  </si>
  <si>
    <t>272 number of units sold</t>
  </si>
  <si>
    <t>Dalmacio, Ivy</t>
  </si>
  <si>
    <t>Dela Cruz, Joshua</t>
  </si>
  <si>
    <t>Dela Cruz, Marilen</t>
  </si>
  <si>
    <t xml:space="preserve">Dionisio, Mauro Carlo "Maui"	</t>
  </si>
  <si>
    <t>Dulalas, Lawrence "Enzzy"</t>
  </si>
  <si>
    <t>Ortiz, Vernon Ace R “Ace”</t>
  </si>
  <si>
    <t>Rafal, Shiela Marie S.</t>
  </si>
  <si>
    <t>Rosero, Ferdinand Jerome "Jerome"</t>
  </si>
  <si>
    <t>270.5 number of units sold</t>
  </si>
  <si>
    <t>201 number of units sold</t>
  </si>
  <si>
    <t>201.5 number of units sold</t>
  </si>
  <si>
    <t>232 number of units sold</t>
  </si>
  <si>
    <t>183.5 number of units sold</t>
  </si>
  <si>
    <t>197.5 number of units sold</t>
  </si>
  <si>
    <t xml:space="preserve">Boloron, Jundy "July"	</t>
  </si>
  <si>
    <t>203.5 number of units sold</t>
  </si>
  <si>
    <t>185.5 number of units sold</t>
  </si>
  <si>
    <t>160 number of units sold</t>
  </si>
  <si>
    <t>200.5 number of units sold</t>
  </si>
  <si>
    <t>92 number of units sold</t>
  </si>
  <si>
    <t>189.5 number of units sold</t>
  </si>
  <si>
    <t>157 number of units sold</t>
  </si>
  <si>
    <t>214.0 number of units sold</t>
  </si>
  <si>
    <t>81.5 number of units sold</t>
  </si>
  <si>
    <t>212 number of units sold</t>
  </si>
  <si>
    <t>191 number of units sold</t>
  </si>
  <si>
    <t>198 number of units sold</t>
  </si>
  <si>
    <t>234.5 number of units sold</t>
  </si>
  <si>
    <t>168 number of units sold</t>
  </si>
  <si>
    <t>244 number of units sold</t>
  </si>
  <si>
    <t>25 PHP per unit sold in prior week</t>
  </si>
  <si>
    <t>Danosos, Doness Taboada "Don"</t>
  </si>
  <si>
    <t>Lam, Orven Kendall S. "Ken"</t>
  </si>
  <si>
    <r>
      <rPr>
        <rFont val="Arial"/>
        <b/>
        <color rgb="FF000000"/>
      </rPr>
      <t xml:space="preserve">Bonus tracker: </t>
    </r>
    <r>
      <rPr>
        <rFont val="Arial"/>
        <b/>
        <color rgb="FF1155CC"/>
        <u/>
      </rPr>
      <t>https://docs.google.com/spreadsheets/d/1RLaC3XpQxoEa-sUZlZ_2k4LaU9DbzDK29YjLgj47cuA/edit?gid=0#gid=0</t>
    </r>
  </si>
  <si>
    <t>Hire Date</t>
  </si>
  <si>
    <t># of new hires</t>
  </si>
  <si>
    <t># of new hires present during orientation</t>
  </si>
  <si>
    <t>Date to Check for Worker Status</t>
  </si>
  <si>
    <t>Number of HR Team Members (do not include Teal)</t>
  </si>
  <si>
    <t>Total of New Hires after 4 weeks</t>
  </si>
  <si>
    <t>Bonus Pay Date</t>
  </si>
  <si>
    <t>Paid</t>
  </si>
  <si>
    <t>Not Paid</t>
  </si>
  <si>
    <t>Week 2/23/25 - 3/1/25</t>
  </si>
  <si>
    <t>Week 2/16/25 - 2/22/25</t>
  </si>
  <si>
    <t>Week 2/9/25 - 2/15/25</t>
  </si>
  <si>
    <t>Week 2/2/25 - 2/8/25</t>
  </si>
  <si>
    <t>150 PHP per sale their sales team made last week (this can be found on the scoreboard)</t>
  </si>
  <si>
    <t xml:space="preserve">Sales Asst. </t>
  </si>
  <si>
    <t>Partner</t>
  </si>
  <si>
    <t>Alviz, Aleighsha</t>
  </si>
  <si>
    <t>Brad</t>
  </si>
  <si>
    <t>28.5</t>
  </si>
  <si>
    <t xml:space="preserve">Florentino, Mark Lester "Mark" </t>
  </si>
  <si>
    <t>Chad</t>
  </si>
  <si>
    <t>27.5</t>
  </si>
  <si>
    <t>Dee</t>
  </si>
  <si>
    <t>12</t>
  </si>
  <si>
    <t>Justin</t>
  </si>
  <si>
    <t>50</t>
  </si>
  <si>
    <t>Parreno, Gladys Orsaga "Gladys"</t>
  </si>
  <si>
    <t>Locke</t>
  </si>
  <si>
    <t>19.5</t>
  </si>
  <si>
    <t>Morales, Katherine Heart "Heart"</t>
  </si>
  <si>
    <t>Randy</t>
  </si>
  <si>
    <t>39</t>
  </si>
  <si>
    <t>Trinidad, Lara Mae Co "Lara"</t>
  </si>
  <si>
    <t>Arriola, Mark Anthony  "Mark"</t>
  </si>
  <si>
    <t>Will</t>
  </si>
  <si>
    <t>26</t>
  </si>
  <si>
    <t>25.5</t>
  </si>
  <si>
    <t>30.5</t>
  </si>
  <si>
    <t>11</t>
  </si>
  <si>
    <t>54.5</t>
  </si>
  <si>
    <t>15</t>
  </si>
  <si>
    <t>35</t>
  </si>
  <si>
    <t>27</t>
  </si>
  <si>
    <t>6.5</t>
  </si>
  <si>
    <t>36</t>
  </si>
  <si>
    <t>24.5</t>
  </si>
  <si>
    <t>29</t>
  </si>
  <si>
    <t>40</t>
  </si>
  <si>
    <t>16</t>
  </si>
  <si>
    <t>48.5</t>
  </si>
  <si>
    <t>25</t>
  </si>
  <si>
    <t>31</t>
  </si>
  <si>
    <t>Amaro, Teody "Teody"</t>
  </si>
  <si>
    <t>19</t>
  </si>
  <si>
    <t>6</t>
  </si>
  <si>
    <t>52.5</t>
  </si>
  <si>
    <t>17.5</t>
  </si>
  <si>
    <t>20.5</t>
  </si>
  <si>
    <t>23.5</t>
  </si>
  <si>
    <t>20</t>
  </si>
  <si>
    <t>42</t>
  </si>
  <si>
    <t>22.5</t>
  </si>
  <si>
    <t>24</t>
  </si>
  <si>
    <t>29.5</t>
  </si>
  <si>
    <t>13</t>
  </si>
  <si>
    <t>55</t>
  </si>
  <si>
    <t>38</t>
  </si>
  <si>
    <t>8.5</t>
  </si>
  <si>
    <t>32</t>
  </si>
  <si>
    <t>28</t>
  </si>
  <si>
    <t>26.5</t>
  </si>
  <si>
    <t>12.5</t>
  </si>
  <si>
    <t>46</t>
  </si>
  <si>
    <t>15.5</t>
  </si>
  <si>
    <t>10</t>
  </si>
  <si>
    <t>22</t>
  </si>
  <si>
    <t>18.5</t>
  </si>
  <si>
    <t>14.5</t>
  </si>
  <si>
    <t>13.5</t>
  </si>
  <si>
    <t>37</t>
  </si>
  <si>
    <t>38.5</t>
  </si>
  <si>
    <t>40.5</t>
  </si>
  <si>
    <t>1.5</t>
  </si>
  <si>
    <t>7.5</t>
  </si>
  <si>
    <t>34.5</t>
  </si>
  <si>
    <t>2.5</t>
  </si>
  <si>
    <t>11.5</t>
  </si>
  <si>
    <t>0</t>
  </si>
  <si>
    <t>2</t>
  </si>
  <si>
    <t>21.5</t>
  </si>
  <si>
    <t>32.5</t>
  </si>
  <si>
    <t>21</t>
  </si>
  <si>
    <t>18</t>
  </si>
  <si>
    <t>23</t>
  </si>
  <si>
    <t>33.5</t>
  </si>
  <si>
    <t>47</t>
  </si>
  <si>
    <t>30</t>
  </si>
  <si>
    <t>5</t>
  </si>
  <si>
    <t>5.5</t>
  </si>
  <si>
    <t>1</t>
  </si>
  <si>
    <t>45.5</t>
  </si>
  <si>
    <t>17</t>
  </si>
  <si>
    <t>43.5</t>
  </si>
  <si>
    <t>10.5</t>
  </si>
  <si>
    <t>49.5</t>
  </si>
  <si>
    <t>Castillo, Marionne "Mar"</t>
  </si>
  <si>
    <t>44.5</t>
  </si>
  <si>
    <t>9.5</t>
  </si>
  <si>
    <t>33</t>
  </si>
  <si>
    <t>61.5</t>
  </si>
  <si>
    <t>31.5</t>
  </si>
  <si>
    <t>41</t>
  </si>
  <si>
    <t>70</t>
  </si>
  <si>
    <t>65.5</t>
  </si>
  <si>
    <t xml:space="preserve">Brizo, Norrhann "Norrhann" </t>
  </si>
  <si>
    <t>14</t>
  </si>
  <si>
    <t>9</t>
  </si>
  <si>
    <t>16.5</t>
  </si>
  <si>
    <t>8</t>
  </si>
  <si>
    <t>42.5</t>
  </si>
  <si>
    <t>66.5</t>
  </si>
  <si>
    <t>73</t>
  </si>
  <si>
    <t>62</t>
  </si>
  <si>
    <t>82.5</t>
  </si>
  <si>
    <t>76.5</t>
  </si>
  <si>
    <t>50.5</t>
  </si>
  <si>
    <t>41.5</t>
  </si>
  <si>
    <t>45</t>
  </si>
  <si>
    <t>74</t>
  </si>
  <si>
    <t>Menor, Celmarie Joy Magaong "CJ"</t>
  </si>
  <si>
    <t>Link to the HSL bonus sheet</t>
  </si>
  <si>
    <t>https://docs.google.com/spreadsheets/d/1V0xddH5a0-gtzxZajJ5bFLAM0UNfxguJSTSJyRjXqGU/edit?gid=1240953207#gid=1240953207</t>
  </si>
  <si>
    <t>Online Fellowship Attendance Sheets</t>
  </si>
  <si>
    <t>https://docs.google.com/spreadsheets/d/1tqWicnBwJigWnai7fTw45SDPxUeMr-600k30WppygMI/edit?gid=2120130610#gid=2120130610</t>
  </si>
  <si>
    <t>PREMIER HOME FUNDING - pay Justine a 1,250 PHP bonus if Jason closes one of his appointments. / They have a scoreboard, we pull the amount there</t>
  </si>
  <si>
    <t>https://docs.google.com/spreadsheets/d/1PBMBFxAQIlHIG-BZwTWvm9gMCZCxeaO5/edit?gid=1050371223#gid=1050371223</t>
  </si>
  <si>
    <t>NSI</t>
  </si>
  <si>
    <t>https://docs.google.com/spreadsheets/d/1ICsEYP_xwN_Sv-BkA32wCI_hn_YElyDi2-F9qKh8pb4/edit?gid=1229521562#gid=1229521562</t>
  </si>
  <si>
    <t>They have a scoreboard, we pull the amount there</t>
  </si>
  <si>
    <t>500PHP per appt set/decision maker reached.</t>
  </si>
  <si>
    <t xml:space="preserve">Bayou Roofing Scoreboard
</t>
  </si>
  <si>
    <t>https://docs.google.com/spreadsheets/d/1iJBYoBkOL907O0BtbXxus_nw1CLO1cR1/edit?gid=641074696#gid=641074696</t>
  </si>
  <si>
    <t>Blue Ridge Bus SCOREBOARD</t>
  </si>
  <si>
    <t>https://docs.google.com/spreadsheets/d/1i3nXSZqAa7VGruR8tQ1qNsaMAmFyL04j/edit?gid=1799780153#gid=1799780153</t>
  </si>
  <si>
    <t>VODA</t>
  </si>
  <si>
    <t>https://docs.google.com/spreadsheets/d/1wtnGDo_vSneTUgk_cjVzzEqMgbvX8BYy/edit?gid=1799780153#gid=1799780153</t>
  </si>
  <si>
    <t>Stratus Building Solutions</t>
  </si>
  <si>
    <r>
      <rPr>
        <b/>
        <color rgb="FF1155CC"/>
        <u/>
      </rPr>
      <t>https://docs.google.com/spreadsheets/d/1orHY5kGe6KqWfH2vZxXXk5bAfw6fN7Rj/edit?gid=1799780153#gid=1799780153</t>
    </r>
    <r>
      <rPr>
        <b/>
      </rPr>
      <t>3</t>
    </r>
  </si>
  <si>
    <t>SmartFunnel</t>
  </si>
  <si>
    <t>https://docs.google.com/spreadsheets/d/1xddIpYk8TJ6QLHjjBNyDSayfiYSVF49g/edit?gid=1799780153#gid=1799780153</t>
  </si>
  <si>
    <t xml:space="preserve">Oxenfree </t>
  </si>
  <si>
    <t>https://docs.google.com/spreadsheets/d/1jOcCMdI5blx8oI65o3YFQRGcwufGLqBU/edit?gid=1799780153#gid=1799780153</t>
  </si>
  <si>
    <t>Gillard &amp; Sons Scoreboard</t>
  </si>
  <si>
    <t>https://docs.google.com/spreadsheets/d/18HR2URFulCOcx8ze7bDZNVebk1hHfohk/edit?gid=1799780153#gid=1799780153</t>
  </si>
  <si>
    <t>AMS Scoreboard</t>
  </si>
  <si>
    <t>https://docs.google.com/spreadsheets/d/1z_WpmWwmveJs9XXerf8roG7RqmOo5Lzn/edit?gid=1799780153#gid=1799780153</t>
  </si>
  <si>
    <t>GEM SUPPLY PCA</t>
  </si>
  <si>
    <r>
      <rPr>
        <rFont val="Arial"/>
      </rPr>
      <t xml:space="preserve">PCA Signup - 100PHP ; Qoute Sent - 250PHP ; P.O Issued/Order Received - 500PHP - </t>
    </r>
    <r>
      <rPr>
        <rFont val="Arial"/>
        <color rgb="FF1155CC"/>
        <u/>
      </rPr>
      <t>https://docs.google.com/spreadsheets/d/1JbWeIIn5O2jyFctAFwskq8VJLF1YqPuuib6wbHajV9U/edit?gid=960544044#gid=960544044</t>
    </r>
  </si>
  <si>
    <t>GEM SUPPLY (GPP + FL Busines)</t>
  </si>
  <si>
    <t>https://docs.google.com/spreadsheets/d/1gh1xxadLrTAmEAieX3Uz0gvUsNjDJt33VcUIYJFSFps/edit?gid=927270247#gid=927270247</t>
  </si>
  <si>
    <t>GEM SUPPLY (Cleaning Showcase)</t>
  </si>
  <si>
    <t>https://docs.google.com/spreadsheets/d/1C5pKh7lCU9cl6huo4fUFrYgUTVM8Vsf66xgrmpykwhg/edit?gid=1716860022#gid=1716860022</t>
  </si>
  <si>
    <t>GEM SUPPLY (Bonus from Bob)</t>
  </si>
  <si>
    <r>
      <rPr>
        <rFont val="Arial"/>
      </rPr>
      <t xml:space="preserve">PCA Signup - 100PHP ; Qoute Sent - 250PHP ; P.O Issued/Order Received - 500PHP - </t>
    </r>
    <r>
      <rPr>
        <rFont val="Arial"/>
        <color rgb="FF1155CC"/>
        <u/>
      </rPr>
      <t>https://docs.google.com/spreadsheets/d/1JbWeIIn5O2jyFctAFwskq8VJLF1YqPuuib6wbHajV9U/edit?gid=960544044#gid=960544044</t>
    </r>
  </si>
  <si>
    <t xml:space="preserve">Heart of Florida Roofing Dashboard </t>
  </si>
  <si>
    <t>https://docs.google.com/spreadsheets/d/1E5HPdPxtYGt8VsWTZCuXJGJu28ENinDi/edit?gid=1799780153#gid=1799780153</t>
  </si>
  <si>
    <t>ER CAPITAL</t>
  </si>
  <si>
    <t>https://docs.google.com/spreadsheets/d/1f9f3XagaT9SFUNlh7H9CXBVbelFzFO-akZCN7Fs-t6U/edit?gid=1303002019#gid=1303002019</t>
  </si>
  <si>
    <t>ONSITE SAFETY</t>
  </si>
  <si>
    <t>https://docs.google.com/spreadsheets/d/1V3i1muqWuJTdPWpYo0q9vwjN-M4dTAeU/edit?gid=1799780153#gid=1799780153</t>
  </si>
  <si>
    <t>Angel Ayala Scoreboard</t>
  </si>
  <si>
    <t>https://docs.google.com/spreadsheets/d/1PJsGIBbJzCPtaQiLx8jANCMBKvk9Rlbt/edit?gid=1799780153#gid=1799780153</t>
  </si>
  <si>
    <t>Spruce Industries</t>
  </si>
  <si>
    <t>https://docs.google.com/spreadsheets/d/1bFP1RzsCR9yH3vBN_dJ9ZXdMr83UDwjK/edit?gid=1799780153#gid=1799780153</t>
  </si>
  <si>
    <t>Custom Storm Shutters Scoreboard</t>
  </si>
  <si>
    <t>https://docs.google.com/spreadsheets/d/1Tvbr-FclYgfUG8uLfP2S5kFIFqnBmN5j/edit?gid=1799780153#gid=1799780153</t>
  </si>
  <si>
    <t>Championship Martial Arts Scoreboard</t>
  </si>
  <si>
    <t>https://docs.google.com/spreadsheets/d/1Xx9oWAAJ4K25TTGACpXnaYXUuXTKmfYo/edit?gid=1799780153#gid=1799780153</t>
  </si>
  <si>
    <t>Love Serves Scoreboard</t>
  </si>
  <si>
    <t>https://docs.google.com/spreadsheets/d/1RZkTBNAcocA4SyEuuoYFGUtMSQr6g6qa/edit?gid=1799780153#gid=1799780153</t>
  </si>
  <si>
    <t>Strombeck Scoreboard double their appointments for the first two weeks</t>
  </si>
  <si>
    <t>https://docs.google.com/spreadsheets/d/1aH1XgYxiVNwPOaKzvr7jw4LSXTCgLxlC/edit?gid=1799780153#gid=1799780153</t>
  </si>
  <si>
    <t>B&amp;T Scoreboard</t>
  </si>
  <si>
    <t>https://docs.google.com/spreadsheets/d/1mTf8HXIrG91EzaiJG1Z-teQXFwkp1XJ0/edit?gid=1799780153#gid=1799780153</t>
  </si>
  <si>
    <t>Maverin &amp; Flowly AI - Scoreboard</t>
  </si>
  <si>
    <t>https://docs.google.com/spreadsheets/d/1DNTcwWGIWwvex3YecN-BFfhC_BtjFhA_/edit?gid=1799780153#gid=1799780153</t>
  </si>
  <si>
    <t xml:space="preserve">Gridline Scoreboard </t>
  </si>
  <si>
    <t>https://docs.google.com/spreadsheets/d/12n3RybmEW2KRneGODETVntkjAgoDInNY/edit?gid=1799780153#gid=1799780153</t>
  </si>
  <si>
    <t>Handymen Report Card</t>
  </si>
  <si>
    <t>https://docs.google.com/spreadsheets/d/1Ak7m9BcaQE7p9wpUQPUKf_naUgIt1BYp67sMMGe-o7Y/edit?gid=37726899#gid=37726899</t>
  </si>
  <si>
    <t>https://drive.google.com/drive/folders/1SNJ7R_bPEJkiHnoEx6x7vBVPyzqTCJlS</t>
  </si>
  <si>
    <t>SMARTSTAFF MONTHLY REPORT</t>
  </si>
  <si>
    <t>https://docs.google.com/spreadsheets/d/17e0_o_JaTylYpZ59HLEL3coUZPGk965gZVqh3g1RG0M/edit?gid=0#gid=0</t>
  </si>
  <si>
    <t xml:space="preserve">Belvedere Supper Club </t>
  </si>
  <si>
    <t>B&amp;T Building Services</t>
  </si>
  <si>
    <t>Championship Martial Arts</t>
  </si>
  <si>
    <t>Coast 2 Coast Solutions Inc.</t>
  </si>
  <si>
    <t>Early Bird College</t>
  </si>
  <si>
    <t>English Air</t>
  </si>
  <si>
    <t>ER Capital</t>
  </si>
  <si>
    <t>Evergreen Solar Solutions</t>
  </si>
  <si>
    <t>Fortify Group</t>
  </si>
  <si>
    <t>Fiberspark</t>
  </si>
  <si>
    <t>GEM Supply Company</t>
  </si>
  <si>
    <t>Gridline</t>
  </si>
  <si>
    <t>Heart of Florida Roofing</t>
  </si>
  <si>
    <t>Love Serves</t>
  </si>
  <si>
    <t xml:space="preserve">Idea Insurance Agency  </t>
  </si>
  <si>
    <t>KWC</t>
  </si>
  <si>
    <t>Mansion Windows and Doors</t>
  </si>
  <si>
    <t>Maverin/ Flowly AI</t>
  </si>
  <si>
    <t xml:space="preserve">Onsite Safety </t>
  </si>
  <si>
    <t>Oxenfree Financial</t>
  </si>
  <si>
    <t>Proxdose</t>
  </si>
  <si>
    <t>Quadrille Fabrics</t>
  </si>
  <si>
    <t>Relational Estate &amp; Elder Law</t>
  </si>
  <si>
    <t>Strombeck</t>
  </si>
  <si>
    <t xml:space="preserve">Tiber Creek Private Tours </t>
  </si>
  <si>
    <t>TSVI Bortz</t>
  </si>
  <si>
    <t>Social Media management bonus (effective 2/17/2025 Rieta will earn 50 PHP for each short and 100 PHP for each long video she posts.</t>
  </si>
  <si>
    <t>Nicknames</t>
  </si>
  <si>
    <t>Short Videos</t>
  </si>
  <si>
    <t>Long Videos</t>
  </si>
  <si>
    <t>Mananquil, Angela "Angela"</t>
  </si>
  <si>
    <t>Angela</t>
  </si>
  <si>
    <t>Antillon, Bianca Marie "Rei"</t>
  </si>
  <si>
    <t>Rei</t>
  </si>
  <si>
    <t>Ruffa</t>
  </si>
  <si>
    <t>Uriel Nova G. Matias "Rieta"</t>
  </si>
  <si>
    <t>Rieta</t>
  </si>
  <si>
    <t>Igot, Ma Deanne Yvonne "Dee"</t>
  </si>
  <si>
    <t>Caber, Jamemarie "Jame"</t>
  </si>
  <si>
    <t>Jame</t>
  </si>
  <si>
    <t>Member Name</t>
  </si>
  <si>
    <t>Member Email</t>
  </si>
  <si>
    <t>Member Role</t>
  </si>
  <si>
    <t>Project</t>
  </si>
  <si>
    <t>Time Worked</t>
  </si>
  <si>
    <t>Time Worked (Checked)</t>
  </si>
  <si>
    <t>Idle Time</t>
  </si>
  <si>
    <t>Idle Time %</t>
  </si>
  <si>
    <t>Active Time</t>
  </si>
  <si>
    <t>Neutral Time</t>
  </si>
  <si>
    <t>Abby Asaytuno</t>
  </si>
  <si>
    <t>abbya@simple.biz</t>
  </si>
  <si>
    <t>Member</t>
  </si>
  <si>
    <t>Lead Gen Team</t>
  </si>
  <si>
    <t>26h 20m</t>
  </si>
  <si>
    <t>-</t>
  </si>
  <si>
    <t>17h 7m</t>
  </si>
  <si>
    <t>9h 12m</t>
  </si>
  <si>
    <t>Genesis Ace Aprecia</t>
  </si>
  <si>
    <t>37h 4m</t>
  </si>
  <si>
    <t>25h 41m</t>
  </si>
  <si>
    <t>11h 22m</t>
  </si>
  <si>
    <t>Mark Adrian Pabalan</t>
  </si>
  <si>
    <t>Edit Team</t>
  </si>
  <si>
    <t>46h 4m</t>
  </si>
  <si>
    <t>32h 32m</t>
  </si>
  <si>
    <t>13h 31m</t>
  </si>
  <si>
    <t>Joralyn Amorado</t>
  </si>
  <si>
    <t>aja@simple.biz</t>
  </si>
  <si>
    <t>Hogan Smith Law Team</t>
  </si>
  <si>
    <t>42h 8m</t>
  </si>
  <si>
    <t>34h 2m</t>
  </si>
  <si>
    <t>8h 6m</t>
  </si>
  <si>
    <t>Alain Soriano</t>
  </si>
  <si>
    <t>40h 40m</t>
  </si>
  <si>
    <t>23h 31m</t>
  </si>
  <si>
    <t>17h 9m</t>
  </si>
  <si>
    <t>Aleighsha Alviz</t>
  </si>
  <si>
    <t>aleighshaa@simple.biz</t>
  </si>
  <si>
    <t>Sales Assistants Team</t>
  </si>
  <si>
    <t>42h 40m</t>
  </si>
  <si>
    <t>41m</t>
  </si>
  <si>
    <t>28h 20m</t>
  </si>
  <si>
    <t>13h 37m</t>
  </si>
  <si>
    <t>Alex Quinalayo</t>
  </si>
  <si>
    <t>Alex@simple.biz</t>
  </si>
  <si>
    <t>Project Manager Team</t>
  </si>
  <si>
    <t>55h 0m</t>
  </si>
  <si>
    <t>48h 33m</t>
  </si>
  <si>
    <t>6h 27m</t>
  </si>
  <si>
    <t>Alexander Evangelista</t>
  </si>
  <si>
    <t>42h 17m</t>
  </si>
  <si>
    <t>37h 14m</t>
  </si>
  <si>
    <t>5h 2m</t>
  </si>
  <si>
    <t>Rufio Alexander De Rama</t>
  </si>
  <si>
    <t>39h 39m</t>
  </si>
  <si>
    <t>34m</t>
  </si>
  <si>
    <t>30h 37m</t>
  </si>
  <si>
    <t>8h 27m</t>
  </si>
  <si>
    <t>Alieza Dua</t>
  </si>
  <si>
    <t>64h 31m</t>
  </si>
  <si>
    <t>10m</t>
  </si>
  <si>
    <t>53h 33m</t>
  </si>
  <si>
    <t>10h 46m</t>
  </si>
  <si>
    <t>Gerald II Casabuena</t>
  </si>
  <si>
    <t>alisonc@simple.biz</t>
  </si>
  <si>
    <t>GEM Supply</t>
  </si>
  <si>
    <t>41h 5m</t>
  </si>
  <si>
    <t>45m</t>
  </si>
  <si>
    <t>24h 52m</t>
  </si>
  <si>
    <t>15h 26m</t>
  </si>
  <si>
    <t>Alison Villagonzalo</t>
  </si>
  <si>
    <t>QC Team</t>
  </si>
  <si>
    <t>52h 55m</t>
  </si>
  <si>
    <t>40h 11m</t>
  </si>
  <si>
    <t>12h 9m</t>
  </si>
  <si>
    <t>Allan Espinosa</t>
  </si>
  <si>
    <t>43h 59m</t>
  </si>
  <si>
    <t>28h 8m</t>
  </si>
  <si>
    <t>15h 40m</t>
  </si>
  <si>
    <t>Allen Aviles</t>
  </si>
  <si>
    <t>allena@simple.biz</t>
  </si>
  <si>
    <t>Social Media Team</t>
  </si>
  <si>
    <t>46h 46m</t>
  </si>
  <si>
    <t>30h 26m</t>
  </si>
  <si>
    <t>16h 9m</t>
  </si>
  <si>
    <t>Aloha Gupilan</t>
  </si>
  <si>
    <t>39h 37m</t>
  </si>
  <si>
    <t>37h 3m</t>
  </si>
  <si>
    <t>2h 34m</t>
  </si>
  <si>
    <t>Amber Miralles</t>
  </si>
  <si>
    <t>amberm@simple.biz</t>
  </si>
  <si>
    <t>37h 2m</t>
  </si>
  <si>
    <t>13m</t>
  </si>
  <si>
    <t>25h 7m</t>
  </si>
  <si>
    <t>11h 42m</t>
  </si>
  <si>
    <t>Amelou Arbol</t>
  </si>
  <si>
    <t>37h 22m</t>
  </si>
  <si>
    <t>30h 0m</t>
  </si>
  <si>
    <t>7h 8m</t>
  </si>
  <si>
    <t>Andre Thomas</t>
  </si>
  <si>
    <t>andret@simple.biz</t>
  </si>
  <si>
    <t>Admin</t>
  </si>
  <si>
    <t>43h 32m</t>
  </si>
  <si>
    <t>38h 52m</t>
  </si>
  <si>
    <t>4h 40m</t>
  </si>
  <si>
    <t>Andrew Manteza</t>
  </si>
  <si>
    <t>andrewma@simple.biz</t>
  </si>
  <si>
    <t>40h 56m</t>
  </si>
  <si>
    <t>38h 23m</t>
  </si>
  <si>
    <t>2h 33m</t>
  </si>
  <si>
    <t>Angela Kyra Ilagan</t>
  </si>
  <si>
    <t>angelai@simple.biz</t>
  </si>
  <si>
    <t>55m</t>
  </si>
  <si>
    <t>26m</t>
  </si>
  <si>
    <t>29m</t>
  </si>
  <si>
    <t>Angela Mananquil</t>
  </si>
  <si>
    <t>46h 3m</t>
  </si>
  <si>
    <t>43h 5m</t>
  </si>
  <si>
    <t>2h 58m</t>
  </si>
  <si>
    <t>Angela Marie Villanueva</t>
  </si>
  <si>
    <t>angelav@simple.biz</t>
  </si>
  <si>
    <t>1h 9m</t>
  </si>
  <si>
    <t>56m</t>
  </si>
  <si>
    <t>12m</t>
  </si>
  <si>
    <t>Angelica Igbalic</t>
  </si>
  <si>
    <t>angelicai@simple.biz</t>
  </si>
  <si>
    <t>40h 10m</t>
  </si>
  <si>
    <t>25h 40m</t>
  </si>
  <si>
    <t>14h 29m</t>
  </si>
  <si>
    <t>Angela Penaflor</t>
  </si>
  <si>
    <t>Orphanage, Edit Team</t>
  </si>
  <si>
    <t>33h 23m</t>
  </si>
  <si>
    <t>22m</t>
  </si>
  <si>
    <t>24h 11m</t>
  </si>
  <si>
    <t>8h 49m</t>
  </si>
  <si>
    <t>Angie Perales</t>
  </si>
  <si>
    <t>Callback Team</t>
  </si>
  <si>
    <t>42h 53m</t>
  </si>
  <si>
    <t>22h 46m</t>
  </si>
  <si>
    <t>20h 6m</t>
  </si>
  <si>
    <t>Mary Anne Comendador</t>
  </si>
  <si>
    <t>annec@simple.biz</t>
  </si>
  <si>
    <t>50m</t>
  </si>
  <si>
    <t>28m</t>
  </si>
  <si>
    <t>Anne La Victoria</t>
  </si>
  <si>
    <t>annel@simple.biz</t>
  </si>
  <si>
    <t>Lead Gen Team, Hogan Smith Law Team</t>
  </si>
  <si>
    <t>40h 24m</t>
  </si>
  <si>
    <t>1h 24m</t>
  </si>
  <si>
    <t>23h 0m</t>
  </si>
  <si>
    <t>16h 0m</t>
  </si>
  <si>
    <t>Anthony H</t>
  </si>
  <si>
    <t>38h 3m</t>
  </si>
  <si>
    <t>20h 48m</t>
  </si>
  <si>
    <t>17h 15m</t>
  </si>
  <si>
    <t>Leigh Anthony Lizardo</t>
  </si>
  <si>
    <t>anthonyl@simple.biz</t>
  </si>
  <si>
    <t>40h 0m</t>
  </si>
  <si>
    <t>2h 31m</t>
  </si>
  <si>
    <t>27h 46m</t>
  </si>
  <si>
    <t>9h 43m</t>
  </si>
  <si>
    <t>Apple Esguerra</t>
  </si>
  <si>
    <t>applee@simple.biz</t>
  </si>
  <si>
    <t>40h 48m</t>
  </si>
  <si>
    <t>38h 39m</t>
  </si>
  <si>
    <t>2h 9m</t>
  </si>
  <si>
    <t>Apple Fajardo</t>
  </si>
  <si>
    <t>applef@simple.biz</t>
  </si>
  <si>
    <t>40h 34m</t>
  </si>
  <si>
    <t>37h 23m</t>
  </si>
  <si>
    <t>3h 11m</t>
  </si>
  <si>
    <t>Ara Breboneria</t>
  </si>
  <si>
    <t>ara@simple.biz</t>
  </si>
  <si>
    <t>38h 10m</t>
  </si>
  <si>
    <t>25h 19m</t>
  </si>
  <si>
    <t>12h 50m</t>
  </si>
  <si>
    <t>Arcy Bucu</t>
  </si>
  <si>
    <t>40h 13m</t>
  </si>
  <si>
    <t>1h 59m</t>
  </si>
  <si>
    <t>22h 37m</t>
  </si>
  <si>
    <t>15h 37m</t>
  </si>
  <si>
    <t>Arem Badajos</t>
  </si>
  <si>
    <t>aremb@simple.biz</t>
  </si>
  <si>
    <t>37h 34m</t>
  </si>
  <si>
    <t>2h 37m</t>
  </si>
  <si>
    <t>John Arnel Cabigon</t>
  </si>
  <si>
    <t>arnelc@simple.biz</t>
  </si>
  <si>
    <t>35h 43m</t>
  </si>
  <si>
    <t>19h 3m</t>
  </si>
  <si>
    <t>16h 30m</t>
  </si>
  <si>
    <t>Anna Rowella Rosales</t>
  </si>
  <si>
    <t>arr@simple.biz</t>
  </si>
  <si>
    <t>39h 51m</t>
  </si>
  <si>
    <t>35h 27m</t>
  </si>
  <si>
    <t>4h 24m</t>
  </si>
  <si>
    <t>arthur benitez</t>
  </si>
  <si>
    <t>49h 36m</t>
  </si>
  <si>
    <t>24h 44m</t>
  </si>
  <si>
    <t>Arvin Navarro</t>
  </si>
  <si>
    <t>40h 50m</t>
  </si>
  <si>
    <t>2m</t>
  </si>
  <si>
    <t>31h 31m</t>
  </si>
  <si>
    <t>9h 16m</t>
  </si>
  <si>
    <t>Abigail Tan</t>
  </si>
  <si>
    <t>Callback Team, Orphanage</t>
  </si>
  <si>
    <t>42h 2m</t>
  </si>
  <si>
    <t>23h 20m</t>
  </si>
  <si>
    <t>18h 13m</t>
  </si>
  <si>
    <t>Aubrey Garcia</t>
  </si>
  <si>
    <t>aubreyg@simple.biz</t>
  </si>
  <si>
    <t>21h 40m</t>
  </si>
  <si>
    <t>17h 54m</t>
  </si>
  <si>
    <t>3h 45m</t>
  </si>
  <si>
    <t>Aubrey Joy Tulana</t>
  </si>
  <si>
    <t>40h 7m</t>
  </si>
  <si>
    <t>23h 23m</t>
  </si>
  <si>
    <t>15h 58m</t>
  </si>
  <si>
    <t>Aunice Caro</t>
  </si>
  <si>
    <t>35h 15m</t>
  </si>
  <si>
    <t>20h 15m</t>
  </si>
  <si>
    <t>15h 0m</t>
  </si>
  <si>
    <t>Ayie Marasigan</t>
  </si>
  <si>
    <t>39h 3m</t>
  </si>
  <si>
    <t>49m</t>
  </si>
  <si>
    <t>19h 57m</t>
  </si>
  <si>
    <t>18h 16m</t>
  </si>
  <si>
    <t>Lovella Anastacio</t>
  </si>
  <si>
    <t>36h 6m</t>
  </si>
  <si>
    <t>46m</t>
  </si>
  <si>
    <t>21h 52m</t>
  </si>
  <si>
    <t>13h 26m</t>
  </si>
  <si>
    <t>Erbelle Lyn Tolo</t>
  </si>
  <si>
    <t>bellet@simple.biz</t>
  </si>
  <si>
    <t>1h 6m</t>
  </si>
  <si>
    <t>1h 2m</t>
  </si>
  <si>
    <t>3m</t>
  </si>
  <si>
    <t>Albenjie Cahoy</t>
  </si>
  <si>
    <t>benc@simple.biz</t>
  </si>
  <si>
    <t>30h 28m</t>
  </si>
  <si>
    <t>29h 6m</t>
  </si>
  <si>
    <t>1h 22m</t>
  </si>
  <si>
    <t>Ben Roseos</t>
  </si>
  <si>
    <t>59h 54m</t>
  </si>
  <si>
    <t>50h 12m</t>
  </si>
  <si>
    <t>9h 41m</t>
  </si>
  <si>
    <t>Kristine Bernadette Cabling</t>
  </si>
  <si>
    <t>bernsc@simple.biz</t>
  </si>
  <si>
    <t>Brooks Law, Lead Gen Team, Financial Peace University, Orphanage</t>
  </si>
  <si>
    <t>55h 51m</t>
  </si>
  <si>
    <t>38h 13m</t>
  </si>
  <si>
    <t>17h 38m</t>
  </si>
  <si>
    <t>Kenneth Billote</t>
  </si>
  <si>
    <t>bill@simple.biz</t>
  </si>
  <si>
    <t>54h 22m</t>
  </si>
  <si>
    <t>40h 29m</t>
  </si>
  <si>
    <t>13h 53m</t>
  </si>
  <si>
    <t>Bill Rebenque</t>
  </si>
  <si>
    <t>42h 20m</t>
  </si>
  <si>
    <t>23h 12m</t>
  </si>
  <si>
    <t>18h 57m</t>
  </si>
  <si>
    <t>Bryan Tagle</t>
  </si>
  <si>
    <t>brandon@simple.biz</t>
  </si>
  <si>
    <t>38h 16m</t>
  </si>
  <si>
    <t>34h 26m</t>
  </si>
  <si>
    <t>3h 49m</t>
  </si>
  <si>
    <t>Brigitte Lethia Lopez</t>
  </si>
  <si>
    <t>47h 57m</t>
  </si>
  <si>
    <t>46h 11m</t>
  </si>
  <si>
    <t>1h 45m</t>
  </si>
  <si>
    <t>Brix Flores</t>
  </si>
  <si>
    <t>brixf@simple.biz</t>
  </si>
  <si>
    <t>37h 18m</t>
  </si>
  <si>
    <t>19h 47m</t>
  </si>
  <si>
    <t>16h 45m</t>
  </si>
  <si>
    <t>Bryan Lagundi</t>
  </si>
  <si>
    <t>Site Building</t>
  </si>
  <si>
    <t>51h 12m</t>
  </si>
  <si>
    <t>43h 54m</t>
  </si>
  <si>
    <t>7h 17m</t>
  </si>
  <si>
    <t>Joyce Camill Mercado</t>
  </si>
  <si>
    <t>36h 27m</t>
  </si>
  <si>
    <t>14h 22m</t>
  </si>
  <si>
    <t>19h 33m</t>
  </si>
  <si>
    <t>Carissa Pozzi</t>
  </si>
  <si>
    <t>carissap@simple.biz</t>
  </si>
  <si>
    <t>41h 40m</t>
  </si>
  <si>
    <t>39h 53m</t>
  </si>
  <si>
    <t>1h 5m</t>
  </si>
  <si>
    <t>Carla Thomas</t>
  </si>
  <si>
    <t>carla@simple.biz</t>
  </si>
  <si>
    <t>Accounting Team</t>
  </si>
  <si>
    <t>51h 6m</t>
  </si>
  <si>
    <t>10h 47m</t>
  </si>
  <si>
    <t>40h 19m</t>
  </si>
  <si>
    <t>Carl Christian Ebanos</t>
  </si>
  <si>
    <t>carle@simple.biz</t>
  </si>
  <si>
    <t>42h 0m</t>
  </si>
  <si>
    <t>38h 17m</t>
  </si>
  <si>
    <t>3h 43m</t>
  </si>
  <si>
    <t>Carlo Cabanlit</t>
  </si>
  <si>
    <t>carloc@simple.biz</t>
  </si>
  <si>
    <t>36h 2m</t>
  </si>
  <si>
    <t>4h 58m</t>
  </si>
  <si>
    <t>13h 39m</t>
  </si>
  <si>
    <t>17h 25m</t>
  </si>
  <si>
    <t>CAROLYN DELA CUADRA</t>
  </si>
  <si>
    <t>39h 46m</t>
  </si>
  <si>
    <t>2h 19m</t>
  </si>
  <si>
    <t>20h 50m</t>
  </si>
  <si>
    <t>16h 36m</t>
  </si>
  <si>
    <t>Cathyrine Llanes</t>
  </si>
  <si>
    <t>cathl@simple.biz</t>
  </si>
  <si>
    <t>40h 55m</t>
  </si>
  <si>
    <t>34h 27m</t>
  </si>
  <si>
    <t>Ma Margaret Charity Guerrero</t>
  </si>
  <si>
    <t>charityg@simple.biz</t>
  </si>
  <si>
    <t>Virtual Assistant Team</t>
  </si>
  <si>
    <t>46h 53m</t>
  </si>
  <si>
    <t>41h 12m</t>
  </si>
  <si>
    <t>5h 40m</t>
  </si>
  <si>
    <t>Charles Christopher Leaño</t>
  </si>
  <si>
    <t>49h 17m</t>
  </si>
  <si>
    <t>5h 21m</t>
  </si>
  <si>
    <t>17h 39m</t>
  </si>
  <si>
    <t>26h 16m</t>
  </si>
  <si>
    <t>Chelsea Dayrit</t>
  </si>
  <si>
    <t>chelsead@simple.biz</t>
  </si>
  <si>
    <t>3h 19m</t>
  </si>
  <si>
    <t>2h 35m</t>
  </si>
  <si>
    <t>44m</t>
  </si>
  <si>
    <t>Chellzy Chavez</t>
  </si>
  <si>
    <t>chelzyc@simple.biz</t>
  </si>
  <si>
    <t>33h 13m</t>
  </si>
  <si>
    <t>8h 54m</t>
  </si>
  <si>
    <t>Maria Cherie Macapagal</t>
  </si>
  <si>
    <t>cheriem@simple.biz</t>
  </si>
  <si>
    <t>35h 1m</t>
  </si>
  <si>
    <t>21h 11m</t>
  </si>
  <si>
    <t>13h 49m</t>
  </si>
  <si>
    <t>Chique Langga</t>
  </si>
  <si>
    <t>chiquel@simple.biz</t>
  </si>
  <si>
    <t>41h 1m</t>
  </si>
  <si>
    <t>33h 34m</t>
  </si>
  <si>
    <t>7h 27m</t>
  </si>
  <si>
    <t>Christian Abrenica</t>
  </si>
  <si>
    <t>chris@simple.biz</t>
  </si>
  <si>
    <t>52h 48m</t>
  </si>
  <si>
    <t>2h 5m</t>
  </si>
  <si>
    <t>33h 58m</t>
  </si>
  <si>
    <t>Chris Enriquez</t>
  </si>
  <si>
    <t>chrise@simple.biz</t>
  </si>
  <si>
    <t>39h 42m</t>
  </si>
  <si>
    <t>34h 41m</t>
  </si>
  <si>
    <t>5h 1m</t>
  </si>
  <si>
    <t>Christian Mamhot</t>
  </si>
  <si>
    <t>chrism@simple.biz</t>
  </si>
  <si>
    <t>26h 53m</t>
  </si>
  <si>
    <t>13h 7m</t>
  </si>
  <si>
    <t>Christian Ranis</t>
  </si>
  <si>
    <t>Chrisr@simple.biz</t>
  </si>
  <si>
    <t>47h 55m</t>
  </si>
  <si>
    <t>36h 20m</t>
  </si>
  <si>
    <t>11h 35m</t>
  </si>
  <si>
    <t>Christy Teves</t>
  </si>
  <si>
    <t>Edit Team, Orphanage</t>
  </si>
  <si>
    <t>49h 49m</t>
  </si>
  <si>
    <t>29h 34m</t>
  </si>
  <si>
    <t>Celmarie Joy Menor</t>
  </si>
  <si>
    <t>cjm@simple.biz</t>
  </si>
  <si>
    <t>Sales Assistants Team, Orphanage</t>
  </si>
  <si>
    <t>62h 14m</t>
  </si>
  <si>
    <t>38h 54m</t>
  </si>
  <si>
    <t>Claire Rosati</t>
  </si>
  <si>
    <t>claire@simple.biz</t>
  </si>
  <si>
    <t>60h 12m</t>
  </si>
  <si>
    <t>0s</t>
  </si>
  <si>
    <t>Claudine Punay</t>
  </si>
  <si>
    <t>36h 30m</t>
  </si>
  <si>
    <t>39m</t>
  </si>
  <si>
    <t>25h 1m</t>
  </si>
  <si>
    <t>10h 50m</t>
  </si>
  <si>
    <t>Clyde Mangawang</t>
  </si>
  <si>
    <t>40h 1m</t>
  </si>
  <si>
    <t>22h 15m</t>
  </si>
  <si>
    <t>17h 46m</t>
  </si>
  <si>
    <t>CM Gerundiano</t>
  </si>
  <si>
    <t>cmg@simple.biz</t>
  </si>
  <si>
    <t>43h 34m</t>
  </si>
  <si>
    <t>43h 0m</t>
  </si>
  <si>
    <t>33m</t>
  </si>
  <si>
    <t>Jacob Bautista</t>
  </si>
  <si>
    <t>cobb@simple.biz</t>
  </si>
  <si>
    <t>AI/API Team</t>
  </si>
  <si>
    <t>5h 19m</t>
  </si>
  <si>
    <t>4h 49m</t>
  </si>
  <si>
    <t>17m</t>
  </si>
  <si>
    <t>Courtney Andresen</t>
  </si>
  <si>
    <t>courtney@simple.biz</t>
  </si>
  <si>
    <t>6h 36m</t>
  </si>
  <si>
    <t>6h 31m</t>
  </si>
  <si>
    <t>5m</t>
  </si>
  <si>
    <t>Cristine Perez</t>
  </si>
  <si>
    <t>37h 1m</t>
  </si>
  <si>
    <t>26h 2m</t>
  </si>
  <si>
    <t>10h 58m</t>
  </si>
  <si>
    <t>Ma. Cris Mae Canete</t>
  </si>
  <si>
    <t>29h 4m</t>
  </si>
  <si>
    <t>12h 8m</t>
  </si>
  <si>
    <t>Cris Marie Judilla</t>
  </si>
  <si>
    <t>crisj@simple.biz</t>
  </si>
  <si>
    <t>40h 9m</t>
  </si>
  <si>
    <t>32h 37m</t>
  </si>
  <si>
    <t>7h 2m</t>
  </si>
  <si>
    <t>Crissha Tanio</t>
  </si>
  <si>
    <t>crisshat@simple.biz</t>
  </si>
  <si>
    <t>30m</t>
  </si>
  <si>
    <t>24m</t>
  </si>
  <si>
    <t>Criza Rubi Paran</t>
  </si>
  <si>
    <t>crizap@simple.biz</t>
  </si>
  <si>
    <t>40h 26m</t>
  </si>
  <si>
    <t>29h 21m</t>
  </si>
  <si>
    <t>11h 5m</t>
  </si>
  <si>
    <t>Dale Delos Santos</t>
  </si>
  <si>
    <t>41h 21m</t>
  </si>
  <si>
    <t>34h 20m</t>
  </si>
  <si>
    <t>7h 0m</t>
  </si>
  <si>
    <t>Danilo Abad</t>
  </si>
  <si>
    <t>dana@simple.biz</t>
  </si>
  <si>
    <t>30h 11m</t>
  </si>
  <si>
    <t>25h 44m</t>
  </si>
  <si>
    <t>4h 27m</t>
  </si>
  <si>
    <t>Danesa Bangoy</t>
  </si>
  <si>
    <t>47h 52m</t>
  </si>
  <si>
    <t>22h 38m</t>
  </si>
  <si>
    <t>25h 3m</t>
  </si>
  <si>
    <t>Danica Bacalso</t>
  </si>
  <si>
    <t>37h 12m</t>
  </si>
  <si>
    <t>28h 55m</t>
  </si>
  <si>
    <t>8h 17m</t>
  </si>
  <si>
    <t>Danica Soliman</t>
  </si>
  <si>
    <t>65h 0m</t>
  </si>
  <si>
    <t>48h 14m</t>
  </si>
  <si>
    <t>16h 46m</t>
  </si>
  <si>
    <t>Danielle Angela Cataag</t>
  </si>
  <si>
    <t>daniellec@simple.biz</t>
  </si>
  <si>
    <t>30h 39m</t>
  </si>
  <si>
    <t>6h 26m</t>
  </si>
  <si>
    <t>24h 12m</t>
  </si>
  <si>
    <t>Danna Mari Tianio</t>
  </si>
  <si>
    <t>dannat@simple.biz</t>
  </si>
  <si>
    <t>40h 36m</t>
  </si>
  <si>
    <t>25m</t>
  </si>
  <si>
    <t>13h 30m</t>
  </si>
  <si>
    <t>26h 40m</t>
  </si>
  <si>
    <t>Dan Albert Pena</t>
  </si>
  <si>
    <t>49h 8m</t>
  </si>
  <si>
    <t>33h 0m</t>
  </si>
  <si>
    <t>16h 7m</t>
  </si>
  <si>
    <t>Darrell Punzalan</t>
  </si>
  <si>
    <t>darrellp@simple.biz</t>
  </si>
  <si>
    <t>Accounting Team, Orphanage</t>
  </si>
  <si>
    <t>59h 20m</t>
  </si>
  <si>
    <t>46h 13m</t>
  </si>
  <si>
    <t>13h 6m</t>
  </si>
  <si>
    <t>Dean Kevin Maniquiz</t>
  </si>
  <si>
    <t>42h 14m</t>
  </si>
  <si>
    <t>38h 30m</t>
  </si>
  <si>
    <t>3h 44m</t>
  </si>
  <si>
    <t>debbie ann cortez</t>
  </si>
  <si>
    <t>debbsc@simple.biz</t>
  </si>
  <si>
    <t>32h 35m</t>
  </si>
  <si>
    <t>19h 0m</t>
  </si>
  <si>
    <t>13h 34m</t>
  </si>
  <si>
    <t>Debraleen Maniquiz</t>
  </si>
  <si>
    <t>40h 8m</t>
  </si>
  <si>
    <t>36h 45m</t>
  </si>
  <si>
    <t>3h 22m</t>
  </si>
  <si>
    <t>Dennis Fernandez</t>
  </si>
  <si>
    <t>44h 28m</t>
  </si>
  <si>
    <t>41h 2m</t>
  </si>
  <si>
    <t>3h 26m</t>
  </si>
  <si>
    <t>Desiree Jay Raposala</t>
  </si>
  <si>
    <t>31h 9m</t>
  </si>
  <si>
    <t>11h 4m</t>
  </si>
  <si>
    <t>Desiderio Mamac Jr.</t>
  </si>
  <si>
    <t>desm@simple.biz</t>
  </si>
  <si>
    <t>5h 56m</t>
  </si>
  <si>
    <t>Diana Michelle Damian</t>
  </si>
  <si>
    <t>40h 5m</t>
  </si>
  <si>
    <t>33h 44m</t>
  </si>
  <si>
    <t>6h 21m</t>
  </si>
  <si>
    <t>Domingo Alcantara</t>
  </si>
  <si>
    <t>41h 0m</t>
  </si>
  <si>
    <t>23h 39m</t>
  </si>
  <si>
    <t>16h 58m</t>
  </si>
  <si>
    <t>Donald Dipas</t>
  </si>
  <si>
    <t>donaldd@simple.biz</t>
  </si>
  <si>
    <t>18h 24m</t>
  </si>
  <si>
    <t>29h 11m</t>
  </si>
  <si>
    <t>Brandon Billones</t>
  </si>
  <si>
    <t>Lead Gen Team, ER Capital</t>
  </si>
  <si>
    <t>26h 32m</t>
  </si>
  <si>
    <t>12h 36m</t>
  </si>
  <si>
    <t>Don D</t>
  </si>
  <si>
    <t>dond@simple.biz</t>
  </si>
  <si>
    <t>Discovery Team, Orphanage</t>
  </si>
  <si>
    <t>36h 1m</t>
  </si>
  <si>
    <t>26h 1m</t>
  </si>
  <si>
    <t>9h 59m</t>
  </si>
  <si>
    <t>Edric Espiritu</t>
  </si>
  <si>
    <t>ede@simple.biz</t>
  </si>
  <si>
    <t>41h 18m</t>
  </si>
  <si>
    <t>35h 58m</t>
  </si>
  <si>
    <t>5h 20m</t>
  </si>
  <si>
    <t>Ed Anthony Soco</t>
  </si>
  <si>
    <t>21m</t>
  </si>
  <si>
    <t>Elaizah Jean Alcanzo</t>
  </si>
  <si>
    <t>elaizaha@simple.biz</t>
  </si>
  <si>
    <t>44h 13m</t>
  </si>
  <si>
    <t>38h 2m</t>
  </si>
  <si>
    <t>6h 10m</t>
  </si>
  <si>
    <t>Dionela Zaspa</t>
  </si>
  <si>
    <t>elaz@simple.biz</t>
  </si>
  <si>
    <t>41h 11m</t>
  </si>
  <si>
    <t>37h 0m</t>
  </si>
  <si>
    <t>4h 10m</t>
  </si>
  <si>
    <t>Ellycka Rowen Tubig</t>
  </si>
  <si>
    <t>ellyt@simple.biz</t>
  </si>
  <si>
    <t>Orphanage, Accounting Team</t>
  </si>
  <si>
    <t>58h 35m</t>
  </si>
  <si>
    <t>14m</t>
  </si>
  <si>
    <t>48h 12m</t>
  </si>
  <si>
    <t>10h 9m</t>
  </si>
  <si>
    <t>Elmer Biol</t>
  </si>
  <si>
    <t>elmob@simple.biz</t>
  </si>
  <si>
    <t>Orphanage, Lead Gen Team, Hogan Smith Law Team</t>
  </si>
  <si>
    <t>44h 23m</t>
  </si>
  <si>
    <t>15m</t>
  </si>
  <si>
    <t>26h 42m</t>
  </si>
  <si>
    <t>Emma Kitson</t>
  </si>
  <si>
    <t>emma@simple.biz</t>
  </si>
  <si>
    <t>47h 59m</t>
  </si>
  <si>
    <t>40m</t>
  </si>
  <si>
    <t>32h 43m</t>
  </si>
  <si>
    <t>14h 35m</t>
  </si>
  <si>
    <t>Emie Fatima Amparo</t>
  </si>
  <si>
    <t>2h 57m</t>
  </si>
  <si>
    <t>32h 52m</t>
  </si>
  <si>
    <t>4h 34m</t>
  </si>
  <si>
    <t>Emily Solon</t>
  </si>
  <si>
    <t>emss@simple.biz</t>
  </si>
  <si>
    <t>Hogan Smith Law Team, Orphanage</t>
  </si>
  <si>
    <t>50h 50m</t>
  </si>
  <si>
    <t>50h 3m</t>
  </si>
  <si>
    <t>47m</t>
  </si>
  <si>
    <t>Enzo Arriesgado</t>
  </si>
  <si>
    <t>55h 4m</t>
  </si>
  <si>
    <t>20m</t>
  </si>
  <si>
    <t>38h 44m</t>
  </si>
  <si>
    <t>15h 59m</t>
  </si>
  <si>
    <t>Enzzy Dulalas</t>
  </si>
  <si>
    <t>enzzy@simple.biz</t>
  </si>
  <si>
    <t>44h 10m</t>
  </si>
  <si>
    <t>30h 47m</t>
  </si>
  <si>
    <t>12h 53m</t>
  </si>
  <si>
    <t>Erickson Mauricio</t>
  </si>
  <si>
    <t>erickm@simple.biz</t>
  </si>
  <si>
    <t>21h 1m</t>
  </si>
  <si>
    <t>10h 57m</t>
  </si>
  <si>
    <t>10h 3m</t>
  </si>
  <si>
    <t>Frederick Subibi</t>
  </si>
  <si>
    <t>ericks@simple.biz</t>
  </si>
  <si>
    <t>32h 4m</t>
  </si>
  <si>
    <t>27h 36m</t>
  </si>
  <si>
    <t>Eric Teano</t>
  </si>
  <si>
    <t>51h 17m</t>
  </si>
  <si>
    <t>46h 25m</t>
  </si>
  <si>
    <t>4h 51m</t>
  </si>
  <si>
    <t>EULA JANE PACHECO</t>
  </si>
  <si>
    <t>eulap@simple.biz</t>
  </si>
  <si>
    <t>48h 43m</t>
  </si>
  <si>
    <t>45h 25m</t>
  </si>
  <si>
    <t>3h 17m</t>
  </si>
  <si>
    <t>Fairy Baconguis</t>
  </si>
  <si>
    <t>38h 53m</t>
  </si>
  <si>
    <t>19h 42m</t>
  </si>
  <si>
    <t>17h 1m</t>
  </si>
  <si>
    <t>Louiza Faye Eduria</t>
  </si>
  <si>
    <t>37h 15m</t>
  </si>
  <si>
    <t>2h 54m</t>
  </si>
  <si>
    <t>Feliza Capuyon</t>
  </si>
  <si>
    <t>Brooks Law</t>
  </si>
  <si>
    <t>45h 16m</t>
  </si>
  <si>
    <t>1h 57m</t>
  </si>
  <si>
    <t>30h 46m</t>
  </si>
  <si>
    <t>12h 31m</t>
  </si>
  <si>
    <t>Femaelyn Grace Jabla</t>
  </si>
  <si>
    <t>44h 1m</t>
  </si>
  <si>
    <t>32h 38m</t>
  </si>
  <si>
    <t>Fernanda Mae Agbay</t>
  </si>
  <si>
    <t>38h 36m</t>
  </si>
  <si>
    <t>31h 47m</t>
  </si>
  <si>
    <t>6h 48m</t>
  </si>
  <si>
    <t>Fernando Quintos</t>
  </si>
  <si>
    <t>fernq@simple.biz</t>
  </si>
  <si>
    <t>30h 16m</t>
  </si>
  <si>
    <t>25h 43m</t>
  </si>
  <si>
    <t>4h 33m</t>
  </si>
  <si>
    <t>Fiel Deguito</t>
  </si>
  <si>
    <t>39h 33m</t>
  </si>
  <si>
    <t>38h 28m</t>
  </si>
  <si>
    <t>Francis Jay Boybanting</t>
  </si>
  <si>
    <t>35h 2m</t>
  </si>
  <si>
    <t>19h 17m</t>
  </si>
  <si>
    <t>15h 34m</t>
  </si>
  <si>
    <t>Ma. Franisa Marcine</t>
  </si>
  <si>
    <t>franm@simple.biz</t>
  </si>
  <si>
    <t>49h 3m</t>
  </si>
  <si>
    <t>41h 52m</t>
  </si>
  <si>
    <t>7h 10m</t>
  </si>
  <si>
    <t>Freddie Monredondo</t>
  </si>
  <si>
    <t>freddiem@simple.biz</t>
  </si>
  <si>
    <t>38h 24m</t>
  </si>
  <si>
    <t>32h 8m</t>
  </si>
  <si>
    <t>6h 16m</t>
  </si>
  <si>
    <t>Fritz Lubiano</t>
  </si>
  <si>
    <t>41h 29m</t>
  </si>
  <si>
    <t>25h 9m</t>
  </si>
  <si>
    <t>16h 19m</t>
  </si>
  <si>
    <t>Gary Allego</t>
  </si>
  <si>
    <t>43h 22m</t>
  </si>
  <si>
    <t>13h 47m</t>
  </si>
  <si>
    <t>Paul Angelo Abuel</t>
  </si>
  <si>
    <t>40h 4m</t>
  </si>
  <si>
    <t>27h 2m</t>
  </si>
  <si>
    <t>13h 1m</t>
  </si>
  <si>
    <t>Gerald Mayor</t>
  </si>
  <si>
    <t>51h 59m</t>
  </si>
  <si>
    <t>48h 32m</t>
  </si>
  <si>
    <t>Gil Tangcalagan</t>
  </si>
  <si>
    <t>gilt@simple.biz</t>
  </si>
  <si>
    <t>23m</t>
  </si>
  <si>
    <t>Gladys Ann Ilagan</t>
  </si>
  <si>
    <t>36h 0m</t>
  </si>
  <si>
    <t>5h 59m</t>
  </si>
  <si>
    <t>Gladys Parreno</t>
  </si>
  <si>
    <t>35h 7m</t>
  </si>
  <si>
    <t>1h 10m</t>
  </si>
  <si>
    <t>17h 51m</t>
  </si>
  <si>
    <t>16h 6m</t>
  </si>
  <si>
    <t>Glenda Go</t>
  </si>
  <si>
    <t>50h 49m</t>
  </si>
  <si>
    <t>33h 7m</t>
  </si>
  <si>
    <t>17h 42m</t>
  </si>
  <si>
    <t>Grace Ann Peach</t>
  </si>
  <si>
    <t>gracep@simple.biz</t>
  </si>
  <si>
    <t>30h 59m</t>
  </si>
  <si>
    <t>15h 46m</t>
  </si>
  <si>
    <t>14h 37m</t>
  </si>
  <si>
    <t>Mary Grace Regondola</t>
  </si>
  <si>
    <t>38h 32m</t>
  </si>
  <si>
    <t>19h 8m</t>
  </si>
  <si>
    <t>18h 49m</t>
  </si>
  <si>
    <t>Grace Salusod</t>
  </si>
  <si>
    <t>40h 57m</t>
  </si>
  <si>
    <t>36h 48m</t>
  </si>
  <si>
    <t>4h 9m</t>
  </si>
  <si>
    <t>Graham Alolod</t>
  </si>
  <si>
    <t>grahama@simple.biz</t>
  </si>
  <si>
    <t>40h 12m</t>
  </si>
  <si>
    <t>38h 40m</t>
  </si>
  <si>
    <t>1h 32m</t>
  </si>
  <si>
    <t>Gus O</t>
  </si>
  <si>
    <t>guso@simple.biz</t>
  </si>
  <si>
    <t>5h 52m</t>
  </si>
  <si>
    <t>5h 24m</t>
  </si>
  <si>
    <t>gyd tura</t>
  </si>
  <si>
    <t>gyd@simple.biz</t>
  </si>
  <si>
    <t>54h 10m</t>
  </si>
  <si>
    <t>52h 14m</t>
  </si>
  <si>
    <t>1h 55m</t>
  </si>
  <si>
    <t>Maharlika Clavano</t>
  </si>
  <si>
    <t>49h 2m</t>
  </si>
  <si>
    <t>30h 52m</t>
  </si>
  <si>
    <t>18h 10m</t>
  </si>
  <si>
    <t>Harry Enriquez</t>
  </si>
  <si>
    <t>57h 2m</t>
  </si>
  <si>
    <t>35m</t>
  </si>
  <si>
    <t>43h 42m</t>
  </si>
  <si>
    <t>12h 44m</t>
  </si>
  <si>
    <t>Heart Divine Candia</t>
  </si>
  <si>
    <t>35h 6m</t>
  </si>
  <si>
    <t>25h 47m</t>
  </si>
  <si>
    <t>9h 18m</t>
  </si>
  <si>
    <t>Katherine Heart Morales</t>
  </si>
  <si>
    <t>heartm@simple.biz</t>
  </si>
  <si>
    <t>28h 10m</t>
  </si>
  <si>
    <t>17h 26m</t>
  </si>
  <si>
    <t>10h 33m</t>
  </si>
  <si>
    <t>Hendry Pamatian</t>
  </si>
  <si>
    <t>11m</t>
  </si>
  <si>
    <t>28h 5m</t>
  </si>
  <si>
    <t>11h 53m</t>
  </si>
  <si>
    <t>Ike Kenneth Dispo</t>
  </si>
  <si>
    <t>49h 22m</t>
  </si>
  <si>
    <t>2h 6m</t>
  </si>
  <si>
    <t>20h 33m</t>
  </si>
  <si>
    <t>Ma. Ilonah Egasan</t>
  </si>
  <si>
    <t>ilonahe@simple.biz</t>
  </si>
  <si>
    <t>Imee Regil</t>
  </si>
  <si>
    <t>50h 27m</t>
  </si>
  <si>
    <t>7h 24m</t>
  </si>
  <si>
    <t>23h 55m</t>
  </si>
  <si>
    <t>19h 7m</t>
  </si>
  <si>
    <t>Iris</t>
  </si>
  <si>
    <t>irisb@simple.biz</t>
  </si>
  <si>
    <t>39h 15m</t>
  </si>
  <si>
    <t>39h 7m</t>
  </si>
  <si>
    <t>7m</t>
  </si>
  <si>
    <t>Irwin Clifford Sumagaysay</t>
  </si>
  <si>
    <t>35h 10m</t>
  </si>
  <si>
    <t>42m</t>
  </si>
  <si>
    <t>16h 55m</t>
  </si>
  <si>
    <t>17h 32m</t>
  </si>
  <si>
    <t>Isaac Tesalona</t>
  </si>
  <si>
    <t>isaact@simple.biz</t>
  </si>
  <si>
    <t>39h 6m</t>
  </si>
  <si>
    <t>36h 40m</t>
  </si>
  <si>
    <t>2h 25m</t>
  </si>
  <si>
    <t>Kenneth Melliza</t>
  </si>
  <si>
    <t>ivan@simple.biz</t>
  </si>
  <si>
    <t>41h 23m</t>
  </si>
  <si>
    <t>32m</t>
  </si>
  <si>
    <t>Ivy Marie Antig</t>
  </si>
  <si>
    <t>ivy@simple.biz</t>
  </si>
  <si>
    <t>49h 7m</t>
  </si>
  <si>
    <t>47h 51m</t>
  </si>
  <si>
    <t>1h 15m</t>
  </si>
  <si>
    <t>Ivy D</t>
  </si>
  <si>
    <t>ivyd@simple.biz</t>
  </si>
  <si>
    <t>48h 17m</t>
  </si>
  <si>
    <t>38h 50m</t>
  </si>
  <si>
    <t>9h 27m</t>
  </si>
  <si>
    <t>Jaquelin Zapata</t>
  </si>
  <si>
    <t>jackie@simple.biz</t>
  </si>
  <si>
    <t>51h 33m</t>
  </si>
  <si>
    <t>44h 20m</t>
  </si>
  <si>
    <t>7h 12m</t>
  </si>
  <si>
    <t>Jonathan Mondoñedo</t>
  </si>
  <si>
    <t>jagom@simple.biz</t>
  </si>
  <si>
    <t>1h 17m</t>
  </si>
  <si>
    <t>51m</t>
  </si>
  <si>
    <t>Jacob Jackson</t>
  </si>
  <si>
    <t>42h 54m</t>
  </si>
  <si>
    <t>37h 26m</t>
  </si>
  <si>
    <t>5h 27m</t>
  </si>
  <si>
    <t>junjill jake labtic</t>
  </si>
  <si>
    <t>46h 57m</t>
  </si>
  <si>
    <t>30h 42m</t>
  </si>
  <si>
    <t>16h 14m</t>
  </si>
  <si>
    <t>Jame C</t>
  </si>
  <si>
    <t>jamec@simple.biz</t>
  </si>
  <si>
    <t>50h 11m</t>
  </si>
  <si>
    <t>33h 35m</t>
  </si>
  <si>
    <t>Jamaica Guanzon</t>
  </si>
  <si>
    <t>jamg@simple.biz</t>
  </si>
  <si>
    <t>39h 27m</t>
  </si>
  <si>
    <t>34h 40m</t>
  </si>
  <si>
    <t>4h 46m</t>
  </si>
  <si>
    <t>Jan Juanillas</t>
  </si>
  <si>
    <t>Project Manager Team, Orphanage</t>
  </si>
  <si>
    <t>53h 22m</t>
  </si>
  <si>
    <t>30h 35m</t>
  </si>
  <si>
    <t>JANE MAYOR</t>
  </si>
  <si>
    <t>58h 48m</t>
  </si>
  <si>
    <t>54h 38m</t>
  </si>
  <si>
    <t>Jane P</t>
  </si>
  <si>
    <t>janep@simple.biz</t>
  </si>
  <si>
    <t>42h 22m</t>
  </si>
  <si>
    <t>5h 55m</t>
  </si>
  <si>
    <t>Jane Revira</t>
  </si>
  <si>
    <t>39h 57m</t>
  </si>
  <si>
    <t>13h 28m</t>
  </si>
  <si>
    <t>21h 36m</t>
  </si>
  <si>
    <t>Jane Singcahon</t>
  </si>
  <si>
    <t>35h 3m</t>
  </si>
  <si>
    <t>25h 32m</t>
  </si>
  <si>
    <t>9h 20m</t>
  </si>
  <si>
    <t>Jann Andrei Jumonong</t>
  </si>
  <si>
    <t>jannj@simple.biz</t>
  </si>
  <si>
    <t>43h 1m</t>
  </si>
  <si>
    <t>25h 53m</t>
  </si>
  <si>
    <t>Jansen Ilaya</t>
  </si>
  <si>
    <t>janseni@simple.biz</t>
  </si>
  <si>
    <t>Jason Coliflores</t>
  </si>
  <si>
    <t>jasonc@simple.biz</t>
  </si>
  <si>
    <t>38h 0m</t>
  </si>
  <si>
    <t>31h 43m</t>
  </si>
  <si>
    <t>Jason Oroyan</t>
  </si>
  <si>
    <t>jasono@simple.biz</t>
  </si>
  <si>
    <t>Stewart's Flooring America</t>
  </si>
  <si>
    <t>26h 24m</t>
  </si>
  <si>
    <t>19h 4m</t>
  </si>
  <si>
    <t>7h 20m</t>
  </si>
  <si>
    <t>Jay Michael Bollozos</t>
  </si>
  <si>
    <t>48h 1m</t>
  </si>
  <si>
    <t>43h 16m</t>
  </si>
  <si>
    <t>4h 44m</t>
  </si>
  <si>
    <t>Arjay Carranza</t>
  </si>
  <si>
    <t>24h 1m</t>
  </si>
  <si>
    <t>12h 1m</t>
  </si>
  <si>
    <t>john michael Hernandez</t>
  </si>
  <si>
    <t>jayh@simple.biz</t>
  </si>
  <si>
    <t>40h 52m</t>
  </si>
  <si>
    <t>30h 13m</t>
  </si>
  <si>
    <t>10h 18m</t>
  </si>
  <si>
    <t>Jay Calubaquib</t>
  </si>
  <si>
    <t>43h 18m</t>
  </si>
  <si>
    <t>29h 57m</t>
  </si>
  <si>
    <t>13h 0m</t>
  </si>
  <si>
    <t>Jayson Mahinay</t>
  </si>
  <si>
    <t>46h 9m</t>
  </si>
  <si>
    <t>25h 25m</t>
  </si>
  <si>
    <t>20h 43m</t>
  </si>
  <si>
    <t>Jayvee Lloyd Aliser</t>
  </si>
  <si>
    <t>38h 5m</t>
  </si>
  <si>
    <t>30h 3m</t>
  </si>
  <si>
    <t>8h 1m</t>
  </si>
  <si>
    <t>Jay Y</t>
  </si>
  <si>
    <t>49h 0m</t>
  </si>
  <si>
    <t>27h 58m</t>
  </si>
  <si>
    <t>20h 49m</t>
  </si>
  <si>
    <t>Jaz Capulong</t>
  </si>
  <si>
    <t>52h 45m</t>
  </si>
  <si>
    <t>51h 55m</t>
  </si>
  <si>
    <t>Jazmine Roa</t>
  </si>
  <si>
    <t>jazminer@simple.biz</t>
  </si>
  <si>
    <t>Orphanage, Hogan Smith Law Team</t>
  </si>
  <si>
    <t>55h 19m</t>
  </si>
  <si>
    <t>45h 54m</t>
  </si>
  <si>
    <t>9h 24m</t>
  </si>
  <si>
    <t>Jazzie S</t>
  </si>
  <si>
    <t>jazzies@simple.biz</t>
  </si>
  <si>
    <t>49h 6m</t>
  </si>
  <si>
    <t>33h 36m</t>
  </si>
  <si>
    <t>15h 30m</t>
  </si>
  <si>
    <t>Jazz Redulla</t>
  </si>
  <si>
    <t>jazzr@simple.biz</t>
  </si>
  <si>
    <t>40h 46m</t>
  </si>
  <si>
    <t>20h 47m</t>
  </si>
  <si>
    <t>19h 58m</t>
  </si>
  <si>
    <t>John Carlo Ilagan</t>
  </si>
  <si>
    <t>jci@simple.biz</t>
  </si>
  <si>
    <t>41h 39m</t>
  </si>
  <si>
    <t>23h 42m</t>
  </si>
  <si>
    <t>17h 56m</t>
  </si>
  <si>
    <t>John Christopher Pascual</t>
  </si>
  <si>
    <t>jcp@simple.biz</t>
  </si>
  <si>
    <t>52h 34m</t>
  </si>
  <si>
    <t>23h 13m</t>
  </si>
  <si>
    <t>Jensen Dagatan</t>
  </si>
  <si>
    <t>28h 21m</t>
  </si>
  <si>
    <t>11h 6m</t>
  </si>
  <si>
    <t>Jeanette Forister</t>
  </si>
  <si>
    <t>jeanette@simple.biz</t>
  </si>
  <si>
    <t>15h 49m</t>
  </si>
  <si>
    <t>11h 16m</t>
  </si>
  <si>
    <t>4h 32m</t>
  </si>
  <si>
    <t>Jean Roa</t>
  </si>
  <si>
    <t>jeanr@simple.biz</t>
  </si>
  <si>
    <t>16h 3m</t>
  </si>
  <si>
    <t>5h 35m</t>
  </si>
  <si>
    <t>10h 27m</t>
  </si>
  <si>
    <t>Jedrick Hufano</t>
  </si>
  <si>
    <t>jed@simple.biz</t>
  </si>
  <si>
    <t>47h 46m</t>
  </si>
  <si>
    <t>31h 22m</t>
  </si>
  <si>
    <t>16h 23m</t>
  </si>
  <si>
    <t>Jeff Thibodeau</t>
  </si>
  <si>
    <t>jeff@simple.biz</t>
  </si>
  <si>
    <t>41h 13m</t>
  </si>
  <si>
    <t>6h 39m</t>
  </si>
  <si>
    <t>JEFF JABONERO</t>
  </si>
  <si>
    <t>48m</t>
  </si>
  <si>
    <t>Jem Tanajora</t>
  </si>
  <si>
    <t>22h 49m</t>
  </si>
  <si>
    <t>19h 32m</t>
  </si>
  <si>
    <t>ma. lourdes paynor</t>
  </si>
  <si>
    <t>24h 55m</t>
  </si>
  <si>
    <t>Lynie Jane Ipili</t>
  </si>
  <si>
    <t>19h 16m</t>
  </si>
  <si>
    <t>15h 54m</t>
  </si>
  <si>
    <t>Jennifer Lagos</t>
  </si>
  <si>
    <t>50h 52m</t>
  </si>
  <si>
    <t>30h 8m</t>
  </si>
  <si>
    <t>20h 18m</t>
  </si>
  <si>
    <t>jeofry kim Agbo</t>
  </si>
  <si>
    <t>21h 2m</t>
  </si>
  <si>
    <t>Jerome Aguirre</t>
  </si>
  <si>
    <t>43h 55m</t>
  </si>
  <si>
    <t>37h 33m</t>
  </si>
  <si>
    <t>Ferdinand Jerome Rosero</t>
  </si>
  <si>
    <t>44h 0m</t>
  </si>
  <si>
    <t>18h 42m</t>
  </si>
  <si>
    <t>25h 17m</t>
  </si>
  <si>
    <t>Jerrek Anthony Lim</t>
  </si>
  <si>
    <t>42h 49m</t>
  </si>
  <si>
    <t>21h 25m</t>
  </si>
  <si>
    <t>21h 23m</t>
  </si>
  <si>
    <t>Jireh Garcia</t>
  </si>
  <si>
    <t>jerry@simple.biz</t>
  </si>
  <si>
    <t>46h 0m</t>
  </si>
  <si>
    <t>35h 8m</t>
  </si>
  <si>
    <t>10h 51m</t>
  </si>
  <si>
    <t>Jerelee Langcuyan</t>
  </si>
  <si>
    <t>10h 25m</t>
  </si>
  <si>
    <t>Jerrymie Paunillan</t>
  </si>
  <si>
    <t>39h 45m</t>
  </si>
  <si>
    <t>27h 13m</t>
  </si>
  <si>
    <t>12h 32m</t>
  </si>
  <si>
    <t>Jesica Roxas</t>
  </si>
  <si>
    <t>38h 35m</t>
  </si>
  <si>
    <t>21h 9m</t>
  </si>
  <si>
    <t>Jizza Rabuya</t>
  </si>
  <si>
    <t>jessr@simple.biz</t>
  </si>
  <si>
    <t>41h 4m</t>
  </si>
  <si>
    <t>25h 22m</t>
  </si>
  <si>
    <t>15h 16m</t>
  </si>
  <si>
    <t>John Michael Saraña</t>
  </si>
  <si>
    <t>44h 38m</t>
  </si>
  <si>
    <t>24h 38m</t>
  </si>
  <si>
    <t>Joanalyn Rondina</t>
  </si>
  <si>
    <t>43h 30m</t>
  </si>
  <si>
    <t>3h 52m</t>
  </si>
  <si>
    <t>15h 50m</t>
  </si>
  <si>
    <t>23h 47m</t>
  </si>
  <si>
    <t>Joana Saldua</t>
  </si>
  <si>
    <t>joanas@simple.biz</t>
  </si>
  <si>
    <t>41h 22m</t>
  </si>
  <si>
    <t>3h 53m</t>
  </si>
  <si>
    <t>Joan G</t>
  </si>
  <si>
    <t>joang@simple.biz</t>
  </si>
  <si>
    <t>38h 37m</t>
  </si>
  <si>
    <t>1h 27m</t>
  </si>
  <si>
    <t>Joan Millendez</t>
  </si>
  <si>
    <t>joanm@simple.biz</t>
  </si>
  <si>
    <t>Bayou Roofing</t>
  </si>
  <si>
    <t>17h 20m</t>
  </si>
  <si>
    <t>Joanna Rose Luriz</t>
  </si>
  <si>
    <t>joannal@simple.biz</t>
  </si>
  <si>
    <t>40h 27m</t>
  </si>
  <si>
    <t>20h 37m</t>
  </si>
  <si>
    <t>13h 21m</t>
  </si>
  <si>
    <t>Jo Benson Vergara</t>
  </si>
  <si>
    <t>46h 49m</t>
  </si>
  <si>
    <t>41h 9m</t>
  </si>
  <si>
    <t>Anjeo Velasco</t>
  </si>
  <si>
    <t>joev@simple.biz</t>
  </si>
  <si>
    <t>54h 1m</t>
  </si>
  <si>
    <t>47h 56m</t>
  </si>
  <si>
    <t>6h 5m</t>
  </si>
  <si>
    <t>John Rivera</t>
  </si>
  <si>
    <t>john@simple.biz</t>
  </si>
  <si>
    <t>33h 51m</t>
  </si>
  <si>
    <t>26h 47m</t>
  </si>
  <si>
    <t>6h 53m</t>
  </si>
  <si>
    <t>John Villanueva</t>
  </si>
  <si>
    <t>johnbv@simple.biz</t>
  </si>
  <si>
    <t>20h 25m</t>
  </si>
  <si>
    <t>23h 4m</t>
  </si>
  <si>
    <t>John C</t>
  </si>
  <si>
    <t>johnc@simple.biz</t>
  </si>
  <si>
    <t>Orphanage, HR Team</t>
  </si>
  <si>
    <t>12h 23m</t>
  </si>
  <si>
    <t>John Felices</t>
  </si>
  <si>
    <t>65h 3m</t>
  </si>
  <si>
    <t>61h 4m</t>
  </si>
  <si>
    <t>3h 59m</t>
  </si>
  <si>
    <t>John Rhei Gonzales</t>
  </si>
  <si>
    <t>52h 0m</t>
  </si>
  <si>
    <t>42h 58m</t>
  </si>
  <si>
    <t>9h 1m</t>
  </si>
  <si>
    <t>John Ingtitan</t>
  </si>
  <si>
    <t>johni@simple.biz</t>
  </si>
  <si>
    <t>2h 36m</t>
  </si>
  <si>
    <t>53m</t>
  </si>
  <si>
    <t>1h 12m</t>
  </si>
  <si>
    <t>John Michael Lagos</t>
  </si>
  <si>
    <t>29h 52m</t>
  </si>
  <si>
    <t>19h 25m</t>
  </si>
  <si>
    <t>John Lennon Monterona</t>
  </si>
  <si>
    <t>44h 17m</t>
  </si>
  <si>
    <t>15h 7m</t>
  </si>
  <si>
    <t>John Misael Glariada</t>
  </si>
  <si>
    <t>johnmg@simple.biz</t>
  </si>
  <si>
    <t>45h 2m</t>
  </si>
  <si>
    <t>44h 40m</t>
  </si>
  <si>
    <t>John Prajedes</t>
  </si>
  <si>
    <t>47h 6m</t>
  </si>
  <si>
    <t>11h 58m</t>
  </si>
  <si>
    <t>John Rhiel Querijero</t>
  </si>
  <si>
    <t>40h 3m</t>
  </si>
  <si>
    <t>27h 47m</t>
  </si>
  <si>
    <t>12h 16m</t>
  </si>
  <si>
    <t>John Angelo Rey Gamo</t>
  </si>
  <si>
    <t>42h 1m</t>
  </si>
  <si>
    <t>24h 23m</t>
  </si>
  <si>
    <t>17h 37m</t>
  </si>
  <si>
    <t>John Westley Paule</t>
  </si>
  <si>
    <t>johnwp@simple.biz</t>
  </si>
  <si>
    <t>39h 9m</t>
  </si>
  <si>
    <t>2h 7m</t>
  </si>
  <si>
    <t>Jolina Lo</t>
  </si>
  <si>
    <t>jolinel@simple.biz</t>
  </si>
  <si>
    <t>33h 8m</t>
  </si>
  <si>
    <t>36m</t>
  </si>
  <si>
    <t>11h 17m</t>
  </si>
  <si>
    <t>21h 14m</t>
  </si>
  <si>
    <t>Jolo Esguerra</t>
  </si>
  <si>
    <t>joloe@simple.biz</t>
  </si>
  <si>
    <t>31h 58m</t>
  </si>
  <si>
    <t>23h 29m</t>
  </si>
  <si>
    <t>8h 29m</t>
  </si>
  <si>
    <t>Jomar Layno</t>
  </si>
  <si>
    <t>48h 10m</t>
  </si>
  <si>
    <t>47h 12m</t>
  </si>
  <si>
    <t>58m</t>
  </si>
  <si>
    <t>Jonathan Mae Villarosa</t>
  </si>
  <si>
    <t>21h 0m</t>
  </si>
  <si>
    <t>28h 0m</t>
  </si>
  <si>
    <t>Jon Francis Jaring</t>
  </si>
  <si>
    <t>National Stabilizers</t>
  </si>
  <si>
    <t>1h 37m</t>
  </si>
  <si>
    <t>Jo Solijon</t>
  </si>
  <si>
    <t>21h 26m</t>
  </si>
  <si>
    <t>15h 45m</t>
  </si>
  <si>
    <t>5h 17m</t>
  </si>
  <si>
    <t>Joanne Novela</t>
  </si>
  <si>
    <t>StartupTree</t>
  </si>
  <si>
    <t>4s</t>
  </si>
  <si>
    <t>25h 46m</t>
  </si>
  <si>
    <t>24h 17m</t>
  </si>
  <si>
    <t>Josephine Torralba</t>
  </si>
  <si>
    <t>Relational Estate &amp;amp; Elder Law, Lead Gen Team, Orphanage</t>
  </si>
  <si>
    <t>30h 45m</t>
  </si>
  <si>
    <t>22h 57m</t>
  </si>
  <si>
    <t>Joseph Jr. Ubaub</t>
  </si>
  <si>
    <t>josephu@simple.biz</t>
  </si>
  <si>
    <t>7h 47m</t>
  </si>
  <si>
    <t>Joshua Michael Bondoc</t>
  </si>
  <si>
    <t>joshmb@simple.biz</t>
  </si>
  <si>
    <t>64h 48m</t>
  </si>
  <si>
    <t>46h 21m</t>
  </si>
  <si>
    <t>18h 27m</t>
  </si>
  <si>
    <t>Johsua Borlongan</t>
  </si>
  <si>
    <t>Joshua@simple.biz</t>
  </si>
  <si>
    <t>42h 25m</t>
  </si>
  <si>
    <t>6h 35m</t>
  </si>
  <si>
    <t>Joshua Dela Cruz</t>
  </si>
  <si>
    <t>joshuadc@simple.biz</t>
  </si>
  <si>
    <t>50h 22m</t>
  </si>
  <si>
    <t>28h 23m</t>
  </si>
  <si>
    <t>21h 58m</t>
  </si>
  <si>
    <t>Joy Felomino</t>
  </si>
  <si>
    <t>joy@simple.biz</t>
  </si>
  <si>
    <t>44h 16m</t>
  </si>
  <si>
    <t>27h 3m</t>
  </si>
  <si>
    <t>17h 12m</t>
  </si>
  <si>
    <t>Joy Baldonebro</t>
  </si>
  <si>
    <t>joyb@simple.biz</t>
  </si>
  <si>
    <t>31h 54m</t>
  </si>
  <si>
    <t>3h 20m</t>
  </si>
  <si>
    <t>Judith Albiar</t>
  </si>
  <si>
    <t>Lead Gen Team, Orphanage</t>
  </si>
  <si>
    <t>49h 28m</t>
  </si>
  <si>
    <t>34h 32m</t>
  </si>
  <si>
    <t>14h 55m</t>
  </si>
  <si>
    <t>Julian Elevazo</t>
  </si>
  <si>
    <t>juliane@simple.biz</t>
  </si>
  <si>
    <t>40h 17m</t>
  </si>
  <si>
    <t>33h 12m</t>
  </si>
  <si>
    <t>7h 4m</t>
  </si>
  <si>
    <t>Julia Regner</t>
  </si>
  <si>
    <t>juliar@simple.biz</t>
  </si>
  <si>
    <t>38h 33m</t>
  </si>
  <si>
    <t>25h 37m</t>
  </si>
  <si>
    <t>12h 56m</t>
  </si>
  <si>
    <t>Julie Ann Credo</t>
  </si>
  <si>
    <t>juliec@simple.biz</t>
  </si>
  <si>
    <t>36h 49m</t>
  </si>
  <si>
    <t>6h 23m</t>
  </si>
  <si>
    <t>Julie Ann Sumalinog</t>
  </si>
  <si>
    <t>35h 47m</t>
  </si>
  <si>
    <t>19h 20m</t>
  </si>
  <si>
    <t>16h 26m</t>
  </si>
  <si>
    <t>July Boloron</t>
  </si>
  <si>
    <t>julyb@simple.biz</t>
  </si>
  <si>
    <t>45h 52m</t>
  </si>
  <si>
    <t>31h 8m</t>
  </si>
  <si>
    <t>14h 44m</t>
  </si>
  <si>
    <t>Julian Casona</t>
  </si>
  <si>
    <t>45h 1m</t>
  </si>
  <si>
    <t>18h 12m</t>
  </si>
  <si>
    <t>Jupiter Oguis</t>
  </si>
  <si>
    <t>jupitero@simple.biz</t>
  </si>
  <si>
    <t>Lead Gen Team, Accounting Team</t>
  </si>
  <si>
    <t>11h 55m</t>
  </si>
  <si>
    <t>3h 13m</t>
  </si>
  <si>
    <t>7h 30m</t>
  </si>
  <si>
    <t>24h 25m</t>
  </si>
  <si>
    <t>Justin Marie Flores</t>
  </si>
  <si>
    <t>40h 2m</t>
  </si>
  <si>
    <t>32h 15m</t>
  </si>
  <si>
    <t>7h 23m</t>
  </si>
  <si>
    <t>Jean Vincent Camarillo</t>
  </si>
  <si>
    <t>jvc@simple.biz</t>
  </si>
  <si>
    <t>33h 20m</t>
  </si>
  <si>
    <t>9h 37m</t>
  </si>
  <si>
    <t>11h 11m</t>
  </si>
  <si>
    <t>Karen Dimaano</t>
  </si>
  <si>
    <t>23h 16m</t>
  </si>
  <si>
    <t>16h 35m</t>
  </si>
  <si>
    <t>Kate Almarez</t>
  </si>
  <si>
    <t>katea@simple.biz</t>
  </si>
  <si>
    <t>37h 49m</t>
  </si>
  <si>
    <t>27h 15m</t>
  </si>
  <si>
    <t>Anne Kathrine Serranilla</t>
  </si>
  <si>
    <t>kaths@simple.biz</t>
  </si>
  <si>
    <t>1h 3m</t>
  </si>
  <si>
    <t>Kaye Lanie</t>
  </si>
  <si>
    <t>kayea@simple.biz</t>
  </si>
  <si>
    <t>39h 36m</t>
  </si>
  <si>
    <t>1h 46m</t>
  </si>
  <si>
    <t>27h 37m</t>
  </si>
  <si>
    <t>10h 12m</t>
  </si>
  <si>
    <t>Kaye Baconguis</t>
  </si>
  <si>
    <t>25h 48m</t>
  </si>
  <si>
    <t>12h 51m</t>
  </si>
  <si>
    <t>Rhea Chen Launo</t>
  </si>
  <si>
    <t>51h 34m</t>
  </si>
  <si>
    <t>28h 6m</t>
  </si>
  <si>
    <t>22h 51m</t>
  </si>
  <si>
    <t>Kaylae Astrida Tayona</t>
  </si>
  <si>
    <t>kaylaet@simple.biz</t>
  </si>
  <si>
    <t>1h 0m</t>
  </si>
  <si>
    <t>Keith Andrea De Luna</t>
  </si>
  <si>
    <t>20h 54m</t>
  </si>
  <si>
    <t>19h 6m</t>
  </si>
  <si>
    <t>Kinneth Osabel</t>
  </si>
  <si>
    <t>ken@simple.biz</t>
  </si>
  <si>
    <t>49h 1m</t>
  </si>
  <si>
    <t>2h 26m</t>
  </si>
  <si>
    <t>39h 47m</t>
  </si>
  <si>
    <t>6h 47m</t>
  </si>
  <si>
    <t>Orven Lam</t>
  </si>
  <si>
    <t>25h 45m</t>
  </si>
  <si>
    <t>8h 16m</t>
  </si>
  <si>
    <t>Kevin John Tanjusay</t>
  </si>
  <si>
    <t>kevin@simple.biz</t>
  </si>
  <si>
    <t>45h 18m</t>
  </si>
  <si>
    <t>Kevin Cosico</t>
  </si>
  <si>
    <t>46h 14m</t>
  </si>
  <si>
    <t>21h 21m</t>
  </si>
  <si>
    <t>Khrisna Moises</t>
  </si>
  <si>
    <t>40h 42m</t>
  </si>
  <si>
    <t>27h 43m</t>
  </si>
  <si>
    <t>12h 38m</t>
  </si>
  <si>
    <t>Erickson Hitosis</t>
  </si>
  <si>
    <t>49h 19m</t>
  </si>
  <si>
    <t>1h 43m</t>
  </si>
  <si>
    <t>16h 13m</t>
  </si>
  <si>
    <t>Kim Joshua Bartolome</t>
  </si>
  <si>
    <t>42h 19m</t>
  </si>
  <si>
    <t>14h 42m</t>
  </si>
  <si>
    <t>Kim Briones</t>
  </si>
  <si>
    <t>45h 46m</t>
  </si>
  <si>
    <t>4h 56m</t>
  </si>
  <si>
    <t>20h 4m</t>
  </si>
  <si>
    <t>20h 45m</t>
  </si>
  <si>
    <t>Kim Jayson Alboruto</t>
  </si>
  <si>
    <t>kimja@simple.biz</t>
  </si>
  <si>
    <t>30h 2m</t>
  </si>
  <si>
    <t>Kobe Christian Mulingbayan</t>
  </si>
  <si>
    <t>64h 6m</t>
  </si>
  <si>
    <t>43h 3m</t>
  </si>
  <si>
    <t>20h 40m</t>
  </si>
  <si>
    <t>Marjorie Kriestyl Diez</t>
  </si>
  <si>
    <t>43h 12m</t>
  </si>
  <si>
    <t>9h 51m</t>
  </si>
  <si>
    <t>Marie Kris Talaugon</t>
  </si>
  <si>
    <t>43h 29m</t>
  </si>
  <si>
    <t>15h 47m</t>
  </si>
  <si>
    <t>27h 42m</t>
  </si>
  <si>
    <t>Kristine Raguing</t>
  </si>
  <si>
    <t>22h 32m</t>
  </si>
  <si>
    <t>18h 17m</t>
  </si>
  <si>
    <t>Kristoffer Conejero</t>
  </si>
  <si>
    <t>39h 0m</t>
  </si>
  <si>
    <t>23h 53m</t>
  </si>
  <si>
    <t>Kyra Galicia</t>
  </si>
  <si>
    <t>kyrag@simple.biz</t>
  </si>
  <si>
    <t>41h 35m</t>
  </si>
  <si>
    <t>9h 8m</t>
  </si>
  <si>
    <t>16h 24m</t>
  </si>
  <si>
    <t>16h 2m</t>
  </si>
  <si>
    <t>Laiza Jadlocon</t>
  </si>
  <si>
    <t>laizaj@simple.biz</t>
  </si>
  <si>
    <t>31h 23m</t>
  </si>
  <si>
    <t>37m</t>
  </si>
  <si>
    <t>15h 19m</t>
  </si>
  <si>
    <t>Lani Fuertes</t>
  </si>
  <si>
    <t>lanf@simple.biz</t>
  </si>
  <si>
    <t>40h 16m</t>
  </si>
  <si>
    <t>13h 29m</t>
  </si>
  <si>
    <t>Lara Mae Co</t>
  </si>
  <si>
    <t>30h 54m</t>
  </si>
  <si>
    <t>16h 20m</t>
  </si>
  <si>
    <t>14h 33m</t>
  </si>
  <si>
    <t>Laurence Bueno</t>
  </si>
  <si>
    <t>15h 6m</t>
  </si>
  <si>
    <t>Laurice Justiniane</t>
  </si>
  <si>
    <t>38h 4m</t>
  </si>
  <si>
    <t>3h 4m</t>
  </si>
  <si>
    <t>lawrence santos</t>
  </si>
  <si>
    <t>Lawrence@simple.biz</t>
  </si>
  <si>
    <t>7h 33m</t>
  </si>
  <si>
    <t>Lemuel Ching</t>
  </si>
  <si>
    <t>lemc@simple.biz</t>
  </si>
  <si>
    <t>61h 19m</t>
  </si>
  <si>
    <t>3h 40m</t>
  </si>
  <si>
    <t>55h 36m</t>
  </si>
  <si>
    <t>2h 1m</t>
  </si>
  <si>
    <t>Maria Linda Tesalona</t>
  </si>
  <si>
    <t>lenny@simple.biz</t>
  </si>
  <si>
    <t>61h 21m</t>
  </si>
  <si>
    <t>46h 8m</t>
  </si>
  <si>
    <t>15h 12m</t>
  </si>
  <si>
    <t>Lincoln Eman lincolnm@simple.biz</t>
  </si>
  <si>
    <t>lincolnm@simple.biz</t>
  </si>
  <si>
    <t>48h 28m</t>
  </si>
  <si>
    <t>31h 51m</t>
  </si>
  <si>
    <t>16h 37m</t>
  </si>
  <si>
    <t>Lincoln Gerard Mamaril</t>
  </si>
  <si>
    <t>41h 49m</t>
  </si>
  <si>
    <t>32h 17m</t>
  </si>
  <si>
    <t>9h 32m</t>
  </si>
  <si>
    <t>Noelle Ann Lizette Soriano</t>
  </si>
  <si>
    <t>lizs@simple.biz</t>
  </si>
  <si>
    <t>36h 4m</t>
  </si>
  <si>
    <t>20h 36m</t>
  </si>
  <si>
    <t>15h 28m</t>
  </si>
  <si>
    <t>Lora Roflo</t>
  </si>
  <si>
    <t>lorar@simple.biz</t>
  </si>
  <si>
    <t>42h 12m</t>
  </si>
  <si>
    <t>40h 51m</t>
  </si>
  <si>
    <t>1h 21m</t>
  </si>
  <si>
    <t>Lorie San Mateo</t>
  </si>
  <si>
    <t>42h 28m</t>
  </si>
  <si>
    <t>29h 56m</t>
  </si>
  <si>
    <t>12h 6m</t>
  </si>
  <si>
    <t>Marcy Louie Alaba</t>
  </si>
  <si>
    <t>louiea@simple.biz</t>
  </si>
  <si>
    <t>19h 14m</t>
  </si>
  <si>
    <t>Louie Ilagan</t>
  </si>
  <si>
    <t>louiei@simple.biz</t>
  </si>
  <si>
    <t>Loueje Ruiz</t>
  </si>
  <si>
    <t>63h 39m</t>
  </si>
  <si>
    <t>22h 2m</t>
  </si>
  <si>
    <t>Michael Lucky Ilagan</t>
  </si>
  <si>
    <t>luckyi@simple.biz</t>
  </si>
  <si>
    <t>18h 35m</t>
  </si>
  <si>
    <t>Shielalyn Johnson</t>
  </si>
  <si>
    <t>lynj@simple.biz</t>
  </si>
  <si>
    <t>HR Team, Orphanage</t>
  </si>
  <si>
    <t>51h 54m</t>
  </si>
  <si>
    <t>34h 30m</t>
  </si>
  <si>
    <t>17h 24m</t>
  </si>
  <si>
    <t>Lyndie Libo-on</t>
  </si>
  <si>
    <t>lynl@simple.biz</t>
  </si>
  <si>
    <t>31h 56m</t>
  </si>
  <si>
    <t>8h 12m</t>
  </si>
  <si>
    <t>Lyra Joy Aguilan</t>
  </si>
  <si>
    <t>lyraa@simple.biz</t>
  </si>
  <si>
    <t>50h 40m</t>
  </si>
  <si>
    <t>35h 29m</t>
  </si>
  <si>
    <t>15h 10m</t>
  </si>
  <si>
    <t>Lyra Brigette</t>
  </si>
  <si>
    <t>lyrab@simple.biz</t>
  </si>
  <si>
    <t>7h 11m</t>
  </si>
  <si>
    <t>Mack Gonzales</t>
  </si>
  <si>
    <t>mackg@simple.biz</t>
  </si>
  <si>
    <t>38h 6m</t>
  </si>
  <si>
    <t>1h 56m</t>
  </si>
  <si>
    <t>15h 20m</t>
  </si>
  <si>
    <t>Crisha Mae Concepcion</t>
  </si>
  <si>
    <t>20h 13m</t>
  </si>
  <si>
    <t>27h 44m</t>
  </si>
  <si>
    <t>Anna Margarita Tabora</t>
  </si>
  <si>
    <t>12h 33m</t>
  </si>
  <si>
    <t>joel mandy sagun</t>
  </si>
  <si>
    <t>61h 0m</t>
  </si>
  <si>
    <t>57h 54m</t>
  </si>
  <si>
    <t>3h 6m</t>
  </si>
  <si>
    <t>Marionne Anthony Castillo</t>
  </si>
  <si>
    <t>marc@simple.biz</t>
  </si>
  <si>
    <t>45h 51m</t>
  </si>
  <si>
    <t>34h 18m</t>
  </si>
  <si>
    <t>11h 21m</t>
  </si>
  <si>
    <t>Marc Joseph Cahig</t>
  </si>
  <si>
    <t>35h 49m</t>
  </si>
  <si>
    <t>13h 13m</t>
  </si>
  <si>
    <t>Marc Paulo Dimaranan</t>
  </si>
  <si>
    <t>50h 1m</t>
  </si>
  <si>
    <t>31h 19m</t>
  </si>
  <si>
    <t>Marcus Cipriano</t>
  </si>
  <si>
    <t>15h 3m</t>
  </si>
  <si>
    <t>10h 39m</t>
  </si>
  <si>
    <t>Maria Corazon Magallano</t>
  </si>
  <si>
    <t>40h 25m</t>
  </si>
  <si>
    <t>35h 26m</t>
  </si>
  <si>
    <t>Marianne Paras</t>
  </si>
  <si>
    <t>mariannep@simple.biz</t>
  </si>
  <si>
    <t>Maria Theresa Tan</t>
  </si>
  <si>
    <t>46h 7m</t>
  </si>
  <si>
    <t>23h 25m</t>
  </si>
  <si>
    <t>22h 42m</t>
  </si>
  <si>
    <t>Maricor Cruz</t>
  </si>
  <si>
    <t>maricorc@simple.biz</t>
  </si>
  <si>
    <t>40h 53m</t>
  </si>
  <si>
    <t>36h 57m</t>
  </si>
  <si>
    <t>3h 55m</t>
  </si>
  <si>
    <t>Catherine Marie Calugay</t>
  </si>
  <si>
    <t>marie@simple.biz</t>
  </si>
  <si>
    <t>34h 5m</t>
  </si>
  <si>
    <t>11h 15m</t>
  </si>
  <si>
    <t>Marie Antonette Fulleros</t>
  </si>
  <si>
    <t>mariea@simple.biz</t>
  </si>
  <si>
    <t>35h 36m</t>
  </si>
  <si>
    <t>4h 59m</t>
  </si>
  <si>
    <t>Marielace Buena Fe Yungco</t>
  </si>
  <si>
    <t>mariely@simple.biz</t>
  </si>
  <si>
    <t>39h 25m</t>
  </si>
  <si>
    <t>32h 26m</t>
  </si>
  <si>
    <t>6h 33m</t>
  </si>
  <si>
    <t>Marilen Dela Cruz</t>
  </si>
  <si>
    <t>marilyn@simple.biz</t>
  </si>
  <si>
    <t>49h 11m</t>
  </si>
  <si>
    <t>41h 50m</t>
  </si>
  <si>
    <t>7h 21m</t>
  </si>
  <si>
    <t>Marjorie Fernandez</t>
  </si>
  <si>
    <t>37h 10m</t>
  </si>
  <si>
    <t>25h 6m</t>
  </si>
  <si>
    <t>12h 4m</t>
  </si>
  <si>
    <t>Marjorie Dela Peña</t>
  </si>
  <si>
    <t>39h 38m</t>
  </si>
  <si>
    <t>33h 9m</t>
  </si>
  <si>
    <t>6h 29m</t>
  </si>
  <si>
    <t>Mark Florentino</t>
  </si>
  <si>
    <t>37h 41m</t>
  </si>
  <si>
    <t>2h 30m</t>
  </si>
  <si>
    <t>19h 52m</t>
  </si>
  <si>
    <t>15h 18m</t>
  </si>
  <si>
    <t>Mark Joseph Morales</t>
  </si>
  <si>
    <t>13h 10m</t>
  </si>
  <si>
    <t>8h 33m</t>
  </si>
  <si>
    <t>4h 37m</t>
  </si>
  <si>
    <t>Mark Molarte</t>
  </si>
  <si>
    <t>38h 9m</t>
  </si>
  <si>
    <t>1h 33m</t>
  </si>
  <si>
    <t>12h 54m</t>
  </si>
  <si>
    <t>John Martin De Ramos</t>
  </si>
  <si>
    <t>martin@simple.biz</t>
  </si>
  <si>
    <t>24h 22m</t>
  </si>
  <si>
    <t>18h 54m</t>
  </si>
  <si>
    <t>5h 28m</t>
  </si>
  <si>
    <t>Mary Ann Marquez</t>
  </si>
  <si>
    <t>marym@simple.biz</t>
  </si>
  <si>
    <t>34h 39m</t>
  </si>
  <si>
    <t>6h 0m</t>
  </si>
  <si>
    <t>Mary Rose Ann Verdejo</t>
  </si>
  <si>
    <t>maryv@simple.biz</t>
  </si>
  <si>
    <t>52h 49m</t>
  </si>
  <si>
    <t>48h 8m</t>
  </si>
  <si>
    <t>4h 41m</t>
  </si>
  <si>
    <t>Matt Alolod</t>
  </si>
  <si>
    <t>48h 11m</t>
  </si>
  <si>
    <t>35h 16m</t>
  </si>
  <si>
    <t>Maui Dionisio</t>
  </si>
  <si>
    <t>maui@simple.biz</t>
  </si>
  <si>
    <t>50h 7m</t>
  </si>
  <si>
    <t>32h 1m</t>
  </si>
  <si>
    <t>18h 6m</t>
  </si>
  <si>
    <t>Ianmae Abueva</t>
  </si>
  <si>
    <t>may@simple.biz</t>
  </si>
  <si>
    <t>31h 5m</t>
  </si>
  <si>
    <t>23h 8m</t>
  </si>
  <si>
    <t>6h 56m</t>
  </si>
  <si>
    <t>May Ann Binghoy</t>
  </si>
  <si>
    <t>41h 15m</t>
  </si>
  <si>
    <t>34h 57m</t>
  </si>
  <si>
    <t>6h 7m</t>
  </si>
  <si>
    <t>Mary May Diaz</t>
  </si>
  <si>
    <t>40h 6m</t>
  </si>
  <si>
    <t>27h 17m</t>
  </si>
  <si>
    <t>12h 49m</t>
  </si>
  <si>
    <t>Mayrene Estorque</t>
  </si>
  <si>
    <t>maye@simple.biz</t>
  </si>
  <si>
    <t>46s</t>
  </si>
  <si>
    <t>May Inggo</t>
  </si>
  <si>
    <t>mayi@simple.biz</t>
  </si>
  <si>
    <t>37h 38m</t>
  </si>
  <si>
    <t>34h 7m</t>
  </si>
  <si>
    <t>3h 30m</t>
  </si>
  <si>
    <t>May Tampos</t>
  </si>
  <si>
    <t>Mayt@simple.biz</t>
  </si>
  <si>
    <t>47h 1m</t>
  </si>
  <si>
    <t>42h 50m</t>
  </si>
  <si>
    <t>3h 58m</t>
  </si>
  <si>
    <t>Megan M</t>
  </si>
  <si>
    <t>meganm@simple.biz</t>
  </si>
  <si>
    <t>21h 54m</t>
  </si>
  <si>
    <t>19h 54m</t>
  </si>
  <si>
    <t>Melanie Ganev</t>
  </si>
  <si>
    <t>melanieg@simple.biz</t>
  </si>
  <si>
    <t>11h 34m</t>
  </si>
  <si>
    <t>Melfe Ugnay</t>
  </si>
  <si>
    <t>melfeu@simple.biz</t>
  </si>
  <si>
    <t>1h 8m</t>
  </si>
  <si>
    <t>9m</t>
  </si>
  <si>
    <t>Armel Manalo</t>
  </si>
  <si>
    <t>43h 9m</t>
  </si>
  <si>
    <t>26h 39m</t>
  </si>
  <si>
    <t>16h 29m</t>
  </si>
  <si>
    <t>Mia Benedictos</t>
  </si>
  <si>
    <t>miaj@simple.biz</t>
  </si>
  <si>
    <t>29h 29m</t>
  </si>
  <si>
    <t>Micah Jane Paraiso</t>
  </si>
  <si>
    <t>micahp@simple.biz</t>
  </si>
  <si>
    <t>18h 58m</t>
  </si>
  <si>
    <t>20h 2m</t>
  </si>
  <si>
    <t>Micky Reynante</t>
  </si>
  <si>
    <t>7h 36m</t>
  </si>
  <si>
    <t>Miguel Umbac</t>
  </si>
  <si>
    <t>55h 5m</t>
  </si>
  <si>
    <t>31h 12m</t>
  </si>
  <si>
    <t>23h 52m</t>
  </si>
  <si>
    <t>Mikay Igot</t>
  </si>
  <si>
    <t>mikayi@simple.biz</t>
  </si>
  <si>
    <t>40h 39m</t>
  </si>
  <si>
    <t>2h 55m</t>
  </si>
  <si>
    <t>22h 45m</t>
  </si>
  <si>
    <t>14h 58m</t>
  </si>
  <si>
    <t>Jan Michael Baillo</t>
  </si>
  <si>
    <t>51h 1m</t>
  </si>
  <si>
    <t>29h 18m</t>
  </si>
  <si>
    <t>21h 42m</t>
  </si>
  <si>
    <t>michael heramil</t>
  </si>
  <si>
    <t>46h 59m</t>
  </si>
  <si>
    <t>Mike King Jay Agtag</t>
  </si>
  <si>
    <t>35h 41m</t>
  </si>
  <si>
    <t>15h 25m</t>
  </si>
  <si>
    <t>Michael Torres</t>
  </si>
  <si>
    <t>36h 41m</t>
  </si>
  <si>
    <t>8h 19m</t>
  </si>
  <si>
    <t>Mina Dulu</t>
  </si>
  <si>
    <t>mina@simple.biz</t>
  </si>
  <si>
    <t>53h 32m</t>
  </si>
  <si>
    <t>39h 40m</t>
  </si>
  <si>
    <t>13h 51m</t>
  </si>
  <si>
    <t>Michelle Crespo</t>
  </si>
  <si>
    <t>Mitchc@simple.biz</t>
  </si>
  <si>
    <t>31h 37m</t>
  </si>
  <si>
    <t>21h 29m</t>
  </si>
  <si>
    <t>10h 7m</t>
  </si>
  <si>
    <t>MM Estilloso</t>
  </si>
  <si>
    <t>mme@simple.biz</t>
  </si>
  <si>
    <t>10h 5m</t>
  </si>
  <si>
    <t>Amos Panon</t>
  </si>
  <si>
    <t>moip@simple.biz</t>
  </si>
  <si>
    <t>Mylene Adonay</t>
  </si>
  <si>
    <t>27h 4m</t>
  </si>
  <si>
    <t>17h 23m</t>
  </si>
  <si>
    <t>Nadine Chavez</t>
  </si>
  <si>
    <t>nadinec@simple.biz</t>
  </si>
  <si>
    <t>39h 56m</t>
  </si>
  <si>
    <t>32h 14m</t>
  </si>
  <si>
    <t>7h 41m</t>
  </si>
  <si>
    <t>Nancy Orcajada</t>
  </si>
  <si>
    <t>66h 35m</t>
  </si>
  <si>
    <t>Nate Lunar</t>
  </si>
  <si>
    <t>natel@simple.biz</t>
  </si>
  <si>
    <t>33h 24m</t>
  </si>
  <si>
    <t>6h 38m</t>
  </si>
  <si>
    <t>Nathaniel Rosal</t>
  </si>
  <si>
    <t>Carol Ebardo</t>
  </si>
  <si>
    <t>nete@simple.biz</t>
  </si>
  <si>
    <t>44h 42m</t>
  </si>
  <si>
    <t>2h 50m</t>
  </si>
  <si>
    <t>Jade Nicholai Fortunato</t>
  </si>
  <si>
    <t>nicholaif@simple.biz</t>
  </si>
  <si>
    <t>43h 35m</t>
  </si>
  <si>
    <t>Nicholas Charland</t>
  </si>
  <si>
    <t>nicholas@simple.biz</t>
  </si>
  <si>
    <t>41h 30m</t>
  </si>
  <si>
    <t>29h 40m</t>
  </si>
  <si>
    <t>11h 39m</t>
  </si>
  <si>
    <t>Nico Paolo Fernandez</t>
  </si>
  <si>
    <t>nick@simple.biz</t>
  </si>
  <si>
    <t>10h 38m</t>
  </si>
  <si>
    <t>Nico</t>
  </si>
  <si>
    <t>nico@simple.biz</t>
  </si>
  <si>
    <t>31h 42m</t>
  </si>
  <si>
    <t>25h 52m</t>
  </si>
  <si>
    <t>5h 49m</t>
  </si>
  <si>
    <t>Nicole Sornito</t>
  </si>
  <si>
    <t>28h 2m</t>
  </si>
  <si>
    <t>11h 30m</t>
  </si>
  <si>
    <t>Nida Jr Villanueva</t>
  </si>
  <si>
    <t>nidav@simple.biz</t>
  </si>
  <si>
    <t>27m</t>
  </si>
  <si>
    <t>6h 22m</t>
  </si>
  <si>
    <t>Niel Damian</t>
  </si>
  <si>
    <t>44h 31m</t>
  </si>
  <si>
    <t>14h 57m</t>
  </si>
  <si>
    <t>Nichael Mark Toquero</t>
  </si>
  <si>
    <t>niket@simple.biz</t>
  </si>
  <si>
    <t>45h 24m</t>
  </si>
  <si>
    <t>37h 29m</t>
  </si>
  <si>
    <t>7h 54m</t>
  </si>
  <si>
    <t>Nikkie Pacifico</t>
  </si>
  <si>
    <t>niksp@simple.biz</t>
  </si>
  <si>
    <t>5h 30m</t>
  </si>
  <si>
    <t>4h 54m</t>
  </si>
  <si>
    <t>Nina Cruz</t>
  </si>
  <si>
    <t>ninac@simple.biz</t>
  </si>
  <si>
    <t>46h 1m</t>
  </si>
  <si>
    <t>Nine Montecalvo</t>
  </si>
  <si>
    <t>ninem@simple.biz</t>
  </si>
  <si>
    <t>27h 1m</t>
  </si>
  <si>
    <t>13h 24m</t>
  </si>
  <si>
    <t>12h 58m</t>
  </si>
  <si>
    <t>Norwin Binas</t>
  </si>
  <si>
    <t>norwinb@simple.biz</t>
  </si>
  <si>
    <t>36h 39m</t>
  </si>
  <si>
    <t>4h 17m</t>
  </si>
  <si>
    <t>Patricia Mikaela Velasco</t>
  </si>
  <si>
    <t>patriciav@simple.biz</t>
  </si>
  <si>
    <t>44h 35m</t>
  </si>
  <si>
    <t>21h 37m</t>
  </si>
  <si>
    <t>Patrick Villamor</t>
  </si>
  <si>
    <t>patrick@simple.biz</t>
  </si>
  <si>
    <t>22h 34m</t>
  </si>
  <si>
    <t>17h 0m</t>
  </si>
  <si>
    <t>5h 33m</t>
  </si>
  <si>
    <t>John Patrick Quillo</t>
  </si>
  <si>
    <t>43h 15m</t>
  </si>
  <si>
    <t>24h 16m</t>
  </si>
  <si>
    <t>Pavi Doromal</t>
  </si>
  <si>
    <t>19h 18m</t>
  </si>
  <si>
    <t>Khristine Pearl Ho</t>
  </si>
  <si>
    <t>pearly@simple.biz</t>
  </si>
  <si>
    <t>18h 41m</t>
  </si>
  <si>
    <t>18h 11m</t>
  </si>
  <si>
    <t>Penny Lyn Omila</t>
  </si>
  <si>
    <t>pennyo@simple.biz</t>
  </si>
  <si>
    <t>Perry Benedictos</t>
  </si>
  <si>
    <t>perryb@simple.biz</t>
  </si>
  <si>
    <t>38h 7m</t>
  </si>
  <si>
    <t>Peter Paul Lawas</t>
  </si>
  <si>
    <t>45h 30m</t>
  </si>
  <si>
    <t>20h 26m</t>
  </si>
  <si>
    <t>24h 24m</t>
  </si>
  <si>
    <t>Phil Dingal</t>
  </si>
  <si>
    <t>14h 41m</t>
  </si>
  <si>
    <t>Pio Ibanez</t>
  </si>
  <si>
    <t>31h 7m</t>
  </si>
  <si>
    <t>Queencis Eve Baguio</t>
  </si>
  <si>
    <t>queenb@simple.biz</t>
  </si>
  <si>
    <t>44h 32m</t>
  </si>
  <si>
    <t>1h 34m</t>
  </si>
  <si>
    <t>Rachel Amor Cagape</t>
  </si>
  <si>
    <t>32h 39m</t>
  </si>
  <si>
    <t>8h 21m</t>
  </si>
  <si>
    <t>Rachelle Casquete</t>
  </si>
  <si>
    <t>rachellec@simple.biz</t>
  </si>
  <si>
    <t>37h 35m</t>
  </si>
  <si>
    <t>38m</t>
  </si>
  <si>
    <t>Rafael Andres</t>
  </si>
  <si>
    <t>35h 0m</t>
  </si>
  <si>
    <t>Reynaldo Oberio</t>
  </si>
  <si>
    <t>raino@simple.biz</t>
  </si>
  <si>
    <t>43h 6m</t>
  </si>
  <si>
    <t>27h 20m</t>
  </si>
  <si>
    <t>Reynan Postrano</t>
  </si>
  <si>
    <t>31h 27m</t>
  </si>
  <si>
    <t>22h 8m</t>
  </si>
  <si>
    <t>8h 58m</t>
  </si>
  <si>
    <t>Ralf Rolan Sinarillos</t>
  </si>
  <si>
    <t>ralph@simple.biz</t>
  </si>
  <si>
    <t>32h 54m</t>
  </si>
  <si>
    <t>11h 23m</t>
  </si>
  <si>
    <t>Ralph Bruce Figuerres</t>
  </si>
  <si>
    <t>34h 3m</t>
  </si>
  <si>
    <t>Recheer Ian Ybanez</t>
  </si>
  <si>
    <t>Hogan Smith Law Team, Orphanage, Lead Gen Team</t>
  </si>
  <si>
    <t>69h 1m</t>
  </si>
  <si>
    <t>41h 17m</t>
  </si>
  <si>
    <t>Reena Lorenzo</t>
  </si>
  <si>
    <t>65h 41m</t>
  </si>
  <si>
    <t>1h 20m</t>
  </si>
  <si>
    <t>50h 14m</t>
  </si>
  <si>
    <t>14h 6m</t>
  </si>
  <si>
    <t>Rei Antillon</t>
  </si>
  <si>
    <t>reia@simple.biz</t>
  </si>
  <si>
    <t>53h 2m</t>
  </si>
  <si>
    <t>42h 13m</t>
  </si>
  <si>
    <t>10h 49m</t>
  </si>
  <si>
    <t>Reid D</t>
  </si>
  <si>
    <t>47h 38m</t>
  </si>
  <si>
    <t>1h 38m</t>
  </si>
  <si>
    <t>Reina Lawas</t>
  </si>
  <si>
    <t>42h 3m</t>
  </si>
  <si>
    <t>59m</t>
  </si>
  <si>
    <t>17h 30m</t>
  </si>
  <si>
    <t>23h 32m</t>
  </si>
  <si>
    <t>Mariren Sto Domingo</t>
  </si>
  <si>
    <t>35h 33m</t>
  </si>
  <si>
    <t>13h 48m</t>
  </si>
  <si>
    <t>Florenze Jocson</t>
  </si>
  <si>
    <t>renzj@simple.biz</t>
  </si>
  <si>
    <t>1h 26m</t>
  </si>
  <si>
    <t>Rey Demaisip</t>
  </si>
  <si>
    <t>43h 26m</t>
  </si>
  <si>
    <t>5h 9m</t>
  </si>
  <si>
    <t>Rodessa Retiza</t>
  </si>
  <si>
    <t>reyr@simple.biz</t>
  </si>
  <si>
    <t>41h 46m</t>
  </si>
  <si>
    <t>1h 7m</t>
  </si>
  <si>
    <t>27h 18m</t>
  </si>
  <si>
    <t>13h 20m</t>
  </si>
  <si>
    <t>Reyshel Grace Serilla</t>
  </si>
  <si>
    <t>22h 10m</t>
  </si>
  <si>
    <t>16h 50m</t>
  </si>
  <si>
    <t>Rhobbie Jane Barros</t>
  </si>
  <si>
    <t>43h 58m</t>
  </si>
  <si>
    <t>5h 16m</t>
  </si>
  <si>
    <t>Rica Rabutin</t>
  </si>
  <si>
    <t>43h 4m</t>
  </si>
  <si>
    <t>28h 48m</t>
  </si>
  <si>
    <t>14h 15m</t>
  </si>
  <si>
    <t>Rieta Matias</t>
  </si>
  <si>
    <t>rietam@simple.biz</t>
  </si>
  <si>
    <t>Social Media Team, Orphanage</t>
  </si>
  <si>
    <t>61h 56m</t>
  </si>
  <si>
    <t>51h 3m</t>
  </si>
  <si>
    <t>10h 53m</t>
  </si>
  <si>
    <t>Riva Matas</t>
  </si>
  <si>
    <t>rivam@simple.biz</t>
  </si>
  <si>
    <t>18h 31m</t>
  </si>
  <si>
    <t>Riza Lapaz</t>
  </si>
  <si>
    <t>40h 38m</t>
  </si>
  <si>
    <t>22h 47m</t>
  </si>
  <si>
    <t>17h 40m</t>
  </si>
  <si>
    <t>Rue Jeanne Asuncion</t>
  </si>
  <si>
    <t>13h 2m</t>
  </si>
  <si>
    <t>Rochelle Dumlao</t>
  </si>
  <si>
    <t>rochelled@simple.biz</t>
  </si>
  <si>
    <t>29h 28m</t>
  </si>
  <si>
    <t>11h 41m</t>
  </si>
  <si>
    <t>Rochie Baclagan</t>
  </si>
  <si>
    <t>41h 26m</t>
  </si>
  <si>
    <t>31h 30m</t>
  </si>
  <si>
    <t>9h 14m</t>
  </si>
  <si>
    <t>Girod Alejandre</t>
  </si>
  <si>
    <t>Onsite Safety</t>
  </si>
  <si>
    <t>59h 36m</t>
  </si>
  <si>
    <t>Roderick Santos</t>
  </si>
  <si>
    <t>41h 58m</t>
  </si>
  <si>
    <t>57m</t>
  </si>
  <si>
    <t>33h 52m</t>
  </si>
  <si>
    <t>Rommel Rebucas</t>
  </si>
  <si>
    <t>39h 44m</t>
  </si>
  <si>
    <t>30h 14m</t>
  </si>
  <si>
    <t>9h 29m</t>
  </si>
  <si>
    <t>Rosel Lee</t>
  </si>
  <si>
    <t>rosell@simple.biz</t>
  </si>
  <si>
    <t>41h 24m</t>
  </si>
  <si>
    <t>4h 8m</t>
  </si>
  <si>
    <t>Rose</t>
  </si>
  <si>
    <t>rosep@simple.biz</t>
  </si>
  <si>
    <t>39h 49m</t>
  </si>
  <si>
    <t>Ruffa Gallego</t>
  </si>
  <si>
    <t>Sales Assistants Team, Social Media Team, Orphanage</t>
  </si>
  <si>
    <t>59h 29m</t>
  </si>
  <si>
    <t>32h 13m</t>
  </si>
  <si>
    <t>26h 26m</t>
  </si>
  <si>
    <t>J Russel Bautista</t>
  </si>
  <si>
    <t>russelb@simple.biz</t>
  </si>
  <si>
    <t>7h 22m</t>
  </si>
  <si>
    <t>3h 33m</t>
  </si>
  <si>
    <t>Russell</t>
  </si>
  <si>
    <t>russell@simple.biz</t>
  </si>
  <si>
    <t>50h 33m</t>
  </si>
  <si>
    <t>44h 44m</t>
  </si>
  <si>
    <t>5h 48m</t>
  </si>
  <si>
    <t>Russel Macabali</t>
  </si>
  <si>
    <t>40h 31m</t>
  </si>
  <si>
    <t>Ruth Bacalso</t>
  </si>
  <si>
    <t>36h 28m</t>
  </si>
  <si>
    <t>20h 14m</t>
  </si>
  <si>
    <t>Ryan D</t>
  </si>
  <si>
    <t>39h 21m</t>
  </si>
  <si>
    <t>8h 53m</t>
  </si>
  <si>
    <t>Ryan jaylo</t>
  </si>
  <si>
    <t>ryanj@simple.biz</t>
  </si>
  <si>
    <t>35h 48m</t>
  </si>
  <si>
    <t>Ryan Elson Ligaya</t>
  </si>
  <si>
    <t>ryanl@simple.biz</t>
  </si>
  <si>
    <t>31m</t>
  </si>
  <si>
    <t>18m</t>
  </si>
  <si>
    <t>Abegail Marie Brigino</t>
  </si>
  <si>
    <t>ryeb@simple.biz</t>
  </si>
  <si>
    <t>22h 50m</t>
  </si>
  <si>
    <t>Sam Aranda</t>
  </si>
  <si>
    <t>44h 24m</t>
  </si>
  <si>
    <t>1h 23m</t>
  </si>
  <si>
    <t>6m</t>
  </si>
  <si>
    <t>Samson Bonnevie</t>
  </si>
  <si>
    <t>42h 29m</t>
  </si>
  <si>
    <t>Samantha Nicole Emnace</t>
  </si>
  <si>
    <t>same@simple.biz</t>
  </si>
  <si>
    <t>Scott Cameron</t>
  </si>
  <si>
    <t>scott@simple.biz</t>
  </si>
  <si>
    <t>75h 27m</t>
  </si>
  <si>
    <t>66h 34m</t>
  </si>
  <si>
    <t>Seungyong Lee</t>
  </si>
  <si>
    <t>seungyong@simple.biz</t>
  </si>
  <si>
    <t>32h 49m</t>
  </si>
  <si>
    <t>19h 27m</t>
  </si>
  <si>
    <t>Shaira Covero</t>
  </si>
  <si>
    <t>shaic@simple.biz</t>
  </si>
  <si>
    <t>37h 5m</t>
  </si>
  <si>
    <t>35h 42m</t>
  </si>
  <si>
    <t>shena rose san juan</t>
  </si>
  <si>
    <t>shanas@simple.biz</t>
  </si>
  <si>
    <t>Sharon May Lumancas</t>
  </si>
  <si>
    <t>41h 16m</t>
  </si>
  <si>
    <t>29h 53m</t>
  </si>
  <si>
    <t>Sharlaine Moleño</t>
  </si>
  <si>
    <t>sharlaine@simple.biz</t>
  </si>
  <si>
    <t>19h 43m</t>
  </si>
  <si>
    <t>17h 2m</t>
  </si>
  <si>
    <t>2h 40m</t>
  </si>
  <si>
    <t>Shaula Navaja</t>
  </si>
  <si>
    <t>C-12</t>
  </si>
  <si>
    <t>46h 28m</t>
  </si>
  <si>
    <t>44h 15m</t>
  </si>
  <si>
    <t>2h 12m</t>
  </si>
  <si>
    <t>Shawn Tangcalagan</t>
  </si>
  <si>
    <t>11h 32m</t>
  </si>
  <si>
    <t>Sheila Cadua</t>
  </si>
  <si>
    <t>32h 45m</t>
  </si>
  <si>
    <t>Sheila Mae Silva</t>
  </si>
  <si>
    <t>sheilas@simple.biz</t>
  </si>
  <si>
    <t>47h 3m</t>
  </si>
  <si>
    <t>1h 40m</t>
  </si>
  <si>
    <t>12h 35m</t>
  </si>
  <si>
    <t>32h 47m</t>
  </si>
  <si>
    <t>Shelly Señeres</t>
  </si>
  <si>
    <t>Mainstream Development</t>
  </si>
  <si>
    <t>19h 21m</t>
  </si>
  <si>
    <t>Shenny Mae Gabriel</t>
  </si>
  <si>
    <t>shennyg@simple.biz</t>
  </si>
  <si>
    <t>84h 59m</t>
  </si>
  <si>
    <t>48h 29m</t>
  </si>
  <si>
    <t>Sherwin Santos</t>
  </si>
  <si>
    <t>sherwin@simple.biz</t>
  </si>
  <si>
    <t>20h 3m</t>
  </si>
  <si>
    <t>18h 9m</t>
  </si>
  <si>
    <t>Shiela Rafal</t>
  </si>
  <si>
    <t>shielar@simple.biz</t>
  </si>
  <si>
    <t>11h 48m</t>
  </si>
  <si>
    <t>Sophie Cyzewski</t>
  </si>
  <si>
    <t>sophie@simple.biz</t>
  </si>
  <si>
    <t>5s</t>
  </si>
  <si>
    <t>5h 37m</t>
  </si>
  <si>
    <t>Esterlita Abella</t>
  </si>
  <si>
    <t>stara@simple.biz</t>
  </si>
  <si>
    <t>44h 5m</t>
  </si>
  <si>
    <t>41h 25m</t>
  </si>
  <si>
    <t>2h 39m</t>
  </si>
  <si>
    <t>Sterling Foote</t>
  </si>
  <si>
    <t>sterling@simple.biz</t>
  </si>
  <si>
    <t>25h 14m</t>
  </si>
  <si>
    <t>24h 19m</t>
  </si>
  <si>
    <t>Stiffany Dela Cruz</t>
  </si>
  <si>
    <t>stiffd@simple.biz</t>
  </si>
  <si>
    <t>Sydney Ramirez</t>
  </si>
  <si>
    <t>sydneyr@simple.biz</t>
  </si>
  <si>
    <t>29h 7m</t>
  </si>
  <si>
    <t>2h 3m</t>
  </si>
  <si>
    <t>9h 49m</t>
  </si>
  <si>
    <t>Cristal Tia</t>
  </si>
  <si>
    <t>48h 26m</t>
  </si>
  <si>
    <t>29h 10m</t>
  </si>
  <si>
    <t>Kristalene Calabia</t>
  </si>
  <si>
    <t>talc@simple.biz</t>
  </si>
  <si>
    <t>FiberSpark</t>
  </si>
  <si>
    <t>28h 51m</t>
  </si>
  <si>
    <t>Tanya Bartolome</t>
  </si>
  <si>
    <t>46h 12m</t>
  </si>
  <si>
    <t>16h 15m</t>
  </si>
  <si>
    <t>Teody Amaro</t>
  </si>
  <si>
    <t>43h 2m</t>
  </si>
  <si>
    <t>24h 9m</t>
  </si>
  <si>
    <t>18h 52m</t>
  </si>
  <si>
    <t>Thia Esquivel</t>
  </si>
  <si>
    <t>44h 6m</t>
  </si>
  <si>
    <t>19h 1m</t>
  </si>
  <si>
    <t>24h 42m</t>
  </si>
  <si>
    <t>Thia Jamero</t>
  </si>
  <si>
    <t>38h 26m</t>
  </si>
  <si>
    <t>35h 12m</t>
  </si>
  <si>
    <t>3h 14m</t>
  </si>
  <si>
    <t>Tina Garces</t>
  </si>
  <si>
    <t>tina@simple.biz</t>
  </si>
  <si>
    <t>38h 48m</t>
  </si>
  <si>
    <t>27h 35m</t>
  </si>
  <si>
    <t>11h 13m</t>
  </si>
  <si>
    <t>Khristine Garcia</t>
  </si>
  <si>
    <t>tinb@simple.biz</t>
  </si>
  <si>
    <t>56h 29m</t>
  </si>
  <si>
    <t>40h 14m</t>
  </si>
  <si>
    <t>tine malazarte</t>
  </si>
  <si>
    <t>tinem@simple.biz</t>
  </si>
  <si>
    <t>42h 51m</t>
  </si>
  <si>
    <t>8m</t>
  </si>
  <si>
    <t>34h 58m</t>
  </si>
  <si>
    <t>7h 43m</t>
  </si>
  <si>
    <t>Ulysses Galagnara</t>
  </si>
  <si>
    <t>ulyg@simple.biz</t>
  </si>
  <si>
    <t>41h 34m</t>
  </si>
  <si>
    <t>Vanessa Cultura</t>
  </si>
  <si>
    <t>30h 58m</t>
  </si>
  <si>
    <t>Vanessa Mae Delgado</t>
  </si>
  <si>
    <t>vanessad@simple.biz</t>
  </si>
  <si>
    <t>41h 44m</t>
  </si>
  <si>
    <t>11h 37m</t>
  </si>
  <si>
    <t>Van Patigayon</t>
  </si>
  <si>
    <t>vanp@simple.biz</t>
  </si>
  <si>
    <t>25h 35m</t>
  </si>
  <si>
    <t>15h 51m</t>
  </si>
  <si>
    <t>Vee Mortos</t>
  </si>
  <si>
    <t>veec@simple.biz</t>
  </si>
  <si>
    <t>45h 20m</t>
  </si>
  <si>
    <t>Ruth Clarise Garcia</t>
  </si>
  <si>
    <t>veronicag@simple.biz</t>
  </si>
  <si>
    <t>60h 22m</t>
  </si>
  <si>
    <t>44h 11m</t>
  </si>
  <si>
    <t>16h 11m</t>
  </si>
  <si>
    <t>Vince Tolo</t>
  </si>
  <si>
    <t>19h 59m</t>
  </si>
  <si>
    <t>ivony mosende</t>
  </si>
  <si>
    <t>1h 1m</t>
  </si>
  <si>
    <t>54m</t>
  </si>
  <si>
    <t>Warren Seguis</t>
  </si>
  <si>
    <t>warren@simple.biz</t>
  </si>
  <si>
    <t>2h 18m</t>
  </si>
  <si>
    <t>Wayne Musa</t>
  </si>
  <si>
    <t>37h 30m</t>
  </si>
  <si>
    <t>16h 48m</t>
  </si>
  <si>
    <t>Wyl Patricia Avila</t>
  </si>
  <si>
    <t>wyla@simple.biz</t>
  </si>
  <si>
    <t>33h 39m</t>
  </si>
  <si>
    <t>Dianne Marie Herbilla</t>
  </si>
  <si>
    <t>38h 46m</t>
  </si>
  <si>
    <t>18h 0m</t>
  </si>
  <si>
    <t>Zarah Jane Jorre</t>
  </si>
  <si>
    <t>41h 38m</t>
  </si>
  <si>
    <t>28h 41m</t>
  </si>
  <si>
    <t>12h 57m</t>
  </si>
  <si>
    <t>Zezharr Manzano</t>
  </si>
  <si>
    <t>Zyber Bioneda</t>
  </si>
  <si>
    <t>zyberb@simple.biz</t>
  </si>
  <si>
    <t>35h 20m</t>
  </si>
  <si>
    <t>18h 29m</t>
  </si>
  <si>
    <t>16h 51m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</si>
</sst>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"/>
    <numFmt numFmtId="166" formatCode="m/d"/>
    <numFmt numFmtId="167" formatCode="0.0000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color rgb="FF000000"/>
      <name val="Arial"/>
    </font>
    <font>
      <color rgb="FFFFFFFF"/>
      <name val="Arial"/>
      <scheme val="minor"/>
    </font>
    <font>
      <color rgb="FF222222"/>
      <name val="Arial"/>
    </font>
    <font>
      <b/>
      <color rgb="FF222222"/>
      <name val="Arial"/>
    </font>
    <font>
      <b/>
      <sz val="11.0"/>
      <color theme="1"/>
      <name val="Calibri"/>
    </font>
    <font>
      <b/>
      <sz val="11.0"/>
      <color rgb="FF000000"/>
      <name val="Calibri"/>
    </font>
    <font>
      <sz val="10.0"/>
      <color theme="1"/>
      <name val="Arial"/>
    </font>
    <font>
      <sz val="9.0"/>
      <color theme="1"/>
      <name val="Arial"/>
      <scheme val="minor"/>
    </font>
    <font>
      <b/>
      <u/>
      <color rgb="FF0000FF"/>
      <name val="Arial"/>
    </font>
    <font>
      <u/>
      <color rgb="FF0000FF"/>
    </font>
    <font>
      <u/>
      <color rgb="FF0000FF"/>
    </font>
    <font>
      <b/>
      <strike/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b/>
      <u/>
      <color rgb="FF0000FF"/>
    </font>
    <font>
      <b/>
      <u/>
      <color rgb="FF0000FF"/>
    </font>
    <font>
      <u/>
      <color rgb="FF0000FF"/>
      <name val="Arial"/>
    </font>
    <font>
      <u/>
      <color rgb="FF0000FF"/>
      <name val="Arial"/>
    </font>
    <font>
      <b/>
      <u/>
      <color rgb="FF0000FF"/>
    </font>
    <font>
      <u/>
      <color rgb="FF0000FF"/>
    </font>
    <font>
      <b/>
      <u/>
      <color rgb="FF0000FF"/>
    </font>
    <font>
      <u/>
      <color rgb="FF0000FF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2">
    <border/>
    <border>
      <top style="thin">
        <color rgb="FFFF000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ill="1" applyFont="1">
      <alignment horizontal="right" vertical="bottom"/>
    </xf>
    <xf borderId="0" fillId="4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3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4" fontId="5" numFmtId="0" xfId="0" applyAlignment="1" applyFont="1">
      <alignment horizontal="right" readingOrder="0"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horizontal="left" readingOrder="0" vertical="bottom"/>
    </xf>
    <xf borderId="0" fillId="4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3" fontId="3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4" fontId="6" numFmtId="0" xfId="0" applyAlignment="1" applyFont="1">
      <alignment readingOrder="0"/>
    </xf>
    <xf borderId="0" fillId="3" fontId="1" numFmtId="0" xfId="0" applyFont="1"/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5" fontId="1" numFmtId="0" xfId="0" applyAlignment="1" applyFill="1" applyFont="1">
      <alignment readingOrder="0" shrinkToFit="0" wrapText="0"/>
    </xf>
    <xf borderId="0" fillId="3" fontId="3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readingOrder="0" shrinkToFit="0" wrapText="0"/>
    </xf>
    <xf borderId="0" fillId="2" fontId="4" numFmtId="0" xfId="0" applyAlignment="1" applyFont="1">
      <alignment horizontal="center" vertical="bottom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3" fontId="7" numFmtId="0" xfId="0" applyAlignment="1" applyFont="1">
      <alignment horizontal="right" readingOrder="0" vertical="bottom"/>
    </xf>
    <xf borderId="0" fillId="6" fontId="4" numFmtId="0" xfId="0" applyAlignment="1" applyFill="1" applyFont="1">
      <alignment vertical="bottom"/>
    </xf>
    <xf borderId="0" fillId="6" fontId="7" numFmtId="0" xfId="0" applyAlignment="1" applyFont="1">
      <alignment horizontal="right" readingOrder="0" vertical="bottom"/>
    </xf>
    <xf borderId="0" fillId="6" fontId="4" numFmtId="4" xfId="0" applyAlignment="1" applyFont="1" applyNumberForma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6" fontId="4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3" fontId="8" numFmtId="0" xfId="0" applyAlignment="1" applyFont="1">
      <alignment horizontal="right" readingOrder="0" vertical="bottom"/>
    </xf>
    <xf borderId="0" fillId="3" fontId="8" numFmtId="0" xfId="0" applyAlignment="1" applyFont="1">
      <alignment readingOrder="0"/>
    </xf>
    <xf borderId="0" fillId="6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2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2" fontId="1" numFmtId="0" xfId="0" applyFont="1"/>
    <xf borderId="0" fillId="3" fontId="2" numFmtId="0" xfId="0" applyAlignment="1" applyFont="1">
      <alignment readingOrder="0"/>
    </xf>
    <xf borderId="0" fillId="3" fontId="4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4" numFmtId="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3" fontId="4" numFmtId="4" xfId="0" applyAlignment="1" applyFont="1" applyNumberFormat="1">
      <alignment readingOrder="0" vertical="bottom"/>
    </xf>
    <xf borderId="0" fillId="7" fontId="1" numFmtId="0" xfId="0" applyFill="1" applyFont="1"/>
    <xf borderId="0" fillId="8" fontId="4" numFmtId="0" xfId="0" applyAlignment="1" applyFill="1" applyFont="1">
      <alignment readingOrder="0" vertical="bottom"/>
    </xf>
    <xf borderId="0" fillId="8" fontId="4" numFmtId="0" xfId="0" applyAlignment="1" applyFont="1">
      <alignment horizontal="right" readingOrder="0" vertical="bottom"/>
    </xf>
    <xf borderId="0" fillId="8" fontId="4" numFmtId="0" xfId="0" applyAlignment="1" applyFont="1">
      <alignment horizontal="right"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horizontal="right" readingOrder="0" vertical="bottom"/>
    </xf>
    <xf borderId="0" fillId="7" fontId="4" numFmtId="0" xfId="0" applyAlignment="1" applyFont="1">
      <alignment horizontal="right" vertical="bottom"/>
    </xf>
    <xf borderId="0" fillId="3" fontId="4" numFmtId="3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vertical="bottom"/>
    </xf>
    <xf borderId="0" fillId="0" fontId="11" numFmtId="4" xfId="0" applyAlignment="1" applyFont="1" applyNumberFormat="1">
      <alignment horizontal="right" readingOrder="0" vertical="bottom"/>
    </xf>
    <xf borderId="0" fillId="2" fontId="12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0" fillId="0" fontId="4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9" fontId="3" numFmtId="0" xfId="0" applyAlignment="1" applyFill="1" applyFont="1">
      <alignment readingOrder="0" vertical="center"/>
    </xf>
    <xf borderId="0" fillId="0" fontId="4" numFmtId="165" xfId="0" applyAlignment="1" applyFont="1" applyNumberFormat="1">
      <alignment horizontal="right" vertical="bottom"/>
    </xf>
    <xf borderId="1" fillId="2" fontId="3" numFmtId="0" xfId="0" applyAlignment="1" applyBorder="1" applyFont="1">
      <alignment readingOrder="0" vertical="center"/>
    </xf>
    <xf borderId="1" fillId="4" fontId="1" numFmtId="165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9" fontId="3" numFmtId="0" xfId="0" applyAlignment="1" applyBorder="1" applyFont="1">
      <alignment readingOrder="0" vertical="center"/>
    </xf>
    <xf borderId="0" fillId="2" fontId="3" numFmtId="0" xfId="0" applyAlignment="1" applyFont="1">
      <alignment readingOrder="0" vertical="center"/>
    </xf>
    <xf borderId="0" fillId="4" fontId="1" numFmtId="165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1" fillId="3" fontId="3" numFmtId="0" xfId="0" applyAlignment="1" applyBorder="1" applyFont="1">
      <alignment readingOrder="0" vertical="center"/>
    </xf>
    <xf borderId="1" fillId="0" fontId="1" numFmtId="165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49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10" fontId="16" numFmtId="0" xfId="0" applyAlignment="1" applyFill="1" applyFont="1">
      <alignment readingOrder="0"/>
    </xf>
    <xf borderId="0" fillId="10" fontId="17" numFmtId="0" xfId="0" applyAlignment="1" applyFont="1">
      <alignment readingOrder="0"/>
    </xf>
    <xf borderId="0" fillId="10" fontId="1" numFmtId="0" xfId="0" applyAlignment="1" applyFont="1">
      <alignment readingOrder="0"/>
    </xf>
    <xf borderId="0" fillId="0" fontId="18" numFmtId="0" xfId="0" applyFont="1"/>
    <xf borderId="0" fillId="10" fontId="19" numFmtId="0" xfId="0" applyAlignment="1" applyFont="1">
      <alignment readingOrder="0"/>
    </xf>
    <xf borderId="0" fillId="0" fontId="18" numFmtId="0" xfId="0" applyAlignment="1" applyFont="1">
      <alignment readingOrder="0"/>
    </xf>
    <xf borderId="0" fillId="10" fontId="20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11" fontId="21" numFmtId="0" xfId="0" applyAlignment="1" applyFont="1">
      <alignment vertical="bottom"/>
    </xf>
    <xf borderId="0" fillId="11" fontId="22" numFmtId="0" xfId="0" applyAlignment="1" applyFont="1">
      <alignment readingOrder="0" vertical="bottom"/>
    </xf>
    <xf borderId="0" fillId="2" fontId="23" numFmtId="0" xfId="0" applyAlignment="1" applyFont="1">
      <alignment readingOrder="0"/>
    </xf>
    <xf borderId="0" fillId="2" fontId="24" numFmtId="0" xfId="0" applyAlignment="1" applyFont="1">
      <alignment readingOrder="0"/>
    </xf>
    <xf borderId="0" fillId="2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readingOrder="0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0" numFmtId="4" xfId="0" applyAlignment="1" applyFont="1" applyNumberFormat="1">
      <alignment readingOrder="0" shrinkToFit="0" vertical="center" wrapText="1"/>
    </xf>
    <xf borderId="0" fillId="0" fontId="10" numFmtId="46" xfId="0" applyAlignment="1" applyFont="1" applyNumberFormat="1">
      <alignment readingOrder="0" shrinkToFit="0" vertical="center" wrapText="1"/>
    </xf>
    <xf borderId="0" fillId="0" fontId="27" numFmtId="0" xfId="0" applyAlignment="1" applyFont="1">
      <alignment readingOrder="0" shrinkToFit="0" vertical="bottom" wrapText="0"/>
    </xf>
    <xf borderId="0" fillId="12" fontId="1" numFmtId="4" xfId="0" applyFill="1" applyFont="1" applyNumberFormat="1"/>
    <xf borderId="0" fillId="0" fontId="27" numFmtId="4" xfId="0" applyAlignment="1" applyFont="1" applyNumberFormat="1">
      <alignment readingOrder="0" shrinkToFit="0" vertical="bottom" wrapText="0"/>
    </xf>
    <xf borderId="0" fillId="0" fontId="27" numFmtId="46" xfId="0" applyAlignment="1" applyFont="1" applyNumberFormat="1">
      <alignment readingOrder="0" shrinkToFit="0" vertical="bottom" wrapText="0"/>
    </xf>
    <xf borderId="0" fillId="12" fontId="1" numFmtId="167" xfId="0" applyFont="1" applyNumberFormat="1"/>
    <xf borderId="0" fillId="0" fontId="27" numFmtId="10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7" numFmtId="4" xfId="0" applyAlignment="1" applyFont="1" applyNumberFormat="1">
      <alignment shrinkToFit="0" vertical="bottom" wrapText="0"/>
    </xf>
    <xf borderId="0" fillId="0" fontId="27" numFmtId="46" xfId="0" applyAlignment="1" applyFont="1" applyNumberFormat="1">
      <alignment shrinkToFit="0" vertical="bottom" wrapText="0"/>
    </xf>
    <xf borderId="0" fillId="0" fontId="1" numFmtId="4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LaC3XpQxoEa-sUZlZ_2k4LaU9DbzDK29YjLgj47cuA/edit?gid=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0xddH5a0-gtzxZajJ5bFLAM0UNfxguJSTSJyRjXqGU/edit?gid=1240953207" TargetMode="External"/><Relationship Id="rId2" Type="http://schemas.openxmlformats.org/officeDocument/2006/relationships/hyperlink" Target="https://docs.google.com/spreadsheets/d/1tqWicnBwJigWnai7fTw45SDPxUeMr-600k30WppygMI/edit?gid=2120130610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Tvbr-FclYgfUG8uLfP2S5kFIFqnBmN5j/edit?gid=1799780153" TargetMode="External"/><Relationship Id="rId22" Type="http://schemas.openxmlformats.org/officeDocument/2006/relationships/hyperlink" Target="https://docs.google.com/spreadsheets/d/1RZkTBNAcocA4SyEuuoYFGUtMSQr6g6qa/edit?gid=1799780153" TargetMode="External"/><Relationship Id="rId21" Type="http://schemas.openxmlformats.org/officeDocument/2006/relationships/hyperlink" Target="https://docs.google.com/spreadsheets/d/1Xx9oWAAJ4K25TTGACpXnaYXUuXTKmfYo/edit?gid=1799780153" TargetMode="External"/><Relationship Id="rId24" Type="http://schemas.openxmlformats.org/officeDocument/2006/relationships/hyperlink" Target="https://docs.google.com/spreadsheets/d/1mTf8HXIrG91EzaiJG1Z-teQXFwkp1XJ0/edit?gid=1799780153" TargetMode="External"/><Relationship Id="rId23" Type="http://schemas.openxmlformats.org/officeDocument/2006/relationships/hyperlink" Target="https://docs.google.com/spreadsheets/d/1aH1XgYxiVNwPOaKzvr7jw4LSXTCgLxlC/edit?gid=1799780153" TargetMode="External"/><Relationship Id="rId1" Type="http://schemas.openxmlformats.org/officeDocument/2006/relationships/hyperlink" Target="https://docs.google.com/spreadsheets/d/1PBMBFxAQIlHIG-BZwTWvm9gMCZCxeaO5/edit?gid=1050371223" TargetMode="External"/><Relationship Id="rId2" Type="http://schemas.openxmlformats.org/officeDocument/2006/relationships/hyperlink" Target="https://docs.google.com/spreadsheets/d/1ICsEYP_xwN_Sv-BkA32wCI_hn_YElyDi2-F9qKh8pb4/edit?gid=1229521562" TargetMode="External"/><Relationship Id="rId3" Type="http://schemas.openxmlformats.org/officeDocument/2006/relationships/hyperlink" Target="https://docs.google.com/spreadsheets/d/1iJBYoBkOL907O0BtbXxus_nw1CLO1cR1/edit?gid=641074696" TargetMode="External"/><Relationship Id="rId4" Type="http://schemas.openxmlformats.org/officeDocument/2006/relationships/hyperlink" Target="https://docs.google.com/spreadsheets/d/1i3nXSZqAa7VGruR8tQ1qNsaMAmFyL04j/edit?gid=1799780153" TargetMode="External"/><Relationship Id="rId9" Type="http://schemas.openxmlformats.org/officeDocument/2006/relationships/hyperlink" Target="https://docs.google.com/spreadsheets/d/18HR2URFulCOcx8ze7bDZNVebk1hHfohk/edit?gid=1799780153" TargetMode="External"/><Relationship Id="rId26" Type="http://schemas.openxmlformats.org/officeDocument/2006/relationships/hyperlink" Target="https://docs.google.com/spreadsheets/d/12n3RybmEW2KRneGODETVntkjAgoDInNY/edit?gid=1799780153" TargetMode="External"/><Relationship Id="rId25" Type="http://schemas.openxmlformats.org/officeDocument/2006/relationships/hyperlink" Target="https://docs.google.com/spreadsheets/d/1DNTcwWGIWwvex3YecN-BFfhC_BtjFhA_/edit?gid=1799780153" TargetMode="External"/><Relationship Id="rId28" Type="http://schemas.openxmlformats.org/officeDocument/2006/relationships/hyperlink" Target="https://drive.google.com/drive/folders/1SNJ7R_bPEJkiHnoEx6x7vBVPyzqTCJlS" TargetMode="External"/><Relationship Id="rId27" Type="http://schemas.openxmlformats.org/officeDocument/2006/relationships/hyperlink" Target="https://docs.google.com/spreadsheets/d/1Ak7m9BcaQE7p9wpUQPUKf_naUgIt1BYp67sMMGe-o7Y/edit?gid=37726899" TargetMode="External"/><Relationship Id="rId5" Type="http://schemas.openxmlformats.org/officeDocument/2006/relationships/hyperlink" Target="https://docs.google.com/spreadsheets/d/1wtnGDo_vSneTUgk_cjVzzEqMgbvX8BYy/edit?gid=1799780153" TargetMode="External"/><Relationship Id="rId6" Type="http://schemas.openxmlformats.org/officeDocument/2006/relationships/hyperlink" Target="https://docs.google.com/spreadsheets/d/1orHY5kGe6KqWfH2vZxXXk5bAfw6fN7Rj/edit?gid=1799780153" TargetMode="External"/><Relationship Id="rId29" Type="http://schemas.openxmlformats.org/officeDocument/2006/relationships/hyperlink" Target="https://docs.google.com/spreadsheets/d/17e0_o_JaTylYpZ59HLEL3coUZPGk965gZVqh3g1RG0M/edit?gid=0" TargetMode="External"/><Relationship Id="rId7" Type="http://schemas.openxmlformats.org/officeDocument/2006/relationships/hyperlink" Target="https://docs.google.com/spreadsheets/d/1xddIpYk8TJ6QLHjjBNyDSayfiYSVF49g/edit?gid=1799780153" TargetMode="External"/><Relationship Id="rId8" Type="http://schemas.openxmlformats.org/officeDocument/2006/relationships/hyperlink" Target="https://docs.google.com/spreadsheets/d/1jOcCMdI5blx8oI65o3YFQRGcwufGLqBU/edit?gid=1799780153" TargetMode="External"/><Relationship Id="rId30" Type="http://schemas.openxmlformats.org/officeDocument/2006/relationships/drawing" Target="../drawings/drawing13.xml"/><Relationship Id="rId11" Type="http://schemas.openxmlformats.org/officeDocument/2006/relationships/hyperlink" Target="https://docs.google.com/spreadsheets/d/1JbWeIIn5O2jyFctAFwskq8VJLF1YqPuuib6wbHajV9U/edit?gid=960544044" TargetMode="External"/><Relationship Id="rId10" Type="http://schemas.openxmlformats.org/officeDocument/2006/relationships/hyperlink" Target="https://docs.google.com/spreadsheets/d/1z_WpmWwmveJs9XXerf8roG7RqmOo5Lzn/edit?gid=1799780153" TargetMode="External"/><Relationship Id="rId13" Type="http://schemas.openxmlformats.org/officeDocument/2006/relationships/hyperlink" Target="https://docs.google.com/spreadsheets/d/1C5pKh7lCU9cl6huo4fUFrYgUTVM8Vsf66xgrmpykwhg/edit?gid=1716860022" TargetMode="External"/><Relationship Id="rId12" Type="http://schemas.openxmlformats.org/officeDocument/2006/relationships/hyperlink" Target="https://docs.google.com/spreadsheets/d/1gh1xxadLrTAmEAieX3Uz0gvUsNjDJt33VcUIYJFSFps/edit?gid=927270247" TargetMode="External"/><Relationship Id="rId15" Type="http://schemas.openxmlformats.org/officeDocument/2006/relationships/hyperlink" Target="https://docs.google.com/spreadsheets/d/1E5HPdPxtYGt8VsWTZCuXJGJu28ENinDi/edit?gid=1799780153" TargetMode="External"/><Relationship Id="rId14" Type="http://schemas.openxmlformats.org/officeDocument/2006/relationships/hyperlink" Target="https://docs.google.com/spreadsheets/d/1JbWeIIn5O2jyFctAFwskq8VJLF1YqPuuib6wbHajV9U/edit?gid=960544044" TargetMode="External"/><Relationship Id="rId17" Type="http://schemas.openxmlformats.org/officeDocument/2006/relationships/hyperlink" Target="https://docs.google.com/spreadsheets/d/1V3i1muqWuJTdPWpYo0q9vwjN-M4dTAeU/edit?gid=1799780153" TargetMode="External"/><Relationship Id="rId16" Type="http://schemas.openxmlformats.org/officeDocument/2006/relationships/hyperlink" Target="https://docs.google.com/spreadsheets/d/1f9f3XagaT9SFUNlh7H9CXBVbelFzFO-akZCN7Fs-t6U/edit?gid=1303002019" TargetMode="External"/><Relationship Id="rId19" Type="http://schemas.openxmlformats.org/officeDocument/2006/relationships/hyperlink" Target="https://docs.google.com/spreadsheets/d/1bFP1RzsCR9yH3vBN_dJ9ZXdMr83UDwjK/edit?gid=1799780153" TargetMode="External"/><Relationship Id="rId18" Type="http://schemas.openxmlformats.org/officeDocument/2006/relationships/hyperlink" Target="https://docs.google.com/spreadsheets/d/1PJsGIBbJzCPtaQiLx8jANCMBKvk9Rlbt/edit?gid=179978015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6*250</f>
        <v>1500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75"/>
    <col customWidth="1" min="2" max="2" width="26.63"/>
    <col customWidth="1" min="3" max="7" width="5.5"/>
    <col customWidth="1" min="8" max="8" width="9.38"/>
    <col customWidth="1" min="9" max="9" width="54.5"/>
  </cols>
  <sheetData>
    <row r="1">
      <c r="A1" s="2" t="s">
        <v>0</v>
      </c>
      <c r="H1" s="3"/>
      <c r="I1" s="3"/>
    </row>
    <row r="2">
      <c r="A2" s="2" t="s">
        <v>1</v>
      </c>
      <c r="H2" s="3"/>
      <c r="I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/>
    </row>
    <row r="4" hidden="1">
      <c r="A4" s="6" t="s">
        <v>10</v>
      </c>
      <c r="B4" s="7" t="s">
        <v>11</v>
      </c>
      <c r="C4" s="8">
        <v>30.0</v>
      </c>
      <c r="D4" s="9">
        <v>30.0</v>
      </c>
      <c r="E4" s="9">
        <v>30.0</v>
      </c>
      <c r="F4" s="9">
        <v>22.0</v>
      </c>
      <c r="G4" s="9">
        <v>14.0</v>
      </c>
      <c r="H4" s="10">
        <f t="shared" ref="H4:H42" si="1">SUM(
  IF(C4=30, 450, IF(C4&lt;17, 0, IF(C4&lt;=21, 200, 300))),
  IF(D4=30, 450, IF(D4&lt;17, 0, IF(D4&lt;=21, 200, 300))),
  IF(E4=30, 450, IF(E4&lt;17, 0, IF(E4&lt;=21, 200, 300))),
  IF(F4=30, 450, IF(F4&lt;17, 0, IF(F4&lt;=21, 200, 300))),
  IF(G4=30, 450, IF(G4&lt;17, 0, IF(G4&lt;=21, 200, 300)))
)</f>
        <v>1650</v>
      </c>
      <c r="I4" s="10"/>
    </row>
    <row r="5" hidden="1">
      <c r="A5" s="6" t="s">
        <v>10</v>
      </c>
      <c r="B5" s="7" t="s">
        <v>12</v>
      </c>
      <c r="C5" s="8">
        <v>30.0</v>
      </c>
      <c r="D5" s="9">
        <v>30.0</v>
      </c>
      <c r="E5" s="9">
        <v>30.0</v>
      </c>
      <c r="F5" s="9">
        <v>22.0</v>
      </c>
      <c r="G5" s="9">
        <v>14.0</v>
      </c>
      <c r="H5" s="10">
        <f t="shared" si="1"/>
        <v>1650</v>
      </c>
      <c r="I5" s="10"/>
    </row>
    <row r="6" hidden="1">
      <c r="A6" s="6" t="s">
        <v>10</v>
      </c>
      <c r="B6" s="7" t="s">
        <v>13</v>
      </c>
      <c r="C6" s="8">
        <v>30.0</v>
      </c>
      <c r="D6" s="9">
        <v>30.0</v>
      </c>
      <c r="E6" s="9">
        <v>30.0</v>
      </c>
      <c r="F6" s="9">
        <v>22.0</v>
      </c>
      <c r="G6" s="9">
        <v>14.0</v>
      </c>
      <c r="H6" s="10">
        <f t="shared" si="1"/>
        <v>1650</v>
      </c>
      <c r="I6" s="10"/>
    </row>
    <row r="7" hidden="1">
      <c r="A7" s="6" t="s">
        <v>10</v>
      </c>
      <c r="B7" s="7" t="s">
        <v>14</v>
      </c>
      <c r="C7" s="8">
        <v>30.0</v>
      </c>
      <c r="D7" s="9">
        <v>30.0</v>
      </c>
      <c r="E7" s="9">
        <v>30.0</v>
      </c>
      <c r="F7" s="9">
        <v>22.0</v>
      </c>
      <c r="G7" s="9">
        <v>14.0</v>
      </c>
      <c r="H7" s="10">
        <f t="shared" si="1"/>
        <v>1650</v>
      </c>
      <c r="I7" s="10"/>
    </row>
    <row r="8" hidden="1">
      <c r="A8" s="6" t="s">
        <v>10</v>
      </c>
      <c r="B8" s="7" t="s">
        <v>15</v>
      </c>
      <c r="C8" s="8">
        <v>30.0</v>
      </c>
      <c r="D8" s="9">
        <v>30.0</v>
      </c>
      <c r="E8" s="9">
        <v>30.0</v>
      </c>
      <c r="F8" s="9">
        <v>22.0</v>
      </c>
      <c r="G8" s="9">
        <v>14.0</v>
      </c>
      <c r="H8" s="10">
        <f t="shared" si="1"/>
        <v>1650</v>
      </c>
      <c r="I8" s="10"/>
    </row>
    <row r="9" hidden="1">
      <c r="A9" s="6" t="s">
        <v>10</v>
      </c>
      <c r="B9" s="7" t="s">
        <v>16</v>
      </c>
      <c r="C9" s="8">
        <v>30.0</v>
      </c>
      <c r="D9" s="9">
        <v>30.0</v>
      </c>
      <c r="E9" s="11"/>
      <c r="F9" s="11"/>
      <c r="G9" s="11"/>
      <c r="H9" s="10">
        <f t="shared" si="1"/>
        <v>900</v>
      </c>
      <c r="I9" s="10"/>
    </row>
    <row r="10" hidden="1">
      <c r="A10" s="6" t="s">
        <v>10</v>
      </c>
      <c r="B10" s="7" t="s">
        <v>17</v>
      </c>
      <c r="C10" s="8">
        <v>30.0</v>
      </c>
      <c r="D10" s="9">
        <v>30.0</v>
      </c>
      <c r="E10" s="9">
        <v>30.0</v>
      </c>
      <c r="F10" s="9">
        <v>22.0</v>
      </c>
      <c r="G10" s="9">
        <v>14.0</v>
      </c>
      <c r="H10" s="10">
        <f t="shared" si="1"/>
        <v>1650</v>
      </c>
      <c r="I10" s="10"/>
    </row>
    <row r="11" hidden="1">
      <c r="A11" s="6" t="s">
        <v>10</v>
      </c>
      <c r="B11" s="7" t="s">
        <v>18</v>
      </c>
      <c r="C11" s="8">
        <v>30.0</v>
      </c>
      <c r="D11" s="9">
        <v>30.0</v>
      </c>
      <c r="E11" s="9">
        <v>30.0</v>
      </c>
      <c r="F11" s="9">
        <v>22.0</v>
      </c>
      <c r="G11" s="9">
        <v>14.0</v>
      </c>
      <c r="H11" s="10">
        <f t="shared" si="1"/>
        <v>1650</v>
      </c>
      <c r="I11" s="10"/>
    </row>
    <row r="12" hidden="1">
      <c r="A12" s="6" t="s">
        <v>10</v>
      </c>
      <c r="B12" s="7" t="s">
        <v>19</v>
      </c>
      <c r="C12" s="8">
        <v>30.0</v>
      </c>
      <c r="D12" s="9">
        <v>30.0</v>
      </c>
      <c r="E12" s="9">
        <v>30.0</v>
      </c>
      <c r="F12" s="9">
        <v>22.0</v>
      </c>
      <c r="G12" s="9">
        <v>14.0</v>
      </c>
      <c r="H12" s="10">
        <f t="shared" si="1"/>
        <v>1650</v>
      </c>
      <c r="I12" s="10"/>
    </row>
    <row r="13" hidden="1">
      <c r="A13" s="6" t="s">
        <v>10</v>
      </c>
      <c r="B13" s="7" t="s">
        <v>20</v>
      </c>
      <c r="C13" s="8">
        <v>30.0</v>
      </c>
      <c r="D13" s="9">
        <v>30.0</v>
      </c>
      <c r="E13" s="9">
        <v>30.0</v>
      </c>
      <c r="F13" s="9">
        <v>22.0</v>
      </c>
      <c r="G13" s="9">
        <v>14.0</v>
      </c>
      <c r="H13" s="10">
        <f t="shared" si="1"/>
        <v>1650</v>
      </c>
      <c r="I13" s="10"/>
    </row>
    <row r="14" hidden="1">
      <c r="A14" s="6" t="s">
        <v>10</v>
      </c>
      <c r="B14" s="7" t="s">
        <v>21</v>
      </c>
      <c r="C14" s="8">
        <v>30.0</v>
      </c>
      <c r="D14" s="9">
        <v>30.0</v>
      </c>
      <c r="E14" s="9">
        <v>30.0</v>
      </c>
      <c r="F14" s="9">
        <v>22.0</v>
      </c>
      <c r="G14" s="9">
        <v>14.0</v>
      </c>
      <c r="H14" s="10">
        <f t="shared" si="1"/>
        <v>1650</v>
      </c>
      <c r="I14" s="10"/>
    </row>
    <row r="15" hidden="1">
      <c r="A15" s="6" t="s">
        <v>10</v>
      </c>
      <c r="B15" s="7" t="s">
        <v>22</v>
      </c>
      <c r="C15" s="8">
        <v>30.0</v>
      </c>
      <c r="D15" s="9">
        <v>30.0</v>
      </c>
      <c r="E15" s="9">
        <v>30.0</v>
      </c>
      <c r="F15" s="9">
        <v>22.0</v>
      </c>
      <c r="G15" s="9">
        <v>14.0</v>
      </c>
      <c r="H15" s="10">
        <f t="shared" si="1"/>
        <v>1650</v>
      </c>
      <c r="I15" s="10"/>
    </row>
    <row r="16" hidden="1">
      <c r="A16" s="6" t="s">
        <v>10</v>
      </c>
      <c r="B16" s="7" t="s">
        <v>23</v>
      </c>
      <c r="C16" s="8">
        <v>30.0</v>
      </c>
      <c r="D16" s="9">
        <v>30.0</v>
      </c>
      <c r="E16" s="9">
        <v>30.0</v>
      </c>
      <c r="F16" s="9">
        <v>22.0</v>
      </c>
      <c r="G16" s="9">
        <v>14.0</v>
      </c>
      <c r="H16" s="10">
        <f t="shared" si="1"/>
        <v>1650</v>
      </c>
      <c r="I16" s="10"/>
    </row>
    <row r="17" hidden="1">
      <c r="A17" s="6" t="s">
        <v>24</v>
      </c>
      <c r="B17" s="7" t="s">
        <v>11</v>
      </c>
      <c r="C17" s="12"/>
      <c r="D17" s="9">
        <v>23.0</v>
      </c>
      <c r="E17" s="9">
        <v>23.0</v>
      </c>
      <c r="F17" s="9">
        <v>28.0</v>
      </c>
      <c r="G17" s="9">
        <v>13.0</v>
      </c>
      <c r="H17" s="10">
        <f t="shared" si="1"/>
        <v>900</v>
      </c>
      <c r="I17" s="10"/>
    </row>
    <row r="18" hidden="1">
      <c r="A18" s="6" t="s">
        <v>24</v>
      </c>
      <c r="B18" s="13" t="s">
        <v>12</v>
      </c>
      <c r="C18" s="12"/>
      <c r="D18" s="9">
        <v>23.0</v>
      </c>
      <c r="E18" s="9">
        <v>23.0</v>
      </c>
      <c r="F18" s="9">
        <v>28.0</v>
      </c>
      <c r="G18" s="9">
        <v>13.0</v>
      </c>
      <c r="H18" s="10">
        <f t="shared" si="1"/>
        <v>900</v>
      </c>
      <c r="I18" s="10"/>
    </row>
    <row r="19" hidden="1">
      <c r="A19" s="6" t="s">
        <v>24</v>
      </c>
      <c r="B19" s="7" t="s">
        <v>13</v>
      </c>
      <c r="C19" s="12"/>
      <c r="D19" s="9">
        <v>23.0</v>
      </c>
      <c r="E19" s="9">
        <v>23.0</v>
      </c>
      <c r="F19" s="9">
        <v>28.0</v>
      </c>
      <c r="G19" s="9">
        <v>13.0</v>
      </c>
      <c r="H19" s="10">
        <f t="shared" si="1"/>
        <v>900</v>
      </c>
      <c r="I19" s="10"/>
    </row>
    <row r="20" hidden="1">
      <c r="A20" s="6" t="s">
        <v>24</v>
      </c>
      <c r="B20" s="7" t="s">
        <v>14</v>
      </c>
      <c r="C20" s="12"/>
      <c r="D20" s="9">
        <v>23.0</v>
      </c>
      <c r="E20" s="9">
        <v>23.0</v>
      </c>
      <c r="F20" s="9">
        <v>28.0</v>
      </c>
      <c r="G20" s="9">
        <v>13.0</v>
      </c>
      <c r="H20" s="10">
        <f t="shared" si="1"/>
        <v>900</v>
      </c>
      <c r="I20" s="10"/>
    </row>
    <row r="21" hidden="1">
      <c r="A21" s="6" t="s">
        <v>24</v>
      </c>
      <c r="B21" s="7" t="s">
        <v>15</v>
      </c>
      <c r="C21" s="12"/>
      <c r="D21" s="9">
        <v>23.0</v>
      </c>
      <c r="E21" s="9">
        <v>23.0</v>
      </c>
      <c r="F21" s="9">
        <v>28.0</v>
      </c>
      <c r="G21" s="9">
        <v>13.0</v>
      </c>
      <c r="H21" s="10">
        <f t="shared" si="1"/>
        <v>900</v>
      </c>
      <c r="I21" s="10"/>
    </row>
    <row r="22" hidden="1">
      <c r="A22" s="6" t="s">
        <v>24</v>
      </c>
      <c r="B22" s="7" t="s">
        <v>16</v>
      </c>
      <c r="C22" s="12"/>
      <c r="D22" s="9">
        <v>23.0</v>
      </c>
      <c r="E22" s="9">
        <v>23.0</v>
      </c>
      <c r="F22" s="9">
        <v>28.0</v>
      </c>
      <c r="G22" s="9">
        <v>13.0</v>
      </c>
      <c r="H22" s="10">
        <f t="shared" si="1"/>
        <v>900</v>
      </c>
      <c r="I22" s="10"/>
    </row>
    <row r="23" hidden="1">
      <c r="A23" s="6" t="s">
        <v>24</v>
      </c>
      <c r="B23" s="7" t="s">
        <v>17</v>
      </c>
      <c r="C23" s="12"/>
      <c r="D23" s="9">
        <v>23.0</v>
      </c>
      <c r="E23" s="9">
        <v>23.0</v>
      </c>
      <c r="F23" s="9">
        <v>28.0</v>
      </c>
      <c r="G23" s="9">
        <v>13.0</v>
      </c>
      <c r="H23" s="10">
        <f t="shared" si="1"/>
        <v>900</v>
      </c>
      <c r="I23" s="10"/>
    </row>
    <row r="24" hidden="1">
      <c r="A24" s="6" t="s">
        <v>24</v>
      </c>
      <c r="B24" s="7" t="s">
        <v>18</v>
      </c>
      <c r="C24" s="12"/>
      <c r="D24" s="9">
        <v>23.0</v>
      </c>
      <c r="E24" s="9">
        <v>23.0</v>
      </c>
      <c r="F24" s="9">
        <v>28.0</v>
      </c>
      <c r="G24" s="9">
        <v>13.0</v>
      </c>
      <c r="H24" s="10">
        <f t="shared" si="1"/>
        <v>900</v>
      </c>
      <c r="I24" s="10"/>
    </row>
    <row r="25" hidden="1">
      <c r="A25" s="6" t="s">
        <v>24</v>
      </c>
      <c r="B25" s="7" t="s">
        <v>19</v>
      </c>
      <c r="C25" s="12"/>
      <c r="D25" s="9">
        <v>23.0</v>
      </c>
      <c r="E25" s="9">
        <v>23.0</v>
      </c>
      <c r="F25" s="9">
        <v>28.0</v>
      </c>
      <c r="G25" s="9">
        <v>13.0</v>
      </c>
      <c r="H25" s="10">
        <f t="shared" si="1"/>
        <v>900</v>
      </c>
      <c r="I25" s="10"/>
    </row>
    <row r="26" hidden="1">
      <c r="A26" s="6" t="s">
        <v>24</v>
      </c>
      <c r="B26" s="7" t="s">
        <v>20</v>
      </c>
      <c r="C26" s="12"/>
      <c r="D26" s="9">
        <v>23.0</v>
      </c>
      <c r="E26" s="9">
        <v>23.0</v>
      </c>
      <c r="F26" s="9">
        <v>28.0</v>
      </c>
      <c r="G26" s="9">
        <v>13.0</v>
      </c>
      <c r="H26" s="10">
        <f t="shared" si="1"/>
        <v>900</v>
      </c>
      <c r="I26" s="10"/>
    </row>
    <row r="27" hidden="1">
      <c r="A27" s="6" t="s">
        <v>24</v>
      </c>
      <c r="B27" s="7" t="s">
        <v>21</v>
      </c>
      <c r="C27" s="12"/>
      <c r="D27" s="9">
        <v>23.0</v>
      </c>
      <c r="E27" s="9">
        <v>23.0</v>
      </c>
      <c r="F27" s="9">
        <v>28.0</v>
      </c>
      <c r="G27" s="9">
        <v>13.0</v>
      </c>
      <c r="H27" s="10">
        <f t="shared" si="1"/>
        <v>900</v>
      </c>
      <c r="I27" s="10"/>
    </row>
    <row r="28" hidden="1">
      <c r="A28" s="6" t="s">
        <v>24</v>
      </c>
      <c r="B28" s="7" t="s">
        <v>22</v>
      </c>
      <c r="C28" s="12"/>
      <c r="D28" s="9">
        <v>23.0</v>
      </c>
      <c r="E28" s="9">
        <v>23.0</v>
      </c>
      <c r="F28" s="9">
        <v>28.0</v>
      </c>
      <c r="G28" s="9">
        <v>13.0</v>
      </c>
      <c r="H28" s="10">
        <f t="shared" si="1"/>
        <v>900</v>
      </c>
      <c r="I28" s="10"/>
    </row>
    <row r="29" hidden="1">
      <c r="A29" s="6" t="s">
        <v>24</v>
      </c>
      <c r="B29" s="7" t="s">
        <v>23</v>
      </c>
      <c r="C29" s="12"/>
      <c r="D29" s="9">
        <v>23.0</v>
      </c>
      <c r="E29" s="9">
        <v>23.0</v>
      </c>
      <c r="F29" s="9">
        <v>28.0</v>
      </c>
      <c r="G29" s="9">
        <v>13.0</v>
      </c>
      <c r="H29" s="10">
        <f t="shared" si="1"/>
        <v>900</v>
      </c>
      <c r="I29" s="10"/>
    </row>
    <row r="30" hidden="1">
      <c r="A30" s="6" t="s">
        <v>25</v>
      </c>
      <c r="B30" s="7" t="s">
        <v>11</v>
      </c>
      <c r="C30" s="9">
        <v>30.0</v>
      </c>
      <c r="D30" s="9">
        <v>17.0</v>
      </c>
      <c r="E30" s="9">
        <v>22.0</v>
      </c>
      <c r="F30" s="9">
        <v>28.0</v>
      </c>
      <c r="G30" s="9">
        <v>19.0</v>
      </c>
      <c r="H30" s="10">
        <f t="shared" si="1"/>
        <v>1450</v>
      </c>
      <c r="I30" s="10"/>
    </row>
    <row r="31" hidden="1">
      <c r="A31" s="6" t="s">
        <v>25</v>
      </c>
      <c r="B31" s="13" t="s">
        <v>12</v>
      </c>
      <c r="C31" s="12"/>
      <c r="D31" s="12"/>
      <c r="E31" s="12"/>
      <c r="F31" s="12"/>
      <c r="G31" s="9">
        <v>19.0</v>
      </c>
      <c r="H31" s="10">
        <f t="shared" si="1"/>
        <v>200</v>
      </c>
      <c r="I31" s="10"/>
    </row>
    <row r="32" hidden="1">
      <c r="A32" s="6" t="s">
        <v>25</v>
      </c>
      <c r="B32" s="7" t="s">
        <v>13</v>
      </c>
      <c r="C32" s="9">
        <v>30.0</v>
      </c>
      <c r="D32" s="9">
        <v>17.0</v>
      </c>
      <c r="E32" s="9">
        <v>22.0</v>
      </c>
      <c r="F32" s="9">
        <v>28.0</v>
      </c>
      <c r="G32" s="9">
        <v>19.0</v>
      </c>
      <c r="H32" s="10">
        <f t="shared" si="1"/>
        <v>1450</v>
      </c>
      <c r="I32" s="10"/>
    </row>
    <row r="33" hidden="1">
      <c r="A33" s="6" t="s">
        <v>25</v>
      </c>
      <c r="B33" s="7" t="s">
        <v>14</v>
      </c>
      <c r="C33" s="9">
        <v>30.0</v>
      </c>
      <c r="D33" s="9">
        <v>17.0</v>
      </c>
      <c r="E33" s="9">
        <v>22.0</v>
      </c>
      <c r="F33" s="9">
        <v>28.0</v>
      </c>
      <c r="G33" s="9">
        <v>19.0</v>
      </c>
      <c r="H33" s="10">
        <f t="shared" si="1"/>
        <v>1450</v>
      </c>
      <c r="I33" s="10"/>
    </row>
    <row r="34" hidden="1">
      <c r="A34" s="6" t="s">
        <v>25</v>
      </c>
      <c r="B34" s="7" t="s">
        <v>15</v>
      </c>
      <c r="C34" s="9">
        <v>30.0</v>
      </c>
      <c r="D34" s="9">
        <v>17.0</v>
      </c>
      <c r="E34" s="9">
        <v>22.0</v>
      </c>
      <c r="F34" s="9">
        <v>28.0</v>
      </c>
      <c r="G34" s="9">
        <v>19.0</v>
      </c>
      <c r="H34" s="10">
        <f t="shared" si="1"/>
        <v>1450</v>
      </c>
      <c r="I34" s="10"/>
    </row>
    <row r="35" hidden="1">
      <c r="A35" s="6" t="s">
        <v>25</v>
      </c>
      <c r="B35" s="7" t="s">
        <v>16</v>
      </c>
      <c r="C35" s="9">
        <v>30.0</v>
      </c>
      <c r="D35" s="9">
        <v>17.0</v>
      </c>
      <c r="E35" s="9">
        <v>22.0</v>
      </c>
      <c r="F35" s="9">
        <v>28.0</v>
      </c>
      <c r="G35" s="9">
        <v>19.0</v>
      </c>
      <c r="H35" s="10">
        <f t="shared" si="1"/>
        <v>1450</v>
      </c>
      <c r="I35" s="10"/>
    </row>
    <row r="36" hidden="1">
      <c r="A36" s="6" t="s">
        <v>25</v>
      </c>
      <c r="B36" s="7" t="s">
        <v>17</v>
      </c>
      <c r="C36" s="9">
        <v>30.0</v>
      </c>
      <c r="D36" s="9">
        <v>17.0</v>
      </c>
      <c r="E36" s="9">
        <v>22.0</v>
      </c>
      <c r="F36" s="9">
        <v>28.0</v>
      </c>
      <c r="G36" s="9">
        <v>19.0</v>
      </c>
      <c r="H36" s="10">
        <f t="shared" si="1"/>
        <v>1450</v>
      </c>
      <c r="I36" s="10"/>
    </row>
    <row r="37" hidden="1">
      <c r="A37" s="6" t="s">
        <v>25</v>
      </c>
      <c r="B37" s="7" t="s">
        <v>18</v>
      </c>
      <c r="C37" s="9">
        <v>30.0</v>
      </c>
      <c r="D37" s="9">
        <v>17.0</v>
      </c>
      <c r="E37" s="9">
        <v>22.0</v>
      </c>
      <c r="F37" s="9">
        <v>28.0</v>
      </c>
      <c r="G37" s="9">
        <v>19.0</v>
      </c>
      <c r="H37" s="10">
        <f t="shared" si="1"/>
        <v>1450</v>
      </c>
      <c r="I37" s="10"/>
    </row>
    <row r="38" hidden="1">
      <c r="A38" s="6" t="s">
        <v>25</v>
      </c>
      <c r="B38" s="7" t="s">
        <v>19</v>
      </c>
      <c r="C38" s="9">
        <v>30.0</v>
      </c>
      <c r="D38" s="9">
        <v>17.0</v>
      </c>
      <c r="E38" s="9">
        <v>22.0</v>
      </c>
      <c r="F38" s="9">
        <v>28.0</v>
      </c>
      <c r="G38" s="9">
        <v>19.0</v>
      </c>
      <c r="H38" s="10">
        <f t="shared" si="1"/>
        <v>1450</v>
      </c>
      <c r="I38" s="10"/>
    </row>
    <row r="39" hidden="1">
      <c r="A39" s="6" t="s">
        <v>25</v>
      </c>
      <c r="B39" s="7" t="s">
        <v>20</v>
      </c>
      <c r="C39" s="9">
        <v>30.0</v>
      </c>
      <c r="D39" s="9">
        <v>17.0</v>
      </c>
      <c r="E39" s="9">
        <v>22.0</v>
      </c>
      <c r="F39" s="9">
        <v>28.0</v>
      </c>
      <c r="G39" s="9">
        <v>19.0</v>
      </c>
      <c r="H39" s="10">
        <f t="shared" si="1"/>
        <v>1450</v>
      </c>
      <c r="I39" s="10"/>
    </row>
    <row r="40" hidden="1">
      <c r="A40" s="6" t="s">
        <v>25</v>
      </c>
      <c r="B40" s="7" t="s">
        <v>21</v>
      </c>
      <c r="C40" s="9">
        <v>30.0</v>
      </c>
      <c r="D40" s="9">
        <v>17.0</v>
      </c>
      <c r="E40" s="9">
        <v>22.0</v>
      </c>
      <c r="F40" s="9">
        <v>28.0</v>
      </c>
      <c r="G40" s="9">
        <v>19.0</v>
      </c>
      <c r="H40" s="10">
        <f t="shared" si="1"/>
        <v>1450</v>
      </c>
      <c r="I40" s="10"/>
    </row>
    <row r="41" hidden="1">
      <c r="A41" s="6" t="s">
        <v>25</v>
      </c>
      <c r="B41" s="7" t="s">
        <v>22</v>
      </c>
      <c r="C41" s="9">
        <v>30.0</v>
      </c>
      <c r="D41" s="9">
        <v>17.0</v>
      </c>
      <c r="E41" s="9">
        <v>22.0</v>
      </c>
      <c r="F41" s="9">
        <v>28.0</v>
      </c>
      <c r="G41" s="9">
        <v>19.0</v>
      </c>
      <c r="H41" s="10">
        <f t="shared" si="1"/>
        <v>1450</v>
      </c>
      <c r="I41" s="10"/>
    </row>
    <row r="42" hidden="1">
      <c r="A42" s="6" t="s">
        <v>25</v>
      </c>
      <c r="B42" s="7" t="s">
        <v>23</v>
      </c>
      <c r="C42" s="9">
        <v>30.0</v>
      </c>
      <c r="D42" s="9">
        <v>17.0</v>
      </c>
      <c r="E42" s="9">
        <v>22.0</v>
      </c>
      <c r="F42" s="9">
        <v>28.0</v>
      </c>
      <c r="G42" s="9">
        <v>19.0</v>
      </c>
      <c r="H42" s="10">
        <f t="shared" si="1"/>
        <v>1450</v>
      </c>
      <c r="I42" s="10"/>
    </row>
    <row r="43" hidden="1">
      <c r="A43" s="6" t="s">
        <v>26</v>
      </c>
      <c r="B43" s="7" t="s">
        <v>11</v>
      </c>
      <c r="C43" s="9">
        <v>18.0</v>
      </c>
      <c r="D43" s="9">
        <v>23.0</v>
      </c>
      <c r="E43" s="9">
        <v>18.0</v>
      </c>
      <c r="F43" s="9">
        <v>17.0</v>
      </c>
      <c r="G43" s="9">
        <v>11.0</v>
      </c>
      <c r="H43" s="10">
        <f t="shared" ref="H43:H78" si="2">SUM(IF(C43&lt;17, 0, IF(C43&lt;=21, 200, 300)), 
     IF(D43&lt;17, 0, IF(D43&lt;=21, 200, 300)), 
     IF(E43&lt;17, 0, IF(E43&lt;=21, 200, 300)), 
     IF(F43&lt;17, 0, IF(F43&lt;=21, 200, 300)), 
     IF(G43&lt;17, 0, IF(G43&lt;=21, 200, 300)))</f>
        <v>900</v>
      </c>
      <c r="I43" s="10"/>
    </row>
    <row r="44" hidden="1">
      <c r="A44" s="6" t="s">
        <v>26</v>
      </c>
      <c r="B44" s="7" t="s">
        <v>13</v>
      </c>
      <c r="C44" s="9">
        <v>18.0</v>
      </c>
      <c r="D44" s="9">
        <v>23.0</v>
      </c>
      <c r="E44" s="9">
        <v>18.0</v>
      </c>
      <c r="F44" s="9">
        <v>17.0</v>
      </c>
      <c r="G44" s="9">
        <v>11.0</v>
      </c>
      <c r="H44" s="10">
        <f t="shared" si="2"/>
        <v>900</v>
      </c>
      <c r="I44" s="10"/>
    </row>
    <row r="45" hidden="1">
      <c r="A45" s="6" t="s">
        <v>26</v>
      </c>
      <c r="B45" s="7" t="s">
        <v>14</v>
      </c>
      <c r="C45" s="9">
        <v>18.0</v>
      </c>
      <c r="D45" s="9">
        <v>23.0</v>
      </c>
      <c r="E45" s="9">
        <v>18.0</v>
      </c>
      <c r="F45" s="9">
        <v>17.0</v>
      </c>
      <c r="G45" s="9">
        <v>11.0</v>
      </c>
      <c r="H45" s="10">
        <f t="shared" si="2"/>
        <v>900</v>
      </c>
      <c r="I45" s="10"/>
    </row>
    <row r="46" hidden="1">
      <c r="A46" s="6" t="s">
        <v>26</v>
      </c>
      <c r="B46" s="7" t="s">
        <v>15</v>
      </c>
      <c r="C46" s="9">
        <v>18.0</v>
      </c>
      <c r="D46" s="9">
        <v>23.0</v>
      </c>
      <c r="E46" s="9">
        <v>18.0</v>
      </c>
      <c r="F46" s="9">
        <v>17.0</v>
      </c>
      <c r="G46" s="9">
        <v>11.0</v>
      </c>
      <c r="H46" s="10">
        <f t="shared" si="2"/>
        <v>900</v>
      </c>
      <c r="I46" s="10"/>
    </row>
    <row r="47" hidden="1">
      <c r="A47" s="6" t="s">
        <v>26</v>
      </c>
      <c r="B47" s="7" t="s">
        <v>16</v>
      </c>
      <c r="C47" s="9">
        <v>18.0</v>
      </c>
      <c r="D47" s="9">
        <v>23.0</v>
      </c>
      <c r="E47" s="9">
        <v>18.0</v>
      </c>
      <c r="F47" s="9">
        <v>17.0</v>
      </c>
      <c r="G47" s="9">
        <v>11.0</v>
      </c>
      <c r="H47" s="10">
        <f t="shared" si="2"/>
        <v>900</v>
      </c>
      <c r="I47" s="10"/>
    </row>
    <row r="48" hidden="1">
      <c r="A48" s="6" t="s">
        <v>26</v>
      </c>
      <c r="B48" s="7" t="s">
        <v>17</v>
      </c>
      <c r="C48" s="9">
        <v>18.0</v>
      </c>
      <c r="D48" s="9">
        <v>23.0</v>
      </c>
      <c r="E48" s="9">
        <v>18.0</v>
      </c>
      <c r="F48" s="9">
        <v>17.0</v>
      </c>
      <c r="G48" s="9">
        <v>11.0</v>
      </c>
      <c r="H48" s="10">
        <f t="shared" si="2"/>
        <v>900</v>
      </c>
      <c r="I48" s="10"/>
    </row>
    <row r="49" hidden="1">
      <c r="A49" s="6" t="s">
        <v>26</v>
      </c>
      <c r="B49" s="7" t="s">
        <v>18</v>
      </c>
      <c r="C49" s="9">
        <v>18.0</v>
      </c>
      <c r="D49" s="9">
        <v>23.0</v>
      </c>
      <c r="E49" s="9">
        <v>18.0</v>
      </c>
      <c r="F49" s="9">
        <v>17.0</v>
      </c>
      <c r="G49" s="9">
        <v>11.0</v>
      </c>
      <c r="H49" s="10">
        <f t="shared" si="2"/>
        <v>900</v>
      </c>
      <c r="I49" s="10"/>
    </row>
    <row r="50" hidden="1">
      <c r="A50" s="6" t="s">
        <v>26</v>
      </c>
      <c r="B50" s="7" t="s">
        <v>19</v>
      </c>
      <c r="C50" s="9">
        <v>18.0</v>
      </c>
      <c r="D50" s="9">
        <v>23.0</v>
      </c>
      <c r="E50" s="9">
        <v>18.0</v>
      </c>
      <c r="F50" s="9">
        <v>17.0</v>
      </c>
      <c r="G50" s="9">
        <v>11.0</v>
      </c>
      <c r="H50" s="10">
        <f t="shared" si="2"/>
        <v>900</v>
      </c>
      <c r="I50" s="10"/>
    </row>
    <row r="51" hidden="1">
      <c r="A51" s="6" t="s">
        <v>26</v>
      </c>
      <c r="B51" s="7" t="s">
        <v>20</v>
      </c>
      <c r="C51" s="9">
        <v>18.0</v>
      </c>
      <c r="D51" s="9">
        <v>23.0</v>
      </c>
      <c r="E51" s="9">
        <v>18.0</v>
      </c>
      <c r="F51" s="9">
        <v>17.0</v>
      </c>
      <c r="G51" s="9">
        <v>11.0</v>
      </c>
      <c r="H51" s="10">
        <f t="shared" si="2"/>
        <v>900</v>
      </c>
      <c r="I51" s="10"/>
    </row>
    <row r="52" hidden="1">
      <c r="A52" s="6" t="s">
        <v>26</v>
      </c>
      <c r="B52" s="7" t="s">
        <v>21</v>
      </c>
      <c r="C52" s="9">
        <v>18.0</v>
      </c>
      <c r="D52" s="9">
        <v>23.0</v>
      </c>
      <c r="E52" s="9">
        <v>18.0</v>
      </c>
      <c r="F52" s="9">
        <v>17.0</v>
      </c>
      <c r="G52" s="9">
        <v>11.0</v>
      </c>
      <c r="H52" s="10">
        <f t="shared" si="2"/>
        <v>900</v>
      </c>
      <c r="I52" s="10"/>
    </row>
    <row r="53" hidden="1">
      <c r="A53" s="6" t="s">
        <v>26</v>
      </c>
      <c r="B53" s="7" t="s">
        <v>22</v>
      </c>
      <c r="C53" s="9">
        <v>18.0</v>
      </c>
      <c r="D53" s="9">
        <v>23.0</v>
      </c>
      <c r="E53" s="9">
        <v>18.0</v>
      </c>
      <c r="F53" s="9">
        <v>17.0</v>
      </c>
      <c r="G53" s="9">
        <v>11.0</v>
      </c>
      <c r="H53" s="10">
        <f t="shared" si="2"/>
        <v>900</v>
      </c>
      <c r="I53" s="10"/>
    </row>
    <row r="54" hidden="1">
      <c r="A54" s="6" t="s">
        <v>26</v>
      </c>
      <c r="B54" s="7" t="s">
        <v>23</v>
      </c>
      <c r="C54" s="9">
        <v>18.0</v>
      </c>
      <c r="D54" s="9">
        <v>23.0</v>
      </c>
      <c r="E54" s="9">
        <v>18.0</v>
      </c>
      <c r="F54" s="9">
        <v>17.0</v>
      </c>
      <c r="G54" s="9">
        <v>11.0</v>
      </c>
      <c r="H54" s="10">
        <f t="shared" si="2"/>
        <v>900</v>
      </c>
      <c r="I54" s="10"/>
    </row>
    <row r="55" hidden="1">
      <c r="A55" s="6" t="s">
        <v>27</v>
      </c>
      <c r="B55" s="7" t="s">
        <v>11</v>
      </c>
      <c r="C55" s="9">
        <v>25.0</v>
      </c>
      <c r="D55" s="9">
        <v>20.0</v>
      </c>
      <c r="E55" s="9">
        <v>12.0</v>
      </c>
      <c r="F55" s="9">
        <v>17.0</v>
      </c>
      <c r="G55" s="9">
        <v>20.0</v>
      </c>
      <c r="H55" s="10">
        <f t="shared" si="2"/>
        <v>900</v>
      </c>
      <c r="I55" s="10"/>
    </row>
    <row r="56" hidden="1">
      <c r="A56" s="6" t="s">
        <v>27</v>
      </c>
      <c r="B56" s="7" t="s">
        <v>13</v>
      </c>
      <c r="C56" s="9">
        <v>25.0</v>
      </c>
      <c r="D56" s="9">
        <v>20.0</v>
      </c>
      <c r="E56" s="9">
        <v>12.0</v>
      </c>
      <c r="F56" s="9">
        <v>17.0</v>
      </c>
      <c r="G56" s="9">
        <v>20.0</v>
      </c>
      <c r="H56" s="10">
        <f t="shared" si="2"/>
        <v>900</v>
      </c>
      <c r="I56" s="10"/>
    </row>
    <row r="57" hidden="1">
      <c r="A57" s="6" t="s">
        <v>27</v>
      </c>
      <c r="B57" s="7" t="s">
        <v>14</v>
      </c>
      <c r="C57" s="9">
        <v>25.0</v>
      </c>
      <c r="D57" s="9">
        <v>20.0</v>
      </c>
      <c r="E57" s="9">
        <v>12.0</v>
      </c>
      <c r="F57" s="9">
        <v>17.0</v>
      </c>
      <c r="G57" s="9">
        <v>20.0</v>
      </c>
      <c r="H57" s="10">
        <f t="shared" si="2"/>
        <v>900</v>
      </c>
      <c r="I57" s="10"/>
    </row>
    <row r="58" hidden="1">
      <c r="A58" s="6" t="s">
        <v>27</v>
      </c>
      <c r="B58" s="7" t="s">
        <v>15</v>
      </c>
      <c r="C58" s="9">
        <v>25.0</v>
      </c>
      <c r="D58" s="9">
        <v>20.0</v>
      </c>
      <c r="E58" s="9">
        <v>12.0</v>
      </c>
      <c r="F58" s="9">
        <v>17.0</v>
      </c>
      <c r="G58" s="9">
        <v>20.0</v>
      </c>
      <c r="H58" s="10">
        <f t="shared" si="2"/>
        <v>900</v>
      </c>
      <c r="I58" s="10"/>
    </row>
    <row r="59" hidden="1">
      <c r="A59" s="6" t="s">
        <v>27</v>
      </c>
      <c r="B59" s="7" t="s">
        <v>16</v>
      </c>
      <c r="C59" s="9">
        <v>25.0</v>
      </c>
      <c r="D59" s="9">
        <v>20.0</v>
      </c>
      <c r="E59" s="9">
        <v>12.0</v>
      </c>
      <c r="F59" s="9">
        <v>17.0</v>
      </c>
      <c r="G59" s="9">
        <v>20.0</v>
      </c>
      <c r="H59" s="10">
        <f t="shared" si="2"/>
        <v>900</v>
      </c>
      <c r="I59" s="10"/>
    </row>
    <row r="60" hidden="1">
      <c r="A60" s="6" t="s">
        <v>27</v>
      </c>
      <c r="B60" s="7" t="s">
        <v>17</v>
      </c>
      <c r="C60" s="9">
        <v>25.0</v>
      </c>
      <c r="D60" s="9">
        <v>20.0</v>
      </c>
      <c r="E60" s="9">
        <v>12.0</v>
      </c>
      <c r="F60" s="9">
        <v>17.0</v>
      </c>
      <c r="G60" s="9">
        <v>20.0</v>
      </c>
      <c r="H60" s="10">
        <f t="shared" si="2"/>
        <v>900</v>
      </c>
      <c r="I60" s="10"/>
    </row>
    <row r="61" hidden="1">
      <c r="A61" s="6" t="s">
        <v>27</v>
      </c>
      <c r="B61" s="7" t="s">
        <v>18</v>
      </c>
      <c r="C61" s="9">
        <v>25.0</v>
      </c>
      <c r="D61" s="9">
        <v>20.0</v>
      </c>
      <c r="E61" s="9">
        <v>12.0</v>
      </c>
      <c r="F61" s="9">
        <v>17.0</v>
      </c>
      <c r="G61" s="9">
        <v>20.0</v>
      </c>
      <c r="H61" s="10">
        <f t="shared" si="2"/>
        <v>900</v>
      </c>
      <c r="I61" s="10"/>
    </row>
    <row r="62" hidden="1">
      <c r="A62" s="6" t="s">
        <v>27</v>
      </c>
      <c r="B62" s="7" t="s">
        <v>19</v>
      </c>
      <c r="C62" s="9">
        <v>25.0</v>
      </c>
      <c r="D62" s="9">
        <v>20.0</v>
      </c>
      <c r="E62" s="9">
        <v>12.0</v>
      </c>
      <c r="F62" s="9">
        <v>17.0</v>
      </c>
      <c r="G62" s="9">
        <v>20.0</v>
      </c>
      <c r="H62" s="10">
        <f t="shared" si="2"/>
        <v>900</v>
      </c>
      <c r="I62" s="10"/>
    </row>
    <row r="63" hidden="1">
      <c r="A63" s="6" t="s">
        <v>27</v>
      </c>
      <c r="B63" s="7" t="s">
        <v>20</v>
      </c>
      <c r="C63" s="9">
        <v>25.0</v>
      </c>
      <c r="D63" s="9">
        <v>20.0</v>
      </c>
      <c r="E63" s="9">
        <v>12.0</v>
      </c>
      <c r="F63" s="9">
        <v>17.0</v>
      </c>
      <c r="G63" s="9">
        <v>20.0</v>
      </c>
      <c r="H63" s="10">
        <f t="shared" si="2"/>
        <v>900</v>
      </c>
      <c r="I63" s="10"/>
    </row>
    <row r="64" hidden="1">
      <c r="A64" s="6" t="s">
        <v>27</v>
      </c>
      <c r="B64" s="7" t="s">
        <v>21</v>
      </c>
      <c r="C64" s="9">
        <v>25.0</v>
      </c>
      <c r="D64" s="9">
        <v>20.0</v>
      </c>
      <c r="E64" s="9">
        <v>12.0</v>
      </c>
      <c r="F64" s="9">
        <v>17.0</v>
      </c>
      <c r="G64" s="9">
        <v>20.0</v>
      </c>
      <c r="H64" s="10">
        <f t="shared" si="2"/>
        <v>900</v>
      </c>
      <c r="I64" s="10"/>
    </row>
    <row r="65" hidden="1">
      <c r="A65" s="6" t="s">
        <v>27</v>
      </c>
      <c r="B65" s="7" t="s">
        <v>22</v>
      </c>
      <c r="C65" s="9">
        <v>25.0</v>
      </c>
      <c r="D65" s="9">
        <v>20.0</v>
      </c>
      <c r="E65" s="9">
        <v>12.0</v>
      </c>
      <c r="F65" s="9">
        <v>17.0</v>
      </c>
      <c r="G65" s="9">
        <v>20.0</v>
      </c>
      <c r="H65" s="10">
        <f t="shared" si="2"/>
        <v>900</v>
      </c>
      <c r="I65" s="10"/>
    </row>
    <row r="66" hidden="1">
      <c r="A66" s="6" t="s">
        <v>27</v>
      </c>
      <c r="B66" s="7" t="s">
        <v>23</v>
      </c>
      <c r="C66" s="9">
        <v>25.0</v>
      </c>
      <c r="D66" s="9">
        <v>20.0</v>
      </c>
      <c r="E66" s="9">
        <v>12.0</v>
      </c>
      <c r="F66" s="9">
        <v>17.0</v>
      </c>
      <c r="G66" s="9">
        <v>20.0</v>
      </c>
      <c r="H66" s="10">
        <f t="shared" si="2"/>
        <v>900</v>
      </c>
      <c r="I66" s="10"/>
    </row>
    <row r="67" hidden="1">
      <c r="A67" s="6" t="s">
        <v>28</v>
      </c>
      <c r="B67" s="7" t="s">
        <v>11</v>
      </c>
      <c r="C67" s="9">
        <v>20.0</v>
      </c>
      <c r="D67" s="9">
        <v>17.0</v>
      </c>
      <c r="E67" s="9">
        <v>14.0</v>
      </c>
      <c r="F67" s="9">
        <v>17.0</v>
      </c>
      <c r="G67" s="9">
        <v>17.0</v>
      </c>
      <c r="H67" s="10">
        <f t="shared" si="2"/>
        <v>800</v>
      </c>
      <c r="I67" s="10"/>
    </row>
    <row r="68" hidden="1">
      <c r="A68" s="6" t="s">
        <v>28</v>
      </c>
      <c r="B68" s="7" t="s">
        <v>13</v>
      </c>
      <c r="C68" s="9">
        <v>20.0</v>
      </c>
      <c r="D68" s="9">
        <v>17.0</v>
      </c>
      <c r="E68" s="9">
        <v>14.0</v>
      </c>
      <c r="F68" s="9">
        <v>17.0</v>
      </c>
      <c r="G68" s="9">
        <v>17.0</v>
      </c>
      <c r="H68" s="10">
        <f t="shared" si="2"/>
        <v>800</v>
      </c>
      <c r="I68" s="10"/>
    </row>
    <row r="69" hidden="1">
      <c r="A69" s="6" t="s">
        <v>28</v>
      </c>
      <c r="B69" s="7" t="s">
        <v>14</v>
      </c>
      <c r="C69" s="9">
        <v>20.0</v>
      </c>
      <c r="D69" s="9">
        <v>17.0</v>
      </c>
      <c r="E69" s="9">
        <v>14.0</v>
      </c>
      <c r="F69" s="9">
        <v>17.0</v>
      </c>
      <c r="G69" s="9">
        <v>17.0</v>
      </c>
      <c r="H69" s="10">
        <f t="shared" si="2"/>
        <v>800</v>
      </c>
      <c r="I69" s="10"/>
    </row>
    <row r="70" hidden="1">
      <c r="A70" s="6" t="s">
        <v>28</v>
      </c>
      <c r="B70" s="7" t="s">
        <v>15</v>
      </c>
      <c r="C70" s="9">
        <v>20.0</v>
      </c>
      <c r="D70" s="9">
        <v>17.0</v>
      </c>
      <c r="E70" s="9">
        <v>14.0</v>
      </c>
      <c r="F70" s="9">
        <v>17.0</v>
      </c>
      <c r="G70" s="9">
        <v>17.0</v>
      </c>
      <c r="H70" s="10">
        <f t="shared" si="2"/>
        <v>800</v>
      </c>
      <c r="I70" s="10"/>
    </row>
    <row r="71" hidden="1">
      <c r="A71" s="6" t="s">
        <v>28</v>
      </c>
      <c r="B71" s="7" t="s">
        <v>16</v>
      </c>
      <c r="C71" s="9">
        <v>20.0</v>
      </c>
      <c r="D71" s="9">
        <v>17.0</v>
      </c>
      <c r="E71" s="9">
        <v>14.0</v>
      </c>
      <c r="F71" s="9">
        <v>17.0</v>
      </c>
      <c r="G71" s="9">
        <v>17.0</v>
      </c>
      <c r="H71" s="10">
        <f t="shared" si="2"/>
        <v>800</v>
      </c>
      <c r="I71" s="10"/>
    </row>
    <row r="72" hidden="1">
      <c r="A72" s="6" t="s">
        <v>28</v>
      </c>
      <c r="B72" s="7" t="s">
        <v>17</v>
      </c>
      <c r="C72" s="9">
        <v>20.0</v>
      </c>
      <c r="D72" s="9">
        <v>17.0</v>
      </c>
      <c r="E72" s="9">
        <v>14.0</v>
      </c>
      <c r="F72" s="9">
        <v>17.0</v>
      </c>
      <c r="G72" s="9">
        <v>17.0</v>
      </c>
      <c r="H72" s="10">
        <f t="shared" si="2"/>
        <v>800</v>
      </c>
      <c r="I72" s="10"/>
    </row>
    <row r="73" hidden="1">
      <c r="A73" s="6" t="s">
        <v>28</v>
      </c>
      <c r="B73" s="7" t="s">
        <v>18</v>
      </c>
      <c r="C73" s="9">
        <v>20.0</v>
      </c>
      <c r="D73" s="9">
        <v>17.0</v>
      </c>
      <c r="E73" s="9">
        <v>14.0</v>
      </c>
      <c r="F73" s="9">
        <v>17.0</v>
      </c>
      <c r="G73" s="9">
        <v>17.0</v>
      </c>
      <c r="H73" s="10">
        <f t="shared" si="2"/>
        <v>800</v>
      </c>
      <c r="I73" s="10"/>
    </row>
    <row r="74" hidden="1">
      <c r="A74" s="6" t="s">
        <v>28</v>
      </c>
      <c r="B74" s="7" t="s">
        <v>19</v>
      </c>
      <c r="C74" s="9">
        <v>20.0</v>
      </c>
      <c r="D74" s="9">
        <v>17.0</v>
      </c>
      <c r="E74" s="9">
        <v>14.0</v>
      </c>
      <c r="F74" s="9">
        <v>17.0</v>
      </c>
      <c r="G74" s="9">
        <v>17.0</v>
      </c>
      <c r="H74" s="10">
        <f t="shared" si="2"/>
        <v>800</v>
      </c>
      <c r="I74" s="10"/>
    </row>
    <row r="75" hidden="1">
      <c r="A75" s="6" t="s">
        <v>28</v>
      </c>
      <c r="B75" s="7" t="s">
        <v>20</v>
      </c>
      <c r="C75" s="9">
        <v>20.0</v>
      </c>
      <c r="D75" s="9">
        <v>17.0</v>
      </c>
      <c r="E75" s="9">
        <v>14.0</v>
      </c>
      <c r="F75" s="9">
        <v>17.0</v>
      </c>
      <c r="G75" s="9">
        <v>17.0</v>
      </c>
      <c r="H75" s="10">
        <f t="shared" si="2"/>
        <v>800</v>
      </c>
      <c r="I75" s="10"/>
    </row>
    <row r="76" hidden="1">
      <c r="A76" s="6" t="s">
        <v>28</v>
      </c>
      <c r="B76" s="7" t="s">
        <v>21</v>
      </c>
      <c r="C76" s="9">
        <v>20.0</v>
      </c>
      <c r="D76" s="9">
        <v>17.0</v>
      </c>
      <c r="E76" s="9">
        <v>14.0</v>
      </c>
      <c r="F76" s="9">
        <v>17.0</v>
      </c>
      <c r="G76" s="9">
        <v>17.0</v>
      </c>
      <c r="H76" s="10">
        <f t="shared" si="2"/>
        <v>800</v>
      </c>
      <c r="I76" s="10"/>
    </row>
    <row r="77" hidden="1">
      <c r="A77" s="6" t="s">
        <v>28</v>
      </c>
      <c r="B77" s="7" t="s">
        <v>22</v>
      </c>
      <c r="C77" s="9">
        <v>20.0</v>
      </c>
      <c r="D77" s="9">
        <v>17.0</v>
      </c>
      <c r="E77" s="9">
        <v>14.0</v>
      </c>
      <c r="F77" s="9">
        <v>17.0</v>
      </c>
      <c r="G77" s="9">
        <v>17.0</v>
      </c>
      <c r="H77" s="10">
        <f t="shared" si="2"/>
        <v>800</v>
      </c>
      <c r="I77" s="10"/>
    </row>
    <row r="78" hidden="1">
      <c r="A78" s="6" t="s">
        <v>28</v>
      </c>
      <c r="B78" s="7" t="s">
        <v>23</v>
      </c>
      <c r="C78" s="9">
        <v>20.0</v>
      </c>
      <c r="D78" s="9">
        <v>17.0</v>
      </c>
      <c r="E78" s="9">
        <v>14.0</v>
      </c>
      <c r="F78" s="9">
        <v>17.0</v>
      </c>
      <c r="G78" s="9">
        <v>17.0</v>
      </c>
      <c r="H78" s="10">
        <f t="shared" si="2"/>
        <v>800</v>
      </c>
      <c r="I78" s="10"/>
    </row>
    <row r="79">
      <c r="A79" s="6" t="s">
        <v>29</v>
      </c>
      <c r="B79" s="13" t="s">
        <v>30</v>
      </c>
      <c r="C79" s="11"/>
      <c r="D79" s="11"/>
      <c r="E79" s="11"/>
      <c r="F79" s="11"/>
      <c r="G79" s="9">
        <v>24.0</v>
      </c>
      <c r="H79" s="10">
        <f t="shared" ref="H79:H616" si="3">SUM(
  IF(C79&gt;=30, 450, IF(C79&gt;=22, 300, IF(C79&gt;=17, 200, 0))),
  IF(D79&gt;=30, 450, IF(D79&gt;=22, 300, IF(D79&gt;=17, 200, 0))),
  IF(E79&gt;=30, 450, IF(E79&gt;=22, 300, IF(E79&gt;=17, 200, 0))),
  IF(F79&gt;=30, 450, IF(F79&gt;=22, 300, IF(F79&gt;=17, 200, 0))),
  IF(G79&gt;=30, 450, IF(G79&gt;=22, 300, IF(G79&gt;=17, 200, 0)))
)</f>
        <v>300</v>
      </c>
      <c r="I79" s="13" t="s">
        <v>31</v>
      </c>
    </row>
    <row r="80">
      <c r="A80" s="6" t="s">
        <v>29</v>
      </c>
      <c r="B80" s="13" t="s">
        <v>32</v>
      </c>
      <c r="C80" s="11"/>
      <c r="D80" s="11"/>
      <c r="E80" s="11"/>
      <c r="F80" s="9">
        <v>24.0</v>
      </c>
      <c r="G80" s="9">
        <v>24.0</v>
      </c>
      <c r="H80" s="10">
        <f t="shared" si="3"/>
        <v>600</v>
      </c>
      <c r="I80" s="13" t="s">
        <v>31</v>
      </c>
    </row>
    <row r="81">
      <c r="A81" s="6" t="s">
        <v>29</v>
      </c>
      <c r="B81" s="7" t="s">
        <v>33</v>
      </c>
      <c r="C81" s="9">
        <v>38.0</v>
      </c>
      <c r="D81" s="9">
        <v>17.0</v>
      </c>
      <c r="E81" s="9">
        <v>11.0</v>
      </c>
      <c r="F81" s="9">
        <v>24.0</v>
      </c>
      <c r="G81" s="9">
        <v>24.0</v>
      </c>
      <c r="H81" s="10">
        <f t="shared" si="3"/>
        <v>1250</v>
      </c>
      <c r="I81" s="13" t="s">
        <v>31</v>
      </c>
    </row>
    <row r="82">
      <c r="A82" s="6" t="s">
        <v>29</v>
      </c>
      <c r="B82" s="7" t="s">
        <v>34</v>
      </c>
      <c r="C82" s="9">
        <v>38.0</v>
      </c>
      <c r="D82" s="9">
        <v>17.0</v>
      </c>
      <c r="E82" s="9">
        <v>11.0</v>
      </c>
      <c r="F82" s="9">
        <v>24.0</v>
      </c>
      <c r="G82" s="9">
        <v>24.0</v>
      </c>
      <c r="H82" s="10">
        <f t="shared" si="3"/>
        <v>1250</v>
      </c>
      <c r="I82" s="13" t="s">
        <v>31</v>
      </c>
    </row>
    <row r="83">
      <c r="A83" s="6" t="s">
        <v>29</v>
      </c>
      <c r="B83" s="7" t="s">
        <v>35</v>
      </c>
      <c r="C83" s="9">
        <v>38.0</v>
      </c>
      <c r="D83" s="9">
        <v>17.0</v>
      </c>
      <c r="E83" s="9">
        <v>11.0</v>
      </c>
      <c r="F83" s="9">
        <v>24.0</v>
      </c>
      <c r="G83" s="9">
        <v>24.0</v>
      </c>
      <c r="H83" s="10">
        <f t="shared" si="3"/>
        <v>1250</v>
      </c>
      <c r="I83" s="13" t="s">
        <v>31</v>
      </c>
    </row>
    <row r="84">
      <c r="A84" s="6" t="s">
        <v>29</v>
      </c>
      <c r="B84" s="7" t="s">
        <v>13</v>
      </c>
      <c r="C84" s="9">
        <v>38.0</v>
      </c>
      <c r="D84" s="9">
        <v>17.0</v>
      </c>
      <c r="E84" s="9">
        <v>11.0</v>
      </c>
      <c r="F84" s="9">
        <v>24.0</v>
      </c>
      <c r="G84" s="9">
        <v>24.0</v>
      </c>
      <c r="H84" s="10">
        <f t="shared" si="3"/>
        <v>1250</v>
      </c>
      <c r="I84" s="13" t="s">
        <v>31</v>
      </c>
    </row>
    <row r="85">
      <c r="A85" s="6" t="s">
        <v>29</v>
      </c>
      <c r="B85" s="7" t="s">
        <v>36</v>
      </c>
      <c r="C85" s="9">
        <v>38.0</v>
      </c>
      <c r="D85" s="9">
        <v>17.0</v>
      </c>
      <c r="E85" s="9">
        <v>11.0</v>
      </c>
      <c r="F85" s="9">
        <v>24.0</v>
      </c>
      <c r="G85" s="9">
        <v>24.0</v>
      </c>
      <c r="H85" s="10">
        <f t="shared" si="3"/>
        <v>1250</v>
      </c>
      <c r="I85" s="13" t="s">
        <v>31</v>
      </c>
    </row>
    <row r="86">
      <c r="A86" s="6" t="s">
        <v>29</v>
      </c>
      <c r="B86" s="7" t="s">
        <v>37</v>
      </c>
      <c r="C86" s="9">
        <v>38.0</v>
      </c>
      <c r="D86" s="9">
        <v>17.0</v>
      </c>
      <c r="E86" s="9">
        <v>11.0</v>
      </c>
      <c r="F86" s="9">
        <v>24.0</v>
      </c>
      <c r="G86" s="9">
        <v>24.0</v>
      </c>
      <c r="H86" s="10">
        <f t="shared" si="3"/>
        <v>1250</v>
      </c>
      <c r="I86" s="13" t="s">
        <v>31</v>
      </c>
    </row>
    <row r="87">
      <c r="A87" s="6" t="s">
        <v>29</v>
      </c>
      <c r="B87" s="7" t="s">
        <v>17</v>
      </c>
      <c r="C87" s="9">
        <v>38.0</v>
      </c>
      <c r="D87" s="9">
        <v>17.0</v>
      </c>
      <c r="E87" s="9">
        <v>11.0</v>
      </c>
      <c r="F87" s="9">
        <v>24.0</v>
      </c>
      <c r="G87" s="9">
        <v>24.0</v>
      </c>
      <c r="H87" s="10">
        <f t="shared" si="3"/>
        <v>1250</v>
      </c>
      <c r="I87" s="13" t="s">
        <v>31</v>
      </c>
    </row>
    <row r="88">
      <c r="A88" s="6" t="s">
        <v>29</v>
      </c>
      <c r="B88" s="7" t="s">
        <v>18</v>
      </c>
      <c r="C88" s="9">
        <v>38.0</v>
      </c>
      <c r="D88" s="9">
        <v>17.0</v>
      </c>
      <c r="E88" s="9">
        <v>11.0</v>
      </c>
      <c r="F88" s="9">
        <v>24.0</v>
      </c>
      <c r="G88" s="9">
        <v>24.0</v>
      </c>
      <c r="H88" s="10">
        <f t="shared" si="3"/>
        <v>1250</v>
      </c>
      <c r="I88" s="13" t="s">
        <v>31</v>
      </c>
    </row>
    <row r="89">
      <c r="A89" s="6" t="s">
        <v>29</v>
      </c>
      <c r="B89" s="7" t="s">
        <v>19</v>
      </c>
      <c r="C89" s="9">
        <v>38.0</v>
      </c>
      <c r="D89" s="9">
        <v>17.0</v>
      </c>
      <c r="E89" s="9">
        <v>11.0</v>
      </c>
      <c r="F89" s="9">
        <v>24.0</v>
      </c>
      <c r="G89" s="9">
        <v>24.0</v>
      </c>
      <c r="H89" s="10">
        <f t="shared" si="3"/>
        <v>1250</v>
      </c>
      <c r="I89" s="13" t="s">
        <v>31</v>
      </c>
    </row>
    <row r="90">
      <c r="A90" s="6" t="s">
        <v>29</v>
      </c>
      <c r="B90" s="7" t="s">
        <v>20</v>
      </c>
      <c r="C90" s="9">
        <v>38.0</v>
      </c>
      <c r="D90" s="9">
        <v>17.0</v>
      </c>
      <c r="E90" s="9">
        <v>11.0</v>
      </c>
      <c r="F90" s="9">
        <v>24.0</v>
      </c>
      <c r="G90" s="9">
        <v>24.0</v>
      </c>
      <c r="H90" s="10">
        <f t="shared" si="3"/>
        <v>1250</v>
      </c>
      <c r="I90" s="13" t="s">
        <v>31</v>
      </c>
    </row>
    <row r="91">
      <c r="A91" s="6" t="s">
        <v>29</v>
      </c>
      <c r="B91" s="7" t="s">
        <v>21</v>
      </c>
      <c r="C91" s="9">
        <v>38.0</v>
      </c>
      <c r="D91" s="9">
        <v>17.0</v>
      </c>
      <c r="E91" s="9">
        <v>11.0</v>
      </c>
      <c r="F91" s="9">
        <v>24.0</v>
      </c>
      <c r="G91" s="9">
        <v>24.0</v>
      </c>
      <c r="H91" s="10">
        <f t="shared" si="3"/>
        <v>1250</v>
      </c>
      <c r="I91" s="13" t="s">
        <v>31</v>
      </c>
    </row>
    <row r="92">
      <c r="A92" s="6" t="s">
        <v>29</v>
      </c>
      <c r="B92" s="7" t="s">
        <v>22</v>
      </c>
      <c r="C92" s="9">
        <v>38.0</v>
      </c>
      <c r="D92" s="9">
        <v>17.0</v>
      </c>
      <c r="E92" s="9">
        <v>11.0</v>
      </c>
      <c r="F92" s="9">
        <v>24.0</v>
      </c>
      <c r="G92" s="9">
        <v>24.0</v>
      </c>
      <c r="H92" s="10">
        <f t="shared" si="3"/>
        <v>1250</v>
      </c>
      <c r="I92" s="13" t="s">
        <v>31</v>
      </c>
    </row>
    <row r="93">
      <c r="A93" s="6" t="s">
        <v>29</v>
      </c>
      <c r="B93" s="7" t="s">
        <v>23</v>
      </c>
      <c r="C93" s="9">
        <v>38.0</v>
      </c>
      <c r="D93" s="9">
        <v>17.0</v>
      </c>
      <c r="E93" s="9">
        <v>11.0</v>
      </c>
      <c r="F93" s="9">
        <v>24.0</v>
      </c>
      <c r="G93" s="9">
        <v>24.0</v>
      </c>
      <c r="H93" s="10">
        <f t="shared" si="3"/>
        <v>1250</v>
      </c>
      <c r="I93" s="13" t="s">
        <v>31</v>
      </c>
    </row>
    <row r="94" hidden="1">
      <c r="A94" s="6" t="s">
        <v>38</v>
      </c>
      <c r="B94" s="7" t="s">
        <v>33</v>
      </c>
      <c r="C94" s="9">
        <v>33.0</v>
      </c>
      <c r="D94" s="9">
        <v>22.0</v>
      </c>
      <c r="E94" s="9">
        <v>30.0</v>
      </c>
      <c r="F94" s="9">
        <v>22.0</v>
      </c>
      <c r="G94" s="9">
        <v>22.0</v>
      </c>
      <c r="H94" s="10">
        <f t="shared" si="3"/>
        <v>1800</v>
      </c>
      <c r="I94" s="13" t="s">
        <v>39</v>
      </c>
    </row>
    <row r="95" hidden="1">
      <c r="A95" s="6" t="s">
        <v>38</v>
      </c>
      <c r="B95" s="7" t="s">
        <v>34</v>
      </c>
      <c r="C95" s="9">
        <v>33.0</v>
      </c>
      <c r="D95" s="9">
        <v>22.0</v>
      </c>
      <c r="E95" s="9">
        <v>30.0</v>
      </c>
      <c r="F95" s="9">
        <v>22.0</v>
      </c>
      <c r="G95" s="9">
        <v>22.0</v>
      </c>
      <c r="H95" s="10">
        <f t="shared" si="3"/>
        <v>1800</v>
      </c>
      <c r="I95" s="13" t="s">
        <v>39</v>
      </c>
    </row>
    <row r="96" hidden="1">
      <c r="A96" s="6" t="s">
        <v>38</v>
      </c>
      <c r="B96" s="7" t="s">
        <v>35</v>
      </c>
      <c r="C96" s="9">
        <v>33.0</v>
      </c>
      <c r="D96" s="9">
        <v>22.0</v>
      </c>
      <c r="E96" s="9">
        <v>30.0</v>
      </c>
      <c r="F96" s="9">
        <v>22.0</v>
      </c>
      <c r="G96" s="9">
        <v>22.0</v>
      </c>
      <c r="H96" s="10">
        <f t="shared" si="3"/>
        <v>1800</v>
      </c>
      <c r="I96" s="13" t="s">
        <v>39</v>
      </c>
    </row>
    <row r="97" hidden="1">
      <c r="A97" s="6" t="s">
        <v>38</v>
      </c>
      <c r="B97" s="7" t="s">
        <v>13</v>
      </c>
      <c r="C97" s="9">
        <v>33.0</v>
      </c>
      <c r="D97" s="9">
        <v>22.0</v>
      </c>
      <c r="E97" s="9">
        <v>30.0</v>
      </c>
      <c r="F97" s="9">
        <v>22.0</v>
      </c>
      <c r="G97" s="9">
        <v>22.0</v>
      </c>
      <c r="H97" s="10">
        <f t="shared" si="3"/>
        <v>1800</v>
      </c>
      <c r="I97" s="13" t="s">
        <v>39</v>
      </c>
    </row>
    <row r="98" hidden="1">
      <c r="A98" s="6" t="s">
        <v>38</v>
      </c>
      <c r="B98" s="7" t="s">
        <v>36</v>
      </c>
      <c r="C98" s="9">
        <v>33.0</v>
      </c>
      <c r="D98" s="9">
        <v>22.0</v>
      </c>
      <c r="E98" s="9">
        <v>30.0</v>
      </c>
      <c r="F98" s="9">
        <v>22.0</v>
      </c>
      <c r="G98" s="9">
        <v>22.0</v>
      </c>
      <c r="H98" s="10">
        <f t="shared" si="3"/>
        <v>1800</v>
      </c>
      <c r="I98" s="13" t="s">
        <v>39</v>
      </c>
    </row>
    <row r="99" hidden="1">
      <c r="A99" s="6" t="s">
        <v>38</v>
      </c>
      <c r="B99" s="7" t="s">
        <v>37</v>
      </c>
      <c r="C99" s="9">
        <v>33.0</v>
      </c>
      <c r="D99" s="9">
        <v>22.0</v>
      </c>
      <c r="E99" s="9">
        <v>30.0</v>
      </c>
      <c r="F99" s="9">
        <v>22.0</v>
      </c>
      <c r="G99" s="9">
        <v>22.0</v>
      </c>
      <c r="H99" s="10">
        <f t="shared" si="3"/>
        <v>1800</v>
      </c>
      <c r="I99" s="13" t="s">
        <v>39</v>
      </c>
    </row>
    <row r="100" hidden="1">
      <c r="A100" s="6" t="s">
        <v>38</v>
      </c>
      <c r="B100" s="7" t="s">
        <v>17</v>
      </c>
      <c r="C100" s="9">
        <v>33.0</v>
      </c>
      <c r="D100" s="9">
        <v>22.0</v>
      </c>
      <c r="E100" s="9">
        <v>30.0</v>
      </c>
      <c r="F100" s="9">
        <v>22.0</v>
      </c>
      <c r="G100" s="9">
        <v>22.0</v>
      </c>
      <c r="H100" s="10">
        <f t="shared" si="3"/>
        <v>1800</v>
      </c>
      <c r="I100" s="13" t="s">
        <v>39</v>
      </c>
    </row>
    <row r="101" hidden="1">
      <c r="A101" s="6" t="s">
        <v>38</v>
      </c>
      <c r="B101" s="7" t="s">
        <v>18</v>
      </c>
      <c r="C101" s="9">
        <v>33.0</v>
      </c>
      <c r="D101" s="9">
        <v>22.0</v>
      </c>
      <c r="E101" s="9">
        <v>30.0</v>
      </c>
      <c r="F101" s="9">
        <v>22.0</v>
      </c>
      <c r="G101" s="9">
        <v>22.0</v>
      </c>
      <c r="H101" s="10">
        <f t="shared" si="3"/>
        <v>1800</v>
      </c>
      <c r="I101" s="13" t="s">
        <v>39</v>
      </c>
    </row>
    <row r="102" hidden="1">
      <c r="A102" s="6" t="s">
        <v>38</v>
      </c>
      <c r="B102" s="7" t="s">
        <v>19</v>
      </c>
      <c r="C102" s="9">
        <v>33.0</v>
      </c>
      <c r="D102" s="9">
        <v>22.0</v>
      </c>
      <c r="E102" s="9">
        <v>30.0</v>
      </c>
      <c r="F102" s="9">
        <v>22.0</v>
      </c>
      <c r="G102" s="9">
        <v>22.0</v>
      </c>
      <c r="H102" s="10">
        <f t="shared" si="3"/>
        <v>1800</v>
      </c>
      <c r="I102" s="13" t="s">
        <v>39</v>
      </c>
    </row>
    <row r="103" hidden="1">
      <c r="A103" s="6" t="s">
        <v>38</v>
      </c>
      <c r="B103" s="7" t="s">
        <v>20</v>
      </c>
      <c r="C103" s="9">
        <v>33.0</v>
      </c>
      <c r="D103" s="9">
        <v>22.0</v>
      </c>
      <c r="E103" s="9">
        <v>30.0</v>
      </c>
      <c r="F103" s="9">
        <v>22.0</v>
      </c>
      <c r="G103" s="9">
        <v>22.0</v>
      </c>
      <c r="H103" s="10">
        <f t="shared" si="3"/>
        <v>1800</v>
      </c>
      <c r="I103" s="13" t="s">
        <v>39</v>
      </c>
    </row>
    <row r="104" hidden="1">
      <c r="A104" s="6" t="s">
        <v>38</v>
      </c>
      <c r="B104" s="7" t="s">
        <v>21</v>
      </c>
      <c r="C104" s="9">
        <v>33.0</v>
      </c>
      <c r="D104" s="9">
        <v>22.0</v>
      </c>
      <c r="E104" s="9">
        <v>30.0</v>
      </c>
      <c r="F104" s="9">
        <v>22.0</v>
      </c>
      <c r="G104" s="9">
        <v>22.0</v>
      </c>
      <c r="H104" s="10">
        <f t="shared" si="3"/>
        <v>1800</v>
      </c>
      <c r="I104" s="13" t="s">
        <v>39</v>
      </c>
    </row>
    <row r="105" hidden="1">
      <c r="A105" s="6" t="s">
        <v>38</v>
      </c>
      <c r="B105" s="7" t="s">
        <v>22</v>
      </c>
      <c r="C105" s="9">
        <v>33.0</v>
      </c>
      <c r="D105" s="9">
        <v>22.0</v>
      </c>
      <c r="E105" s="9">
        <v>30.0</v>
      </c>
      <c r="F105" s="9">
        <v>22.0</v>
      </c>
      <c r="G105" s="9">
        <v>22.0</v>
      </c>
      <c r="H105" s="10">
        <f t="shared" si="3"/>
        <v>1800</v>
      </c>
      <c r="I105" s="13" t="s">
        <v>39</v>
      </c>
    </row>
    <row r="106" hidden="1">
      <c r="A106" s="6" t="s">
        <v>38</v>
      </c>
      <c r="B106" s="7" t="s">
        <v>23</v>
      </c>
      <c r="C106" s="9">
        <v>33.0</v>
      </c>
      <c r="D106" s="9">
        <v>22.0</v>
      </c>
      <c r="E106" s="9">
        <v>30.0</v>
      </c>
      <c r="F106" s="9">
        <v>22.0</v>
      </c>
      <c r="G106" s="9">
        <v>22.0</v>
      </c>
      <c r="H106" s="10">
        <f t="shared" si="3"/>
        <v>1800</v>
      </c>
      <c r="I106" s="13" t="s">
        <v>39</v>
      </c>
    </row>
    <row r="107" hidden="1">
      <c r="A107" s="6" t="s">
        <v>40</v>
      </c>
      <c r="B107" s="7" t="s">
        <v>33</v>
      </c>
      <c r="C107" s="9">
        <v>24.0</v>
      </c>
      <c r="D107" s="9">
        <v>22.0</v>
      </c>
      <c r="E107" s="9">
        <v>12.0</v>
      </c>
      <c r="F107" s="9">
        <v>17.0</v>
      </c>
      <c r="G107" s="9">
        <v>8.0</v>
      </c>
      <c r="H107" s="10">
        <f t="shared" si="3"/>
        <v>800</v>
      </c>
      <c r="I107" s="13" t="s">
        <v>41</v>
      </c>
    </row>
    <row r="108" hidden="1">
      <c r="A108" s="6" t="s">
        <v>40</v>
      </c>
      <c r="B108" s="7" t="s">
        <v>34</v>
      </c>
      <c r="C108" s="9">
        <v>24.0</v>
      </c>
      <c r="D108" s="9">
        <v>22.0</v>
      </c>
      <c r="E108" s="9">
        <v>12.0</v>
      </c>
      <c r="F108" s="9">
        <v>17.0</v>
      </c>
      <c r="G108" s="9">
        <v>8.0</v>
      </c>
      <c r="H108" s="10">
        <f t="shared" si="3"/>
        <v>800</v>
      </c>
      <c r="I108" s="13" t="s">
        <v>41</v>
      </c>
    </row>
    <row r="109" hidden="1">
      <c r="A109" s="6" t="s">
        <v>40</v>
      </c>
      <c r="B109" s="7" t="s">
        <v>35</v>
      </c>
      <c r="C109" s="9">
        <v>24.0</v>
      </c>
      <c r="D109" s="9">
        <v>22.0</v>
      </c>
      <c r="E109" s="9">
        <v>12.0</v>
      </c>
      <c r="F109" s="9">
        <v>17.0</v>
      </c>
      <c r="G109" s="9">
        <v>8.0</v>
      </c>
      <c r="H109" s="10">
        <f t="shared" si="3"/>
        <v>800</v>
      </c>
      <c r="I109" s="13" t="s">
        <v>41</v>
      </c>
    </row>
    <row r="110" hidden="1">
      <c r="A110" s="6" t="s">
        <v>40</v>
      </c>
      <c r="B110" s="7" t="s">
        <v>13</v>
      </c>
      <c r="C110" s="9">
        <v>24.0</v>
      </c>
      <c r="D110" s="9">
        <v>22.0</v>
      </c>
      <c r="E110" s="9">
        <v>12.0</v>
      </c>
      <c r="F110" s="9">
        <v>17.0</v>
      </c>
      <c r="G110" s="9">
        <v>8.0</v>
      </c>
      <c r="H110" s="10">
        <f t="shared" si="3"/>
        <v>800</v>
      </c>
      <c r="I110" s="13" t="s">
        <v>41</v>
      </c>
    </row>
    <row r="111" hidden="1">
      <c r="A111" s="6" t="s">
        <v>40</v>
      </c>
      <c r="B111" s="7" t="s">
        <v>36</v>
      </c>
      <c r="C111" s="9">
        <v>24.0</v>
      </c>
      <c r="D111" s="9">
        <v>22.0</v>
      </c>
      <c r="E111" s="9">
        <v>12.0</v>
      </c>
      <c r="F111" s="9">
        <v>17.0</v>
      </c>
      <c r="G111" s="9">
        <v>8.0</v>
      </c>
      <c r="H111" s="10">
        <f t="shared" si="3"/>
        <v>800</v>
      </c>
      <c r="I111" s="13" t="s">
        <v>41</v>
      </c>
    </row>
    <row r="112" hidden="1">
      <c r="A112" s="6" t="s">
        <v>40</v>
      </c>
      <c r="B112" s="7" t="s">
        <v>37</v>
      </c>
      <c r="C112" s="9">
        <v>24.0</v>
      </c>
      <c r="D112" s="9">
        <v>22.0</v>
      </c>
      <c r="E112" s="9">
        <v>12.0</v>
      </c>
      <c r="F112" s="9">
        <v>17.0</v>
      </c>
      <c r="G112" s="9">
        <v>8.0</v>
      </c>
      <c r="H112" s="10">
        <f t="shared" si="3"/>
        <v>800</v>
      </c>
      <c r="I112" s="13" t="s">
        <v>41</v>
      </c>
    </row>
    <row r="113" hidden="1">
      <c r="A113" s="6" t="s">
        <v>40</v>
      </c>
      <c r="B113" s="7" t="s">
        <v>17</v>
      </c>
      <c r="C113" s="9">
        <v>24.0</v>
      </c>
      <c r="D113" s="9">
        <v>22.0</v>
      </c>
      <c r="E113" s="9">
        <v>12.0</v>
      </c>
      <c r="F113" s="9">
        <v>17.0</v>
      </c>
      <c r="G113" s="9">
        <v>8.0</v>
      </c>
      <c r="H113" s="10">
        <f t="shared" si="3"/>
        <v>800</v>
      </c>
      <c r="I113" s="13" t="s">
        <v>41</v>
      </c>
    </row>
    <row r="114" hidden="1">
      <c r="A114" s="6" t="s">
        <v>40</v>
      </c>
      <c r="B114" s="7" t="s">
        <v>18</v>
      </c>
      <c r="C114" s="9">
        <v>24.0</v>
      </c>
      <c r="D114" s="9">
        <v>22.0</v>
      </c>
      <c r="E114" s="9">
        <v>12.0</v>
      </c>
      <c r="F114" s="9">
        <v>17.0</v>
      </c>
      <c r="G114" s="9">
        <v>8.0</v>
      </c>
      <c r="H114" s="10">
        <f t="shared" si="3"/>
        <v>800</v>
      </c>
      <c r="I114" s="13" t="s">
        <v>41</v>
      </c>
    </row>
    <row r="115" hidden="1">
      <c r="A115" s="6" t="s">
        <v>40</v>
      </c>
      <c r="B115" s="7" t="s">
        <v>19</v>
      </c>
      <c r="C115" s="9">
        <v>24.0</v>
      </c>
      <c r="D115" s="9">
        <v>22.0</v>
      </c>
      <c r="E115" s="9">
        <v>12.0</v>
      </c>
      <c r="F115" s="9">
        <v>17.0</v>
      </c>
      <c r="G115" s="9">
        <v>8.0</v>
      </c>
      <c r="H115" s="10">
        <f t="shared" si="3"/>
        <v>800</v>
      </c>
      <c r="I115" s="13" t="s">
        <v>41</v>
      </c>
    </row>
    <row r="116" hidden="1">
      <c r="A116" s="6" t="s">
        <v>40</v>
      </c>
      <c r="B116" s="7" t="s">
        <v>20</v>
      </c>
      <c r="C116" s="9">
        <v>24.0</v>
      </c>
      <c r="D116" s="9">
        <v>22.0</v>
      </c>
      <c r="E116" s="9">
        <v>12.0</v>
      </c>
      <c r="F116" s="9">
        <v>17.0</v>
      </c>
      <c r="G116" s="9">
        <v>8.0</v>
      </c>
      <c r="H116" s="10">
        <f t="shared" si="3"/>
        <v>800</v>
      </c>
      <c r="I116" s="13" t="s">
        <v>41</v>
      </c>
    </row>
    <row r="117" hidden="1">
      <c r="A117" s="6" t="s">
        <v>40</v>
      </c>
      <c r="B117" s="7" t="s">
        <v>21</v>
      </c>
      <c r="C117" s="9">
        <v>24.0</v>
      </c>
      <c r="D117" s="9">
        <v>22.0</v>
      </c>
      <c r="E117" s="9">
        <v>12.0</v>
      </c>
      <c r="F117" s="9">
        <v>17.0</v>
      </c>
      <c r="G117" s="9">
        <v>8.0</v>
      </c>
      <c r="H117" s="10">
        <f t="shared" si="3"/>
        <v>800</v>
      </c>
      <c r="I117" s="13" t="s">
        <v>41</v>
      </c>
    </row>
    <row r="118" hidden="1">
      <c r="A118" s="6" t="s">
        <v>40</v>
      </c>
      <c r="B118" s="7" t="s">
        <v>22</v>
      </c>
      <c r="C118" s="9">
        <v>24.0</v>
      </c>
      <c r="D118" s="9">
        <v>22.0</v>
      </c>
      <c r="E118" s="9">
        <v>12.0</v>
      </c>
      <c r="F118" s="9">
        <v>17.0</v>
      </c>
      <c r="G118" s="9">
        <v>8.0</v>
      </c>
      <c r="H118" s="10">
        <f t="shared" si="3"/>
        <v>800</v>
      </c>
      <c r="I118" s="13" t="s">
        <v>41</v>
      </c>
    </row>
    <row r="119" hidden="1">
      <c r="A119" s="6" t="s">
        <v>40</v>
      </c>
      <c r="B119" s="7" t="s">
        <v>23</v>
      </c>
      <c r="C119" s="9">
        <v>24.0</v>
      </c>
      <c r="D119" s="9">
        <v>22.0</v>
      </c>
      <c r="E119" s="9">
        <v>12.0</v>
      </c>
      <c r="F119" s="9">
        <v>17.0</v>
      </c>
      <c r="G119" s="9">
        <v>8.0</v>
      </c>
      <c r="H119" s="10">
        <f t="shared" si="3"/>
        <v>800</v>
      </c>
      <c r="I119" s="13" t="s">
        <v>41</v>
      </c>
    </row>
    <row r="120" hidden="1">
      <c r="A120" s="6" t="s">
        <v>42</v>
      </c>
      <c r="B120" s="7" t="s">
        <v>33</v>
      </c>
      <c r="C120" s="9">
        <v>33.0</v>
      </c>
      <c r="D120" s="9">
        <v>36.0</v>
      </c>
      <c r="E120" s="9">
        <v>32.0</v>
      </c>
      <c r="F120" s="9">
        <v>22.0</v>
      </c>
      <c r="G120" s="9">
        <v>35.0</v>
      </c>
      <c r="H120" s="10">
        <f t="shared" si="3"/>
        <v>2100</v>
      </c>
      <c r="I120" s="13" t="s">
        <v>43</v>
      </c>
    </row>
    <row r="121" hidden="1">
      <c r="A121" s="6" t="s">
        <v>42</v>
      </c>
      <c r="B121" s="7" t="s">
        <v>34</v>
      </c>
      <c r="C121" s="9">
        <v>33.0</v>
      </c>
      <c r="D121" s="9">
        <v>36.0</v>
      </c>
      <c r="E121" s="9">
        <v>32.0</v>
      </c>
      <c r="F121" s="9">
        <v>22.0</v>
      </c>
      <c r="G121" s="9">
        <v>35.0</v>
      </c>
      <c r="H121" s="10">
        <f t="shared" si="3"/>
        <v>2100</v>
      </c>
      <c r="I121" s="13" t="s">
        <v>43</v>
      </c>
    </row>
    <row r="122" hidden="1">
      <c r="A122" s="6" t="s">
        <v>42</v>
      </c>
      <c r="B122" s="7" t="s">
        <v>35</v>
      </c>
      <c r="C122" s="9">
        <v>33.0</v>
      </c>
      <c r="D122" s="9">
        <v>36.0</v>
      </c>
      <c r="E122" s="9">
        <v>32.0</v>
      </c>
      <c r="F122" s="9">
        <v>22.0</v>
      </c>
      <c r="G122" s="9">
        <v>35.0</v>
      </c>
      <c r="H122" s="10">
        <f t="shared" si="3"/>
        <v>2100</v>
      </c>
      <c r="I122" s="13" t="s">
        <v>43</v>
      </c>
    </row>
    <row r="123" hidden="1">
      <c r="A123" s="6" t="s">
        <v>42</v>
      </c>
      <c r="B123" s="7" t="s">
        <v>13</v>
      </c>
      <c r="C123" s="9">
        <v>33.0</v>
      </c>
      <c r="D123" s="9">
        <v>36.0</v>
      </c>
      <c r="E123" s="9">
        <v>32.0</v>
      </c>
      <c r="F123" s="9">
        <v>22.0</v>
      </c>
      <c r="G123" s="9">
        <v>35.0</v>
      </c>
      <c r="H123" s="10">
        <f t="shared" si="3"/>
        <v>2100</v>
      </c>
      <c r="I123" s="13" t="s">
        <v>43</v>
      </c>
    </row>
    <row r="124" hidden="1">
      <c r="A124" s="6" t="s">
        <v>42</v>
      </c>
      <c r="B124" s="7" t="s">
        <v>36</v>
      </c>
      <c r="C124" s="9">
        <v>33.0</v>
      </c>
      <c r="D124" s="9">
        <v>36.0</v>
      </c>
      <c r="E124" s="9">
        <v>32.0</v>
      </c>
      <c r="F124" s="9">
        <v>22.0</v>
      </c>
      <c r="G124" s="9">
        <v>35.0</v>
      </c>
      <c r="H124" s="10">
        <f t="shared" si="3"/>
        <v>2100</v>
      </c>
      <c r="I124" s="13" t="s">
        <v>43</v>
      </c>
    </row>
    <row r="125" hidden="1">
      <c r="A125" s="6" t="s">
        <v>42</v>
      </c>
      <c r="B125" s="7" t="s">
        <v>14</v>
      </c>
      <c r="C125" s="9">
        <v>33.0</v>
      </c>
      <c r="D125" s="9">
        <v>36.0</v>
      </c>
      <c r="E125" s="9">
        <v>32.0</v>
      </c>
      <c r="F125" s="9">
        <v>22.0</v>
      </c>
      <c r="G125" s="9">
        <v>35.0</v>
      </c>
      <c r="H125" s="10">
        <f t="shared" si="3"/>
        <v>2100</v>
      </c>
      <c r="I125" s="13" t="s">
        <v>43</v>
      </c>
    </row>
    <row r="126" hidden="1">
      <c r="A126" s="6" t="s">
        <v>42</v>
      </c>
      <c r="B126" s="7" t="s">
        <v>37</v>
      </c>
      <c r="C126" s="9">
        <v>33.0</v>
      </c>
      <c r="D126" s="9">
        <v>36.0</v>
      </c>
      <c r="E126" s="9">
        <v>32.0</v>
      </c>
      <c r="F126" s="9">
        <v>22.0</v>
      </c>
      <c r="G126" s="9">
        <v>35.0</v>
      </c>
      <c r="H126" s="10">
        <f t="shared" si="3"/>
        <v>2100</v>
      </c>
      <c r="I126" s="13" t="s">
        <v>43</v>
      </c>
    </row>
    <row r="127" hidden="1">
      <c r="A127" s="6" t="s">
        <v>42</v>
      </c>
      <c r="B127" s="7" t="s">
        <v>17</v>
      </c>
      <c r="C127" s="9">
        <v>33.0</v>
      </c>
      <c r="D127" s="9">
        <v>36.0</v>
      </c>
      <c r="E127" s="9">
        <v>32.0</v>
      </c>
      <c r="F127" s="9">
        <v>22.0</v>
      </c>
      <c r="G127" s="9">
        <v>35.0</v>
      </c>
      <c r="H127" s="10">
        <f t="shared" si="3"/>
        <v>2100</v>
      </c>
      <c r="I127" s="13" t="s">
        <v>43</v>
      </c>
    </row>
    <row r="128" hidden="1">
      <c r="A128" s="6" t="s">
        <v>42</v>
      </c>
      <c r="B128" s="7" t="s">
        <v>18</v>
      </c>
      <c r="C128" s="9">
        <v>33.0</v>
      </c>
      <c r="D128" s="9">
        <v>36.0</v>
      </c>
      <c r="E128" s="9">
        <v>32.0</v>
      </c>
      <c r="F128" s="9">
        <v>22.0</v>
      </c>
      <c r="G128" s="9">
        <v>35.0</v>
      </c>
      <c r="H128" s="10">
        <f t="shared" si="3"/>
        <v>2100</v>
      </c>
      <c r="I128" s="13" t="s">
        <v>43</v>
      </c>
    </row>
    <row r="129" hidden="1">
      <c r="A129" s="6" t="s">
        <v>42</v>
      </c>
      <c r="B129" s="7" t="s">
        <v>19</v>
      </c>
      <c r="C129" s="9">
        <v>33.0</v>
      </c>
      <c r="D129" s="9">
        <v>36.0</v>
      </c>
      <c r="E129" s="9">
        <v>32.0</v>
      </c>
      <c r="F129" s="9">
        <v>22.0</v>
      </c>
      <c r="G129" s="9">
        <v>35.0</v>
      </c>
      <c r="H129" s="10">
        <f t="shared" si="3"/>
        <v>2100</v>
      </c>
      <c r="I129" s="13" t="s">
        <v>43</v>
      </c>
    </row>
    <row r="130" hidden="1">
      <c r="A130" s="6" t="s">
        <v>42</v>
      </c>
      <c r="B130" s="7" t="s">
        <v>20</v>
      </c>
      <c r="C130" s="9">
        <v>33.0</v>
      </c>
      <c r="D130" s="9">
        <v>36.0</v>
      </c>
      <c r="E130" s="9">
        <v>32.0</v>
      </c>
      <c r="F130" s="9">
        <v>22.0</v>
      </c>
      <c r="G130" s="9">
        <v>35.0</v>
      </c>
      <c r="H130" s="10">
        <f t="shared" si="3"/>
        <v>2100</v>
      </c>
      <c r="I130" s="13" t="s">
        <v>43</v>
      </c>
    </row>
    <row r="131" hidden="1">
      <c r="A131" s="6" t="s">
        <v>42</v>
      </c>
      <c r="B131" s="7" t="s">
        <v>21</v>
      </c>
      <c r="C131" s="9">
        <v>33.0</v>
      </c>
      <c r="D131" s="9">
        <v>36.0</v>
      </c>
      <c r="E131" s="9">
        <v>32.0</v>
      </c>
      <c r="F131" s="9">
        <v>22.0</v>
      </c>
      <c r="G131" s="9">
        <v>35.0</v>
      </c>
      <c r="H131" s="10">
        <f t="shared" si="3"/>
        <v>2100</v>
      </c>
      <c r="I131" s="13" t="s">
        <v>43</v>
      </c>
    </row>
    <row r="132" hidden="1">
      <c r="A132" s="6" t="s">
        <v>42</v>
      </c>
      <c r="B132" s="7" t="s">
        <v>22</v>
      </c>
      <c r="C132" s="9">
        <v>33.0</v>
      </c>
      <c r="D132" s="9">
        <v>36.0</v>
      </c>
      <c r="E132" s="9">
        <v>32.0</v>
      </c>
      <c r="F132" s="9">
        <v>22.0</v>
      </c>
      <c r="G132" s="9">
        <v>35.0</v>
      </c>
      <c r="H132" s="10">
        <f t="shared" si="3"/>
        <v>2100</v>
      </c>
      <c r="I132" s="13" t="s">
        <v>43</v>
      </c>
    </row>
    <row r="133" hidden="1">
      <c r="A133" s="6" t="s">
        <v>42</v>
      </c>
      <c r="B133" s="7" t="s">
        <v>23</v>
      </c>
      <c r="C133" s="9">
        <v>33.0</v>
      </c>
      <c r="D133" s="9">
        <v>36.0</v>
      </c>
      <c r="E133" s="9">
        <v>32.0</v>
      </c>
      <c r="F133" s="9">
        <v>22.0</v>
      </c>
      <c r="G133" s="9">
        <v>35.0</v>
      </c>
      <c r="H133" s="10">
        <f t="shared" si="3"/>
        <v>2100</v>
      </c>
      <c r="I133" s="13" t="s">
        <v>43</v>
      </c>
    </row>
    <row r="134" hidden="1">
      <c r="A134" s="6" t="s">
        <v>44</v>
      </c>
      <c r="B134" s="7" t="s">
        <v>33</v>
      </c>
      <c r="C134" s="8">
        <v>32.0</v>
      </c>
      <c r="D134" s="8">
        <v>22.0</v>
      </c>
      <c r="E134" s="8">
        <v>22.0</v>
      </c>
      <c r="F134" s="8">
        <v>31.0</v>
      </c>
      <c r="G134" s="9">
        <v>33.0</v>
      </c>
      <c r="H134" s="10">
        <f t="shared" si="3"/>
        <v>1950</v>
      </c>
      <c r="I134" s="13" t="s">
        <v>45</v>
      </c>
    </row>
    <row r="135" hidden="1">
      <c r="A135" s="6" t="s">
        <v>44</v>
      </c>
      <c r="B135" s="7" t="s">
        <v>34</v>
      </c>
      <c r="C135" s="8">
        <v>32.0</v>
      </c>
      <c r="D135" s="8">
        <v>22.0</v>
      </c>
      <c r="E135" s="8">
        <v>22.0</v>
      </c>
      <c r="F135" s="8">
        <v>31.0</v>
      </c>
      <c r="G135" s="9">
        <v>33.0</v>
      </c>
      <c r="H135" s="10">
        <f t="shared" si="3"/>
        <v>1950</v>
      </c>
      <c r="I135" s="13" t="s">
        <v>45</v>
      </c>
    </row>
    <row r="136" hidden="1">
      <c r="A136" s="6" t="s">
        <v>44</v>
      </c>
      <c r="B136" s="7" t="s">
        <v>35</v>
      </c>
      <c r="C136" s="8">
        <v>32.0</v>
      </c>
      <c r="D136" s="8">
        <v>22.0</v>
      </c>
      <c r="E136" s="8">
        <v>22.0</v>
      </c>
      <c r="F136" s="8">
        <v>31.0</v>
      </c>
      <c r="G136" s="9">
        <v>33.0</v>
      </c>
      <c r="H136" s="10">
        <f t="shared" si="3"/>
        <v>1950</v>
      </c>
      <c r="I136" s="13" t="s">
        <v>45</v>
      </c>
    </row>
    <row r="137" hidden="1">
      <c r="A137" s="6" t="s">
        <v>44</v>
      </c>
      <c r="B137" s="7" t="s">
        <v>13</v>
      </c>
      <c r="C137" s="8">
        <v>32.0</v>
      </c>
      <c r="D137" s="8">
        <v>22.0</v>
      </c>
      <c r="E137" s="8">
        <v>22.0</v>
      </c>
      <c r="F137" s="8">
        <v>31.0</v>
      </c>
      <c r="G137" s="9">
        <v>33.0</v>
      </c>
      <c r="H137" s="10">
        <f t="shared" si="3"/>
        <v>1950</v>
      </c>
      <c r="I137" s="13" t="s">
        <v>45</v>
      </c>
    </row>
    <row r="138" hidden="1">
      <c r="A138" s="6" t="s">
        <v>44</v>
      </c>
      <c r="B138" s="7" t="s">
        <v>36</v>
      </c>
      <c r="C138" s="8">
        <v>32.0</v>
      </c>
      <c r="D138" s="8">
        <v>22.0</v>
      </c>
      <c r="E138" s="8">
        <v>22.0</v>
      </c>
      <c r="F138" s="8">
        <v>31.0</v>
      </c>
      <c r="G138" s="9">
        <v>33.0</v>
      </c>
      <c r="H138" s="10">
        <f t="shared" si="3"/>
        <v>1950</v>
      </c>
      <c r="I138" s="13" t="s">
        <v>45</v>
      </c>
    </row>
    <row r="139" hidden="1">
      <c r="A139" s="6" t="s">
        <v>44</v>
      </c>
      <c r="B139" s="7" t="s">
        <v>14</v>
      </c>
      <c r="C139" s="8">
        <v>32.0</v>
      </c>
      <c r="D139" s="8">
        <v>22.0</v>
      </c>
      <c r="E139" s="8">
        <v>22.0</v>
      </c>
      <c r="F139" s="8">
        <v>31.0</v>
      </c>
      <c r="G139" s="9">
        <v>33.0</v>
      </c>
      <c r="H139" s="10">
        <f t="shared" si="3"/>
        <v>1950</v>
      </c>
      <c r="I139" s="13" t="s">
        <v>45</v>
      </c>
    </row>
    <row r="140" hidden="1">
      <c r="A140" s="6" t="s">
        <v>44</v>
      </c>
      <c r="B140" s="7" t="s">
        <v>37</v>
      </c>
      <c r="C140" s="8">
        <v>32.0</v>
      </c>
      <c r="D140" s="8">
        <v>22.0</v>
      </c>
      <c r="E140" s="8">
        <v>22.0</v>
      </c>
      <c r="F140" s="8">
        <v>31.0</v>
      </c>
      <c r="G140" s="9">
        <v>33.0</v>
      </c>
      <c r="H140" s="10">
        <f t="shared" si="3"/>
        <v>1950</v>
      </c>
      <c r="I140" s="13" t="s">
        <v>45</v>
      </c>
    </row>
    <row r="141" hidden="1">
      <c r="A141" s="6" t="s">
        <v>44</v>
      </c>
      <c r="B141" s="7" t="s">
        <v>17</v>
      </c>
      <c r="C141" s="8">
        <v>32.0</v>
      </c>
      <c r="D141" s="8">
        <v>22.0</v>
      </c>
      <c r="E141" s="8">
        <v>22.0</v>
      </c>
      <c r="F141" s="8">
        <v>31.0</v>
      </c>
      <c r="G141" s="9">
        <v>33.0</v>
      </c>
      <c r="H141" s="10">
        <f t="shared" si="3"/>
        <v>1950</v>
      </c>
      <c r="I141" s="13" t="s">
        <v>45</v>
      </c>
    </row>
    <row r="142" hidden="1">
      <c r="A142" s="6" t="s">
        <v>44</v>
      </c>
      <c r="B142" s="7" t="s">
        <v>18</v>
      </c>
      <c r="C142" s="8">
        <v>32.0</v>
      </c>
      <c r="D142" s="8">
        <v>22.0</v>
      </c>
      <c r="E142" s="8">
        <v>22.0</v>
      </c>
      <c r="F142" s="8">
        <v>31.0</v>
      </c>
      <c r="G142" s="9">
        <v>33.0</v>
      </c>
      <c r="H142" s="10">
        <f t="shared" si="3"/>
        <v>1950</v>
      </c>
      <c r="I142" s="13" t="s">
        <v>45</v>
      </c>
    </row>
    <row r="143" hidden="1">
      <c r="A143" s="6" t="s">
        <v>44</v>
      </c>
      <c r="B143" s="7" t="s">
        <v>19</v>
      </c>
      <c r="C143" s="8">
        <v>32.0</v>
      </c>
      <c r="D143" s="8">
        <v>22.0</v>
      </c>
      <c r="E143" s="8">
        <v>22.0</v>
      </c>
      <c r="F143" s="8">
        <v>31.0</v>
      </c>
      <c r="G143" s="9">
        <v>33.0</v>
      </c>
      <c r="H143" s="10">
        <f t="shared" si="3"/>
        <v>1950</v>
      </c>
      <c r="I143" s="13" t="s">
        <v>45</v>
      </c>
    </row>
    <row r="144" hidden="1">
      <c r="A144" s="6" t="s">
        <v>44</v>
      </c>
      <c r="B144" s="7" t="s">
        <v>20</v>
      </c>
      <c r="C144" s="8">
        <v>32.0</v>
      </c>
      <c r="D144" s="8">
        <v>22.0</v>
      </c>
      <c r="E144" s="8">
        <v>22.0</v>
      </c>
      <c r="F144" s="8">
        <v>31.0</v>
      </c>
      <c r="G144" s="9">
        <v>33.0</v>
      </c>
      <c r="H144" s="10">
        <f t="shared" si="3"/>
        <v>1950</v>
      </c>
      <c r="I144" s="13" t="s">
        <v>45</v>
      </c>
    </row>
    <row r="145" hidden="1">
      <c r="A145" s="6" t="s">
        <v>44</v>
      </c>
      <c r="B145" s="7" t="s">
        <v>21</v>
      </c>
      <c r="C145" s="8">
        <v>32.0</v>
      </c>
      <c r="D145" s="8">
        <v>22.0</v>
      </c>
      <c r="E145" s="8">
        <v>22.0</v>
      </c>
      <c r="F145" s="8">
        <v>31.0</v>
      </c>
      <c r="G145" s="9">
        <v>33.0</v>
      </c>
      <c r="H145" s="10">
        <f t="shared" si="3"/>
        <v>1950</v>
      </c>
      <c r="I145" s="13" t="s">
        <v>45</v>
      </c>
    </row>
    <row r="146" hidden="1">
      <c r="A146" s="6" t="s">
        <v>44</v>
      </c>
      <c r="B146" s="7" t="s">
        <v>22</v>
      </c>
      <c r="C146" s="8">
        <v>32.0</v>
      </c>
      <c r="D146" s="8">
        <v>22.0</v>
      </c>
      <c r="E146" s="8">
        <v>22.0</v>
      </c>
      <c r="F146" s="8">
        <v>31.0</v>
      </c>
      <c r="G146" s="9">
        <v>33.0</v>
      </c>
      <c r="H146" s="10">
        <f t="shared" si="3"/>
        <v>1950</v>
      </c>
      <c r="I146" s="13" t="s">
        <v>45</v>
      </c>
    </row>
    <row r="147" hidden="1">
      <c r="A147" s="6" t="s">
        <v>44</v>
      </c>
      <c r="B147" s="7" t="s">
        <v>23</v>
      </c>
      <c r="C147" s="8">
        <v>32.0</v>
      </c>
      <c r="D147" s="8">
        <v>22.0</v>
      </c>
      <c r="E147" s="8">
        <v>22.0</v>
      </c>
      <c r="F147" s="8">
        <v>31.0</v>
      </c>
      <c r="G147" s="9">
        <v>33.0</v>
      </c>
      <c r="H147" s="10">
        <f t="shared" si="3"/>
        <v>1950</v>
      </c>
      <c r="I147" s="13" t="s">
        <v>45</v>
      </c>
    </row>
    <row r="148" hidden="1">
      <c r="A148" s="6" t="s">
        <v>46</v>
      </c>
      <c r="B148" s="13" t="s">
        <v>33</v>
      </c>
      <c r="C148" s="11"/>
      <c r="D148" s="11"/>
      <c r="E148" s="11"/>
      <c r="F148" s="11"/>
      <c r="G148" s="9">
        <v>22.0</v>
      </c>
      <c r="H148" s="10">
        <f t="shared" si="3"/>
        <v>300</v>
      </c>
      <c r="I148" s="13" t="s">
        <v>47</v>
      </c>
    </row>
    <row r="149" hidden="1">
      <c r="A149" s="6" t="s">
        <v>46</v>
      </c>
      <c r="B149" s="13" t="s">
        <v>34</v>
      </c>
      <c r="C149" s="11"/>
      <c r="D149" s="11"/>
      <c r="E149" s="11"/>
      <c r="F149" s="9">
        <v>25.0</v>
      </c>
      <c r="G149" s="9">
        <v>22.0</v>
      </c>
      <c r="H149" s="10">
        <f t="shared" si="3"/>
        <v>600</v>
      </c>
      <c r="I149" s="13" t="s">
        <v>47</v>
      </c>
    </row>
    <row r="150" hidden="1">
      <c r="A150" s="6" t="s">
        <v>46</v>
      </c>
      <c r="B150" s="13" t="s">
        <v>35</v>
      </c>
      <c r="C150" s="11"/>
      <c r="D150" s="11"/>
      <c r="E150" s="11"/>
      <c r="F150" s="9">
        <v>25.0</v>
      </c>
      <c r="G150" s="9">
        <v>22.0</v>
      </c>
      <c r="H150" s="10">
        <f t="shared" si="3"/>
        <v>600</v>
      </c>
      <c r="I150" s="13" t="s">
        <v>47</v>
      </c>
    </row>
    <row r="151" hidden="1">
      <c r="A151" s="6" t="s">
        <v>46</v>
      </c>
      <c r="B151" s="7" t="s">
        <v>13</v>
      </c>
      <c r="C151" s="9">
        <v>47.0</v>
      </c>
      <c r="D151" s="9">
        <v>23.0</v>
      </c>
      <c r="E151" s="9">
        <v>25.0</v>
      </c>
      <c r="F151" s="9">
        <v>25.0</v>
      </c>
      <c r="G151" s="9">
        <v>22.0</v>
      </c>
      <c r="H151" s="10">
        <f t="shared" si="3"/>
        <v>1650</v>
      </c>
      <c r="I151" s="13" t="s">
        <v>47</v>
      </c>
    </row>
    <row r="152" hidden="1">
      <c r="A152" s="6" t="s">
        <v>46</v>
      </c>
      <c r="B152" s="7" t="s">
        <v>36</v>
      </c>
      <c r="C152" s="9">
        <v>47.0</v>
      </c>
      <c r="D152" s="9">
        <v>23.0</v>
      </c>
      <c r="E152" s="9">
        <v>25.0</v>
      </c>
      <c r="F152" s="9">
        <v>25.0</v>
      </c>
      <c r="G152" s="9">
        <v>22.0</v>
      </c>
      <c r="H152" s="10">
        <f t="shared" si="3"/>
        <v>1650</v>
      </c>
      <c r="I152" s="13" t="s">
        <v>47</v>
      </c>
    </row>
    <row r="153" hidden="1">
      <c r="A153" s="6" t="s">
        <v>46</v>
      </c>
      <c r="B153" s="7" t="s">
        <v>14</v>
      </c>
      <c r="C153" s="9">
        <v>47.0</v>
      </c>
      <c r="D153" s="9">
        <v>23.0</v>
      </c>
      <c r="E153" s="9">
        <v>25.0</v>
      </c>
      <c r="F153" s="9">
        <v>25.0</v>
      </c>
      <c r="G153" s="9">
        <v>22.0</v>
      </c>
      <c r="H153" s="10">
        <f t="shared" si="3"/>
        <v>1650</v>
      </c>
      <c r="I153" s="13" t="s">
        <v>47</v>
      </c>
    </row>
    <row r="154" hidden="1">
      <c r="A154" s="6" t="s">
        <v>46</v>
      </c>
      <c r="B154" s="7" t="s">
        <v>37</v>
      </c>
      <c r="C154" s="9">
        <v>47.0</v>
      </c>
      <c r="D154" s="9">
        <v>23.0</v>
      </c>
      <c r="E154" s="9">
        <v>25.0</v>
      </c>
      <c r="F154" s="9">
        <v>25.0</v>
      </c>
      <c r="G154" s="9">
        <v>22.0</v>
      </c>
      <c r="H154" s="10">
        <f t="shared" si="3"/>
        <v>1650</v>
      </c>
      <c r="I154" s="13" t="s">
        <v>47</v>
      </c>
    </row>
    <row r="155" hidden="1">
      <c r="A155" s="6" t="s">
        <v>46</v>
      </c>
      <c r="B155" s="7" t="s">
        <v>17</v>
      </c>
      <c r="C155" s="9">
        <v>47.0</v>
      </c>
      <c r="D155" s="9">
        <v>23.0</v>
      </c>
      <c r="E155" s="9">
        <v>25.0</v>
      </c>
      <c r="F155" s="9">
        <v>25.0</v>
      </c>
      <c r="G155" s="9">
        <v>22.0</v>
      </c>
      <c r="H155" s="10">
        <f t="shared" si="3"/>
        <v>1650</v>
      </c>
      <c r="I155" s="13" t="s">
        <v>47</v>
      </c>
    </row>
    <row r="156" hidden="1">
      <c r="A156" s="6" t="s">
        <v>46</v>
      </c>
      <c r="B156" s="7" t="s">
        <v>18</v>
      </c>
      <c r="C156" s="9">
        <v>47.0</v>
      </c>
      <c r="D156" s="9">
        <v>23.0</v>
      </c>
      <c r="E156" s="9">
        <v>25.0</v>
      </c>
      <c r="F156" s="9">
        <v>25.0</v>
      </c>
      <c r="G156" s="9">
        <v>22.0</v>
      </c>
      <c r="H156" s="10">
        <f t="shared" si="3"/>
        <v>1650</v>
      </c>
      <c r="I156" s="13" t="s">
        <v>47</v>
      </c>
    </row>
    <row r="157" hidden="1">
      <c r="A157" s="6" t="s">
        <v>46</v>
      </c>
      <c r="B157" s="7" t="s">
        <v>19</v>
      </c>
      <c r="C157" s="9">
        <v>47.0</v>
      </c>
      <c r="D157" s="9">
        <v>23.0</v>
      </c>
      <c r="E157" s="9">
        <v>25.0</v>
      </c>
      <c r="F157" s="9">
        <v>25.0</v>
      </c>
      <c r="G157" s="9">
        <v>22.0</v>
      </c>
      <c r="H157" s="10">
        <f t="shared" si="3"/>
        <v>1650</v>
      </c>
      <c r="I157" s="13" t="s">
        <v>47</v>
      </c>
    </row>
    <row r="158" hidden="1">
      <c r="A158" s="6" t="s">
        <v>46</v>
      </c>
      <c r="B158" s="7" t="s">
        <v>20</v>
      </c>
      <c r="C158" s="9">
        <v>47.0</v>
      </c>
      <c r="D158" s="9">
        <v>23.0</v>
      </c>
      <c r="E158" s="9">
        <v>25.0</v>
      </c>
      <c r="F158" s="9">
        <v>25.0</v>
      </c>
      <c r="G158" s="9">
        <v>22.0</v>
      </c>
      <c r="H158" s="10">
        <f t="shared" si="3"/>
        <v>1650</v>
      </c>
      <c r="I158" s="13" t="s">
        <v>47</v>
      </c>
    </row>
    <row r="159" hidden="1">
      <c r="A159" s="6" t="s">
        <v>46</v>
      </c>
      <c r="B159" s="7" t="s">
        <v>21</v>
      </c>
      <c r="C159" s="9">
        <v>47.0</v>
      </c>
      <c r="D159" s="9">
        <v>23.0</v>
      </c>
      <c r="E159" s="9">
        <v>25.0</v>
      </c>
      <c r="F159" s="9">
        <v>25.0</v>
      </c>
      <c r="G159" s="9">
        <v>22.0</v>
      </c>
      <c r="H159" s="10">
        <f t="shared" si="3"/>
        <v>1650</v>
      </c>
      <c r="I159" s="13" t="s">
        <v>47</v>
      </c>
    </row>
    <row r="160" hidden="1">
      <c r="A160" s="6" t="s">
        <v>46</v>
      </c>
      <c r="B160" s="7" t="s">
        <v>22</v>
      </c>
      <c r="C160" s="9">
        <v>47.0</v>
      </c>
      <c r="D160" s="9">
        <v>23.0</v>
      </c>
      <c r="E160" s="9">
        <v>25.0</v>
      </c>
      <c r="F160" s="9">
        <v>25.0</v>
      </c>
      <c r="G160" s="9">
        <v>22.0</v>
      </c>
      <c r="H160" s="10">
        <f t="shared" si="3"/>
        <v>1650</v>
      </c>
      <c r="I160" s="13" t="s">
        <v>47</v>
      </c>
    </row>
    <row r="161" hidden="1">
      <c r="A161" s="6" t="s">
        <v>46</v>
      </c>
      <c r="B161" s="7" t="s">
        <v>23</v>
      </c>
      <c r="C161" s="9">
        <v>47.0</v>
      </c>
      <c r="D161" s="9">
        <v>23.0</v>
      </c>
      <c r="E161" s="9">
        <v>25.0</v>
      </c>
      <c r="F161" s="9">
        <v>25.0</v>
      </c>
      <c r="G161" s="9">
        <v>22.0</v>
      </c>
      <c r="H161" s="10">
        <f t="shared" si="3"/>
        <v>1650</v>
      </c>
      <c r="I161" s="13" t="s">
        <v>47</v>
      </c>
    </row>
    <row r="162" hidden="1">
      <c r="A162" s="6" t="s">
        <v>48</v>
      </c>
      <c r="B162" s="7" t="s">
        <v>13</v>
      </c>
      <c r="C162" s="9">
        <v>32.0</v>
      </c>
      <c r="D162" s="9">
        <v>30.0</v>
      </c>
      <c r="E162" s="9">
        <v>22.0</v>
      </c>
      <c r="F162" s="9">
        <v>30.0</v>
      </c>
      <c r="G162" s="9">
        <v>43.0</v>
      </c>
      <c r="H162" s="10">
        <f t="shared" si="3"/>
        <v>2100</v>
      </c>
      <c r="I162" s="13" t="s">
        <v>49</v>
      </c>
    </row>
    <row r="163" hidden="1">
      <c r="A163" s="6" t="s">
        <v>48</v>
      </c>
      <c r="B163" s="7" t="s">
        <v>36</v>
      </c>
      <c r="C163" s="9">
        <v>32.0</v>
      </c>
      <c r="D163" s="9">
        <v>30.0</v>
      </c>
      <c r="E163" s="9">
        <v>22.0</v>
      </c>
      <c r="F163" s="9">
        <v>30.0</v>
      </c>
      <c r="G163" s="9">
        <v>43.0</v>
      </c>
      <c r="H163" s="10">
        <f t="shared" si="3"/>
        <v>2100</v>
      </c>
      <c r="I163" s="13" t="s">
        <v>49</v>
      </c>
    </row>
    <row r="164" hidden="1">
      <c r="A164" s="6" t="s">
        <v>48</v>
      </c>
      <c r="B164" s="7" t="s">
        <v>14</v>
      </c>
      <c r="C164" s="9">
        <v>32.0</v>
      </c>
      <c r="D164" s="9">
        <v>30.0</v>
      </c>
      <c r="E164" s="9">
        <v>22.0</v>
      </c>
      <c r="F164" s="9">
        <v>30.0</v>
      </c>
      <c r="G164" s="9">
        <v>43.0</v>
      </c>
      <c r="H164" s="10">
        <f t="shared" si="3"/>
        <v>2100</v>
      </c>
      <c r="I164" s="13" t="s">
        <v>49</v>
      </c>
    </row>
    <row r="165" hidden="1">
      <c r="A165" s="6" t="s">
        <v>48</v>
      </c>
      <c r="B165" s="7" t="s">
        <v>37</v>
      </c>
      <c r="C165" s="9">
        <v>32.0</v>
      </c>
      <c r="D165" s="9">
        <v>30.0</v>
      </c>
      <c r="E165" s="9">
        <v>22.0</v>
      </c>
      <c r="F165" s="9">
        <v>30.0</v>
      </c>
      <c r="G165" s="9">
        <v>43.0</v>
      </c>
      <c r="H165" s="10">
        <f t="shared" si="3"/>
        <v>2100</v>
      </c>
      <c r="I165" s="13" t="s">
        <v>49</v>
      </c>
    </row>
    <row r="166" hidden="1">
      <c r="A166" s="6" t="s">
        <v>48</v>
      </c>
      <c r="B166" s="7" t="s">
        <v>17</v>
      </c>
      <c r="C166" s="9">
        <v>32.0</v>
      </c>
      <c r="D166" s="9">
        <v>30.0</v>
      </c>
      <c r="E166" s="9">
        <v>22.0</v>
      </c>
      <c r="F166" s="9">
        <v>30.0</v>
      </c>
      <c r="G166" s="9">
        <v>43.0</v>
      </c>
      <c r="H166" s="10">
        <f t="shared" si="3"/>
        <v>2100</v>
      </c>
      <c r="I166" s="13" t="s">
        <v>49</v>
      </c>
    </row>
    <row r="167" hidden="1">
      <c r="A167" s="6" t="s">
        <v>48</v>
      </c>
      <c r="B167" s="7" t="s">
        <v>18</v>
      </c>
      <c r="C167" s="9">
        <v>32.0</v>
      </c>
      <c r="D167" s="9">
        <v>30.0</v>
      </c>
      <c r="E167" s="9">
        <v>22.0</v>
      </c>
      <c r="F167" s="9">
        <v>30.0</v>
      </c>
      <c r="G167" s="9">
        <v>43.0</v>
      </c>
      <c r="H167" s="10">
        <f t="shared" si="3"/>
        <v>2100</v>
      </c>
      <c r="I167" s="13" t="s">
        <v>49</v>
      </c>
    </row>
    <row r="168" hidden="1">
      <c r="A168" s="6" t="s">
        <v>48</v>
      </c>
      <c r="B168" s="7" t="s">
        <v>19</v>
      </c>
      <c r="C168" s="9">
        <v>32.0</v>
      </c>
      <c r="D168" s="9">
        <v>30.0</v>
      </c>
      <c r="E168" s="9">
        <v>22.0</v>
      </c>
      <c r="F168" s="9">
        <v>30.0</v>
      </c>
      <c r="G168" s="9">
        <v>43.0</v>
      </c>
      <c r="H168" s="10">
        <f t="shared" si="3"/>
        <v>2100</v>
      </c>
      <c r="I168" s="13" t="s">
        <v>49</v>
      </c>
    </row>
    <row r="169" hidden="1">
      <c r="A169" s="6" t="s">
        <v>48</v>
      </c>
      <c r="B169" s="7" t="s">
        <v>20</v>
      </c>
      <c r="C169" s="9">
        <v>32.0</v>
      </c>
      <c r="D169" s="9">
        <v>30.0</v>
      </c>
      <c r="E169" s="9">
        <v>22.0</v>
      </c>
      <c r="F169" s="9">
        <v>30.0</v>
      </c>
      <c r="G169" s="9">
        <v>43.0</v>
      </c>
      <c r="H169" s="10">
        <f t="shared" si="3"/>
        <v>2100</v>
      </c>
      <c r="I169" s="13" t="s">
        <v>49</v>
      </c>
    </row>
    <row r="170" hidden="1">
      <c r="A170" s="6" t="s">
        <v>48</v>
      </c>
      <c r="B170" s="7" t="s">
        <v>21</v>
      </c>
      <c r="C170" s="9">
        <v>32.0</v>
      </c>
      <c r="D170" s="9">
        <v>30.0</v>
      </c>
      <c r="E170" s="9">
        <v>22.0</v>
      </c>
      <c r="F170" s="9">
        <v>30.0</v>
      </c>
      <c r="G170" s="9">
        <v>43.0</v>
      </c>
      <c r="H170" s="10">
        <f t="shared" si="3"/>
        <v>2100</v>
      </c>
      <c r="I170" s="13" t="s">
        <v>49</v>
      </c>
    </row>
    <row r="171" hidden="1">
      <c r="A171" s="6" t="s">
        <v>48</v>
      </c>
      <c r="B171" s="7" t="s">
        <v>22</v>
      </c>
      <c r="C171" s="9">
        <v>32.0</v>
      </c>
      <c r="D171" s="9">
        <v>30.0</v>
      </c>
      <c r="E171" s="9">
        <v>22.0</v>
      </c>
      <c r="F171" s="9">
        <v>30.0</v>
      </c>
      <c r="G171" s="9">
        <v>43.0</v>
      </c>
      <c r="H171" s="10">
        <f t="shared" si="3"/>
        <v>2100</v>
      </c>
      <c r="I171" s="13" t="s">
        <v>49</v>
      </c>
    </row>
    <row r="172" hidden="1">
      <c r="A172" s="6" t="s">
        <v>48</v>
      </c>
      <c r="B172" s="7" t="s">
        <v>23</v>
      </c>
      <c r="C172" s="9">
        <v>32.0</v>
      </c>
      <c r="D172" s="9">
        <v>30.0</v>
      </c>
      <c r="E172" s="9">
        <v>22.0</v>
      </c>
      <c r="F172" s="9">
        <v>30.0</v>
      </c>
      <c r="G172" s="9">
        <v>43.0</v>
      </c>
      <c r="H172" s="10">
        <f t="shared" si="3"/>
        <v>2100</v>
      </c>
      <c r="I172" s="13" t="s">
        <v>49</v>
      </c>
    </row>
    <row r="173" hidden="1">
      <c r="A173" s="6" t="s">
        <v>50</v>
      </c>
      <c r="B173" s="7" t="s">
        <v>13</v>
      </c>
      <c r="C173" s="9">
        <v>31.0</v>
      </c>
      <c r="D173" s="9">
        <v>22.0</v>
      </c>
      <c r="E173" s="9">
        <v>39.0</v>
      </c>
      <c r="F173" s="9">
        <v>22.0</v>
      </c>
      <c r="G173" s="9">
        <v>23.0</v>
      </c>
      <c r="H173" s="10">
        <f t="shared" si="3"/>
        <v>1800</v>
      </c>
      <c r="I173" s="13" t="s">
        <v>51</v>
      </c>
    </row>
    <row r="174" hidden="1">
      <c r="A174" s="6" t="s">
        <v>50</v>
      </c>
      <c r="B174" s="7" t="s">
        <v>36</v>
      </c>
      <c r="C174" s="9">
        <v>31.0</v>
      </c>
      <c r="D174" s="9">
        <v>22.0</v>
      </c>
      <c r="E174" s="9">
        <v>39.0</v>
      </c>
      <c r="F174" s="9">
        <v>22.0</v>
      </c>
      <c r="G174" s="9">
        <v>23.0</v>
      </c>
      <c r="H174" s="10">
        <f t="shared" si="3"/>
        <v>1800</v>
      </c>
      <c r="I174" s="13" t="s">
        <v>51</v>
      </c>
    </row>
    <row r="175" hidden="1">
      <c r="A175" s="6" t="s">
        <v>50</v>
      </c>
      <c r="B175" s="7" t="s">
        <v>14</v>
      </c>
      <c r="C175" s="9">
        <v>31.0</v>
      </c>
      <c r="D175" s="9">
        <v>22.0</v>
      </c>
      <c r="E175" s="9">
        <v>39.0</v>
      </c>
      <c r="F175" s="9">
        <v>22.0</v>
      </c>
      <c r="G175" s="9">
        <v>23.0</v>
      </c>
      <c r="H175" s="10">
        <f t="shared" si="3"/>
        <v>1800</v>
      </c>
      <c r="I175" s="13" t="s">
        <v>51</v>
      </c>
    </row>
    <row r="176" hidden="1">
      <c r="A176" s="6" t="s">
        <v>50</v>
      </c>
      <c r="B176" s="13" t="s">
        <v>37</v>
      </c>
      <c r="C176" s="14"/>
      <c r="D176" s="9">
        <v>22.0</v>
      </c>
      <c r="E176" s="9">
        <v>39.0</v>
      </c>
      <c r="F176" s="9">
        <v>22.0</v>
      </c>
      <c r="G176" s="9">
        <v>23.0</v>
      </c>
      <c r="H176" s="10">
        <f t="shared" si="3"/>
        <v>1350</v>
      </c>
      <c r="I176" s="13" t="s">
        <v>51</v>
      </c>
    </row>
    <row r="177" hidden="1">
      <c r="A177" s="6" t="s">
        <v>50</v>
      </c>
      <c r="B177" s="7" t="s">
        <v>17</v>
      </c>
      <c r="C177" s="9">
        <v>31.0</v>
      </c>
      <c r="D177" s="9">
        <v>22.0</v>
      </c>
      <c r="E177" s="9">
        <v>39.0</v>
      </c>
      <c r="F177" s="9">
        <v>22.0</v>
      </c>
      <c r="G177" s="9">
        <v>23.0</v>
      </c>
      <c r="H177" s="10">
        <f t="shared" si="3"/>
        <v>1800</v>
      </c>
      <c r="I177" s="13" t="s">
        <v>51</v>
      </c>
    </row>
    <row r="178" hidden="1">
      <c r="A178" s="6" t="s">
        <v>50</v>
      </c>
      <c r="B178" s="7" t="s">
        <v>18</v>
      </c>
      <c r="C178" s="9">
        <v>31.0</v>
      </c>
      <c r="D178" s="9">
        <v>22.0</v>
      </c>
      <c r="E178" s="9">
        <v>39.0</v>
      </c>
      <c r="F178" s="9">
        <v>22.0</v>
      </c>
      <c r="G178" s="9">
        <v>23.0</v>
      </c>
      <c r="H178" s="10">
        <f t="shared" si="3"/>
        <v>1800</v>
      </c>
      <c r="I178" s="13" t="s">
        <v>51</v>
      </c>
    </row>
    <row r="179" hidden="1">
      <c r="A179" s="6" t="s">
        <v>50</v>
      </c>
      <c r="B179" s="7" t="s">
        <v>19</v>
      </c>
      <c r="C179" s="9">
        <v>31.0</v>
      </c>
      <c r="D179" s="9">
        <v>22.0</v>
      </c>
      <c r="E179" s="9">
        <v>39.0</v>
      </c>
      <c r="F179" s="9">
        <v>22.0</v>
      </c>
      <c r="G179" s="9">
        <v>23.0</v>
      </c>
      <c r="H179" s="10">
        <f t="shared" si="3"/>
        <v>1800</v>
      </c>
      <c r="I179" s="13" t="s">
        <v>51</v>
      </c>
    </row>
    <row r="180" hidden="1">
      <c r="A180" s="6" t="s">
        <v>50</v>
      </c>
      <c r="B180" s="7" t="s">
        <v>20</v>
      </c>
      <c r="C180" s="9">
        <v>31.0</v>
      </c>
      <c r="D180" s="9">
        <v>22.0</v>
      </c>
      <c r="E180" s="9">
        <v>39.0</v>
      </c>
      <c r="F180" s="9">
        <v>22.0</v>
      </c>
      <c r="G180" s="9">
        <v>23.0</v>
      </c>
      <c r="H180" s="10">
        <f t="shared" si="3"/>
        <v>1800</v>
      </c>
      <c r="I180" s="13" t="s">
        <v>51</v>
      </c>
    </row>
    <row r="181" hidden="1">
      <c r="A181" s="6" t="s">
        <v>50</v>
      </c>
      <c r="B181" s="7" t="s">
        <v>21</v>
      </c>
      <c r="C181" s="9">
        <v>31.0</v>
      </c>
      <c r="D181" s="9">
        <v>22.0</v>
      </c>
      <c r="E181" s="9">
        <v>39.0</v>
      </c>
      <c r="F181" s="9">
        <v>22.0</v>
      </c>
      <c r="G181" s="9">
        <v>23.0</v>
      </c>
      <c r="H181" s="10">
        <f t="shared" si="3"/>
        <v>1800</v>
      </c>
      <c r="I181" s="13" t="s">
        <v>51</v>
      </c>
    </row>
    <row r="182" hidden="1">
      <c r="A182" s="6" t="s">
        <v>50</v>
      </c>
      <c r="B182" s="7" t="s">
        <v>22</v>
      </c>
      <c r="C182" s="9">
        <v>31.0</v>
      </c>
      <c r="D182" s="9">
        <v>22.0</v>
      </c>
      <c r="E182" s="9">
        <v>39.0</v>
      </c>
      <c r="F182" s="9">
        <v>22.0</v>
      </c>
      <c r="G182" s="9">
        <v>23.0</v>
      </c>
      <c r="H182" s="10">
        <f t="shared" si="3"/>
        <v>1800</v>
      </c>
      <c r="I182" s="13" t="s">
        <v>51</v>
      </c>
    </row>
    <row r="183" hidden="1">
      <c r="A183" s="6" t="s">
        <v>50</v>
      </c>
      <c r="B183" s="7" t="s">
        <v>23</v>
      </c>
      <c r="C183" s="9">
        <v>31.0</v>
      </c>
      <c r="D183" s="9">
        <v>22.0</v>
      </c>
      <c r="E183" s="9">
        <v>39.0</v>
      </c>
      <c r="F183" s="9">
        <v>22.0</v>
      </c>
      <c r="G183" s="9">
        <v>23.0</v>
      </c>
      <c r="H183" s="10">
        <f t="shared" si="3"/>
        <v>1800</v>
      </c>
      <c r="I183" s="13" t="s">
        <v>51</v>
      </c>
    </row>
    <row r="184" hidden="1">
      <c r="A184" s="6" t="s">
        <v>52</v>
      </c>
      <c r="B184" s="7" t="s">
        <v>53</v>
      </c>
      <c r="C184" s="9">
        <v>15.0</v>
      </c>
      <c r="D184" s="9">
        <v>27.0</v>
      </c>
      <c r="E184" s="9">
        <v>27.0</v>
      </c>
      <c r="F184" s="9">
        <v>22.0</v>
      </c>
      <c r="G184" s="9">
        <v>26.0</v>
      </c>
      <c r="H184" s="10">
        <f t="shared" si="3"/>
        <v>1200</v>
      </c>
      <c r="I184" s="13" t="s">
        <v>54</v>
      </c>
    </row>
    <row r="185" hidden="1">
      <c r="A185" s="6" t="s">
        <v>52</v>
      </c>
      <c r="B185" s="7" t="s">
        <v>36</v>
      </c>
      <c r="C185" s="9">
        <v>15.0</v>
      </c>
      <c r="D185" s="9">
        <v>27.0</v>
      </c>
      <c r="E185" s="9">
        <v>27.0</v>
      </c>
      <c r="F185" s="9">
        <v>22.0</v>
      </c>
      <c r="G185" s="9">
        <v>26.0</v>
      </c>
      <c r="H185" s="10">
        <f t="shared" si="3"/>
        <v>1200</v>
      </c>
      <c r="I185" s="13" t="s">
        <v>54</v>
      </c>
    </row>
    <row r="186" hidden="1">
      <c r="A186" s="6" t="s">
        <v>52</v>
      </c>
      <c r="B186" s="7" t="s">
        <v>13</v>
      </c>
      <c r="C186" s="9">
        <v>15.0</v>
      </c>
      <c r="D186" s="9">
        <v>27.0</v>
      </c>
      <c r="E186" s="9">
        <v>27.0</v>
      </c>
      <c r="F186" s="9">
        <v>22.0</v>
      </c>
      <c r="G186" s="9">
        <v>26.0</v>
      </c>
      <c r="H186" s="10">
        <f t="shared" si="3"/>
        <v>1200</v>
      </c>
      <c r="I186" s="13" t="s">
        <v>54</v>
      </c>
    </row>
    <row r="187" hidden="1">
      <c r="A187" s="6" t="s">
        <v>52</v>
      </c>
      <c r="B187" s="7" t="s">
        <v>14</v>
      </c>
      <c r="C187" s="9">
        <v>15.0</v>
      </c>
      <c r="D187" s="9">
        <v>27.0</v>
      </c>
      <c r="E187" s="9">
        <v>27.0</v>
      </c>
      <c r="F187" s="9">
        <v>22.0</v>
      </c>
      <c r="G187" s="9">
        <v>26.0</v>
      </c>
      <c r="H187" s="10">
        <f t="shared" si="3"/>
        <v>1200</v>
      </c>
      <c r="I187" s="13" t="s">
        <v>54</v>
      </c>
    </row>
    <row r="188" hidden="1">
      <c r="A188" s="6" t="s">
        <v>52</v>
      </c>
      <c r="B188" s="7" t="s">
        <v>16</v>
      </c>
      <c r="C188" s="9">
        <v>15.0</v>
      </c>
      <c r="D188" s="9">
        <v>27.0</v>
      </c>
      <c r="E188" s="9">
        <v>27.0</v>
      </c>
      <c r="F188" s="9">
        <v>22.0</v>
      </c>
      <c r="G188" s="9">
        <v>26.0</v>
      </c>
      <c r="H188" s="10">
        <f t="shared" si="3"/>
        <v>1200</v>
      </c>
      <c r="I188" s="13" t="s">
        <v>54</v>
      </c>
    </row>
    <row r="189" hidden="1">
      <c r="A189" s="6" t="s">
        <v>52</v>
      </c>
      <c r="B189" s="7" t="s">
        <v>17</v>
      </c>
      <c r="C189" s="9">
        <v>15.0</v>
      </c>
      <c r="D189" s="9">
        <v>27.0</v>
      </c>
      <c r="E189" s="9">
        <v>27.0</v>
      </c>
      <c r="F189" s="9">
        <v>22.0</v>
      </c>
      <c r="G189" s="9">
        <v>26.0</v>
      </c>
      <c r="H189" s="10">
        <f t="shared" si="3"/>
        <v>1200</v>
      </c>
      <c r="I189" s="13" t="s">
        <v>54</v>
      </c>
    </row>
    <row r="190" hidden="1">
      <c r="A190" s="6" t="s">
        <v>52</v>
      </c>
      <c r="B190" s="7" t="s">
        <v>18</v>
      </c>
      <c r="C190" s="9">
        <v>15.0</v>
      </c>
      <c r="D190" s="9">
        <v>27.0</v>
      </c>
      <c r="E190" s="9">
        <v>27.0</v>
      </c>
      <c r="F190" s="9">
        <v>22.0</v>
      </c>
      <c r="G190" s="9">
        <v>26.0</v>
      </c>
      <c r="H190" s="10">
        <f t="shared" si="3"/>
        <v>1200</v>
      </c>
      <c r="I190" s="13" t="s">
        <v>54</v>
      </c>
    </row>
    <row r="191" hidden="1">
      <c r="A191" s="6" t="s">
        <v>52</v>
      </c>
      <c r="B191" s="7" t="s">
        <v>19</v>
      </c>
      <c r="C191" s="9">
        <v>15.0</v>
      </c>
      <c r="D191" s="9">
        <v>27.0</v>
      </c>
      <c r="E191" s="9">
        <v>27.0</v>
      </c>
      <c r="F191" s="9">
        <v>22.0</v>
      </c>
      <c r="G191" s="9">
        <v>26.0</v>
      </c>
      <c r="H191" s="10">
        <f t="shared" si="3"/>
        <v>1200</v>
      </c>
      <c r="I191" s="13" t="s">
        <v>54</v>
      </c>
    </row>
    <row r="192" hidden="1">
      <c r="A192" s="6" t="s">
        <v>52</v>
      </c>
      <c r="B192" s="7" t="s">
        <v>20</v>
      </c>
      <c r="C192" s="9">
        <v>15.0</v>
      </c>
      <c r="D192" s="9">
        <v>27.0</v>
      </c>
      <c r="E192" s="9">
        <v>27.0</v>
      </c>
      <c r="F192" s="9">
        <v>22.0</v>
      </c>
      <c r="G192" s="9">
        <v>26.0</v>
      </c>
      <c r="H192" s="10">
        <f t="shared" si="3"/>
        <v>1200</v>
      </c>
      <c r="I192" s="13" t="s">
        <v>54</v>
      </c>
    </row>
    <row r="193" hidden="1">
      <c r="A193" s="6" t="s">
        <v>52</v>
      </c>
      <c r="B193" s="7" t="s">
        <v>21</v>
      </c>
      <c r="C193" s="9">
        <v>15.0</v>
      </c>
      <c r="D193" s="9">
        <v>27.0</v>
      </c>
      <c r="E193" s="9">
        <v>27.0</v>
      </c>
      <c r="F193" s="9">
        <v>22.0</v>
      </c>
      <c r="G193" s="9">
        <v>26.0</v>
      </c>
      <c r="H193" s="10">
        <f t="shared" si="3"/>
        <v>1200</v>
      </c>
      <c r="I193" s="13" t="s">
        <v>54</v>
      </c>
    </row>
    <row r="194" hidden="1">
      <c r="A194" s="6" t="s">
        <v>52</v>
      </c>
      <c r="B194" s="7" t="s">
        <v>22</v>
      </c>
      <c r="C194" s="9">
        <v>15.0</v>
      </c>
      <c r="D194" s="9">
        <v>27.0</v>
      </c>
      <c r="E194" s="9">
        <v>27.0</v>
      </c>
      <c r="F194" s="9">
        <v>22.0</v>
      </c>
      <c r="G194" s="9">
        <v>26.0</v>
      </c>
      <c r="H194" s="10">
        <f t="shared" si="3"/>
        <v>1200</v>
      </c>
      <c r="I194" s="13" t="s">
        <v>54</v>
      </c>
    </row>
    <row r="195" hidden="1">
      <c r="A195" s="6" t="s">
        <v>52</v>
      </c>
      <c r="B195" s="7" t="s">
        <v>23</v>
      </c>
      <c r="C195" s="9">
        <v>15.0</v>
      </c>
      <c r="D195" s="9">
        <v>27.0</v>
      </c>
      <c r="E195" s="9">
        <v>27.0</v>
      </c>
      <c r="F195" s="9">
        <v>22.0</v>
      </c>
      <c r="G195" s="9">
        <v>26.0</v>
      </c>
      <c r="H195" s="10">
        <f t="shared" si="3"/>
        <v>1200</v>
      </c>
      <c r="I195" s="13" t="s">
        <v>54</v>
      </c>
    </row>
    <row r="196" hidden="1">
      <c r="A196" s="6" t="s">
        <v>55</v>
      </c>
      <c r="B196" s="7" t="s">
        <v>53</v>
      </c>
      <c r="C196" s="15">
        <v>32.0</v>
      </c>
      <c r="D196" s="15">
        <v>26.0</v>
      </c>
      <c r="E196" s="9">
        <v>23.0</v>
      </c>
      <c r="F196" s="15">
        <v>30.0</v>
      </c>
      <c r="G196" s="15">
        <v>22.0</v>
      </c>
      <c r="H196" s="10">
        <f t="shared" si="3"/>
        <v>1800</v>
      </c>
      <c r="I196" s="13" t="s">
        <v>39</v>
      </c>
    </row>
    <row r="197" hidden="1">
      <c r="A197" s="6" t="s">
        <v>55</v>
      </c>
      <c r="B197" s="7" t="s">
        <v>36</v>
      </c>
      <c r="C197" s="15">
        <v>32.0</v>
      </c>
      <c r="D197" s="15">
        <v>26.0</v>
      </c>
      <c r="E197" s="9">
        <v>23.0</v>
      </c>
      <c r="F197" s="15">
        <v>30.0</v>
      </c>
      <c r="G197" s="15">
        <v>22.0</v>
      </c>
      <c r="H197" s="10">
        <f t="shared" si="3"/>
        <v>1800</v>
      </c>
      <c r="I197" s="13" t="s">
        <v>39</v>
      </c>
    </row>
    <row r="198" hidden="1">
      <c r="A198" s="6" t="s">
        <v>55</v>
      </c>
      <c r="B198" s="7" t="s">
        <v>56</v>
      </c>
      <c r="C198" s="15">
        <v>32.0</v>
      </c>
      <c r="D198" s="15">
        <v>26.0</v>
      </c>
      <c r="E198" s="9">
        <v>23.0</v>
      </c>
      <c r="F198" s="15">
        <v>30.0</v>
      </c>
      <c r="G198" s="11"/>
      <c r="H198" s="10">
        <f t="shared" si="3"/>
        <v>1500</v>
      </c>
      <c r="I198" s="13" t="s">
        <v>39</v>
      </c>
    </row>
    <row r="199" hidden="1">
      <c r="A199" s="6" t="s">
        <v>55</v>
      </c>
      <c r="B199" s="7" t="s">
        <v>13</v>
      </c>
      <c r="C199" s="15">
        <v>32.0</v>
      </c>
      <c r="D199" s="15">
        <v>26.0</v>
      </c>
      <c r="E199" s="9">
        <v>23.0</v>
      </c>
      <c r="F199" s="15">
        <v>30.0</v>
      </c>
      <c r="G199" s="15">
        <v>22.0</v>
      </c>
      <c r="H199" s="10">
        <f t="shared" si="3"/>
        <v>1800</v>
      </c>
      <c r="I199" s="13" t="s">
        <v>39</v>
      </c>
    </row>
    <row r="200" hidden="1">
      <c r="A200" s="6" t="s">
        <v>55</v>
      </c>
      <c r="B200" s="7" t="s">
        <v>14</v>
      </c>
      <c r="C200" s="15">
        <v>32.0</v>
      </c>
      <c r="D200" s="15">
        <v>26.0</v>
      </c>
      <c r="E200" s="9">
        <v>23.0</v>
      </c>
      <c r="F200" s="15">
        <v>30.0</v>
      </c>
      <c r="G200" s="15">
        <v>22.0</v>
      </c>
      <c r="H200" s="10">
        <f t="shared" si="3"/>
        <v>1800</v>
      </c>
      <c r="I200" s="13" t="s">
        <v>39</v>
      </c>
    </row>
    <row r="201" hidden="1">
      <c r="A201" s="6" t="s">
        <v>55</v>
      </c>
      <c r="B201" s="7" t="s">
        <v>16</v>
      </c>
      <c r="C201" s="15">
        <v>32.0</v>
      </c>
      <c r="D201" s="15">
        <v>26.0</v>
      </c>
      <c r="E201" s="9">
        <v>23.0</v>
      </c>
      <c r="F201" s="15">
        <v>30.0</v>
      </c>
      <c r="G201" s="15">
        <v>22.0</v>
      </c>
      <c r="H201" s="10">
        <f t="shared" si="3"/>
        <v>1800</v>
      </c>
      <c r="I201" s="13" t="s">
        <v>39</v>
      </c>
    </row>
    <row r="202" hidden="1">
      <c r="A202" s="6" t="s">
        <v>55</v>
      </c>
      <c r="B202" s="7" t="s">
        <v>17</v>
      </c>
      <c r="C202" s="15">
        <v>32.0</v>
      </c>
      <c r="D202" s="15">
        <v>26.0</v>
      </c>
      <c r="E202" s="9">
        <v>23.0</v>
      </c>
      <c r="F202" s="15">
        <v>30.0</v>
      </c>
      <c r="G202" s="15">
        <v>22.0</v>
      </c>
      <c r="H202" s="10">
        <f t="shared" si="3"/>
        <v>1800</v>
      </c>
      <c r="I202" s="13" t="s">
        <v>39</v>
      </c>
    </row>
    <row r="203" hidden="1">
      <c r="A203" s="6" t="s">
        <v>55</v>
      </c>
      <c r="B203" s="7" t="s">
        <v>18</v>
      </c>
      <c r="C203" s="15">
        <v>32.0</v>
      </c>
      <c r="D203" s="15">
        <v>26.0</v>
      </c>
      <c r="E203" s="9">
        <v>23.0</v>
      </c>
      <c r="F203" s="15">
        <v>30.0</v>
      </c>
      <c r="G203" s="15">
        <v>22.0</v>
      </c>
      <c r="H203" s="10">
        <f t="shared" si="3"/>
        <v>1800</v>
      </c>
      <c r="I203" s="13" t="s">
        <v>39</v>
      </c>
    </row>
    <row r="204" hidden="1">
      <c r="A204" s="6" t="s">
        <v>55</v>
      </c>
      <c r="B204" s="7" t="s">
        <v>19</v>
      </c>
      <c r="C204" s="15">
        <v>32.0</v>
      </c>
      <c r="D204" s="15">
        <v>26.0</v>
      </c>
      <c r="E204" s="9">
        <v>23.0</v>
      </c>
      <c r="F204" s="15">
        <v>30.0</v>
      </c>
      <c r="G204" s="15">
        <v>22.0</v>
      </c>
      <c r="H204" s="10">
        <f t="shared" si="3"/>
        <v>1800</v>
      </c>
      <c r="I204" s="13" t="s">
        <v>39</v>
      </c>
    </row>
    <row r="205" hidden="1">
      <c r="A205" s="6" t="s">
        <v>55</v>
      </c>
      <c r="B205" s="7" t="s">
        <v>20</v>
      </c>
      <c r="C205" s="15">
        <v>32.0</v>
      </c>
      <c r="D205" s="15">
        <v>26.0</v>
      </c>
      <c r="E205" s="9">
        <v>23.0</v>
      </c>
      <c r="F205" s="15">
        <v>30.0</v>
      </c>
      <c r="G205" s="15">
        <v>22.0</v>
      </c>
      <c r="H205" s="10">
        <f t="shared" si="3"/>
        <v>1800</v>
      </c>
      <c r="I205" s="13" t="s">
        <v>39</v>
      </c>
    </row>
    <row r="206" hidden="1">
      <c r="A206" s="6" t="s">
        <v>55</v>
      </c>
      <c r="B206" s="7" t="s">
        <v>21</v>
      </c>
      <c r="C206" s="15">
        <v>32.0</v>
      </c>
      <c r="D206" s="15">
        <v>26.0</v>
      </c>
      <c r="E206" s="9">
        <v>23.0</v>
      </c>
      <c r="F206" s="15">
        <v>30.0</v>
      </c>
      <c r="G206" s="15">
        <v>22.0</v>
      </c>
      <c r="H206" s="10">
        <f t="shared" si="3"/>
        <v>1800</v>
      </c>
      <c r="I206" s="13" t="s">
        <v>39</v>
      </c>
    </row>
    <row r="207" hidden="1">
      <c r="A207" s="6" t="s">
        <v>55</v>
      </c>
      <c r="B207" s="7" t="s">
        <v>22</v>
      </c>
      <c r="C207" s="15">
        <v>32.0</v>
      </c>
      <c r="D207" s="15">
        <v>26.0</v>
      </c>
      <c r="E207" s="9">
        <v>23.0</v>
      </c>
      <c r="F207" s="15">
        <v>30.0</v>
      </c>
      <c r="G207" s="15">
        <v>22.0</v>
      </c>
      <c r="H207" s="10">
        <f t="shared" si="3"/>
        <v>1800</v>
      </c>
      <c r="I207" s="13" t="s">
        <v>39</v>
      </c>
    </row>
    <row r="208" hidden="1">
      <c r="A208" s="6" t="s">
        <v>55</v>
      </c>
      <c r="B208" s="7" t="s">
        <v>23</v>
      </c>
      <c r="C208" s="15">
        <v>32.0</v>
      </c>
      <c r="D208" s="15">
        <v>26.0</v>
      </c>
      <c r="E208" s="9">
        <v>23.0</v>
      </c>
      <c r="F208" s="15">
        <v>30.0</v>
      </c>
      <c r="G208" s="15">
        <v>22.0</v>
      </c>
      <c r="H208" s="10">
        <f t="shared" si="3"/>
        <v>1800</v>
      </c>
      <c r="I208" s="13" t="s">
        <v>39</v>
      </c>
    </row>
    <row r="209" hidden="1">
      <c r="A209" s="6" t="s">
        <v>57</v>
      </c>
      <c r="B209" s="7" t="s">
        <v>53</v>
      </c>
      <c r="C209" s="13">
        <v>22.0</v>
      </c>
      <c r="D209" s="13">
        <v>23.0</v>
      </c>
      <c r="E209" s="9">
        <v>34.0</v>
      </c>
      <c r="F209" s="15">
        <v>22.0</v>
      </c>
      <c r="G209" s="15">
        <v>18.0</v>
      </c>
      <c r="H209" s="10">
        <f t="shared" si="3"/>
        <v>1550</v>
      </c>
      <c r="I209" s="13" t="s">
        <v>58</v>
      </c>
    </row>
    <row r="210" hidden="1">
      <c r="A210" s="6" t="s">
        <v>57</v>
      </c>
      <c r="B210" s="7" t="s">
        <v>36</v>
      </c>
      <c r="C210" s="13">
        <v>22.0</v>
      </c>
      <c r="D210" s="13">
        <v>23.0</v>
      </c>
      <c r="E210" s="9">
        <v>34.0</v>
      </c>
      <c r="F210" s="15">
        <v>22.0</v>
      </c>
      <c r="G210" s="15">
        <v>18.0</v>
      </c>
      <c r="H210" s="10">
        <f t="shared" si="3"/>
        <v>1550</v>
      </c>
      <c r="I210" s="13" t="s">
        <v>58</v>
      </c>
    </row>
    <row r="211" hidden="1">
      <c r="A211" s="6" t="s">
        <v>57</v>
      </c>
      <c r="B211" s="7" t="s">
        <v>56</v>
      </c>
      <c r="C211" s="13">
        <v>22.0</v>
      </c>
      <c r="D211" s="13">
        <v>23.0</v>
      </c>
      <c r="E211" s="9">
        <v>34.0</v>
      </c>
      <c r="F211" s="15">
        <v>22.0</v>
      </c>
      <c r="G211" s="15">
        <v>18.0</v>
      </c>
      <c r="H211" s="10">
        <f t="shared" si="3"/>
        <v>1550</v>
      </c>
      <c r="I211" s="13" t="s">
        <v>58</v>
      </c>
    </row>
    <row r="212" hidden="1">
      <c r="A212" s="6" t="s">
        <v>57</v>
      </c>
      <c r="B212" s="7" t="s">
        <v>13</v>
      </c>
      <c r="C212" s="13">
        <v>22.0</v>
      </c>
      <c r="D212" s="13">
        <v>23.0</v>
      </c>
      <c r="E212" s="9">
        <v>34.0</v>
      </c>
      <c r="F212" s="15">
        <v>22.0</v>
      </c>
      <c r="G212" s="15">
        <v>18.0</v>
      </c>
      <c r="H212" s="10">
        <f t="shared" si="3"/>
        <v>1550</v>
      </c>
      <c r="I212" s="13" t="s">
        <v>58</v>
      </c>
    </row>
    <row r="213" hidden="1">
      <c r="A213" s="6" t="s">
        <v>57</v>
      </c>
      <c r="B213" s="7" t="s">
        <v>14</v>
      </c>
      <c r="C213" s="13">
        <v>22.0</v>
      </c>
      <c r="D213" s="13">
        <v>23.0</v>
      </c>
      <c r="E213" s="9">
        <v>34.0</v>
      </c>
      <c r="F213" s="15">
        <v>22.0</v>
      </c>
      <c r="G213" s="15">
        <v>18.0</v>
      </c>
      <c r="H213" s="10">
        <f t="shared" si="3"/>
        <v>1550</v>
      </c>
      <c r="I213" s="13" t="s">
        <v>58</v>
      </c>
    </row>
    <row r="214" hidden="1">
      <c r="A214" s="6" t="s">
        <v>57</v>
      </c>
      <c r="B214" s="7" t="s">
        <v>16</v>
      </c>
      <c r="C214" s="13">
        <v>22.0</v>
      </c>
      <c r="D214" s="13">
        <v>23.0</v>
      </c>
      <c r="E214" s="9">
        <v>34.0</v>
      </c>
      <c r="F214" s="15">
        <v>22.0</v>
      </c>
      <c r="G214" s="15">
        <v>18.0</v>
      </c>
      <c r="H214" s="10">
        <f t="shared" si="3"/>
        <v>1550</v>
      </c>
      <c r="I214" s="13" t="s">
        <v>58</v>
      </c>
    </row>
    <row r="215" hidden="1">
      <c r="A215" s="6" t="s">
        <v>57</v>
      </c>
      <c r="B215" s="7" t="s">
        <v>17</v>
      </c>
      <c r="C215" s="13">
        <v>22.0</v>
      </c>
      <c r="D215" s="13">
        <v>23.0</v>
      </c>
      <c r="E215" s="9">
        <v>34.0</v>
      </c>
      <c r="F215" s="15">
        <v>22.0</v>
      </c>
      <c r="G215" s="15">
        <v>18.0</v>
      </c>
      <c r="H215" s="10">
        <f t="shared" si="3"/>
        <v>1550</v>
      </c>
      <c r="I215" s="13" t="s">
        <v>58</v>
      </c>
    </row>
    <row r="216" hidden="1">
      <c r="A216" s="6" t="s">
        <v>57</v>
      </c>
      <c r="B216" s="7" t="s">
        <v>18</v>
      </c>
      <c r="C216" s="13">
        <v>22.0</v>
      </c>
      <c r="D216" s="13">
        <v>23.0</v>
      </c>
      <c r="E216" s="9">
        <v>34.0</v>
      </c>
      <c r="F216" s="15">
        <v>22.0</v>
      </c>
      <c r="G216" s="15">
        <v>18.0</v>
      </c>
      <c r="H216" s="10">
        <f t="shared" si="3"/>
        <v>1550</v>
      </c>
      <c r="I216" s="13" t="s">
        <v>58</v>
      </c>
    </row>
    <row r="217" hidden="1">
      <c r="A217" s="6" t="s">
        <v>57</v>
      </c>
      <c r="B217" s="7" t="s">
        <v>19</v>
      </c>
      <c r="C217" s="13">
        <v>22.0</v>
      </c>
      <c r="D217" s="13">
        <v>23.0</v>
      </c>
      <c r="E217" s="9">
        <v>34.0</v>
      </c>
      <c r="F217" s="15">
        <v>22.0</v>
      </c>
      <c r="G217" s="15">
        <v>18.0</v>
      </c>
      <c r="H217" s="10">
        <f t="shared" si="3"/>
        <v>1550</v>
      </c>
      <c r="I217" s="13" t="s">
        <v>58</v>
      </c>
    </row>
    <row r="218" hidden="1">
      <c r="A218" s="6" t="s">
        <v>57</v>
      </c>
      <c r="B218" s="7" t="s">
        <v>20</v>
      </c>
      <c r="C218" s="13">
        <v>22.0</v>
      </c>
      <c r="D218" s="13">
        <v>23.0</v>
      </c>
      <c r="E218" s="9">
        <v>34.0</v>
      </c>
      <c r="F218" s="15">
        <v>22.0</v>
      </c>
      <c r="G218" s="15">
        <v>18.0</v>
      </c>
      <c r="H218" s="10">
        <f t="shared" si="3"/>
        <v>1550</v>
      </c>
      <c r="I218" s="13" t="s">
        <v>58</v>
      </c>
    </row>
    <row r="219" hidden="1">
      <c r="A219" s="6" t="s">
        <v>57</v>
      </c>
      <c r="B219" s="7" t="s">
        <v>21</v>
      </c>
      <c r="C219" s="13">
        <v>22.0</v>
      </c>
      <c r="D219" s="13">
        <v>23.0</v>
      </c>
      <c r="E219" s="9">
        <v>34.0</v>
      </c>
      <c r="F219" s="15">
        <v>22.0</v>
      </c>
      <c r="G219" s="15">
        <v>18.0</v>
      </c>
      <c r="H219" s="10">
        <f t="shared" si="3"/>
        <v>1550</v>
      </c>
      <c r="I219" s="13" t="s">
        <v>58</v>
      </c>
    </row>
    <row r="220" hidden="1">
      <c r="A220" s="6" t="s">
        <v>57</v>
      </c>
      <c r="B220" s="7" t="s">
        <v>22</v>
      </c>
      <c r="C220" s="13">
        <v>22.0</v>
      </c>
      <c r="D220" s="13">
        <v>23.0</v>
      </c>
      <c r="E220" s="9">
        <v>34.0</v>
      </c>
      <c r="F220" s="15">
        <v>22.0</v>
      </c>
      <c r="G220" s="15">
        <v>18.0</v>
      </c>
      <c r="H220" s="10">
        <f t="shared" si="3"/>
        <v>1550</v>
      </c>
      <c r="I220" s="13" t="s">
        <v>58</v>
      </c>
    </row>
    <row r="221" hidden="1">
      <c r="A221" s="6" t="s">
        <v>57</v>
      </c>
      <c r="B221" s="7" t="s">
        <v>23</v>
      </c>
      <c r="C221" s="13">
        <v>22.0</v>
      </c>
      <c r="D221" s="13">
        <v>23.0</v>
      </c>
      <c r="E221" s="9">
        <v>34.0</v>
      </c>
      <c r="F221" s="15">
        <v>22.0</v>
      </c>
      <c r="G221" s="15">
        <v>18.0</v>
      </c>
      <c r="H221" s="10">
        <f t="shared" si="3"/>
        <v>1550</v>
      </c>
      <c r="I221" s="13" t="s">
        <v>58</v>
      </c>
    </row>
    <row r="222" hidden="1">
      <c r="A222" s="6" t="s">
        <v>59</v>
      </c>
      <c r="B222" s="13" t="s">
        <v>53</v>
      </c>
      <c r="C222" s="15"/>
      <c r="D222" s="15"/>
      <c r="E222" s="9">
        <v>30.0</v>
      </c>
      <c r="F222" s="15">
        <v>30.0</v>
      </c>
      <c r="G222" s="15">
        <v>20.0</v>
      </c>
      <c r="H222" s="10">
        <f t="shared" si="3"/>
        <v>1100</v>
      </c>
      <c r="I222" s="7" t="s">
        <v>60</v>
      </c>
    </row>
    <row r="223" hidden="1">
      <c r="A223" s="6" t="s">
        <v>59</v>
      </c>
      <c r="B223" s="7" t="s">
        <v>36</v>
      </c>
      <c r="C223" s="15">
        <v>40.0</v>
      </c>
      <c r="D223" s="15">
        <v>22.0</v>
      </c>
      <c r="E223" s="9">
        <v>30.0</v>
      </c>
      <c r="F223" s="15">
        <v>30.0</v>
      </c>
      <c r="G223" s="15">
        <v>20.0</v>
      </c>
      <c r="H223" s="10">
        <f t="shared" si="3"/>
        <v>1850</v>
      </c>
      <c r="I223" s="7" t="s">
        <v>60</v>
      </c>
    </row>
    <row r="224" hidden="1">
      <c r="A224" s="6" t="s">
        <v>59</v>
      </c>
      <c r="B224" s="7" t="s">
        <v>61</v>
      </c>
      <c r="C224" s="15">
        <v>40.0</v>
      </c>
      <c r="D224" s="15">
        <v>22.0</v>
      </c>
      <c r="E224" s="9">
        <v>30.0</v>
      </c>
      <c r="F224" s="15">
        <v>30.0</v>
      </c>
      <c r="G224" s="15">
        <v>20.0</v>
      </c>
      <c r="H224" s="10">
        <f t="shared" si="3"/>
        <v>1850</v>
      </c>
      <c r="I224" s="7" t="s">
        <v>60</v>
      </c>
    </row>
    <row r="225" hidden="1">
      <c r="A225" s="6" t="s">
        <v>59</v>
      </c>
      <c r="B225" s="7" t="s">
        <v>56</v>
      </c>
      <c r="C225" s="15">
        <v>40.0</v>
      </c>
      <c r="D225" s="15">
        <v>22.0</v>
      </c>
      <c r="E225" s="9">
        <v>30.0</v>
      </c>
      <c r="F225" s="15">
        <v>30.0</v>
      </c>
      <c r="G225" s="15">
        <v>20.0</v>
      </c>
      <c r="H225" s="10">
        <f t="shared" si="3"/>
        <v>1850</v>
      </c>
      <c r="I225" s="7" t="s">
        <v>60</v>
      </c>
    </row>
    <row r="226" hidden="1">
      <c r="A226" s="6" t="s">
        <v>59</v>
      </c>
      <c r="B226" s="7" t="s">
        <v>13</v>
      </c>
      <c r="C226" s="15">
        <v>40.0</v>
      </c>
      <c r="D226" s="15">
        <v>22.0</v>
      </c>
      <c r="E226" s="9">
        <v>30.0</v>
      </c>
      <c r="F226" s="15">
        <v>30.0</v>
      </c>
      <c r="G226" s="15">
        <v>20.0</v>
      </c>
      <c r="H226" s="10">
        <f t="shared" si="3"/>
        <v>1850</v>
      </c>
      <c r="I226" s="7" t="s">
        <v>60</v>
      </c>
    </row>
    <row r="227" hidden="1">
      <c r="A227" s="6" t="s">
        <v>59</v>
      </c>
      <c r="B227" s="7" t="s">
        <v>14</v>
      </c>
      <c r="C227" s="15">
        <v>40.0</v>
      </c>
      <c r="D227" s="15">
        <v>22.0</v>
      </c>
      <c r="E227" s="9">
        <v>30.0</v>
      </c>
      <c r="F227" s="15">
        <v>30.0</v>
      </c>
      <c r="G227" s="15">
        <v>20.0</v>
      </c>
      <c r="H227" s="10">
        <f t="shared" si="3"/>
        <v>1850</v>
      </c>
      <c r="I227" s="7" t="s">
        <v>60</v>
      </c>
    </row>
    <row r="228" hidden="1">
      <c r="A228" s="6" t="s">
        <v>59</v>
      </c>
      <c r="B228" s="7" t="s">
        <v>16</v>
      </c>
      <c r="C228" s="15">
        <v>40.0</v>
      </c>
      <c r="D228" s="15">
        <v>22.0</v>
      </c>
      <c r="E228" s="9">
        <v>30.0</v>
      </c>
      <c r="F228" s="15">
        <v>30.0</v>
      </c>
      <c r="G228" s="15">
        <v>20.0</v>
      </c>
      <c r="H228" s="10">
        <f t="shared" si="3"/>
        <v>1850</v>
      </c>
      <c r="I228" s="7" t="s">
        <v>60</v>
      </c>
    </row>
    <row r="229" hidden="1">
      <c r="A229" s="6" t="s">
        <v>59</v>
      </c>
      <c r="B229" s="7" t="s">
        <v>17</v>
      </c>
      <c r="C229" s="15">
        <v>40.0</v>
      </c>
      <c r="D229" s="15">
        <v>22.0</v>
      </c>
      <c r="E229" s="9">
        <v>30.0</v>
      </c>
      <c r="F229" s="15">
        <v>30.0</v>
      </c>
      <c r="G229" s="15">
        <v>20.0</v>
      </c>
      <c r="H229" s="10">
        <f t="shared" si="3"/>
        <v>1850</v>
      </c>
      <c r="I229" s="7" t="s">
        <v>60</v>
      </c>
    </row>
    <row r="230" hidden="1">
      <c r="A230" s="6" t="s">
        <v>59</v>
      </c>
      <c r="B230" s="7" t="s">
        <v>18</v>
      </c>
      <c r="C230" s="15">
        <v>40.0</v>
      </c>
      <c r="D230" s="15">
        <v>22.0</v>
      </c>
      <c r="E230" s="9">
        <v>30.0</v>
      </c>
      <c r="F230" s="15">
        <v>30.0</v>
      </c>
      <c r="G230" s="15">
        <v>20.0</v>
      </c>
      <c r="H230" s="10">
        <f t="shared" si="3"/>
        <v>1850</v>
      </c>
      <c r="I230" s="7" t="s">
        <v>60</v>
      </c>
    </row>
    <row r="231" hidden="1">
      <c r="A231" s="6" t="s">
        <v>59</v>
      </c>
      <c r="B231" s="7" t="s">
        <v>19</v>
      </c>
      <c r="C231" s="15">
        <v>40.0</v>
      </c>
      <c r="D231" s="15">
        <v>22.0</v>
      </c>
      <c r="E231" s="9">
        <v>30.0</v>
      </c>
      <c r="F231" s="15">
        <v>30.0</v>
      </c>
      <c r="G231" s="15">
        <v>20.0</v>
      </c>
      <c r="H231" s="10">
        <f t="shared" si="3"/>
        <v>1850</v>
      </c>
      <c r="I231" s="7" t="s">
        <v>60</v>
      </c>
    </row>
    <row r="232" hidden="1">
      <c r="A232" s="6" t="s">
        <v>59</v>
      </c>
      <c r="B232" s="7" t="s">
        <v>20</v>
      </c>
      <c r="C232" s="15">
        <v>40.0</v>
      </c>
      <c r="D232" s="15">
        <v>22.0</v>
      </c>
      <c r="E232" s="9">
        <v>30.0</v>
      </c>
      <c r="F232" s="15">
        <v>30.0</v>
      </c>
      <c r="G232" s="15">
        <v>20.0</v>
      </c>
      <c r="H232" s="10">
        <f t="shared" si="3"/>
        <v>1850</v>
      </c>
      <c r="I232" s="7" t="s">
        <v>60</v>
      </c>
    </row>
    <row r="233" hidden="1">
      <c r="A233" s="6" t="s">
        <v>59</v>
      </c>
      <c r="B233" s="7" t="s">
        <v>21</v>
      </c>
      <c r="C233" s="15">
        <v>40.0</v>
      </c>
      <c r="D233" s="15">
        <v>22.0</v>
      </c>
      <c r="E233" s="9">
        <v>30.0</v>
      </c>
      <c r="F233" s="15">
        <v>30.0</v>
      </c>
      <c r="G233" s="15">
        <v>20.0</v>
      </c>
      <c r="H233" s="10">
        <f t="shared" si="3"/>
        <v>1850</v>
      </c>
      <c r="I233" s="7" t="s">
        <v>60</v>
      </c>
    </row>
    <row r="234" hidden="1">
      <c r="A234" s="6" t="s">
        <v>59</v>
      </c>
      <c r="B234" s="7" t="s">
        <v>22</v>
      </c>
      <c r="C234" s="15">
        <v>40.0</v>
      </c>
      <c r="D234" s="15">
        <v>22.0</v>
      </c>
      <c r="E234" s="9">
        <v>30.0</v>
      </c>
      <c r="F234" s="15">
        <v>30.0</v>
      </c>
      <c r="G234" s="15">
        <v>20.0</v>
      </c>
      <c r="H234" s="10">
        <f t="shared" si="3"/>
        <v>1850</v>
      </c>
      <c r="I234" s="7" t="s">
        <v>60</v>
      </c>
    </row>
    <row r="235" hidden="1">
      <c r="A235" s="6" t="s">
        <v>59</v>
      </c>
      <c r="B235" s="7" t="s">
        <v>23</v>
      </c>
      <c r="C235" s="15">
        <v>40.0</v>
      </c>
      <c r="D235" s="15">
        <v>22.0</v>
      </c>
      <c r="E235" s="9">
        <v>30.0</v>
      </c>
      <c r="F235" s="15">
        <v>30.0</v>
      </c>
      <c r="G235" s="15">
        <v>20.0</v>
      </c>
      <c r="H235" s="10">
        <f t="shared" si="3"/>
        <v>1850</v>
      </c>
      <c r="I235" s="7" t="s">
        <v>60</v>
      </c>
    </row>
    <row r="236" hidden="1">
      <c r="A236" s="6" t="s">
        <v>62</v>
      </c>
      <c r="B236" s="7" t="s">
        <v>36</v>
      </c>
      <c r="C236" s="15">
        <v>30.0</v>
      </c>
      <c r="D236" s="15">
        <v>30.0</v>
      </c>
      <c r="E236" s="9">
        <v>7.0</v>
      </c>
      <c r="F236" s="15">
        <v>0.0</v>
      </c>
      <c r="G236" s="15">
        <v>30.0</v>
      </c>
      <c r="H236" s="10">
        <f t="shared" si="3"/>
        <v>1350</v>
      </c>
      <c r="I236" s="13" t="s">
        <v>60</v>
      </c>
    </row>
    <row r="237" hidden="1">
      <c r="A237" s="6" t="s">
        <v>62</v>
      </c>
      <c r="B237" s="7" t="s">
        <v>61</v>
      </c>
      <c r="C237" s="15">
        <v>30.0</v>
      </c>
      <c r="D237" s="15">
        <v>30.0</v>
      </c>
      <c r="E237" s="9">
        <v>7.0</v>
      </c>
      <c r="F237" s="15">
        <v>0.0</v>
      </c>
      <c r="G237" s="15">
        <v>30.0</v>
      </c>
      <c r="H237" s="10">
        <f t="shared" si="3"/>
        <v>1350</v>
      </c>
      <c r="I237" s="13" t="s">
        <v>60</v>
      </c>
    </row>
    <row r="238" hidden="1">
      <c r="A238" s="6" t="s">
        <v>62</v>
      </c>
      <c r="B238" s="7" t="s">
        <v>56</v>
      </c>
      <c r="C238" s="15">
        <v>30.0</v>
      </c>
      <c r="D238" s="15">
        <v>30.0</v>
      </c>
      <c r="E238" s="9">
        <v>7.0</v>
      </c>
      <c r="F238" s="15">
        <v>0.0</v>
      </c>
      <c r="G238" s="15">
        <v>30.0</v>
      </c>
      <c r="H238" s="10">
        <f t="shared" si="3"/>
        <v>1350</v>
      </c>
      <c r="I238" s="13" t="s">
        <v>60</v>
      </c>
    </row>
    <row r="239" hidden="1">
      <c r="A239" s="6" t="s">
        <v>62</v>
      </c>
      <c r="B239" s="7" t="s">
        <v>13</v>
      </c>
      <c r="C239" s="15">
        <v>30.0</v>
      </c>
      <c r="D239" s="15">
        <v>30.0</v>
      </c>
      <c r="E239" s="9">
        <v>7.0</v>
      </c>
      <c r="F239" s="15">
        <v>0.0</v>
      </c>
      <c r="G239" s="15">
        <v>30.0</v>
      </c>
      <c r="H239" s="10">
        <f t="shared" si="3"/>
        <v>1350</v>
      </c>
      <c r="I239" s="13" t="s">
        <v>60</v>
      </c>
    </row>
    <row r="240" hidden="1">
      <c r="A240" s="6" t="s">
        <v>62</v>
      </c>
      <c r="B240" s="7" t="s">
        <v>14</v>
      </c>
      <c r="C240" s="15">
        <v>30.0</v>
      </c>
      <c r="D240" s="15">
        <v>30.0</v>
      </c>
      <c r="E240" s="9">
        <v>7.0</v>
      </c>
      <c r="F240" s="15">
        <v>0.0</v>
      </c>
      <c r="G240" s="15">
        <v>30.0</v>
      </c>
      <c r="H240" s="10">
        <f t="shared" si="3"/>
        <v>1350</v>
      </c>
      <c r="I240" s="13" t="s">
        <v>60</v>
      </c>
    </row>
    <row r="241" hidden="1">
      <c r="A241" s="6" t="s">
        <v>62</v>
      </c>
      <c r="B241" s="7" t="s">
        <v>16</v>
      </c>
      <c r="C241" s="15">
        <v>30.0</v>
      </c>
      <c r="D241" s="15">
        <v>30.0</v>
      </c>
      <c r="E241" s="9">
        <v>7.0</v>
      </c>
      <c r="F241" s="15">
        <v>0.0</v>
      </c>
      <c r="G241" s="15">
        <v>30.0</v>
      </c>
      <c r="H241" s="10">
        <f t="shared" si="3"/>
        <v>1350</v>
      </c>
      <c r="I241" s="13" t="s">
        <v>60</v>
      </c>
    </row>
    <row r="242" hidden="1">
      <c r="A242" s="6" t="s">
        <v>62</v>
      </c>
      <c r="B242" s="7" t="s">
        <v>17</v>
      </c>
      <c r="C242" s="15">
        <v>30.0</v>
      </c>
      <c r="D242" s="15">
        <v>30.0</v>
      </c>
      <c r="E242" s="9">
        <v>7.0</v>
      </c>
      <c r="F242" s="15">
        <v>0.0</v>
      </c>
      <c r="G242" s="15">
        <v>30.0</v>
      </c>
      <c r="H242" s="10">
        <f t="shared" si="3"/>
        <v>1350</v>
      </c>
      <c r="I242" s="13" t="s">
        <v>60</v>
      </c>
    </row>
    <row r="243" hidden="1">
      <c r="A243" s="6" t="s">
        <v>62</v>
      </c>
      <c r="B243" s="7" t="s">
        <v>18</v>
      </c>
      <c r="C243" s="15">
        <v>30.0</v>
      </c>
      <c r="D243" s="15">
        <v>30.0</v>
      </c>
      <c r="E243" s="9">
        <v>7.0</v>
      </c>
      <c r="F243" s="15">
        <v>0.0</v>
      </c>
      <c r="G243" s="15">
        <v>30.0</v>
      </c>
      <c r="H243" s="10">
        <f t="shared" si="3"/>
        <v>1350</v>
      </c>
      <c r="I243" s="13" t="s">
        <v>60</v>
      </c>
    </row>
    <row r="244" hidden="1">
      <c r="A244" s="6" t="s">
        <v>62</v>
      </c>
      <c r="B244" s="7" t="s">
        <v>19</v>
      </c>
      <c r="C244" s="15">
        <v>30.0</v>
      </c>
      <c r="D244" s="15">
        <v>30.0</v>
      </c>
      <c r="E244" s="9">
        <v>7.0</v>
      </c>
      <c r="F244" s="15">
        <v>0.0</v>
      </c>
      <c r="G244" s="15">
        <v>30.0</v>
      </c>
      <c r="H244" s="10">
        <f t="shared" si="3"/>
        <v>1350</v>
      </c>
      <c r="I244" s="13" t="s">
        <v>60</v>
      </c>
    </row>
    <row r="245" hidden="1">
      <c r="A245" s="6" t="s">
        <v>62</v>
      </c>
      <c r="B245" s="7" t="s">
        <v>20</v>
      </c>
      <c r="C245" s="15">
        <v>30.0</v>
      </c>
      <c r="D245" s="15">
        <v>30.0</v>
      </c>
      <c r="E245" s="9">
        <v>7.0</v>
      </c>
      <c r="F245" s="15">
        <v>0.0</v>
      </c>
      <c r="G245" s="15">
        <v>30.0</v>
      </c>
      <c r="H245" s="10">
        <f t="shared" si="3"/>
        <v>1350</v>
      </c>
      <c r="I245" s="13" t="s">
        <v>60</v>
      </c>
    </row>
    <row r="246" hidden="1">
      <c r="A246" s="6" t="s">
        <v>62</v>
      </c>
      <c r="B246" s="7" t="s">
        <v>21</v>
      </c>
      <c r="C246" s="15">
        <v>30.0</v>
      </c>
      <c r="D246" s="15">
        <v>30.0</v>
      </c>
      <c r="E246" s="9">
        <v>7.0</v>
      </c>
      <c r="F246" s="15">
        <v>0.0</v>
      </c>
      <c r="G246" s="15">
        <v>30.0</v>
      </c>
      <c r="H246" s="10">
        <f t="shared" si="3"/>
        <v>1350</v>
      </c>
      <c r="I246" s="13" t="s">
        <v>60</v>
      </c>
    </row>
    <row r="247" hidden="1">
      <c r="A247" s="6" t="s">
        <v>62</v>
      </c>
      <c r="B247" s="7" t="s">
        <v>22</v>
      </c>
      <c r="C247" s="15">
        <v>30.0</v>
      </c>
      <c r="D247" s="15">
        <v>30.0</v>
      </c>
      <c r="E247" s="9">
        <v>7.0</v>
      </c>
      <c r="F247" s="15">
        <v>0.0</v>
      </c>
      <c r="G247" s="15">
        <v>30.0</v>
      </c>
      <c r="H247" s="10">
        <f t="shared" si="3"/>
        <v>1350</v>
      </c>
      <c r="I247" s="13" t="s">
        <v>60</v>
      </c>
    </row>
    <row r="248" hidden="1">
      <c r="A248" s="6" t="s">
        <v>62</v>
      </c>
      <c r="B248" s="7" t="s">
        <v>23</v>
      </c>
      <c r="C248" s="15">
        <v>30.0</v>
      </c>
      <c r="D248" s="15">
        <v>30.0</v>
      </c>
      <c r="E248" s="9">
        <v>7.0</v>
      </c>
      <c r="F248" s="15">
        <v>0.0</v>
      </c>
      <c r="G248" s="15">
        <v>30.0</v>
      </c>
      <c r="H248" s="10">
        <f t="shared" si="3"/>
        <v>1350</v>
      </c>
      <c r="I248" s="13" t="s">
        <v>60</v>
      </c>
    </row>
    <row r="249" hidden="1">
      <c r="A249" s="6" t="s">
        <v>63</v>
      </c>
      <c r="B249" s="7" t="s">
        <v>36</v>
      </c>
      <c r="C249" s="15">
        <v>33.0</v>
      </c>
      <c r="D249" s="15">
        <v>22.0</v>
      </c>
      <c r="E249" s="9">
        <v>0.0</v>
      </c>
      <c r="F249" s="15">
        <v>0.0</v>
      </c>
      <c r="G249" s="15">
        <v>0.0</v>
      </c>
      <c r="H249" s="10">
        <f t="shared" si="3"/>
        <v>750</v>
      </c>
      <c r="I249" s="13" t="s">
        <v>64</v>
      </c>
    </row>
    <row r="250" hidden="1">
      <c r="A250" s="6" t="s">
        <v>63</v>
      </c>
      <c r="B250" s="7" t="s">
        <v>61</v>
      </c>
      <c r="C250" s="15">
        <v>33.0</v>
      </c>
      <c r="D250" s="15">
        <v>22.0</v>
      </c>
      <c r="E250" s="9">
        <v>0.0</v>
      </c>
      <c r="F250" s="15">
        <v>0.0</v>
      </c>
      <c r="G250" s="15">
        <v>0.0</v>
      </c>
      <c r="H250" s="10">
        <f t="shared" si="3"/>
        <v>750</v>
      </c>
      <c r="I250" s="13" t="s">
        <v>64</v>
      </c>
    </row>
    <row r="251" hidden="1">
      <c r="A251" s="6" t="s">
        <v>63</v>
      </c>
      <c r="B251" s="7" t="s">
        <v>56</v>
      </c>
      <c r="C251" s="15">
        <v>33.0</v>
      </c>
      <c r="D251" s="15">
        <v>22.0</v>
      </c>
      <c r="E251" s="9">
        <v>0.0</v>
      </c>
      <c r="F251" s="15">
        <v>0.0</v>
      </c>
      <c r="G251" s="15">
        <v>0.0</v>
      </c>
      <c r="H251" s="10">
        <f t="shared" si="3"/>
        <v>750</v>
      </c>
      <c r="I251" s="13" t="s">
        <v>64</v>
      </c>
    </row>
    <row r="252" hidden="1">
      <c r="A252" s="6" t="s">
        <v>63</v>
      </c>
      <c r="B252" s="7" t="s">
        <v>11</v>
      </c>
      <c r="C252" s="15">
        <v>33.0</v>
      </c>
      <c r="D252" s="15">
        <v>22.0</v>
      </c>
      <c r="E252" s="9">
        <v>0.0</v>
      </c>
      <c r="F252" s="15">
        <v>0.0</v>
      </c>
      <c r="G252" s="15">
        <v>0.0</v>
      </c>
      <c r="H252" s="10">
        <f t="shared" si="3"/>
        <v>750</v>
      </c>
      <c r="I252" s="13" t="s">
        <v>64</v>
      </c>
    </row>
    <row r="253" hidden="1">
      <c r="A253" s="6" t="s">
        <v>63</v>
      </c>
      <c r="B253" s="7" t="s">
        <v>13</v>
      </c>
      <c r="C253" s="15">
        <v>33.0</v>
      </c>
      <c r="D253" s="15">
        <v>22.0</v>
      </c>
      <c r="E253" s="9">
        <v>0.0</v>
      </c>
      <c r="F253" s="15">
        <v>0.0</v>
      </c>
      <c r="G253" s="15">
        <v>0.0</v>
      </c>
      <c r="H253" s="10">
        <f t="shared" si="3"/>
        <v>750</v>
      </c>
      <c r="I253" s="13" t="s">
        <v>64</v>
      </c>
    </row>
    <row r="254" hidden="1">
      <c r="A254" s="6" t="s">
        <v>63</v>
      </c>
      <c r="B254" s="7" t="s">
        <v>14</v>
      </c>
      <c r="C254" s="15">
        <v>33.0</v>
      </c>
      <c r="D254" s="15">
        <v>22.0</v>
      </c>
      <c r="E254" s="9">
        <v>0.0</v>
      </c>
      <c r="F254" s="15">
        <v>0.0</v>
      </c>
      <c r="G254" s="15">
        <v>0.0</v>
      </c>
      <c r="H254" s="10">
        <f t="shared" si="3"/>
        <v>750</v>
      </c>
      <c r="I254" s="13" t="s">
        <v>64</v>
      </c>
    </row>
    <row r="255" hidden="1">
      <c r="A255" s="6" t="s">
        <v>63</v>
      </c>
      <c r="B255" s="7" t="s">
        <v>16</v>
      </c>
      <c r="C255" s="15">
        <v>33.0</v>
      </c>
      <c r="D255" s="15">
        <v>22.0</v>
      </c>
      <c r="E255" s="9">
        <v>0.0</v>
      </c>
      <c r="F255" s="15">
        <v>0.0</v>
      </c>
      <c r="G255" s="15">
        <v>0.0</v>
      </c>
      <c r="H255" s="10">
        <f t="shared" si="3"/>
        <v>750</v>
      </c>
      <c r="I255" s="13" t="s">
        <v>64</v>
      </c>
    </row>
    <row r="256" hidden="1">
      <c r="A256" s="6" t="s">
        <v>63</v>
      </c>
      <c r="B256" s="7" t="s">
        <v>17</v>
      </c>
      <c r="C256" s="15">
        <v>33.0</v>
      </c>
      <c r="D256" s="15">
        <v>22.0</v>
      </c>
      <c r="E256" s="9">
        <v>0.0</v>
      </c>
      <c r="F256" s="15">
        <v>0.0</v>
      </c>
      <c r="G256" s="15">
        <v>0.0</v>
      </c>
      <c r="H256" s="10">
        <f t="shared" si="3"/>
        <v>750</v>
      </c>
      <c r="I256" s="13" t="s">
        <v>64</v>
      </c>
    </row>
    <row r="257" hidden="1">
      <c r="A257" s="6" t="s">
        <v>63</v>
      </c>
      <c r="B257" s="7" t="s">
        <v>18</v>
      </c>
      <c r="C257" s="15">
        <v>33.0</v>
      </c>
      <c r="D257" s="15">
        <v>22.0</v>
      </c>
      <c r="E257" s="9">
        <v>0.0</v>
      </c>
      <c r="F257" s="15">
        <v>0.0</v>
      </c>
      <c r="G257" s="15">
        <v>0.0</v>
      </c>
      <c r="H257" s="10">
        <f t="shared" si="3"/>
        <v>750</v>
      </c>
      <c r="I257" s="13" t="s">
        <v>64</v>
      </c>
    </row>
    <row r="258" hidden="1">
      <c r="A258" s="6" t="s">
        <v>63</v>
      </c>
      <c r="B258" s="7" t="s">
        <v>19</v>
      </c>
      <c r="C258" s="15">
        <v>33.0</v>
      </c>
      <c r="D258" s="15">
        <v>22.0</v>
      </c>
      <c r="E258" s="9">
        <v>0.0</v>
      </c>
      <c r="F258" s="15">
        <v>0.0</v>
      </c>
      <c r="G258" s="15">
        <v>0.0</v>
      </c>
      <c r="H258" s="10">
        <f t="shared" si="3"/>
        <v>750</v>
      </c>
      <c r="I258" s="13" t="s">
        <v>64</v>
      </c>
    </row>
    <row r="259" hidden="1">
      <c r="A259" s="6" t="s">
        <v>63</v>
      </c>
      <c r="B259" s="7" t="s">
        <v>20</v>
      </c>
      <c r="C259" s="15">
        <v>33.0</v>
      </c>
      <c r="D259" s="15">
        <v>22.0</v>
      </c>
      <c r="E259" s="9">
        <v>0.0</v>
      </c>
      <c r="F259" s="15">
        <v>0.0</v>
      </c>
      <c r="G259" s="15">
        <v>0.0</v>
      </c>
      <c r="H259" s="10">
        <f t="shared" si="3"/>
        <v>750</v>
      </c>
      <c r="I259" s="13" t="s">
        <v>64</v>
      </c>
    </row>
    <row r="260" hidden="1">
      <c r="A260" s="6" t="s">
        <v>63</v>
      </c>
      <c r="B260" s="7" t="s">
        <v>21</v>
      </c>
      <c r="C260" s="15">
        <v>33.0</v>
      </c>
      <c r="D260" s="15">
        <v>22.0</v>
      </c>
      <c r="E260" s="9">
        <v>0.0</v>
      </c>
      <c r="F260" s="15">
        <v>0.0</v>
      </c>
      <c r="G260" s="15">
        <v>0.0</v>
      </c>
      <c r="H260" s="10">
        <f t="shared" si="3"/>
        <v>750</v>
      </c>
      <c r="I260" s="13" t="s">
        <v>64</v>
      </c>
    </row>
    <row r="261" hidden="1">
      <c r="A261" s="6" t="s">
        <v>63</v>
      </c>
      <c r="B261" s="7" t="s">
        <v>22</v>
      </c>
      <c r="C261" s="15">
        <v>33.0</v>
      </c>
      <c r="D261" s="15">
        <v>22.0</v>
      </c>
      <c r="E261" s="9">
        <v>0.0</v>
      </c>
      <c r="F261" s="15">
        <v>0.0</v>
      </c>
      <c r="G261" s="15">
        <v>0.0</v>
      </c>
      <c r="H261" s="10">
        <f t="shared" si="3"/>
        <v>750</v>
      </c>
      <c r="I261" s="13" t="s">
        <v>64</v>
      </c>
    </row>
    <row r="262" hidden="1">
      <c r="A262" s="6" t="s">
        <v>63</v>
      </c>
      <c r="B262" s="7" t="s">
        <v>23</v>
      </c>
      <c r="C262" s="15">
        <v>33.0</v>
      </c>
      <c r="D262" s="15">
        <v>22.0</v>
      </c>
      <c r="E262" s="9">
        <v>0.0</v>
      </c>
      <c r="F262" s="15">
        <v>0.0</v>
      </c>
      <c r="G262" s="15">
        <v>0.0</v>
      </c>
      <c r="H262" s="10">
        <f t="shared" si="3"/>
        <v>750</v>
      </c>
      <c r="I262" s="13" t="s">
        <v>64</v>
      </c>
    </row>
    <row r="263" hidden="1">
      <c r="A263" s="6" t="s">
        <v>65</v>
      </c>
      <c r="B263" s="7" t="s">
        <v>36</v>
      </c>
      <c r="C263" s="15">
        <v>32.0</v>
      </c>
      <c r="D263" s="15">
        <v>21.0</v>
      </c>
      <c r="E263" s="9">
        <v>25.0</v>
      </c>
      <c r="F263" s="15">
        <v>31.0</v>
      </c>
      <c r="G263" s="15">
        <v>18.0</v>
      </c>
      <c r="H263" s="10">
        <f t="shared" si="3"/>
        <v>1600</v>
      </c>
      <c r="I263" s="13" t="s">
        <v>66</v>
      </c>
    </row>
    <row r="264" hidden="1">
      <c r="A264" s="6" t="s">
        <v>65</v>
      </c>
      <c r="B264" s="7" t="s">
        <v>61</v>
      </c>
      <c r="C264" s="15">
        <v>32.0</v>
      </c>
      <c r="D264" s="15">
        <v>21.0</v>
      </c>
      <c r="E264" s="9">
        <v>25.0</v>
      </c>
      <c r="F264" s="15">
        <v>31.0</v>
      </c>
      <c r="G264" s="15">
        <v>18.0</v>
      </c>
      <c r="H264" s="10">
        <f t="shared" si="3"/>
        <v>1600</v>
      </c>
      <c r="I264" s="13" t="s">
        <v>66</v>
      </c>
    </row>
    <row r="265" hidden="1">
      <c r="A265" s="6" t="s">
        <v>65</v>
      </c>
      <c r="B265" s="7" t="s">
        <v>56</v>
      </c>
      <c r="C265" s="15">
        <v>32.0</v>
      </c>
      <c r="D265" s="15">
        <v>21.0</v>
      </c>
      <c r="E265" s="9">
        <v>25.0</v>
      </c>
      <c r="F265" s="15">
        <v>31.0</v>
      </c>
      <c r="G265" s="15">
        <v>18.0</v>
      </c>
      <c r="H265" s="10">
        <f t="shared" si="3"/>
        <v>1600</v>
      </c>
      <c r="I265" s="13" t="s">
        <v>66</v>
      </c>
    </row>
    <row r="266" hidden="1">
      <c r="A266" s="6" t="s">
        <v>65</v>
      </c>
      <c r="B266" s="7" t="s">
        <v>11</v>
      </c>
      <c r="C266" s="15">
        <v>32.0</v>
      </c>
      <c r="D266" s="15">
        <v>21.0</v>
      </c>
      <c r="E266" s="9">
        <v>25.0</v>
      </c>
      <c r="F266" s="15">
        <v>31.0</v>
      </c>
      <c r="G266" s="15">
        <v>18.0</v>
      </c>
      <c r="H266" s="10">
        <f t="shared" si="3"/>
        <v>1600</v>
      </c>
      <c r="I266" s="13" t="s">
        <v>66</v>
      </c>
    </row>
    <row r="267" hidden="1">
      <c r="A267" s="6" t="s">
        <v>65</v>
      </c>
      <c r="B267" s="7" t="s">
        <v>13</v>
      </c>
      <c r="C267" s="15">
        <v>32.0</v>
      </c>
      <c r="D267" s="15">
        <v>21.0</v>
      </c>
      <c r="E267" s="9">
        <v>25.0</v>
      </c>
      <c r="F267" s="15">
        <v>31.0</v>
      </c>
      <c r="G267" s="15">
        <v>18.0</v>
      </c>
      <c r="H267" s="10">
        <f t="shared" si="3"/>
        <v>1600</v>
      </c>
      <c r="I267" s="13" t="s">
        <v>66</v>
      </c>
    </row>
    <row r="268" hidden="1">
      <c r="A268" s="6" t="s">
        <v>65</v>
      </c>
      <c r="B268" s="7" t="s">
        <v>14</v>
      </c>
      <c r="C268" s="15">
        <v>32.0</v>
      </c>
      <c r="D268" s="15">
        <v>21.0</v>
      </c>
      <c r="E268" s="9">
        <v>25.0</v>
      </c>
      <c r="F268" s="15">
        <v>31.0</v>
      </c>
      <c r="G268" s="15">
        <v>18.0</v>
      </c>
      <c r="H268" s="10">
        <f t="shared" si="3"/>
        <v>1600</v>
      </c>
      <c r="I268" s="13" t="s">
        <v>66</v>
      </c>
    </row>
    <row r="269" hidden="1">
      <c r="A269" s="6" t="s">
        <v>65</v>
      </c>
      <c r="B269" s="7" t="s">
        <v>16</v>
      </c>
      <c r="C269" s="15">
        <v>32.0</v>
      </c>
      <c r="D269" s="15">
        <v>21.0</v>
      </c>
      <c r="E269" s="9">
        <v>25.0</v>
      </c>
      <c r="F269" s="15">
        <v>31.0</v>
      </c>
      <c r="G269" s="15">
        <v>18.0</v>
      </c>
      <c r="H269" s="10">
        <f t="shared" si="3"/>
        <v>1600</v>
      </c>
      <c r="I269" s="13" t="s">
        <v>66</v>
      </c>
    </row>
    <row r="270" hidden="1">
      <c r="A270" s="6" t="s">
        <v>65</v>
      </c>
      <c r="B270" s="7" t="s">
        <v>17</v>
      </c>
      <c r="C270" s="15">
        <v>32.0</v>
      </c>
      <c r="D270" s="15">
        <v>21.0</v>
      </c>
      <c r="E270" s="9">
        <v>25.0</v>
      </c>
      <c r="F270" s="15">
        <v>31.0</v>
      </c>
      <c r="G270" s="15">
        <v>18.0</v>
      </c>
      <c r="H270" s="10">
        <f t="shared" si="3"/>
        <v>1600</v>
      </c>
      <c r="I270" s="13" t="s">
        <v>66</v>
      </c>
    </row>
    <row r="271" hidden="1">
      <c r="A271" s="6" t="s">
        <v>65</v>
      </c>
      <c r="B271" s="7" t="s">
        <v>18</v>
      </c>
      <c r="C271" s="15">
        <v>32.0</v>
      </c>
      <c r="D271" s="15">
        <v>21.0</v>
      </c>
      <c r="E271" s="9">
        <v>25.0</v>
      </c>
      <c r="F271" s="15">
        <v>31.0</v>
      </c>
      <c r="G271" s="15">
        <v>18.0</v>
      </c>
      <c r="H271" s="10">
        <f t="shared" si="3"/>
        <v>1600</v>
      </c>
      <c r="I271" s="13" t="s">
        <v>66</v>
      </c>
    </row>
    <row r="272" hidden="1">
      <c r="A272" s="6" t="s">
        <v>65</v>
      </c>
      <c r="B272" s="7" t="s">
        <v>19</v>
      </c>
      <c r="C272" s="15">
        <v>32.0</v>
      </c>
      <c r="D272" s="15">
        <v>21.0</v>
      </c>
      <c r="E272" s="9">
        <v>25.0</v>
      </c>
      <c r="F272" s="15">
        <v>31.0</v>
      </c>
      <c r="G272" s="15">
        <v>18.0</v>
      </c>
      <c r="H272" s="10">
        <f t="shared" si="3"/>
        <v>1600</v>
      </c>
      <c r="I272" s="13" t="s">
        <v>66</v>
      </c>
    </row>
    <row r="273" hidden="1">
      <c r="A273" s="6" t="s">
        <v>65</v>
      </c>
      <c r="B273" s="7" t="s">
        <v>20</v>
      </c>
      <c r="C273" s="15">
        <v>32.0</v>
      </c>
      <c r="D273" s="15">
        <v>21.0</v>
      </c>
      <c r="E273" s="9">
        <v>25.0</v>
      </c>
      <c r="F273" s="15">
        <v>31.0</v>
      </c>
      <c r="G273" s="15">
        <v>18.0</v>
      </c>
      <c r="H273" s="10">
        <f t="shared" si="3"/>
        <v>1600</v>
      </c>
      <c r="I273" s="13" t="s">
        <v>66</v>
      </c>
    </row>
    <row r="274" hidden="1">
      <c r="A274" s="6" t="s">
        <v>65</v>
      </c>
      <c r="B274" s="7" t="s">
        <v>21</v>
      </c>
      <c r="C274" s="15">
        <v>32.0</v>
      </c>
      <c r="D274" s="15">
        <v>21.0</v>
      </c>
      <c r="E274" s="9">
        <v>25.0</v>
      </c>
      <c r="F274" s="15">
        <v>31.0</v>
      </c>
      <c r="G274" s="15">
        <v>18.0</v>
      </c>
      <c r="H274" s="10">
        <f t="shared" si="3"/>
        <v>1600</v>
      </c>
      <c r="I274" s="13" t="s">
        <v>66</v>
      </c>
    </row>
    <row r="275" hidden="1">
      <c r="A275" s="6" t="s">
        <v>65</v>
      </c>
      <c r="B275" s="7" t="s">
        <v>22</v>
      </c>
      <c r="C275" s="15">
        <v>32.0</v>
      </c>
      <c r="D275" s="15">
        <v>21.0</v>
      </c>
      <c r="E275" s="9">
        <v>25.0</v>
      </c>
      <c r="F275" s="15">
        <v>31.0</v>
      </c>
      <c r="G275" s="15">
        <v>18.0</v>
      </c>
      <c r="H275" s="10">
        <f t="shared" si="3"/>
        <v>1600</v>
      </c>
      <c r="I275" s="13" t="s">
        <v>66</v>
      </c>
    </row>
    <row r="276" hidden="1">
      <c r="A276" s="6" t="s">
        <v>65</v>
      </c>
      <c r="B276" s="7" t="s">
        <v>23</v>
      </c>
      <c r="C276" s="15">
        <v>32.0</v>
      </c>
      <c r="D276" s="15">
        <v>21.0</v>
      </c>
      <c r="E276" s="9">
        <v>25.0</v>
      </c>
      <c r="F276" s="15">
        <v>31.0</v>
      </c>
      <c r="G276" s="15">
        <v>18.0</v>
      </c>
      <c r="H276" s="10">
        <f t="shared" si="3"/>
        <v>1600</v>
      </c>
      <c r="I276" s="13" t="s">
        <v>66</v>
      </c>
    </row>
    <row r="277" hidden="1">
      <c r="A277" s="6" t="s">
        <v>67</v>
      </c>
      <c r="B277" s="7" t="s">
        <v>36</v>
      </c>
      <c r="C277" s="15">
        <v>31.0</v>
      </c>
      <c r="D277" s="15">
        <v>30.0</v>
      </c>
      <c r="E277" s="9">
        <v>19.0</v>
      </c>
      <c r="F277" s="15">
        <v>30.0</v>
      </c>
      <c r="G277" s="15">
        <v>22.0</v>
      </c>
      <c r="H277" s="10">
        <f t="shared" si="3"/>
        <v>1850</v>
      </c>
      <c r="I277" s="13" t="s">
        <v>68</v>
      </c>
    </row>
    <row r="278" hidden="1">
      <c r="A278" s="6" t="s">
        <v>67</v>
      </c>
      <c r="B278" s="7" t="s">
        <v>61</v>
      </c>
      <c r="C278" s="15">
        <v>31.0</v>
      </c>
      <c r="D278" s="15">
        <v>30.0</v>
      </c>
      <c r="E278" s="9">
        <v>19.0</v>
      </c>
      <c r="F278" s="15">
        <v>30.0</v>
      </c>
      <c r="G278" s="15">
        <v>22.0</v>
      </c>
      <c r="H278" s="10">
        <f t="shared" si="3"/>
        <v>1850</v>
      </c>
      <c r="I278" s="13" t="s">
        <v>68</v>
      </c>
    </row>
    <row r="279" hidden="1">
      <c r="A279" s="6" t="s">
        <v>67</v>
      </c>
      <c r="B279" s="7" t="s">
        <v>56</v>
      </c>
      <c r="C279" s="15">
        <v>31.0</v>
      </c>
      <c r="D279" s="15">
        <v>30.0</v>
      </c>
      <c r="E279" s="9">
        <v>19.0</v>
      </c>
      <c r="F279" s="15">
        <v>30.0</v>
      </c>
      <c r="G279" s="15">
        <v>22.0</v>
      </c>
      <c r="H279" s="10">
        <f t="shared" si="3"/>
        <v>1850</v>
      </c>
      <c r="I279" s="13" t="s">
        <v>68</v>
      </c>
    </row>
    <row r="280" hidden="1">
      <c r="A280" s="6" t="s">
        <v>67</v>
      </c>
      <c r="B280" s="7" t="s">
        <v>11</v>
      </c>
      <c r="C280" s="15">
        <v>31.0</v>
      </c>
      <c r="D280" s="15">
        <v>30.0</v>
      </c>
      <c r="E280" s="9">
        <v>19.0</v>
      </c>
      <c r="F280" s="15">
        <v>30.0</v>
      </c>
      <c r="G280" s="15">
        <v>22.0</v>
      </c>
      <c r="H280" s="10">
        <f t="shared" si="3"/>
        <v>1850</v>
      </c>
      <c r="I280" s="13" t="s">
        <v>68</v>
      </c>
    </row>
    <row r="281" hidden="1">
      <c r="A281" s="6" t="s">
        <v>67</v>
      </c>
      <c r="B281" s="7" t="s">
        <v>13</v>
      </c>
      <c r="C281" s="15">
        <v>31.0</v>
      </c>
      <c r="D281" s="15">
        <v>30.0</v>
      </c>
      <c r="E281" s="9">
        <v>19.0</v>
      </c>
      <c r="F281" s="15">
        <v>30.0</v>
      </c>
      <c r="G281" s="15">
        <v>22.0</v>
      </c>
      <c r="H281" s="10">
        <f t="shared" si="3"/>
        <v>1850</v>
      </c>
      <c r="I281" s="13" t="s">
        <v>68</v>
      </c>
    </row>
    <row r="282" hidden="1">
      <c r="A282" s="6" t="s">
        <v>67</v>
      </c>
      <c r="B282" s="7" t="s">
        <v>14</v>
      </c>
      <c r="C282" s="15">
        <v>31.0</v>
      </c>
      <c r="D282" s="15">
        <v>30.0</v>
      </c>
      <c r="E282" s="9">
        <v>19.0</v>
      </c>
      <c r="F282" s="15">
        <v>30.0</v>
      </c>
      <c r="G282" s="15">
        <v>22.0</v>
      </c>
      <c r="H282" s="10">
        <f t="shared" si="3"/>
        <v>1850</v>
      </c>
      <c r="I282" s="13" t="s">
        <v>68</v>
      </c>
    </row>
    <row r="283" hidden="1">
      <c r="A283" s="6" t="s">
        <v>67</v>
      </c>
      <c r="B283" s="7" t="s">
        <v>16</v>
      </c>
      <c r="C283" s="15">
        <v>31.0</v>
      </c>
      <c r="D283" s="15">
        <v>30.0</v>
      </c>
      <c r="E283" s="9">
        <v>19.0</v>
      </c>
      <c r="F283" s="15">
        <v>30.0</v>
      </c>
      <c r="G283" s="15">
        <v>22.0</v>
      </c>
      <c r="H283" s="10">
        <f t="shared" si="3"/>
        <v>1850</v>
      </c>
      <c r="I283" s="13" t="s">
        <v>68</v>
      </c>
    </row>
    <row r="284" hidden="1">
      <c r="A284" s="6" t="s">
        <v>67</v>
      </c>
      <c r="B284" s="7" t="s">
        <v>17</v>
      </c>
      <c r="C284" s="15">
        <v>31.0</v>
      </c>
      <c r="D284" s="15">
        <v>30.0</v>
      </c>
      <c r="E284" s="9">
        <v>19.0</v>
      </c>
      <c r="F284" s="15">
        <v>30.0</v>
      </c>
      <c r="G284" s="15">
        <v>22.0</v>
      </c>
      <c r="H284" s="10">
        <f t="shared" si="3"/>
        <v>1850</v>
      </c>
      <c r="I284" s="13" t="s">
        <v>68</v>
      </c>
    </row>
    <row r="285" hidden="1">
      <c r="A285" s="6" t="s">
        <v>67</v>
      </c>
      <c r="B285" s="7" t="s">
        <v>18</v>
      </c>
      <c r="C285" s="15">
        <v>31.0</v>
      </c>
      <c r="D285" s="15">
        <v>30.0</v>
      </c>
      <c r="E285" s="9">
        <v>19.0</v>
      </c>
      <c r="F285" s="15">
        <v>30.0</v>
      </c>
      <c r="G285" s="15">
        <v>22.0</v>
      </c>
      <c r="H285" s="10">
        <f t="shared" si="3"/>
        <v>1850</v>
      </c>
      <c r="I285" s="13" t="s">
        <v>68</v>
      </c>
    </row>
    <row r="286" hidden="1">
      <c r="A286" s="6" t="s">
        <v>67</v>
      </c>
      <c r="B286" s="7" t="s">
        <v>19</v>
      </c>
      <c r="C286" s="15">
        <v>31.0</v>
      </c>
      <c r="D286" s="15">
        <v>30.0</v>
      </c>
      <c r="E286" s="9">
        <v>19.0</v>
      </c>
      <c r="F286" s="15">
        <v>30.0</v>
      </c>
      <c r="G286" s="15">
        <v>22.0</v>
      </c>
      <c r="H286" s="10">
        <f t="shared" si="3"/>
        <v>1850</v>
      </c>
      <c r="I286" s="13" t="s">
        <v>68</v>
      </c>
    </row>
    <row r="287" hidden="1">
      <c r="A287" s="6" t="s">
        <v>67</v>
      </c>
      <c r="B287" s="7" t="s">
        <v>20</v>
      </c>
      <c r="C287" s="15">
        <v>31.0</v>
      </c>
      <c r="D287" s="15">
        <v>30.0</v>
      </c>
      <c r="E287" s="9">
        <v>19.0</v>
      </c>
      <c r="F287" s="15">
        <v>30.0</v>
      </c>
      <c r="G287" s="15">
        <v>22.0</v>
      </c>
      <c r="H287" s="10">
        <f t="shared" si="3"/>
        <v>1850</v>
      </c>
      <c r="I287" s="13" t="s">
        <v>68</v>
      </c>
    </row>
    <row r="288" hidden="1">
      <c r="A288" s="6" t="s">
        <v>67</v>
      </c>
      <c r="B288" s="7" t="s">
        <v>21</v>
      </c>
      <c r="C288" s="15">
        <v>31.0</v>
      </c>
      <c r="D288" s="15">
        <v>30.0</v>
      </c>
      <c r="E288" s="9">
        <v>19.0</v>
      </c>
      <c r="F288" s="15">
        <v>30.0</v>
      </c>
      <c r="G288" s="15">
        <v>22.0</v>
      </c>
      <c r="H288" s="10">
        <f t="shared" si="3"/>
        <v>1850</v>
      </c>
      <c r="I288" s="13" t="s">
        <v>68</v>
      </c>
    </row>
    <row r="289" hidden="1">
      <c r="A289" s="6" t="s">
        <v>67</v>
      </c>
      <c r="B289" s="7" t="s">
        <v>22</v>
      </c>
      <c r="C289" s="15">
        <v>31.0</v>
      </c>
      <c r="D289" s="15">
        <v>30.0</v>
      </c>
      <c r="E289" s="9">
        <v>19.0</v>
      </c>
      <c r="F289" s="15">
        <v>30.0</v>
      </c>
      <c r="G289" s="15">
        <v>22.0</v>
      </c>
      <c r="H289" s="10">
        <f t="shared" si="3"/>
        <v>1850</v>
      </c>
      <c r="I289" s="13" t="s">
        <v>68</v>
      </c>
    </row>
    <row r="290" hidden="1">
      <c r="A290" s="6" t="s">
        <v>67</v>
      </c>
      <c r="B290" s="7" t="s">
        <v>23</v>
      </c>
      <c r="C290" s="15">
        <v>31.0</v>
      </c>
      <c r="D290" s="15">
        <v>30.0</v>
      </c>
      <c r="E290" s="9">
        <v>19.0</v>
      </c>
      <c r="F290" s="15">
        <v>30.0</v>
      </c>
      <c r="G290" s="15">
        <v>22.0</v>
      </c>
      <c r="H290" s="10">
        <f t="shared" si="3"/>
        <v>1850</v>
      </c>
      <c r="I290" s="13" t="s">
        <v>68</v>
      </c>
    </row>
    <row r="291" hidden="1">
      <c r="A291" s="6" t="s">
        <v>69</v>
      </c>
      <c r="B291" s="7" t="s">
        <v>36</v>
      </c>
      <c r="C291" s="15">
        <v>40.0</v>
      </c>
      <c r="D291" s="15">
        <v>34.0</v>
      </c>
      <c r="E291" s="9">
        <v>37.0</v>
      </c>
      <c r="F291" s="13">
        <v>34.0</v>
      </c>
      <c r="G291" s="13">
        <v>44.0</v>
      </c>
      <c r="H291" s="10">
        <f t="shared" si="3"/>
        <v>2250</v>
      </c>
      <c r="I291" s="13" t="s">
        <v>70</v>
      </c>
    </row>
    <row r="292" hidden="1">
      <c r="A292" s="6" t="s">
        <v>69</v>
      </c>
      <c r="B292" s="7" t="s">
        <v>61</v>
      </c>
      <c r="C292" s="15">
        <v>40.0</v>
      </c>
      <c r="D292" s="15">
        <v>34.0</v>
      </c>
      <c r="E292" s="9">
        <v>37.0</v>
      </c>
      <c r="F292" s="13">
        <v>34.0</v>
      </c>
      <c r="G292" s="13">
        <v>44.0</v>
      </c>
      <c r="H292" s="10">
        <f t="shared" si="3"/>
        <v>2250</v>
      </c>
      <c r="I292" s="13" t="s">
        <v>70</v>
      </c>
    </row>
    <row r="293" hidden="1">
      <c r="A293" s="6" t="s">
        <v>69</v>
      </c>
      <c r="B293" s="7" t="s">
        <v>56</v>
      </c>
      <c r="C293" s="15">
        <v>40.0</v>
      </c>
      <c r="D293" s="15">
        <v>34.0</v>
      </c>
      <c r="E293" s="9">
        <v>37.0</v>
      </c>
      <c r="F293" s="13">
        <v>34.0</v>
      </c>
      <c r="G293" s="13">
        <v>44.0</v>
      </c>
      <c r="H293" s="10">
        <f t="shared" si="3"/>
        <v>2250</v>
      </c>
      <c r="I293" s="13" t="s">
        <v>70</v>
      </c>
    </row>
    <row r="294" hidden="1">
      <c r="A294" s="6" t="s">
        <v>69</v>
      </c>
      <c r="B294" s="7" t="s">
        <v>11</v>
      </c>
      <c r="C294" s="15">
        <v>40.0</v>
      </c>
      <c r="D294" s="15">
        <v>34.0</v>
      </c>
      <c r="E294" s="9">
        <v>37.0</v>
      </c>
      <c r="F294" s="13">
        <v>34.0</v>
      </c>
      <c r="G294" s="13">
        <v>44.0</v>
      </c>
      <c r="H294" s="10">
        <f t="shared" si="3"/>
        <v>2250</v>
      </c>
      <c r="I294" s="13" t="s">
        <v>70</v>
      </c>
    </row>
    <row r="295" hidden="1">
      <c r="A295" s="6" t="s">
        <v>69</v>
      </c>
      <c r="B295" s="7" t="s">
        <v>13</v>
      </c>
      <c r="C295" s="15">
        <v>40.0</v>
      </c>
      <c r="D295" s="15">
        <v>34.0</v>
      </c>
      <c r="E295" s="9">
        <v>37.0</v>
      </c>
      <c r="F295" s="13">
        <v>34.0</v>
      </c>
      <c r="G295" s="13">
        <v>44.0</v>
      </c>
      <c r="H295" s="10">
        <f t="shared" si="3"/>
        <v>2250</v>
      </c>
      <c r="I295" s="13" t="s">
        <v>70</v>
      </c>
    </row>
    <row r="296" hidden="1">
      <c r="A296" s="6" t="s">
        <v>69</v>
      </c>
      <c r="B296" s="7" t="s">
        <v>14</v>
      </c>
      <c r="C296" s="15">
        <v>40.0</v>
      </c>
      <c r="D296" s="15">
        <v>34.0</v>
      </c>
      <c r="E296" s="9">
        <v>37.0</v>
      </c>
      <c r="F296" s="13">
        <v>34.0</v>
      </c>
      <c r="G296" s="13">
        <v>44.0</v>
      </c>
      <c r="H296" s="10">
        <f t="shared" si="3"/>
        <v>2250</v>
      </c>
      <c r="I296" s="13" t="s">
        <v>70</v>
      </c>
    </row>
    <row r="297" hidden="1">
      <c r="A297" s="6" t="s">
        <v>69</v>
      </c>
      <c r="B297" s="7" t="s">
        <v>16</v>
      </c>
      <c r="C297" s="15">
        <v>40.0</v>
      </c>
      <c r="D297" s="15">
        <v>34.0</v>
      </c>
      <c r="E297" s="9">
        <v>37.0</v>
      </c>
      <c r="F297" s="13">
        <v>34.0</v>
      </c>
      <c r="G297" s="13">
        <v>44.0</v>
      </c>
      <c r="H297" s="10">
        <f t="shared" si="3"/>
        <v>2250</v>
      </c>
      <c r="I297" s="13" t="s">
        <v>70</v>
      </c>
    </row>
    <row r="298" hidden="1">
      <c r="A298" s="6" t="s">
        <v>69</v>
      </c>
      <c r="B298" s="7" t="s">
        <v>17</v>
      </c>
      <c r="C298" s="15">
        <v>40.0</v>
      </c>
      <c r="D298" s="15">
        <v>34.0</v>
      </c>
      <c r="E298" s="9">
        <v>37.0</v>
      </c>
      <c r="F298" s="13">
        <v>34.0</v>
      </c>
      <c r="G298" s="13">
        <v>44.0</v>
      </c>
      <c r="H298" s="10">
        <f t="shared" si="3"/>
        <v>2250</v>
      </c>
      <c r="I298" s="13" t="s">
        <v>70</v>
      </c>
    </row>
    <row r="299" hidden="1">
      <c r="A299" s="6" t="s">
        <v>69</v>
      </c>
      <c r="B299" s="7" t="s">
        <v>18</v>
      </c>
      <c r="C299" s="15">
        <v>40.0</v>
      </c>
      <c r="D299" s="15">
        <v>34.0</v>
      </c>
      <c r="E299" s="9">
        <v>37.0</v>
      </c>
      <c r="F299" s="13">
        <v>34.0</v>
      </c>
      <c r="G299" s="13">
        <v>44.0</v>
      </c>
      <c r="H299" s="10">
        <f t="shared" si="3"/>
        <v>2250</v>
      </c>
      <c r="I299" s="13" t="s">
        <v>70</v>
      </c>
    </row>
    <row r="300" hidden="1">
      <c r="A300" s="6" t="s">
        <v>69</v>
      </c>
      <c r="B300" s="7" t="s">
        <v>19</v>
      </c>
      <c r="C300" s="15">
        <v>40.0</v>
      </c>
      <c r="D300" s="15">
        <v>34.0</v>
      </c>
      <c r="E300" s="9">
        <v>37.0</v>
      </c>
      <c r="F300" s="13">
        <v>34.0</v>
      </c>
      <c r="G300" s="13">
        <v>44.0</v>
      </c>
      <c r="H300" s="10">
        <f t="shared" si="3"/>
        <v>2250</v>
      </c>
      <c r="I300" s="13" t="s">
        <v>70</v>
      </c>
    </row>
    <row r="301" hidden="1">
      <c r="A301" s="6" t="s">
        <v>69</v>
      </c>
      <c r="B301" s="7" t="s">
        <v>20</v>
      </c>
      <c r="C301" s="15">
        <v>40.0</v>
      </c>
      <c r="D301" s="15">
        <v>34.0</v>
      </c>
      <c r="E301" s="9">
        <v>37.0</v>
      </c>
      <c r="F301" s="13">
        <v>34.0</v>
      </c>
      <c r="G301" s="13">
        <v>44.0</v>
      </c>
      <c r="H301" s="10">
        <f t="shared" si="3"/>
        <v>2250</v>
      </c>
      <c r="I301" s="13" t="s">
        <v>70</v>
      </c>
    </row>
    <row r="302" hidden="1">
      <c r="A302" s="6" t="s">
        <v>69</v>
      </c>
      <c r="B302" s="7" t="s">
        <v>21</v>
      </c>
      <c r="C302" s="15">
        <v>40.0</v>
      </c>
      <c r="D302" s="15">
        <v>34.0</v>
      </c>
      <c r="E302" s="9">
        <v>37.0</v>
      </c>
      <c r="F302" s="13">
        <v>34.0</v>
      </c>
      <c r="G302" s="13">
        <v>44.0</v>
      </c>
      <c r="H302" s="10">
        <f t="shared" si="3"/>
        <v>2250</v>
      </c>
      <c r="I302" s="13" t="s">
        <v>70</v>
      </c>
    </row>
    <row r="303" hidden="1">
      <c r="A303" s="6" t="s">
        <v>69</v>
      </c>
      <c r="B303" s="7" t="s">
        <v>22</v>
      </c>
      <c r="C303" s="15">
        <v>40.0</v>
      </c>
      <c r="D303" s="15">
        <v>34.0</v>
      </c>
      <c r="E303" s="9">
        <v>37.0</v>
      </c>
      <c r="F303" s="13">
        <v>34.0</v>
      </c>
      <c r="G303" s="13">
        <v>44.0</v>
      </c>
      <c r="H303" s="10">
        <f t="shared" si="3"/>
        <v>2250</v>
      </c>
      <c r="I303" s="13" t="s">
        <v>70</v>
      </c>
    </row>
    <row r="304" hidden="1">
      <c r="A304" s="6" t="s">
        <v>69</v>
      </c>
      <c r="B304" s="7" t="s">
        <v>23</v>
      </c>
      <c r="C304" s="15">
        <v>40.0</v>
      </c>
      <c r="D304" s="15">
        <v>34.0</v>
      </c>
      <c r="E304" s="9">
        <v>37.0</v>
      </c>
      <c r="F304" s="13">
        <v>34.0</v>
      </c>
      <c r="G304" s="13">
        <v>44.0</v>
      </c>
      <c r="H304" s="10">
        <f t="shared" si="3"/>
        <v>2250</v>
      </c>
      <c r="I304" s="13" t="s">
        <v>70</v>
      </c>
    </row>
    <row r="305" hidden="1">
      <c r="A305" s="6" t="s">
        <v>71</v>
      </c>
      <c r="B305" s="7" t="s">
        <v>36</v>
      </c>
      <c r="C305" s="13">
        <v>30.0</v>
      </c>
      <c r="D305" s="13">
        <v>24.0</v>
      </c>
      <c r="E305" s="9">
        <v>24.0</v>
      </c>
      <c r="F305" s="11"/>
      <c r="G305" s="11"/>
      <c r="H305" s="10">
        <f t="shared" si="3"/>
        <v>1050</v>
      </c>
      <c r="I305" s="13" t="s">
        <v>72</v>
      </c>
    </row>
    <row r="306" hidden="1">
      <c r="A306" s="6" t="s">
        <v>71</v>
      </c>
      <c r="B306" s="7" t="s">
        <v>61</v>
      </c>
      <c r="C306" s="13">
        <v>30.0</v>
      </c>
      <c r="D306" s="13">
        <v>24.0</v>
      </c>
      <c r="E306" s="9">
        <v>24.0</v>
      </c>
      <c r="F306" s="11"/>
      <c r="G306" s="11"/>
      <c r="H306" s="10">
        <f t="shared" si="3"/>
        <v>1050</v>
      </c>
      <c r="I306" s="13" t="s">
        <v>72</v>
      </c>
    </row>
    <row r="307" hidden="1">
      <c r="A307" s="6" t="s">
        <v>71</v>
      </c>
      <c r="B307" s="7" t="s">
        <v>56</v>
      </c>
      <c r="C307" s="13">
        <v>30.0</v>
      </c>
      <c r="D307" s="13">
        <v>24.0</v>
      </c>
      <c r="E307" s="9">
        <v>24.0</v>
      </c>
      <c r="F307" s="11"/>
      <c r="G307" s="11"/>
      <c r="H307" s="10">
        <f t="shared" si="3"/>
        <v>1050</v>
      </c>
      <c r="I307" s="13" t="s">
        <v>72</v>
      </c>
    </row>
    <row r="308" hidden="1">
      <c r="A308" s="6" t="s">
        <v>71</v>
      </c>
      <c r="B308" s="7" t="s">
        <v>11</v>
      </c>
      <c r="C308" s="13">
        <v>30.0</v>
      </c>
      <c r="D308" s="13">
        <v>24.0</v>
      </c>
      <c r="E308" s="9">
        <v>24.0</v>
      </c>
      <c r="F308" s="11"/>
      <c r="G308" s="11"/>
      <c r="H308" s="10">
        <f t="shared" si="3"/>
        <v>1050</v>
      </c>
      <c r="I308" s="13" t="s">
        <v>72</v>
      </c>
    </row>
    <row r="309" hidden="1">
      <c r="A309" s="6" t="s">
        <v>71</v>
      </c>
      <c r="B309" s="7" t="s">
        <v>13</v>
      </c>
      <c r="C309" s="13">
        <v>30.0</v>
      </c>
      <c r="D309" s="13">
        <v>24.0</v>
      </c>
      <c r="E309" s="9">
        <v>24.0</v>
      </c>
      <c r="F309" s="11"/>
      <c r="G309" s="11"/>
      <c r="H309" s="10">
        <f t="shared" si="3"/>
        <v>1050</v>
      </c>
      <c r="I309" s="13" t="s">
        <v>72</v>
      </c>
    </row>
    <row r="310" hidden="1">
      <c r="A310" s="6" t="s">
        <v>71</v>
      </c>
      <c r="B310" s="7" t="s">
        <v>14</v>
      </c>
      <c r="C310" s="13">
        <v>30.0</v>
      </c>
      <c r="D310" s="13">
        <v>24.0</v>
      </c>
      <c r="E310" s="9">
        <v>24.0</v>
      </c>
      <c r="F310" s="11"/>
      <c r="G310" s="11"/>
      <c r="H310" s="10">
        <f t="shared" si="3"/>
        <v>1050</v>
      </c>
      <c r="I310" s="13" t="s">
        <v>72</v>
      </c>
    </row>
    <row r="311" hidden="1">
      <c r="A311" s="6" t="s">
        <v>71</v>
      </c>
      <c r="B311" s="7" t="s">
        <v>16</v>
      </c>
      <c r="C311" s="13">
        <v>30.0</v>
      </c>
      <c r="D311" s="13">
        <v>24.0</v>
      </c>
      <c r="E311" s="9">
        <v>24.0</v>
      </c>
      <c r="F311" s="11"/>
      <c r="G311" s="11"/>
      <c r="H311" s="10">
        <f t="shared" si="3"/>
        <v>1050</v>
      </c>
      <c r="I311" s="13" t="s">
        <v>72</v>
      </c>
    </row>
    <row r="312" hidden="1">
      <c r="A312" s="6" t="s">
        <v>71</v>
      </c>
      <c r="B312" s="7" t="s">
        <v>17</v>
      </c>
      <c r="C312" s="13">
        <v>30.0</v>
      </c>
      <c r="D312" s="13">
        <v>24.0</v>
      </c>
      <c r="E312" s="9">
        <v>24.0</v>
      </c>
      <c r="F312" s="11"/>
      <c r="G312" s="11"/>
      <c r="H312" s="10">
        <f t="shared" si="3"/>
        <v>1050</v>
      </c>
      <c r="I312" s="13" t="s">
        <v>72</v>
      </c>
    </row>
    <row r="313" hidden="1">
      <c r="A313" s="6" t="s">
        <v>71</v>
      </c>
      <c r="B313" s="7" t="s">
        <v>18</v>
      </c>
      <c r="C313" s="13">
        <v>30.0</v>
      </c>
      <c r="D313" s="13">
        <v>24.0</v>
      </c>
      <c r="E313" s="9">
        <v>24.0</v>
      </c>
      <c r="F313" s="11"/>
      <c r="G313" s="11"/>
      <c r="H313" s="10">
        <f t="shared" si="3"/>
        <v>1050</v>
      </c>
      <c r="I313" s="13" t="s">
        <v>72</v>
      </c>
    </row>
    <row r="314" hidden="1">
      <c r="A314" s="6" t="s">
        <v>71</v>
      </c>
      <c r="B314" s="7" t="s">
        <v>19</v>
      </c>
      <c r="C314" s="13">
        <v>30.0</v>
      </c>
      <c r="D314" s="13">
        <v>24.0</v>
      </c>
      <c r="E314" s="9">
        <v>24.0</v>
      </c>
      <c r="F314" s="11"/>
      <c r="G314" s="11"/>
      <c r="H314" s="10">
        <f t="shared" si="3"/>
        <v>1050</v>
      </c>
      <c r="I314" s="13" t="s">
        <v>72</v>
      </c>
    </row>
    <row r="315" hidden="1">
      <c r="A315" s="6" t="s">
        <v>71</v>
      </c>
      <c r="B315" s="7" t="s">
        <v>20</v>
      </c>
      <c r="C315" s="13">
        <v>30.0</v>
      </c>
      <c r="D315" s="13">
        <v>24.0</v>
      </c>
      <c r="E315" s="9">
        <v>24.0</v>
      </c>
      <c r="F315" s="11"/>
      <c r="G315" s="11"/>
      <c r="H315" s="10">
        <f t="shared" si="3"/>
        <v>1050</v>
      </c>
      <c r="I315" s="13" t="s">
        <v>72</v>
      </c>
    </row>
    <row r="316" hidden="1">
      <c r="A316" s="6" t="s">
        <v>71</v>
      </c>
      <c r="B316" s="7" t="s">
        <v>21</v>
      </c>
      <c r="C316" s="13">
        <v>30.0</v>
      </c>
      <c r="D316" s="13">
        <v>24.0</v>
      </c>
      <c r="E316" s="9">
        <v>24.0</v>
      </c>
      <c r="F316" s="11"/>
      <c r="G316" s="11"/>
      <c r="H316" s="10">
        <f t="shared" si="3"/>
        <v>1050</v>
      </c>
      <c r="I316" s="13" t="s">
        <v>72</v>
      </c>
    </row>
    <row r="317" hidden="1">
      <c r="A317" s="6" t="s">
        <v>71</v>
      </c>
      <c r="B317" s="7" t="s">
        <v>22</v>
      </c>
      <c r="C317" s="13">
        <v>30.0</v>
      </c>
      <c r="D317" s="13">
        <v>24.0</v>
      </c>
      <c r="E317" s="9">
        <v>24.0</v>
      </c>
      <c r="F317" s="11"/>
      <c r="G317" s="11"/>
      <c r="H317" s="10">
        <f t="shared" si="3"/>
        <v>1050</v>
      </c>
      <c r="I317" s="13" t="s">
        <v>72</v>
      </c>
    </row>
    <row r="318" hidden="1">
      <c r="A318" s="6" t="s">
        <v>71</v>
      </c>
      <c r="B318" s="7" t="s">
        <v>23</v>
      </c>
      <c r="C318" s="13">
        <v>30.0</v>
      </c>
      <c r="D318" s="13">
        <v>24.0</v>
      </c>
      <c r="E318" s="9">
        <v>24.0</v>
      </c>
      <c r="F318" s="11"/>
      <c r="G318" s="11"/>
      <c r="H318" s="10">
        <f t="shared" si="3"/>
        <v>1050</v>
      </c>
      <c r="I318" s="13" t="s">
        <v>72</v>
      </c>
    </row>
    <row r="319" hidden="1">
      <c r="A319" s="6" t="s">
        <v>73</v>
      </c>
      <c r="B319" s="13" t="s">
        <v>36</v>
      </c>
      <c r="C319" s="11"/>
      <c r="D319" s="11"/>
      <c r="E319" s="9">
        <v>12.0</v>
      </c>
      <c r="F319" s="9">
        <v>18.0</v>
      </c>
      <c r="G319" s="9">
        <v>26.0</v>
      </c>
      <c r="H319" s="10">
        <f t="shared" si="3"/>
        <v>500</v>
      </c>
      <c r="I319" s="13" t="s">
        <v>31</v>
      </c>
    </row>
    <row r="320" hidden="1">
      <c r="A320" s="6" t="s">
        <v>73</v>
      </c>
      <c r="B320" s="7" t="s">
        <v>61</v>
      </c>
      <c r="C320" s="9">
        <v>27.0</v>
      </c>
      <c r="D320" s="9">
        <v>31.0</v>
      </c>
      <c r="E320" s="9">
        <v>12.0</v>
      </c>
      <c r="F320" s="9">
        <v>18.0</v>
      </c>
      <c r="G320" s="9">
        <v>26.0</v>
      </c>
      <c r="H320" s="10">
        <f t="shared" si="3"/>
        <v>1250</v>
      </c>
      <c r="I320" s="13" t="s">
        <v>31</v>
      </c>
    </row>
    <row r="321" hidden="1">
      <c r="A321" s="6" t="s">
        <v>73</v>
      </c>
      <c r="B321" s="7" t="s">
        <v>56</v>
      </c>
      <c r="C321" s="9">
        <v>27.0</v>
      </c>
      <c r="D321" s="9">
        <v>31.0</v>
      </c>
      <c r="E321" s="9">
        <v>12.0</v>
      </c>
      <c r="F321" s="9">
        <v>18.0</v>
      </c>
      <c r="G321" s="9">
        <v>26.0</v>
      </c>
      <c r="H321" s="10">
        <f t="shared" si="3"/>
        <v>1250</v>
      </c>
      <c r="I321" s="13" t="s">
        <v>31</v>
      </c>
    </row>
    <row r="322" hidden="1">
      <c r="A322" s="6" t="s">
        <v>73</v>
      </c>
      <c r="B322" s="7" t="s">
        <v>11</v>
      </c>
      <c r="C322" s="9">
        <v>27.0</v>
      </c>
      <c r="D322" s="9">
        <v>31.0</v>
      </c>
      <c r="E322" s="9">
        <v>12.0</v>
      </c>
      <c r="F322" s="9">
        <v>18.0</v>
      </c>
      <c r="G322" s="9">
        <v>26.0</v>
      </c>
      <c r="H322" s="10">
        <f t="shared" si="3"/>
        <v>1250</v>
      </c>
      <c r="I322" s="13" t="s">
        <v>31</v>
      </c>
    </row>
    <row r="323" hidden="1">
      <c r="A323" s="6" t="s">
        <v>73</v>
      </c>
      <c r="B323" s="7" t="s">
        <v>13</v>
      </c>
      <c r="C323" s="9">
        <v>27.0</v>
      </c>
      <c r="D323" s="9">
        <v>31.0</v>
      </c>
      <c r="E323" s="9">
        <v>12.0</v>
      </c>
      <c r="F323" s="9">
        <v>18.0</v>
      </c>
      <c r="G323" s="9">
        <v>26.0</v>
      </c>
      <c r="H323" s="10">
        <f t="shared" si="3"/>
        <v>1250</v>
      </c>
      <c r="I323" s="13" t="s">
        <v>31</v>
      </c>
    </row>
    <row r="324" hidden="1">
      <c r="A324" s="6" t="s">
        <v>73</v>
      </c>
      <c r="B324" s="7" t="s">
        <v>14</v>
      </c>
      <c r="C324" s="9">
        <v>27.0</v>
      </c>
      <c r="D324" s="9">
        <v>31.0</v>
      </c>
      <c r="E324" s="9">
        <v>12.0</v>
      </c>
      <c r="F324" s="9">
        <v>18.0</v>
      </c>
      <c r="G324" s="9">
        <v>26.0</v>
      </c>
      <c r="H324" s="10">
        <f t="shared" si="3"/>
        <v>1250</v>
      </c>
      <c r="I324" s="13" t="s">
        <v>31</v>
      </c>
    </row>
    <row r="325" hidden="1">
      <c r="A325" s="6" t="s">
        <v>73</v>
      </c>
      <c r="B325" s="7" t="s">
        <v>16</v>
      </c>
      <c r="C325" s="9">
        <v>27.0</v>
      </c>
      <c r="D325" s="9">
        <v>31.0</v>
      </c>
      <c r="E325" s="9">
        <v>12.0</v>
      </c>
      <c r="F325" s="9">
        <v>18.0</v>
      </c>
      <c r="G325" s="9">
        <v>26.0</v>
      </c>
      <c r="H325" s="10">
        <f t="shared" si="3"/>
        <v>1250</v>
      </c>
      <c r="I325" s="13" t="s">
        <v>31</v>
      </c>
    </row>
    <row r="326" hidden="1">
      <c r="A326" s="6" t="s">
        <v>73</v>
      </c>
      <c r="B326" s="7" t="s">
        <v>17</v>
      </c>
      <c r="C326" s="9">
        <v>27.0</v>
      </c>
      <c r="D326" s="9">
        <v>31.0</v>
      </c>
      <c r="E326" s="9">
        <v>12.0</v>
      </c>
      <c r="F326" s="9">
        <v>18.0</v>
      </c>
      <c r="G326" s="9">
        <v>26.0</v>
      </c>
      <c r="H326" s="10">
        <f t="shared" si="3"/>
        <v>1250</v>
      </c>
      <c r="I326" s="13" t="s">
        <v>31</v>
      </c>
    </row>
    <row r="327" hidden="1">
      <c r="A327" s="6" t="s">
        <v>73</v>
      </c>
      <c r="B327" s="7" t="s">
        <v>18</v>
      </c>
      <c r="C327" s="9">
        <v>27.0</v>
      </c>
      <c r="D327" s="9">
        <v>31.0</v>
      </c>
      <c r="E327" s="9">
        <v>12.0</v>
      </c>
      <c r="F327" s="9">
        <v>18.0</v>
      </c>
      <c r="G327" s="9">
        <v>26.0</v>
      </c>
      <c r="H327" s="10">
        <f t="shared" si="3"/>
        <v>1250</v>
      </c>
      <c r="I327" s="13" t="s">
        <v>31</v>
      </c>
    </row>
    <row r="328" hidden="1">
      <c r="A328" s="6" t="s">
        <v>73</v>
      </c>
      <c r="B328" s="7" t="s">
        <v>19</v>
      </c>
      <c r="C328" s="9">
        <v>27.0</v>
      </c>
      <c r="D328" s="9">
        <v>31.0</v>
      </c>
      <c r="E328" s="9">
        <v>12.0</v>
      </c>
      <c r="F328" s="9">
        <v>18.0</v>
      </c>
      <c r="G328" s="9">
        <v>26.0</v>
      </c>
      <c r="H328" s="10">
        <f t="shared" si="3"/>
        <v>1250</v>
      </c>
      <c r="I328" s="13" t="s">
        <v>31</v>
      </c>
    </row>
    <row r="329" hidden="1">
      <c r="A329" s="6" t="s">
        <v>73</v>
      </c>
      <c r="B329" s="7" t="s">
        <v>20</v>
      </c>
      <c r="C329" s="9">
        <v>27.0</v>
      </c>
      <c r="D329" s="9">
        <v>31.0</v>
      </c>
      <c r="E329" s="9">
        <v>12.0</v>
      </c>
      <c r="F329" s="9">
        <v>18.0</v>
      </c>
      <c r="G329" s="9">
        <v>26.0</v>
      </c>
      <c r="H329" s="10">
        <f t="shared" si="3"/>
        <v>1250</v>
      </c>
      <c r="I329" s="13" t="s">
        <v>31</v>
      </c>
    </row>
    <row r="330" hidden="1">
      <c r="A330" s="6" t="s">
        <v>73</v>
      </c>
      <c r="B330" s="7" t="s">
        <v>21</v>
      </c>
      <c r="C330" s="9">
        <v>27.0</v>
      </c>
      <c r="D330" s="9">
        <v>31.0</v>
      </c>
      <c r="E330" s="9">
        <v>12.0</v>
      </c>
      <c r="F330" s="9">
        <v>18.0</v>
      </c>
      <c r="G330" s="9">
        <v>26.0</v>
      </c>
      <c r="H330" s="10">
        <f t="shared" si="3"/>
        <v>1250</v>
      </c>
      <c r="I330" s="13" t="s">
        <v>31</v>
      </c>
    </row>
    <row r="331" hidden="1">
      <c r="A331" s="6" t="s">
        <v>73</v>
      </c>
      <c r="B331" s="7" t="s">
        <v>22</v>
      </c>
      <c r="C331" s="9">
        <v>27.0</v>
      </c>
      <c r="D331" s="9">
        <v>31.0</v>
      </c>
      <c r="E331" s="9">
        <v>12.0</v>
      </c>
      <c r="F331" s="9">
        <v>18.0</v>
      </c>
      <c r="G331" s="9">
        <v>26.0</v>
      </c>
      <c r="H331" s="10">
        <f t="shared" si="3"/>
        <v>1250</v>
      </c>
      <c r="I331" s="13" t="s">
        <v>31</v>
      </c>
    </row>
    <row r="332" hidden="1">
      <c r="A332" s="6" t="s">
        <v>73</v>
      </c>
      <c r="B332" s="7" t="s">
        <v>23</v>
      </c>
      <c r="C332" s="9">
        <v>27.0</v>
      </c>
      <c r="D332" s="9">
        <v>31.0</v>
      </c>
      <c r="E332" s="9">
        <v>12.0</v>
      </c>
      <c r="F332" s="9">
        <v>18.0</v>
      </c>
      <c r="G332" s="9">
        <v>26.0</v>
      </c>
      <c r="H332" s="10">
        <f t="shared" si="3"/>
        <v>1250</v>
      </c>
      <c r="I332" s="13" t="s">
        <v>31</v>
      </c>
    </row>
    <row r="333" hidden="1">
      <c r="A333" s="6" t="s">
        <v>73</v>
      </c>
      <c r="B333" s="7" t="s">
        <v>53</v>
      </c>
      <c r="C333" s="9">
        <v>27.0</v>
      </c>
      <c r="D333" s="9">
        <v>31.0</v>
      </c>
      <c r="E333" s="12"/>
      <c r="F333" s="12"/>
      <c r="G333" s="12"/>
      <c r="H333" s="10">
        <f t="shared" si="3"/>
        <v>750</v>
      </c>
      <c r="I333" s="13" t="s">
        <v>31</v>
      </c>
    </row>
    <row r="334" hidden="1">
      <c r="A334" s="16" t="s">
        <v>74</v>
      </c>
      <c r="B334" s="7" t="s">
        <v>61</v>
      </c>
      <c r="C334" s="9">
        <v>30.0</v>
      </c>
      <c r="D334" s="9">
        <v>26.0</v>
      </c>
      <c r="E334" s="9">
        <v>21.0</v>
      </c>
      <c r="F334" s="9">
        <v>9.0</v>
      </c>
      <c r="G334" s="9">
        <v>24.0</v>
      </c>
      <c r="H334" s="10">
        <f t="shared" si="3"/>
        <v>1250</v>
      </c>
      <c r="I334" s="13" t="s">
        <v>72</v>
      </c>
    </row>
    <row r="335" hidden="1">
      <c r="A335" s="16" t="s">
        <v>74</v>
      </c>
      <c r="B335" s="7" t="s">
        <v>56</v>
      </c>
      <c r="C335" s="9">
        <v>30.0</v>
      </c>
      <c r="D335" s="9">
        <v>26.0</v>
      </c>
      <c r="E335" s="9">
        <v>21.0</v>
      </c>
      <c r="F335" s="9">
        <v>9.0</v>
      </c>
      <c r="G335" s="9">
        <v>24.0</v>
      </c>
      <c r="H335" s="10">
        <f t="shared" si="3"/>
        <v>1250</v>
      </c>
      <c r="I335" s="13" t="s">
        <v>72</v>
      </c>
    </row>
    <row r="336" hidden="1">
      <c r="A336" s="16" t="s">
        <v>74</v>
      </c>
      <c r="B336" s="7" t="s">
        <v>11</v>
      </c>
      <c r="C336" s="9">
        <v>30.0</v>
      </c>
      <c r="D336" s="9">
        <v>26.0</v>
      </c>
      <c r="E336" s="9">
        <v>21.0</v>
      </c>
      <c r="F336" s="9">
        <v>9.0</v>
      </c>
      <c r="G336" s="9">
        <v>24.0</v>
      </c>
      <c r="H336" s="10">
        <f t="shared" si="3"/>
        <v>1250</v>
      </c>
      <c r="I336" s="13" t="s">
        <v>72</v>
      </c>
    </row>
    <row r="337" hidden="1">
      <c r="A337" s="16" t="s">
        <v>74</v>
      </c>
      <c r="B337" s="7" t="s">
        <v>13</v>
      </c>
      <c r="C337" s="9">
        <v>30.0</v>
      </c>
      <c r="D337" s="9">
        <v>26.0</v>
      </c>
      <c r="E337" s="9">
        <v>21.0</v>
      </c>
      <c r="F337" s="9">
        <v>9.0</v>
      </c>
      <c r="G337" s="9">
        <v>24.0</v>
      </c>
      <c r="H337" s="10">
        <f t="shared" si="3"/>
        <v>1250</v>
      </c>
      <c r="I337" s="13" t="s">
        <v>72</v>
      </c>
    </row>
    <row r="338" hidden="1">
      <c r="A338" s="16" t="s">
        <v>74</v>
      </c>
      <c r="B338" s="7" t="s">
        <v>14</v>
      </c>
      <c r="C338" s="9">
        <v>30.0</v>
      </c>
      <c r="D338" s="9">
        <v>26.0</v>
      </c>
      <c r="E338" s="9">
        <v>21.0</v>
      </c>
      <c r="F338" s="9">
        <v>9.0</v>
      </c>
      <c r="G338" s="9">
        <v>24.0</v>
      </c>
      <c r="H338" s="10">
        <f t="shared" si="3"/>
        <v>1250</v>
      </c>
      <c r="I338" s="13" t="s">
        <v>72</v>
      </c>
    </row>
    <row r="339" hidden="1">
      <c r="A339" s="16" t="s">
        <v>74</v>
      </c>
      <c r="B339" s="7" t="s">
        <v>16</v>
      </c>
      <c r="C339" s="9">
        <v>30.0</v>
      </c>
      <c r="D339" s="9">
        <v>26.0</v>
      </c>
      <c r="E339" s="9">
        <v>21.0</v>
      </c>
      <c r="F339" s="9">
        <v>9.0</v>
      </c>
      <c r="G339" s="9">
        <v>24.0</v>
      </c>
      <c r="H339" s="10">
        <f t="shared" si="3"/>
        <v>1250</v>
      </c>
      <c r="I339" s="13" t="s">
        <v>72</v>
      </c>
    </row>
    <row r="340" hidden="1">
      <c r="A340" s="16" t="s">
        <v>74</v>
      </c>
      <c r="B340" s="7" t="s">
        <v>17</v>
      </c>
      <c r="C340" s="9">
        <v>30.0</v>
      </c>
      <c r="D340" s="9">
        <v>26.0</v>
      </c>
      <c r="E340" s="9">
        <v>21.0</v>
      </c>
      <c r="F340" s="9">
        <v>9.0</v>
      </c>
      <c r="G340" s="9">
        <v>24.0</v>
      </c>
      <c r="H340" s="10">
        <f t="shared" si="3"/>
        <v>1250</v>
      </c>
      <c r="I340" s="13" t="s">
        <v>72</v>
      </c>
    </row>
    <row r="341" hidden="1">
      <c r="A341" s="16" t="s">
        <v>74</v>
      </c>
      <c r="B341" s="7" t="s">
        <v>18</v>
      </c>
      <c r="C341" s="9">
        <v>30.0</v>
      </c>
      <c r="D341" s="9">
        <v>26.0</v>
      </c>
      <c r="E341" s="9">
        <v>21.0</v>
      </c>
      <c r="F341" s="9">
        <v>9.0</v>
      </c>
      <c r="G341" s="9">
        <v>24.0</v>
      </c>
      <c r="H341" s="10">
        <f t="shared" si="3"/>
        <v>1250</v>
      </c>
      <c r="I341" s="13" t="s">
        <v>72</v>
      </c>
    </row>
    <row r="342" hidden="1">
      <c r="A342" s="16" t="s">
        <v>74</v>
      </c>
      <c r="B342" s="7" t="s">
        <v>19</v>
      </c>
      <c r="C342" s="9">
        <v>30.0</v>
      </c>
      <c r="D342" s="9">
        <v>26.0</v>
      </c>
      <c r="E342" s="9">
        <v>21.0</v>
      </c>
      <c r="F342" s="9">
        <v>9.0</v>
      </c>
      <c r="G342" s="9">
        <v>24.0</v>
      </c>
      <c r="H342" s="10">
        <f t="shared" si="3"/>
        <v>1250</v>
      </c>
      <c r="I342" s="13" t="s">
        <v>72</v>
      </c>
    </row>
    <row r="343" hidden="1">
      <c r="A343" s="16" t="s">
        <v>74</v>
      </c>
      <c r="B343" s="7" t="s">
        <v>20</v>
      </c>
      <c r="C343" s="9">
        <v>30.0</v>
      </c>
      <c r="D343" s="9">
        <v>26.0</v>
      </c>
      <c r="E343" s="9">
        <v>21.0</v>
      </c>
      <c r="F343" s="9">
        <v>9.0</v>
      </c>
      <c r="G343" s="9">
        <v>24.0</v>
      </c>
      <c r="H343" s="10">
        <f t="shared" si="3"/>
        <v>1250</v>
      </c>
      <c r="I343" s="13" t="s">
        <v>72</v>
      </c>
    </row>
    <row r="344" hidden="1">
      <c r="A344" s="16" t="s">
        <v>74</v>
      </c>
      <c r="B344" s="7" t="s">
        <v>21</v>
      </c>
      <c r="C344" s="9">
        <v>30.0</v>
      </c>
      <c r="D344" s="9">
        <v>26.0</v>
      </c>
      <c r="E344" s="9">
        <v>21.0</v>
      </c>
      <c r="F344" s="9">
        <v>9.0</v>
      </c>
      <c r="G344" s="9">
        <v>24.0</v>
      </c>
      <c r="H344" s="10">
        <f t="shared" si="3"/>
        <v>1250</v>
      </c>
      <c r="I344" s="13" t="s">
        <v>72</v>
      </c>
    </row>
    <row r="345" hidden="1">
      <c r="A345" s="16" t="s">
        <v>74</v>
      </c>
      <c r="B345" s="7" t="s">
        <v>22</v>
      </c>
      <c r="C345" s="9">
        <v>30.0</v>
      </c>
      <c r="D345" s="9">
        <v>26.0</v>
      </c>
      <c r="E345" s="9">
        <v>21.0</v>
      </c>
      <c r="F345" s="9">
        <v>9.0</v>
      </c>
      <c r="G345" s="9">
        <v>24.0</v>
      </c>
      <c r="H345" s="10">
        <f t="shared" si="3"/>
        <v>1250</v>
      </c>
      <c r="I345" s="13" t="s">
        <v>72</v>
      </c>
    </row>
    <row r="346" hidden="1">
      <c r="A346" s="16" t="s">
        <v>74</v>
      </c>
      <c r="B346" s="7" t="s">
        <v>23</v>
      </c>
      <c r="C346" s="9">
        <v>30.0</v>
      </c>
      <c r="D346" s="9">
        <v>26.0</v>
      </c>
      <c r="E346" s="9">
        <v>21.0</v>
      </c>
      <c r="F346" s="9">
        <v>9.0</v>
      </c>
      <c r="G346" s="9">
        <v>24.0</v>
      </c>
      <c r="H346" s="10">
        <f t="shared" si="3"/>
        <v>1250</v>
      </c>
      <c r="I346" s="13" t="s">
        <v>72</v>
      </c>
    </row>
    <row r="347" hidden="1">
      <c r="A347" s="16" t="s">
        <v>74</v>
      </c>
      <c r="B347" s="7" t="s">
        <v>53</v>
      </c>
      <c r="C347" s="9">
        <v>30.0</v>
      </c>
      <c r="D347" s="9">
        <v>26.0</v>
      </c>
      <c r="E347" s="9">
        <v>21.0</v>
      </c>
      <c r="F347" s="9">
        <v>9.0</v>
      </c>
      <c r="G347" s="9">
        <v>24.0</v>
      </c>
      <c r="H347" s="10">
        <f t="shared" si="3"/>
        <v>1250</v>
      </c>
      <c r="I347" s="13" t="s">
        <v>72</v>
      </c>
    </row>
    <row r="348" hidden="1">
      <c r="A348" s="6" t="s">
        <v>75</v>
      </c>
      <c r="B348" s="7" t="s">
        <v>61</v>
      </c>
      <c r="C348" s="9">
        <v>27.0</v>
      </c>
      <c r="D348" s="9">
        <v>17.0</v>
      </c>
      <c r="E348" s="9">
        <v>23.0</v>
      </c>
      <c r="F348" s="9">
        <v>13.0</v>
      </c>
      <c r="G348" s="9">
        <v>17.0</v>
      </c>
      <c r="H348" s="10">
        <f t="shared" si="3"/>
        <v>1000</v>
      </c>
      <c r="I348" s="13" t="s">
        <v>76</v>
      </c>
    </row>
    <row r="349" hidden="1">
      <c r="A349" s="6" t="s">
        <v>75</v>
      </c>
      <c r="B349" s="7" t="s">
        <v>56</v>
      </c>
      <c r="C349" s="9">
        <v>27.0</v>
      </c>
      <c r="D349" s="9">
        <v>17.0</v>
      </c>
      <c r="E349" s="9">
        <v>23.0</v>
      </c>
      <c r="F349" s="9">
        <v>13.0</v>
      </c>
      <c r="G349" s="9">
        <v>17.0</v>
      </c>
      <c r="H349" s="10">
        <f t="shared" si="3"/>
        <v>1000</v>
      </c>
      <c r="I349" s="13" t="s">
        <v>76</v>
      </c>
    </row>
    <row r="350" hidden="1">
      <c r="A350" s="6" t="s">
        <v>75</v>
      </c>
      <c r="B350" s="7" t="s">
        <v>11</v>
      </c>
      <c r="C350" s="9">
        <v>27.0</v>
      </c>
      <c r="D350" s="9">
        <v>17.0</v>
      </c>
      <c r="E350" s="9">
        <v>23.0</v>
      </c>
      <c r="F350" s="9">
        <v>13.0</v>
      </c>
      <c r="G350" s="9">
        <v>17.0</v>
      </c>
      <c r="H350" s="10">
        <f t="shared" si="3"/>
        <v>1000</v>
      </c>
      <c r="I350" s="13" t="s">
        <v>76</v>
      </c>
    </row>
    <row r="351" hidden="1">
      <c r="A351" s="6" t="s">
        <v>75</v>
      </c>
      <c r="B351" s="7" t="s">
        <v>13</v>
      </c>
      <c r="C351" s="9">
        <v>27.0</v>
      </c>
      <c r="D351" s="9">
        <v>17.0</v>
      </c>
      <c r="E351" s="9">
        <v>23.0</v>
      </c>
      <c r="F351" s="9">
        <v>13.0</v>
      </c>
      <c r="G351" s="9">
        <v>17.0</v>
      </c>
      <c r="H351" s="10">
        <f t="shared" si="3"/>
        <v>1000</v>
      </c>
      <c r="I351" s="13" t="s">
        <v>76</v>
      </c>
    </row>
    <row r="352" hidden="1">
      <c r="A352" s="6" t="s">
        <v>75</v>
      </c>
      <c r="B352" s="7" t="s">
        <v>14</v>
      </c>
      <c r="C352" s="9">
        <v>27.0</v>
      </c>
      <c r="D352" s="9">
        <v>17.0</v>
      </c>
      <c r="E352" s="9">
        <v>23.0</v>
      </c>
      <c r="F352" s="9">
        <v>13.0</v>
      </c>
      <c r="G352" s="9">
        <v>17.0</v>
      </c>
      <c r="H352" s="10">
        <f t="shared" si="3"/>
        <v>1000</v>
      </c>
      <c r="I352" s="13" t="s">
        <v>76</v>
      </c>
    </row>
    <row r="353" hidden="1">
      <c r="A353" s="6" t="s">
        <v>75</v>
      </c>
      <c r="B353" s="7" t="s">
        <v>16</v>
      </c>
      <c r="C353" s="9">
        <v>27.0</v>
      </c>
      <c r="D353" s="9">
        <v>17.0</v>
      </c>
      <c r="E353" s="9">
        <v>23.0</v>
      </c>
      <c r="F353" s="9">
        <v>13.0</v>
      </c>
      <c r="G353" s="9">
        <v>17.0</v>
      </c>
      <c r="H353" s="10">
        <f t="shared" si="3"/>
        <v>1000</v>
      </c>
      <c r="I353" s="13" t="s">
        <v>76</v>
      </c>
    </row>
    <row r="354" hidden="1">
      <c r="A354" s="6" t="s">
        <v>75</v>
      </c>
      <c r="B354" s="7" t="s">
        <v>17</v>
      </c>
      <c r="C354" s="9">
        <v>27.0</v>
      </c>
      <c r="D354" s="9">
        <v>17.0</v>
      </c>
      <c r="E354" s="9">
        <v>23.0</v>
      </c>
      <c r="F354" s="9">
        <v>13.0</v>
      </c>
      <c r="G354" s="9">
        <v>17.0</v>
      </c>
      <c r="H354" s="10">
        <f t="shared" si="3"/>
        <v>1000</v>
      </c>
      <c r="I354" s="13" t="s">
        <v>76</v>
      </c>
    </row>
    <row r="355" hidden="1">
      <c r="A355" s="6" t="s">
        <v>75</v>
      </c>
      <c r="B355" s="7" t="s">
        <v>18</v>
      </c>
      <c r="C355" s="9">
        <v>27.0</v>
      </c>
      <c r="D355" s="9">
        <v>17.0</v>
      </c>
      <c r="E355" s="9">
        <v>23.0</v>
      </c>
      <c r="F355" s="9">
        <v>13.0</v>
      </c>
      <c r="G355" s="9">
        <v>17.0</v>
      </c>
      <c r="H355" s="10">
        <f t="shared" si="3"/>
        <v>1000</v>
      </c>
      <c r="I355" s="13" t="s">
        <v>76</v>
      </c>
    </row>
    <row r="356" hidden="1">
      <c r="A356" s="6" t="s">
        <v>75</v>
      </c>
      <c r="B356" s="7" t="s">
        <v>19</v>
      </c>
      <c r="C356" s="9">
        <v>27.0</v>
      </c>
      <c r="D356" s="9">
        <v>17.0</v>
      </c>
      <c r="E356" s="9">
        <v>23.0</v>
      </c>
      <c r="F356" s="9">
        <v>13.0</v>
      </c>
      <c r="G356" s="9">
        <v>17.0</v>
      </c>
      <c r="H356" s="10">
        <f t="shared" si="3"/>
        <v>1000</v>
      </c>
      <c r="I356" s="13" t="s">
        <v>76</v>
      </c>
    </row>
    <row r="357" hidden="1">
      <c r="A357" s="6" t="s">
        <v>75</v>
      </c>
      <c r="B357" s="7" t="s">
        <v>20</v>
      </c>
      <c r="C357" s="9">
        <v>27.0</v>
      </c>
      <c r="D357" s="9">
        <v>17.0</v>
      </c>
      <c r="E357" s="9">
        <v>23.0</v>
      </c>
      <c r="F357" s="9">
        <v>13.0</v>
      </c>
      <c r="G357" s="9">
        <v>17.0</v>
      </c>
      <c r="H357" s="10">
        <f t="shared" si="3"/>
        <v>1000</v>
      </c>
      <c r="I357" s="13" t="s">
        <v>76</v>
      </c>
    </row>
    <row r="358" hidden="1">
      <c r="A358" s="6" t="s">
        <v>75</v>
      </c>
      <c r="B358" s="7" t="s">
        <v>21</v>
      </c>
      <c r="C358" s="9">
        <v>27.0</v>
      </c>
      <c r="D358" s="9">
        <v>17.0</v>
      </c>
      <c r="E358" s="9">
        <v>23.0</v>
      </c>
      <c r="F358" s="9">
        <v>13.0</v>
      </c>
      <c r="G358" s="9">
        <v>17.0</v>
      </c>
      <c r="H358" s="10">
        <f t="shared" si="3"/>
        <v>1000</v>
      </c>
      <c r="I358" s="13" t="s">
        <v>76</v>
      </c>
    </row>
    <row r="359" hidden="1">
      <c r="A359" s="6" t="s">
        <v>75</v>
      </c>
      <c r="B359" s="7" t="s">
        <v>22</v>
      </c>
      <c r="C359" s="9">
        <v>27.0</v>
      </c>
      <c r="D359" s="9">
        <v>17.0</v>
      </c>
      <c r="E359" s="9">
        <v>23.0</v>
      </c>
      <c r="F359" s="9">
        <v>13.0</v>
      </c>
      <c r="G359" s="9">
        <v>17.0</v>
      </c>
      <c r="H359" s="10">
        <f t="shared" si="3"/>
        <v>1000</v>
      </c>
      <c r="I359" s="13" t="s">
        <v>76</v>
      </c>
    </row>
    <row r="360" hidden="1">
      <c r="A360" s="6" t="s">
        <v>75</v>
      </c>
      <c r="B360" s="7" t="s">
        <v>23</v>
      </c>
      <c r="C360" s="9">
        <v>27.0</v>
      </c>
      <c r="D360" s="9">
        <v>17.0</v>
      </c>
      <c r="E360" s="9">
        <v>23.0</v>
      </c>
      <c r="F360" s="9">
        <v>13.0</v>
      </c>
      <c r="G360" s="9">
        <v>17.0</v>
      </c>
      <c r="H360" s="10">
        <f t="shared" si="3"/>
        <v>1000</v>
      </c>
      <c r="I360" s="13" t="s">
        <v>76</v>
      </c>
    </row>
    <row r="361" hidden="1">
      <c r="A361" s="6" t="s">
        <v>75</v>
      </c>
      <c r="B361" s="7" t="s">
        <v>53</v>
      </c>
      <c r="C361" s="9">
        <v>27.0</v>
      </c>
      <c r="D361" s="9">
        <v>17.0</v>
      </c>
      <c r="E361" s="9">
        <v>23.0</v>
      </c>
      <c r="F361" s="9">
        <v>13.0</v>
      </c>
      <c r="G361" s="9">
        <v>17.0</v>
      </c>
      <c r="H361" s="10">
        <f t="shared" si="3"/>
        <v>1000</v>
      </c>
      <c r="I361" s="13" t="s">
        <v>76</v>
      </c>
    </row>
    <row r="362" hidden="1">
      <c r="A362" s="6" t="s">
        <v>77</v>
      </c>
      <c r="B362" s="7" t="s">
        <v>61</v>
      </c>
      <c r="C362" s="9">
        <v>30.0</v>
      </c>
      <c r="D362" s="9">
        <v>14.0</v>
      </c>
      <c r="E362" s="9">
        <v>10.0</v>
      </c>
      <c r="F362" s="9">
        <v>19.0</v>
      </c>
      <c r="G362" s="9">
        <v>22.0</v>
      </c>
      <c r="H362" s="10">
        <f t="shared" si="3"/>
        <v>950</v>
      </c>
      <c r="I362" s="13" t="s">
        <v>78</v>
      </c>
    </row>
    <row r="363" hidden="1">
      <c r="A363" s="6" t="s">
        <v>77</v>
      </c>
      <c r="B363" s="7" t="s">
        <v>56</v>
      </c>
      <c r="C363" s="9">
        <v>30.0</v>
      </c>
      <c r="D363" s="9">
        <v>14.0</v>
      </c>
      <c r="E363" s="9">
        <v>10.0</v>
      </c>
      <c r="F363" s="9">
        <v>19.0</v>
      </c>
      <c r="G363" s="9">
        <v>22.0</v>
      </c>
      <c r="H363" s="10">
        <f t="shared" si="3"/>
        <v>950</v>
      </c>
      <c r="I363" s="13" t="s">
        <v>78</v>
      </c>
    </row>
    <row r="364" hidden="1">
      <c r="A364" s="6" t="s">
        <v>77</v>
      </c>
      <c r="B364" s="7" t="s">
        <v>11</v>
      </c>
      <c r="C364" s="9">
        <v>30.0</v>
      </c>
      <c r="D364" s="9">
        <v>14.0</v>
      </c>
      <c r="E364" s="9">
        <v>10.0</v>
      </c>
      <c r="F364" s="9">
        <v>19.0</v>
      </c>
      <c r="G364" s="9">
        <v>22.0</v>
      </c>
      <c r="H364" s="10">
        <f t="shared" si="3"/>
        <v>950</v>
      </c>
      <c r="I364" s="13" t="s">
        <v>78</v>
      </c>
    </row>
    <row r="365" hidden="1">
      <c r="A365" s="6" t="s">
        <v>77</v>
      </c>
      <c r="B365" s="7" t="s">
        <v>13</v>
      </c>
      <c r="C365" s="9">
        <v>30.0</v>
      </c>
      <c r="D365" s="9">
        <v>14.0</v>
      </c>
      <c r="E365" s="9">
        <v>10.0</v>
      </c>
      <c r="F365" s="9">
        <v>19.0</v>
      </c>
      <c r="G365" s="9">
        <v>22.0</v>
      </c>
      <c r="H365" s="10">
        <f t="shared" si="3"/>
        <v>950</v>
      </c>
      <c r="I365" s="13" t="s">
        <v>78</v>
      </c>
    </row>
    <row r="366" hidden="1">
      <c r="A366" s="6" t="s">
        <v>77</v>
      </c>
      <c r="B366" s="7" t="s">
        <v>14</v>
      </c>
      <c r="C366" s="9">
        <v>30.0</v>
      </c>
      <c r="D366" s="9">
        <v>14.0</v>
      </c>
      <c r="E366" s="9">
        <v>10.0</v>
      </c>
      <c r="F366" s="9">
        <v>19.0</v>
      </c>
      <c r="G366" s="9">
        <v>22.0</v>
      </c>
      <c r="H366" s="10">
        <f t="shared" si="3"/>
        <v>950</v>
      </c>
      <c r="I366" s="13" t="s">
        <v>78</v>
      </c>
    </row>
    <row r="367" hidden="1">
      <c r="A367" s="6" t="s">
        <v>77</v>
      </c>
      <c r="B367" s="7" t="s">
        <v>16</v>
      </c>
      <c r="C367" s="9">
        <v>30.0</v>
      </c>
      <c r="D367" s="9">
        <v>14.0</v>
      </c>
      <c r="E367" s="9">
        <v>10.0</v>
      </c>
      <c r="F367" s="9">
        <v>19.0</v>
      </c>
      <c r="G367" s="9">
        <v>22.0</v>
      </c>
      <c r="H367" s="10">
        <f t="shared" si="3"/>
        <v>950</v>
      </c>
      <c r="I367" s="13" t="s">
        <v>78</v>
      </c>
    </row>
    <row r="368" hidden="1">
      <c r="A368" s="6" t="s">
        <v>77</v>
      </c>
      <c r="B368" s="7" t="s">
        <v>17</v>
      </c>
      <c r="C368" s="9">
        <v>30.0</v>
      </c>
      <c r="D368" s="9">
        <v>14.0</v>
      </c>
      <c r="E368" s="9">
        <v>10.0</v>
      </c>
      <c r="F368" s="9">
        <v>19.0</v>
      </c>
      <c r="G368" s="9">
        <v>22.0</v>
      </c>
      <c r="H368" s="10">
        <f t="shared" si="3"/>
        <v>950</v>
      </c>
      <c r="I368" s="13" t="s">
        <v>78</v>
      </c>
    </row>
    <row r="369" hidden="1">
      <c r="A369" s="6" t="s">
        <v>77</v>
      </c>
      <c r="B369" s="7" t="s">
        <v>18</v>
      </c>
      <c r="C369" s="9">
        <v>30.0</v>
      </c>
      <c r="D369" s="9">
        <v>14.0</v>
      </c>
      <c r="E369" s="9">
        <v>10.0</v>
      </c>
      <c r="F369" s="9">
        <v>19.0</v>
      </c>
      <c r="G369" s="9">
        <v>22.0</v>
      </c>
      <c r="H369" s="10">
        <f t="shared" si="3"/>
        <v>950</v>
      </c>
      <c r="I369" s="13" t="s">
        <v>78</v>
      </c>
    </row>
    <row r="370" hidden="1">
      <c r="A370" s="6" t="s">
        <v>77</v>
      </c>
      <c r="B370" s="7" t="s">
        <v>19</v>
      </c>
      <c r="C370" s="9">
        <v>30.0</v>
      </c>
      <c r="D370" s="9">
        <v>14.0</v>
      </c>
      <c r="E370" s="9">
        <v>10.0</v>
      </c>
      <c r="F370" s="9">
        <v>19.0</v>
      </c>
      <c r="G370" s="9">
        <v>22.0</v>
      </c>
      <c r="H370" s="10">
        <f t="shared" si="3"/>
        <v>950</v>
      </c>
      <c r="I370" s="13" t="s">
        <v>78</v>
      </c>
    </row>
    <row r="371" hidden="1">
      <c r="A371" s="6" t="s">
        <v>77</v>
      </c>
      <c r="B371" s="7" t="s">
        <v>20</v>
      </c>
      <c r="C371" s="9">
        <v>30.0</v>
      </c>
      <c r="D371" s="9">
        <v>14.0</v>
      </c>
      <c r="E371" s="9">
        <v>10.0</v>
      </c>
      <c r="F371" s="9">
        <v>19.0</v>
      </c>
      <c r="G371" s="9">
        <v>22.0</v>
      </c>
      <c r="H371" s="10">
        <f t="shared" si="3"/>
        <v>950</v>
      </c>
      <c r="I371" s="13" t="s">
        <v>78</v>
      </c>
    </row>
    <row r="372" hidden="1">
      <c r="A372" s="6" t="s">
        <v>77</v>
      </c>
      <c r="B372" s="7" t="s">
        <v>21</v>
      </c>
      <c r="C372" s="9">
        <v>30.0</v>
      </c>
      <c r="D372" s="9">
        <v>14.0</v>
      </c>
      <c r="E372" s="9">
        <v>10.0</v>
      </c>
      <c r="F372" s="9">
        <v>19.0</v>
      </c>
      <c r="G372" s="9">
        <v>22.0</v>
      </c>
      <c r="H372" s="10">
        <f t="shared" si="3"/>
        <v>950</v>
      </c>
      <c r="I372" s="13" t="s">
        <v>78</v>
      </c>
    </row>
    <row r="373" hidden="1">
      <c r="A373" s="6" t="s">
        <v>77</v>
      </c>
      <c r="B373" s="7" t="s">
        <v>22</v>
      </c>
      <c r="C373" s="9">
        <v>30.0</v>
      </c>
      <c r="D373" s="9">
        <v>14.0</v>
      </c>
      <c r="E373" s="9">
        <v>10.0</v>
      </c>
      <c r="F373" s="9">
        <v>19.0</v>
      </c>
      <c r="G373" s="9">
        <v>22.0</v>
      </c>
      <c r="H373" s="10">
        <f t="shared" si="3"/>
        <v>950</v>
      </c>
      <c r="I373" s="13" t="s">
        <v>78</v>
      </c>
    </row>
    <row r="374" hidden="1">
      <c r="A374" s="6" t="s">
        <v>77</v>
      </c>
      <c r="B374" s="7" t="s">
        <v>23</v>
      </c>
      <c r="C374" s="9">
        <v>30.0</v>
      </c>
      <c r="D374" s="9">
        <v>14.0</v>
      </c>
      <c r="E374" s="9">
        <v>10.0</v>
      </c>
      <c r="F374" s="9">
        <v>19.0</v>
      </c>
      <c r="G374" s="9">
        <v>22.0</v>
      </c>
      <c r="H374" s="10">
        <f t="shared" si="3"/>
        <v>950</v>
      </c>
      <c r="I374" s="13" t="s">
        <v>78</v>
      </c>
    </row>
    <row r="375" hidden="1">
      <c r="A375" s="6" t="s">
        <v>77</v>
      </c>
      <c r="B375" s="7" t="s">
        <v>53</v>
      </c>
      <c r="C375" s="9">
        <v>30.0</v>
      </c>
      <c r="D375" s="9">
        <v>14.0</v>
      </c>
      <c r="E375" s="9">
        <v>10.0</v>
      </c>
      <c r="F375" s="9">
        <v>19.0</v>
      </c>
      <c r="G375" s="9">
        <v>22.0</v>
      </c>
      <c r="H375" s="10">
        <f t="shared" si="3"/>
        <v>950</v>
      </c>
      <c r="I375" s="13" t="s">
        <v>78</v>
      </c>
    </row>
    <row r="376" hidden="1">
      <c r="A376" s="6" t="s">
        <v>79</v>
      </c>
      <c r="B376" s="7" t="s">
        <v>61</v>
      </c>
      <c r="C376" s="9">
        <v>10.0</v>
      </c>
      <c r="D376" s="9">
        <v>22.0</v>
      </c>
      <c r="E376" s="9">
        <v>13.0</v>
      </c>
      <c r="F376" s="9">
        <v>23.0</v>
      </c>
      <c r="G376" s="9">
        <v>18.0</v>
      </c>
      <c r="H376" s="10">
        <f t="shared" si="3"/>
        <v>800</v>
      </c>
      <c r="I376" s="13" t="s">
        <v>80</v>
      </c>
    </row>
    <row r="377" hidden="1">
      <c r="A377" s="6" t="s">
        <v>79</v>
      </c>
      <c r="B377" s="7" t="s">
        <v>56</v>
      </c>
      <c r="C377" s="9">
        <v>10.0</v>
      </c>
      <c r="D377" s="9">
        <v>22.0</v>
      </c>
      <c r="E377" s="9">
        <v>13.0</v>
      </c>
      <c r="F377" s="9">
        <v>23.0</v>
      </c>
      <c r="G377" s="9">
        <v>18.0</v>
      </c>
      <c r="H377" s="10">
        <f t="shared" si="3"/>
        <v>800</v>
      </c>
      <c r="I377" s="13" t="s">
        <v>80</v>
      </c>
    </row>
    <row r="378" hidden="1">
      <c r="A378" s="6" t="s">
        <v>79</v>
      </c>
      <c r="B378" s="7" t="s">
        <v>11</v>
      </c>
      <c r="C378" s="9">
        <v>10.0</v>
      </c>
      <c r="D378" s="9">
        <v>22.0</v>
      </c>
      <c r="E378" s="9">
        <v>13.0</v>
      </c>
      <c r="F378" s="9">
        <v>23.0</v>
      </c>
      <c r="G378" s="9">
        <v>18.0</v>
      </c>
      <c r="H378" s="10">
        <f t="shared" si="3"/>
        <v>800</v>
      </c>
      <c r="I378" s="13" t="s">
        <v>80</v>
      </c>
    </row>
    <row r="379" hidden="1">
      <c r="A379" s="6" t="s">
        <v>79</v>
      </c>
      <c r="B379" s="7" t="s">
        <v>13</v>
      </c>
      <c r="C379" s="9">
        <v>10.0</v>
      </c>
      <c r="D379" s="9">
        <v>22.0</v>
      </c>
      <c r="E379" s="9">
        <v>13.0</v>
      </c>
      <c r="F379" s="9">
        <v>23.0</v>
      </c>
      <c r="G379" s="9">
        <v>18.0</v>
      </c>
      <c r="H379" s="10">
        <f t="shared" si="3"/>
        <v>800</v>
      </c>
      <c r="I379" s="13" t="s">
        <v>80</v>
      </c>
    </row>
    <row r="380" hidden="1">
      <c r="A380" s="6" t="s">
        <v>79</v>
      </c>
      <c r="B380" s="7" t="s">
        <v>14</v>
      </c>
      <c r="C380" s="9">
        <v>10.0</v>
      </c>
      <c r="D380" s="9">
        <v>22.0</v>
      </c>
      <c r="E380" s="9">
        <v>13.0</v>
      </c>
      <c r="F380" s="9">
        <v>23.0</v>
      </c>
      <c r="G380" s="9">
        <v>18.0</v>
      </c>
      <c r="H380" s="10">
        <f t="shared" si="3"/>
        <v>800</v>
      </c>
      <c r="I380" s="13" t="s">
        <v>80</v>
      </c>
    </row>
    <row r="381" hidden="1">
      <c r="A381" s="6" t="s">
        <v>79</v>
      </c>
      <c r="B381" s="7" t="s">
        <v>16</v>
      </c>
      <c r="C381" s="9">
        <v>10.0</v>
      </c>
      <c r="D381" s="9">
        <v>22.0</v>
      </c>
      <c r="E381" s="9">
        <v>13.0</v>
      </c>
      <c r="F381" s="9">
        <v>23.0</v>
      </c>
      <c r="G381" s="9">
        <v>18.0</v>
      </c>
      <c r="H381" s="10">
        <f t="shared" si="3"/>
        <v>800</v>
      </c>
      <c r="I381" s="13" t="s">
        <v>80</v>
      </c>
    </row>
    <row r="382" hidden="1">
      <c r="A382" s="6" t="s">
        <v>79</v>
      </c>
      <c r="B382" s="7" t="s">
        <v>17</v>
      </c>
      <c r="C382" s="9">
        <v>10.0</v>
      </c>
      <c r="D382" s="9">
        <v>22.0</v>
      </c>
      <c r="E382" s="9">
        <v>13.0</v>
      </c>
      <c r="F382" s="9">
        <v>23.0</v>
      </c>
      <c r="G382" s="9">
        <v>18.0</v>
      </c>
      <c r="H382" s="10">
        <f t="shared" si="3"/>
        <v>800</v>
      </c>
      <c r="I382" s="13" t="s">
        <v>80</v>
      </c>
    </row>
    <row r="383" hidden="1">
      <c r="A383" s="6" t="s">
        <v>79</v>
      </c>
      <c r="B383" s="7" t="s">
        <v>18</v>
      </c>
      <c r="C383" s="9">
        <v>10.0</v>
      </c>
      <c r="D383" s="9">
        <v>22.0</v>
      </c>
      <c r="E383" s="9">
        <v>13.0</v>
      </c>
      <c r="F383" s="9">
        <v>23.0</v>
      </c>
      <c r="G383" s="9">
        <v>18.0</v>
      </c>
      <c r="H383" s="10">
        <f t="shared" si="3"/>
        <v>800</v>
      </c>
      <c r="I383" s="13" t="s">
        <v>80</v>
      </c>
    </row>
    <row r="384" hidden="1">
      <c r="A384" s="6" t="s">
        <v>79</v>
      </c>
      <c r="B384" s="7" t="s">
        <v>19</v>
      </c>
      <c r="C384" s="9">
        <v>10.0</v>
      </c>
      <c r="D384" s="9">
        <v>22.0</v>
      </c>
      <c r="E384" s="9">
        <v>13.0</v>
      </c>
      <c r="F384" s="9">
        <v>23.0</v>
      </c>
      <c r="G384" s="9">
        <v>18.0</v>
      </c>
      <c r="H384" s="10">
        <f t="shared" si="3"/>
        <v>800</v>
      </c>
      <c r="I384" s="13" t="s">
        <v>80</v>
      </c>
    </row>
    <row r="385" hidden="1">
      <c r="A385" s="6" t="s">
        <v>79</v>
      </c>
      <c r="B385" s="7" t="s">
        <v>20</v>
      </c>
      <c r="C385" s="9">
        <v>10.0</v>
      </c>
      <c r="D385" s="9">
        <v>22.0</v>
      </c>
      <c r="E385" s="9">
        <v>13.0</v>
      </c>
      <c r="F385" s="9">
        <v>23.0</v>
      </c>
      <c r="G385" s="9">
        <v>18.0</v>
      </c>
      <c r="H385" s="10">
        <f t="shared" si="3"/>
        <v>800</v>
      </c>
      <c r="I385" s="13" t="s">
        <v>80</v>
      </c>
    </row>
    <row r="386" hidden="1">
      <c r="A386" s="6" t="s">
        <v>79</v>
      </c>
      <c r="B386" s="7" t="s">
        <v>21</v>
      </c>
      <c r="C386" s="9">
        <v>10.0</v>
      </c>
      <c r="D386" s="9">
        <v>22.0</v>
      </c>
      <c r="E386" s="9">
        <v>13.0</v>
      </c>
      <c r="F386" s="9">
        <v>23.0</v>
      </c>
      <c r="G386" s="9">
        <v>18.0</v>
      </c>
      <c r="H386" s="10">
        <f t="shared" si="3"/>
        <v>800</v>
      </c>
      <c r="I386" s="13" t="s">
        <v>80</v>
      </c>
    </row>
    <row r="387" hidden="1">
      <c r="A387" s="6" t="s">
        <v>79</v>
      </c>
      <c r="B387" s="7" t="s">
        <v>22</v>
      </c>
      <c r="C387" s="9">
        <v>10.0</v>
      </c>
      <c r="D387" s="9">
        <v>22.0</v>
      </c>
      <c r="E387" s="9">
        <v>13.0</v>
      </c>
      <c r="F387" s="9">
        <v>23.0</v>
      </c>
      <c r="G387" s="9">
        <v>18.0</v>
      </c>
      <c r="H387" s="10">
        <f t="shared" si="3"/>
        <v>800</v>
      </c>
      <c r="I387" s="13" t="s">
        <v>80</v>
      </c>
    </row>
    <row r="388" hidden="1">
      <c r="A388" s="6" t="s">
        <v>79</v>
      </c>
      <c r="B388" s="7" t="s">
        <v>23</v>
      </c>
      <c r="C388" s="9">
        <v>10.0</v>
      </c>
      <c r="D388" s="9">
        <v>22.0</v>
      </c>
      <c r="E388" s="9">
        <v>13.0</v>
      </c>
      <c r="F388" s="9">
        <v>23.0</v>
      </c>
      <c r="G388" s="9">
        <v>18.0</v>
      </c>
      <c r="H388" s="10">
        <f t="shared" si="3"/>
        <v>800</v>
      </c>
      <c r="I388" s="13" t="s">
        <v>80</v>
      </c>
    </row>
    <row r="389" hidden="1">
      <c r="A389" s="6" t="s">
        <v>79</v>
      </c>
      <c r="B389" s="7" t="s">
        <v>53</v>
      </c>
      <c r="C389" s="9">
        <v>10.0</v>
      </c>
      <c r="D389" s="9">
        <v>22.0</v>
      </c>
      <c r="E389" s="9">
        <v>13.0</v>
      </c>
      <c r="F389" s="9">
        <v>23.0</v>
      </c>
      <c r="G389" s="9">
        <v>18.0</v>
      </c>
      <c r="H389" s="10">
        <f t="shared" si="3"/>
        <v>800</v>
      </c>
      <c r="I389" s="13" t="s">
        <v>80</v>
      </c>
    </row>
    <row r="390" hidden="1">
      <c r="A390" s="6" t="s">
        <v>81</v>
      </c>
      <c r="B390" s="7" t="s">
        <v>61</v>
      </c>
      <c r="C390" s="9">
        <v>28.0</v>
      </c>
      <c r="D390" s="9">
        <v>17.0</v>
      </c>
      <c r="E390" s="9">
        <v>30.0</v>
      </c>
      <c r="F390" s="9">
        <v>30.0</v>
      </c>
      <c r="G390" s="9">
        <v>17.0</v>
      </c>
      <c r="H390" s="10">
        <f t="shared" si="3"/>
        <v>1600</v>
      </c>
      <c r="I390" s="13" t="s">
        <v>82</v>
      </c>
    </row>
    <row r="391" hidden="1">
      <c r="A391" s="6" t="s">
        <v>81</v>
      </c>
      <c r="B391" s="7" t="s">
        <v>56</v>
      </c>
      <c r="C391" s="9">
        <v>28.0</v>
      </c>
      <c r="D391" s="9">
        <v>17.0</v>
      </c>
      <c r="E391" s="9">
        <v>30.0</v>
      </c>
      <c r="F391" s="9">
        <v>30.0</v>
      </c>
      <c r="G391" s="9">
        <v>17.0</v>
      </c>
      <c r="H391" s="10">
        <f t="shared" si="3"/>
        <v>1600</v>
      </c>
      <c r="I391" s="13" t="s">
        <v>82</v>
      </c>
    </row>
    <row r="392" hidden="1">
      <c r="A392" s="6" t="s">
        <v>81</v>
      </c>
      <c r="B392" s="7" t="s">
        <v>11</v>
      </c>
      <c r="C392" s="9">
        <v>28.0</v>
      </c>
      <c r="D392" s="9">
        <v>17.0</v>
      </c>
      <c r="E392" s="9">
        <v>30.0</v>
      </c>
      <c r="F392" s="9">
        <v>30.0</v>
      </c>
      <c r="G392" s="9">
        <v>17.0</v>
      </c>
      <c r="H392" s="10">
        <f t="shared" si="3"/>
        <v>1600</v>
      </c>
      <c r="I392" s="13" t="s">
        <v>82</v>
      </c>
    </row>
    <row r="393" hidden="1">
      <c r="A393" s="6" t="s">
        <v>81</v>
      </c>
      <c r="B393" s="7" t="s">
        <v>13</v>
      </c>
      <c r="C393" s="9">
        <v>28.0</v>
      </c>
      <c r="D393" s="9">
        <v>17.0</v>
      </c>
      <c r="E393" s="9">
        <v>30.0</v>
      </c>
      <c r="F393" s="9">
        <v>30.0</v>
      </c>
      <c r="G393" s="9">
        <v>17.0</v>
      </c>
      <c r="H393" s="10">
        <f t="shared" si="3"/>
        <v>1600</v>
      </c>
      <c r="I393" s="13" t="s">
        <v>82</v>
      </c>
    </row>
    <row r="394" hidden="1">
      <c r="A394" s="6" t="s">
        <v>81</v>
      </c>
      <c r="B394" s="7" t="s">
        <v>14</v>
      </c>
      <c r="C394" s="9">
        <v>28.0</v>
      </c>
      <c r="D394" s="9">
        <v>17.0</v>
      </c>
      <c r="E394" s="9">
        <v>30.0</v>
      </c>
      <c r="F394" s="9">
        <v>30.0</v>
      </c>
      <c r="G394" s="9">
        <v>17.0</v>
      </c>
      <c r="H394" s="10">
        <f t="shared" si="3"/>
        <v>1600</v>
      </c>
      <c r="I394" s="13" t="s">
        <v>82</v>
      </c>
    </row>
    <row r="395" hidden="1">
      <c r="A395" s="6" t="s">
        <v>81</v>
      </c>
      <c r="B395" s="7" t="s">
        <v>16</v>
      </c>
      <c r="C395" s="9">
        <v>28.0</v>
      </c>
      <c r="D395" s="9">
        <v>17.0</v>
      </c>
      <c r="E395" s="9">
        <v>30.0</v>
      </c>
      <c r="F395" s="9">
        <v>30.0</v>
      </c>
      <c r="G395" s="9">
        <v>17.0</v>
      </c>
      <c r="H395" s="10">
        <f t="shared" si="3"/>
        <v>1600</v>
      </c>
      <c r="I395" s="13" t="s">
        <v>82</v>
      </c>
    </row>
    <row r="396" hidden="1">
      <c r="A396" s="6" t="s">
        <v>81</v>
      </c>
      <c r="B396" s="7" t="s">
        <v>17</v>
      </c>
      <c r="C396" s="9">
        <v>28.0</v>
      </c>
      <c r="D396" s="9">
        <v>17.0</v>
      </c>
      <c r="E396" s="9">
        <v>30.0</v>
      </c>
      <c r="F396" s="9">
        <v>30.0</v>
      </c>
      <c r="G396" s="9">
        <v>17.0</v>
      </c>
      <c r="H396" s="10">
        <f t="shared" si="3"/>
        <v>1600</v>
      </c>
      <c r="I396" s="13" t="s">
        <v>82</v>
      </c>
    </row>
    <row r="397" hidden="1">
      <c r="A397" s="6" t="s">
        <v>81</v>
      </c>
      <c r="B397" s="7" t="s">
        <v>18</v>
      </c>
      <c r="C397" s="9">
        <v>28.0</v>
      </c>
      <c r="D397" s="9">
        <v>17.0</v>
      </c>
      <c r="E397" s="9">
        <v>30.0</v>
      </c>
      <c r="F397" s="9">
        <v>30.0</v>
      </c>
      <c r="G397" s="9">
        <v>17.0</v>
      </c>
      <c r="H397" s="10">
        <f t="shared" si="3"/>
        <v>1600</v>
      </c>
      <c r="I397" s="13" t="s">
        <v>82</v>
      </c>
    </row>
    <row r="398" hidden="1">
      <c r="A398" s="6" t="s">
        <v>81</v>
      </c>
      <c r="B398" s="7" t="s">
        <v>19</v>
      </c>
      <c r="C398" s="9">
        <v>28.0</v>
      </c>
      <c r="D398" s="9">
        <v>17.0</v>
      </c>
      <c r="E398" s="9">
        <v>30.0</v>
      </c>
      <c r="F398" s="9">
        <v>30.0</v>
      </c>
      <c r="G398" s="9">
        <v>17.0</v>
      </c>
      <c r="H398" s="10">
        <f t="shared" si="3"/>
        <v>1600</v>
      </c>
      <c r="I398" s="13" t="s">
        <v>82</v>
      </c>
    </row>
    <row r="399" hidden="1">
      <c r="A399" s="6" t="s">
        <v>81</v>
      </c>
      <c r="B399" s="7" t="s">
        <v>20</v>
      </c>
      <c r="C399" s="9">
        <v>28.0</v>
      </c>
      <c r="D399" s="9">
        <v>17.0</v>
      </c>
      <c r="E399" s="9">
        <v>30.0</v>
      </c>
      <c r="F399" s="9">
        <v>30.0</v>
      </c>
      <c r="G399" s="9">
        <v>17.0</v>
      </c>
      <c r="H399" s="10">
        <f t="shared" si="3"/>
        <v>1600</v>
      </c>
      <c r="I399" s="13" t="s">
        <v>82</v>
      </c>
    </row>
    <row r="400" hidden="1">
      <c r="A400" s="6" t="s">
        <v>81</v>
      </c>
      <c r="B400" s="7" t="s">
        <v>21</v>
      </c>
      <c r="C400" s="9">
        <v>28.0</v>
      </c>
      <c r="D400" s="9">
        <v>17.0</v>
      </c>
      <c r="E400" s="9">
        <v>30.0</v>
      </c>
      <c r="F400" s="9">
        <v>30.0</v>
      </c>
      <c r="G400" s="9">
        <v>17.0</v>
      </c>
      <c r="H400" s="10">
        <f t="shared" si="3"/>
        <v>1600</v>
      </c>
      <c r="I400" s="13" t="s">
        <v>82</v>
      </c>
    </row>
    <row r="401" hidden="1">
      <c r="A401" s="6" t="s">
        <v>81</v>
      </c>
      <c r="B401" s="7" t="s">
        <v>22</v>
      </c>
      <c r="C401" s="9">
        <v>28.0</v>
      </c>
      <c r="D401" s="9">
        <v>17.0</v>
      </c>
      <c r="E401" s="9">
        <v>30.0</v>
      </c>
      <c r="F401" s="9">
        <v>30.0</v>
      </c>
      <c r="G401" s="9">
        <v>17.0</v>
      </c>
      <c r="H401" s="10">
        <f t="shared" si="3"/>
        <v>1600</v>
      </c>
      <c r="I401" s="13" t="s">
        <v>82</v>
      </c>
    </row>
    <row r="402" hidden="1">
      <c r="A402" s="6" t="s">
        <v>81</v>
      </c>
      <c r="B402" s="7" t="s">
        <v>23</v>
      </c>
      <c r="C402" s="9">
        <v>28.0</v>
      </c>
      <c r="D402" s="9">
        <v>17.0</v>
      </c>
      <c r="E402" s="9">
        <v>30.0</v>
      </c>
      <c r="F402" s="9">
        <v>30.0</v>
      </c>
      <c r="G402" s="9">
        <v>17.0</v>
      </c>
      <c r="H402" s="10">
        <f t="shared" si="3"/>
        <v>1600</v>
      </c>
      <c r="I402" s="13" t="s">
        <v>82</v>
      </c>
    </row>
    <row r="403" hidden="1">
      <c r="A403" s="6" t="s">
        <v>81</v>
      </c>
      <c r="B403" s="7" t="s">
        <v>53</v>
      </c>
      <c r="C403" s="9">
        <v>28.0</v>
      </c>
      <c r="D403" s="9">
        <v>17.0</v>
      </c>
      <c r="E403" s="9">
        <v>30.0</v>
      </c>
      <c r="F403" s="9">
        <v>30.0</v>
      </c>
      <c r="G403" s="9">
        <v>17.0</v>
      </c>
      <c r="H403" s="10">
        <f t="shared" si="3"/>
        <v>1600</v>
      </c>
      <c r="I403" s="13" t="s">
        <v>82</v>
      </c>
    </row>
    <row r="404" hidden="1">
      <c r="A404" s="6" t="s">
        <v>83</v>
      </c>
      <c r="B404" s="7" t="s">
        <v>61</v>
      </c>
      <c r="C404" s="9">
        <v>33.0</v>
      </c>
      <c r="D404" s="9">
        <v>31.0</v>
      </c>
      <c r="E404" s="9">
        <v>22.0</v>
      </c>
      <c r="F404" s="9">
        <v>23.0</v>
      </c>
      <c r="G404" s="9">
        <v>31.0</v>
      </c>
      <c r="H404" s="10">
        <f t="shared" si="3"/>
        <v>1950</v>
      </c>
      <c r="I404" s="13" t="s">
        <v>84</v>
      </c>
    </row>
    <row r="405" hidden="1">
      <c r="A405" s="6" t="s">
        <v>83</v>
      </c>
      <c r="B405" s="7" t="s">
        <v>56</v>
      </c>
      <c r="C405" s="9">
        <v>33.0</v>
      </c>
      <c r="D405" s="9">
        <v>31.0</v>
      </c>
      <c r="E405" s="9">
        <v>22.0</v>
      </c>
      <c r="F405" s="9">
        <v>23.0</v>
      </c>
      <c r="G405" s="9">
        <v>31.0</v>
      </c>
      <c r="H405" s="10">
        <f t="shared" si="3"/>
        <v>1950</v>
      </c>
      <c r="I405" s="13" t="s">
        <v>84</v>
      </c>
    </row>
    <row r="406" hidden="1">
      <c r="A406" s="6" t="s">
        <v>83</v>
      </c>
      <c r="B406" s="7" t="s">
        <v>11</v>
      </c>
      <c r="C406" s="9">
        <v>33.0</v>
      </c>
      <c r="D406" s="9">
        <v>31.0</v>
      </c>
      <c r="E406" s="9">
        <v>22.0</v>
      </c>
      <c r="F406" s="9">
        <v>23.0</v>
      </c>
      <c r="G406" s="9">
        <v>31.0</v>
      </c>
      <c r="H406" s="10">
        <f t="shared" si="3"/>
        <v>1950</v>
      </c>
      <c r="I406" s="13" t="s">
        <v>84</v>
      </c>
    </row>
    <row r="407" hidden="1">
      <c r="A407" s="6" t="s">
        <v>83</v>
      </c>
      <c r="B407" s="7" t="s">
        <v>13</v>
      </c>
      <c r="C407" s="9">
        <v>33.0</v>
      </c>
      <c r="D407" s="9">
        <v>31.0</v>
      </c>
      <c r="E407" s="9">
        <v>22.0</v>
      </c>
      <c r="F407" s="9">
        <v>23.0</v>
      </c>
      <c r="G407" s="9">
        <v>31.0</v>
      </c>
      <c r="H407" s="10">
        <f t="shared" si="3"/>
        <v>1950</v>
      </c>
      <c r="I407" s="13" t="s">
        <v>84</v>
      </c>
    </row>
    <row r="408" hidden="1">
      <c r="A408" s="6" t="s">
        <v>83</v>
      </c>
      <c r="B408" s="7" t="s">
        <v>14</v>
      </c>
      <c r="C408" s="9">
        <v>33.0</v>
      </c>
      <c r="D408" s="9">
        <v>31.0</v>
      </c>
      <c r="E408" s="9">
        <v>22.0</v>
      </c>
      <c r="F408" s="9">
        <v>23.0</v>
      </c>
      <c r="G408" s="9">
        <v>31.0</v>
      </c>
      <c r="H408" s="10">
        <f t="shared" si="3"/>
        <v>1950</v>
      </c>
      <c r="I408" s="13" t="s">
        <v>84</v>
      </c>
    </row>
    <row r="409" hidden="1">
      <c r="A409" s="6" t="s">
        <v>83</v>
      </c>
      <c r="B409" s="7" t="s">
        <v>16</v>
      </c>
      <c r="C409" s="9">
        <v>33.0</v>
      </c>
      <c r="D409" s="9">
        <v>31.0</v>
      </c>
      <c r="E409" s="9">
        <v>22.0</v>
      </c>
      <c r="F409" s="9">
        <v>23.0</v>
      </c>
      <c r="G409" s="9">
        <v>31.0</v>
      </c>
      <c r="H409" s="10">
        <f t="shared" si="3"/>
        <v>1950</v>
      </c>
      <c r="I409" s="13" t="s">
        <v>84</v>
      </c>
    </row>
    <row r="410" hidden="1">
      <c r="A410" s="6" t="s">
        <v>83</v>
      </c>
      <c r="B410" s="7" t="s">
        <v>17</v>
      </c>
      <c r="C410" s="9">
        <v>33.0</v>
      </c>
      <c r="D410" s="9">
        <v>31.0</v>
      </c>
      <c r="E410" s="9">
        <v>22.0</v>
      </c>
      <c r="F410" s="9">
        <v>23.0</v>
      </c>
      <c r="G410" s="9">
        <v>31.0</v>
      </c>
      <c r="H410" s="10">
        <f t="shared" si="3"/>
        <v>1950</v>
      </c>
      <c r="I410" s="13" t="s">
        <v>84</v>
      </c>
    </row>
    <row r="411" hidden="1">
      <c r="A411" s="6" t="s">
        <v>83</v>
      </c>
      <c r="B411" s="7" t="s">
        <v>18</v>
      </c>
      <c r="C411" s="9">
        <v>33.0</v>
      </c>
      <c r="D411" s="9">
        <v>31.0</v>
      </c>
      <c r="E411" s="9">
        <v>22.0</v>
      </c>
      <c r="F411" s="9">
        <v>23.0</v>
      </c>
      <c r="G411" s="9">
        <v>31.0</v>
      </c>
      <c r="H411" s="10">
        <f t="shared" si="3"/>
        <v>1950</v>
      </c>
      <c r="I411" s="13" t="s">
        <v>84</v>
      </c>
    </row>
    <row r="412" hidden="1">
      <c r="A412" s="6" t="s">
        <v>83</v>
      </c>
      <c r="B412" s="7" t="s">
        <v>19</v>
      </c>
      <c r="C412" s="9">
        <v>33.0</v>
      </c>
      <c r="D412" s="9">
        <v>31.0</v>
      </c>
      <c r="E412" s="9">
        <v>22.0</v>
      </c>
      <c r="F412" s="9">
        <v>23.0</v>
      </c>
      <c r="G412" s="9">
        <v>31.0</v>
      </c>
      <c r="H412" s="10">
        <f t="shared" si="3"/>
        <v>1950</v>
      </c>
      <c r="I412" s="13" t="s">
        <v>84</v>
      </c>
    </row>
    <row r="413" hidden="1">
      <c r="A413" s="6" t="s">
        <v>83</v>
      </c>
      <c r="B413" s="7" t="s">
        <v>20</v>
      </c>
      <c r="C413" s="9">
        <v>33.0</v>
      </c>
      <c r="D413" s="9">
        <v>31.0</v>
      </c>
      <c r="E413" s="9">
        <v>22.0</v>
      </c>
      <c r="F413" s="9">
        <v>23.0</v>
      </c>
      <c r="G413" s="9">
        <v>31.0</v>
      </c>
      <c r="H413" s="10">
        <f t="shared" si="3"/>
        <v>1950</v>
      </c>
      <c r="I413" s="13" t="s">
        <v>84</v>
      </c>
    </row>
    <row r="414" hidden="1">
      <c r="A414" s="6" t="s">
        <v>83</v>
      </c>
      <c r="B414" s="7" t="s">
        <v>21</v>
      </c>
      <c r="C414" s="9">
        <v>33.0</v>
      </c>
      <c r="D414" s="9">
        <v>31.0</v>
      </c>
      <c r="E414" s="9">
        <v>22.0</v>
      </c>
      <c r="F414" s="9">
        <v>23.0</v>
      </c>
      <c r="G414" s="9">
        <v>31.0</v>
      </c>
      <c r="H414" s="10">
        <f t="shared" si="3"/>
        <v>1950</v>
      </c>
      <c r="I414" s="13" t="s">
        <v>84</v>
      </c>
    </row>
    <row r="415" hidden="1">
      <c r="A415" s="6" t="s">
        <v>83</v>
      </c>
      <c r="B415" s="7" t="s">
        <v>22</v>
      </c>
      <c r="C415" s="9">
        <v>33.0</v>
      </c>
      <c r="D415" s="9">
        <v>31.0</v>
      </c>
      <c r="E415" s="9">
        <v>22.0</v>
      </c>
      <c r="F415" s="9">
        <v>23.0</v>
      </c>
      <c r="G415" s="9">
        <v>31.0</v>
      </c>
      <c r="H415" s="10">
        <f t="shared" si="3"/>
        <v>1950</v>
      </c>
      <c r="I415" s="13" t="s">
        <v>84</v>
      </c>
    </row>
    <row r="416" hidden="1">
      <c r="A416" s="6" t="s">
        <v>83</v>
      </c>
      <c r="B416" s="7" t="s">
        <v>23</v>
      </c>
      <c r="C416" s="9">
        <v>33.0</v>
      </c>
      <c r="D416" s="9">
        <v>31.0</v>
      </c>
      <c r="E416" s="9">
        <v>22.0</v>
      </c>
      <c r="F416" s="9">
        <v>23.0</v>
      </c>
      <c r="G416" s="9">
        <v>31.0</v>
      </c>
      <c r="H416" s="10">
        <f t="shared" si="3"/>
        <v>1950</v>
      </c>
      <c r="I416" s="13" t="s">
        <v>84</v>
      </c>
    </row>
    <row r="417" hidden="1">
      <c r="A417" s="6" t="s">
        <v>83</v>
      </c>
      <c r="B417" s="7" t="s">
        <v>53</v>
      </c>
      <c r="C417" s="9">
        <v>33.0</v>
      </c>
      <c r="D417" s="9">
        <v>31.0</v>
      </c>
      <c r="E417" s="9">
        <v>22.0</v>
      </c>
      <c r="F417" s="9">
        <v>23.0</v>
      </c>
      <c r="G417" s="9">
        <v>31.0</v>
      </c>
      <c r="H417" s="10">
        <f t="shared" si="3"/>
        <v>1950</v>
      </c>
      <c r="I417" s="13" t="s">
        <v>84</v>
      </c>
    </row>
    <row r="418" hidden="1">
      <c r="A418" s="6" t="s">
        <v>85</v>
      </c>
      <c r="B418" s="7" t="s">
        <v>61</v>
      </c>
      <c r="C418" s="8">
        <v>24.0</v>
      </c>
      <c r="D418" s="9">
        <v>17.0</v>
      </c>
      <c r="E418" s="9">
        <v>30.0</v>
      </c>
      <c r="F418" s="9">
        <v>31.0</v>
      </c>
      <c r="G418" s="9">
        <v>24.0</v>
      </c>
      <c r="H418" s="10">
        <f t="shared" si="3"/>
        <v>1700</v>
      </c>
      <c r="I418" s="13" t="s">
        <v>86</v>
      </c>
    </row>
    <row r="419" hidden="1">
      <c r="A419" s="6" t="s">
        <v>85</v>
      </c>
      <c r="B419" s="7" t="s">
        <v>56</v>
      </c>
      <c r="C419" s="8">
        <v>24.0</v>
      </c>
      <c r="D419" s="9">
        <v>17.0</v>
      </c>
      <c r="E419" s="9">
        <v>30.0</v>
      </c>
      <c r="F419" s="9">
        <v>31.0</v>
      </c>
      <c r="G419" s="9">
        <v>24.0</v>
      </c>
      <c r="H419" s="10">
        <f t="shared" si="3"/>
        <v>1700</v>
      </c>
      <c r="I419" s="13" t="s">
        <v>86</v>
      </c>
    </row>
    <row r="420" hidden="1">
      <c r="A420" s="6" t="s">
        <v>85</v>
      </c>
      <c r="B420" s="7" t="s">
        <v>11</v>
      </c>
      <c r="C420" s="8">
        <v>24.0</v>
      </c>
      <c r="D420" s="9">
        <v>17.0</v>
      </c>
      <c r="E420" s="9">
        <v>30.0</v>
      </c>
      <c r="F420" s="9">
        <v>31.0</v>
      </c>
      <c r="G420" s="9">
        <v>24.0</v>
      </c>
      <c r="H420" s="10">
        <f t="shared" si="3"/>
        <v>1700</v>
      </c>
      <c r="I420" s="13" t="s">
        <v>86</v>
      </c>
    </row>
    <row r="421" hidden="1">
      <c r="A421" s="6" t="s">
        <v>85</v>
      </c>
      <c r="B421" s="7" t="s">
        <v>13</v>
      </c>
      <c r="C421" s="8">
        <v>24.0</v>
      </c>
      <c r="D421" s="9">
        <v>17.0</v>
      </c>
      <c r="E421" s="9">
        <v>30.0</v>
      </c>
      <c r="F421" s="9">
        <v>31.0</v>
      </c>
      <c r="G421" s="9">
        <v>24.0</v>
      </c>
      <c r="H421" s="10">
        <f t="shared" si="3"/>
        <v>1700</v>
      </c>
      <c r="I421" s="13" t="s">
        <v>86</v>
      </c>
    </row>
    <row r="422" hidden="1">
      <c r="A422" s="6" t="s">
        <v>85</v>
      </c>
      <c r="B422" s="7" t="s">
        <v>14</v>
      </c>
      <c r="C422" s="8">
        <v>24.0</v>
      </c>
      <c r="D422" s="9">
        <v>17.0</v>
      </c>
      <c r="E422" s="9">
        <v>30.0</v>
      </c>
      <c r="F422" s="9">
        <v>31.0</v>
      </c>
      <c r="G422" s="9">
        <v>24.0</v>
      </c>
      <c r="H422" s="10">
        <f t="shared" si="3"/>
        <v>1700</v>
      </c>
      <c r="I422" s="13" t="s">
        <v>86</v>
      </c>
    </row>
    <row r="423" hidden="1">
      <c r="A423" s="6" t="s">
        <v>85</v>
      </c>
      <c r="B423" s="7" t="s">
        <v>16</v>
      </c>
      <c r="C423" s="8">
        <v>24.0</v>
      </c>
      <c r="D423" s="9">
        <v>17.0</v>
      </c>
      <c r="E423" s="9">
        <v>30.0</v>
      </c>
      <c r="F423" s="9">
        <v>31.0</v>
      </c>
      <c r="G423" s="9">
        <v>24.0</v>
      </c>
      <c r="H423" s="10">
        <f t="shared" si="3"/>
        <v>1700</v>
      </c>
      <c r="I423" s="13" t="s">
        <v>86</v>
      </c>
    </row>
    <row r="424" hidden="1">
      <c r="A424" s="6" t="s">
        <v>85</v>
      </c>
      <c r="B424" s="7" t="s">
        <v>17</v>
      </c>
      <c r="C424" s="8">
        <v>24.0</v>
      </c>
      <c r="D424" s="9">
        <v>17.0</v>
      </c>
      <c r="E424" s="9">
        <v>30.0</v>
      </c>
      <c r="F424" s="9">
        <v>31.0</v>
      </c>
      <c r="G424" s="9">
        <v>24.0</v>
      </c>
      <c r="H424" s="10">
        <f t="shared" si="3"/>
        <v>1700</v>
      </c>
      <c r="I424" s="13" t="s">
        <v>86</v>
      </c>
    </row>
    <row r="425" hidden="1">
      <c r="A425" s="6" t="s">
        <v>85</v>
      </c>
      <c r="B425" s="7" t="s">
        <v>18</v>
      </c>
      <c r="C425" s="8">
        <v>24.0</v>
      </c>
      <c r="D425" s="9">
        <v>17.0</v>
      </c>
      <c r="E425" s="9">
        <v>30.0</v>
      </c>
      <c r="F425" s="9">
        <v>31.0</v>
      </c>
      <c r="G425" s="9">
        <v>24.0</v>
      </c>
      <c r="H425" s="10">
        <f t="shared" si="3"/>
        <v>1700</v>
      </c>
      <c r="I425" s="13" t="s">
        <v>86</v>
      </c>
    </row>
    <row r="426" hidden="1">
      <c r="A426" s="6" t="s">
        <v>85</v>
      </c>
      <c r="B426" s="7" t="s">
        <v>19</v>
      </c>
      <c r="C426" s="8">
        <v>24.0</v>
      </c>
      <c r="D426" s="9">
        <v>17.0</v>
      </c>
      <c r="E426" s="9">
        <v>30.0</v>
      </c>
      <c r="F426" s="9">
        <v>31.0</v>
      </c>
      <c r="G426" s="9">
        <v>24.0</v>
      </c>
      <c r="H426" s="10">
        <f t="shared" si="3"/>
        <v>1700</v>
      </c>
      <c r="I426" s="13" t="s">
        <v>86</v>
      </c>
    </row>
    <row r="427" hidden="1">
      <c r="A427" s="6" t="s">
        <v>85</v>
      </c>
      <c r="B427" s="7" t="s">
        <v>20</v>
      </c>
      <c r="C427" s="8">
        <v>24.0</v>
      </c>
      <c r="D427" s="9">
        <v>17.0</v>
      </c>
      <c r="E427" s="9">
        <v>30.0</v>
      </c>
      <c r="F427" s="9">
        <v>31.0</v>
      </c>
      <c r="G427" s="9">
        <v>24.0</v>
      </c>
      <c r="H427" s="10">
        <f t="shared" si="3"/>
        <v>1700</v>
      </c>
      <c r="I427" s="13" t="s">
        <v>86</v>
      </c>
    </row>
    <row r="428" hidden="1">
      <c r="A428" s="6" t="s">
        <v>85</v>
      </c>
      <c r="B428" s="7" t="s">
        <v>21</v>
      </c>
      <c r="C428" s="8">
        <v>24.0</v>
      </c>
      <c r="D428" s="9">
        <v>17.0</v>
      </c>
      <c r="E428" s="9">
        <v>30.0</v>
      </c>
      <c r="F428" s="9">
        <v>31.0</v>
      </c>
      <c r="G428" s="9">
        <v>24.0</v>
      </c>
      <c r="H428" s="10">
        <f t="shared" si="3"/>
        <v>1700</v>
      </c>
      <c r="I428" s="13" t="s">
        <v>86</v>
      </c>
    </row>
    <row r="429" hidden="1">
      <c r="A429" s="6" t="s">
        <v>85</v>
      </c>
      <c r="B429" s="7" t="s">
        <v>22</v>
      </c>
      <c r="C429" s="8">
        <v>24.0</v>
      </c>
      <c r="D429" s="9">
        <v>17.0</v>
      </c>
      <c r="E429" s="9">
        <v>30.0</v>
      </c>
      <c r="F429" s="9">
        <v>31.0</v>
      </c>
      <c r="G429" s="9">
        <v>24.0</v>
      </c>
      <c r="H429" s="10">
        <f t="shared" si="3"/>
        <v>1700</v>
      </c>
      <c r="I429" s="13" t="s">
        <v>86</v>
      </c>
    </row>
    <row r="430" hidden="1">
      <c r="A430" s="6" t="s">
        <v>85</v>
      </c>
      <c r="B430" s="7" t="s">
        <v>23</v>
      </c>
      <c r="C430" s="8">
        <v>24.0</v>
      </c>
      <c r="D430" s="9">
        <v>17.0</v>
      </c>
      <c r="E430" s="9">
        <v>30.0</v>
      </c>
      <c r="F430" s="9">
        <v>31.0</v>
      </c>
      <c r="G430" s="9">
        <v>24.0</v>
      </c>
      <c r="H430" s="10">
        <f t="shared" si="3"/>
        <v>1700</v>
      </c>
      <c r="I430" s="13" t="s">
        <v>86</v>
      </c>
    </row>
    <row r="431" hidden="1">
      <c r="A431" s="6" t="s">
        <v>85</v>
      </c>
      <c r="B431" s="7" t="s">
        <v>53</v>
      </c>
      <c r="C431" s="8">
        <v>24.0</v>
      </c>
      <c r="D431" s="9">
        <v>17.0</v>
      </c>
      <c r="E431" s="9">
        <v>30.0</v>
      </c>
      <c r="F431" s="9">
        <v>31.0</v>
      </c>
      <c r="G431" s="9">
        <v>24.0</v>
      </c>
      <c r="H431" s="10">
        <f t="shared" si="3"/>
        <v>1700</v>
      </c>
      <c r="I431" s="13" t="s">
        <v>86</v>
      </c>
    </row>
    <row r="432" hidden="1">
      <c r="A432" s="6" t="s">
        <v>87</v>
      </c>
      <c r="B432" s="13" t="s">
        <v>61</v>
      </c>
      <c r="C432" s="11"/>
      <c r="D432" s="12">
        <v>31.0</v>
      </c>
      <c r="E432" s="9">
        <v>30.0</v>
      </c>
      <c r="F432" s="9">
        <v>18.0</v>
      </c>
      <c r="G432" s="9">
        <v>32.0</v>
      </c>
      <c r="H432" s="10">
        <f t="shared" si="3"/>
        <v>1550</v>
      </c>
      <c r="I432" s="13" t="s">
        <v>88</v>
      </c>
    </row>
    <row r="433" hidden="1">
      <c r="A433" s="6" t="s">
        <v>87</v>
      </c>
      <c r="B433" s="13" t="s">
        <v>56</v>
      </c>
      <c r="C433" s="11"/>
      <c r="D433" s="11"/>
      <c r="E433" s="9">
        <v>30.0</v>
      </c>
      <c r="F433" s="9">
        <v>18.0</v>
      </c>
      <c r="G433" s="9">
        <v>32.0</v>
      </c>
      <c r="H433" s="10">
        <f t="shared" si="3"/>
        <v>1100</v>
      </c>
      <c r="I433" s="13" t="s">
        <v>88</v>
      </c>
    </row>
    <row r="434" hidden="1">
      <c r="A434" s="6" t="s">
        <v>87</v>
      </c>
      <c r="B434" s="7" t="s">
        <v>11</v>
      </c>
      <c r="C434" s="9">
        <v>30.0</v>
      </c>
      <c r="D434" s="9">
        <v>31.0</v>
      </c>
      <c r="E434" s="9">
        <v>30.0</v>
      </c>
      <c r="F434" s="9">
        <v>18.0</v>
      </c>
      <c r="G434" s="9">
        <v>32.0</v>
      </c>
      <c r="H434" s="10">
        <f t="shared" si="3"/>
        <v>2000</v>
      </c>
      <c r="I434" s="13" t="s">
        <v>88</v>
      </c>
    </row>
    <row r="435" hidden="1">
      <c r="A435" s="6" t="s">
        <v>87</v>
      </c>
      <c r="B435" s="7" t="s">
        <v>13</v>
      </c>
      <c r="C435" s="9">
        <v>30.0</v>
      </c>
      <c r="D435" s="9">
        <v>31.0</v>
      </c>
      <c r="E435" s="9">
        <v>30.0</v>
      </c>
      <c r="F435" s="9">
        <v>18.0</v>
      </c>
      <c r="G435" s="9">
        <v>32.0</v>
      </c>
      <c r="H435" s="10">
        <f t="shared" si="3"/>
        <v>2000</v>
      </c>
      <c r="I435" s="13" t="s">
        <v>88</v>
      </c>
    </row>
    <row r="436" hidden="1">
      <c r="A436" s="6" t="s">
        <v>87</v>
      </c>
      <c r="B436" s="7" t="s">
        <v>14</v>
      </c>
      <c r="C436" s="9">
        <v>30.0</v>
      </c>
      <c r="D436" s="9">
        <v>31.0</v>
      </c>
      <c r="E436" s="9">
        <v>30.0</v>
      </c>
      <c r="F436" s="9">
        <v>18.0</v>
      </c>
      <c r="G436" s="9">
        <v>32.0</v>
      </c>
      <c r="H436" s="10">
        <f t="shared" si="3"/>
        <v>2000</v>
      </c>
      <c r="I436" s="13" t="s">
        <v>88</v>
      </c>
    </row>
    <row r="437" hidden="1">
      <c r="A437" s="6" t="s">
        <v>87</v>
      </c>
      <c r="B437" s="7" t="s">
        <v>15</v>
      </c>
      <c r="C437" s="9">
        <v>30.0</v>
      </c>
      <c r="D437" s="9">
        <v>31.0</v>
      </c>
      <c r="E437" s="9">
        <v>30.0</v>
      </c>
      <c r="F437" s="9">
        <v>18.0</v>
      </c>
      <c r="G437" s="9">
        <v>32.0</v>
      </c>
      <c r="H437" s="10">
        <f t="shared" si="3"/>
        <v>2000</v>
      </c>
      <c r="I437" s="13" t="s">
        <v>88</v>
      </c>
    </row>
    <row r="438" hidden="1">
      <c r="A438" s="6" t="s">
        <v>87</v>
      </c>
      <c r="B438" s="7" t="s">
        <v>16</v>
      </c>
      <c r="C438" s="9">
        <v>30.0</v>
      </c>
      <c r="D438" s="9">
        <v>31.0</v>
      </c>
      <c r="E438" s="9">
        <v>30.0</v>
      </c>
      <c r="F438" s="9">
        <v>18.0</v>
      </c>
      <c r="G438" s="9">
        <v>32.0</v>
      </c>
      <c r="H438" s="10">
        <f t="shared" si="3"/>
        <v>2000</v>
      </c>
      <c r="I438" s="13" t="s">
        <v>88</v>
      </c>
    </row>
    <row r="439" hidden="1">
      <c r="A439" s="6" t="s">
        <v>87</v>
      </c>
      <c r="B439" s="7" t="s">
        <v>17</v>
      </c>
      <c r="C439" s="9">
        <v>30.0</v>
      </c>
      <c r="D439" s="9">
        <v>31.0</v>
      </c>
      <c r="E439" s="9">
        <v>30.0</v>
      </c>
      <c r="F439" s="9">
        <v>18.0</v>
      </c>
      <c r="G439" s="9">
        <v>32.0</v>
      </c>
      <c r="H439" s="10">
        <f t="shared" si="3"/>
        <v>2000</v>
      </c>
      <c r="I439" s="13" t="s">
        <v>88</v>
      </c>
    </row>
    <row r="440" hidden="1">
      <c r="A440" s="6" t="s">
        <v>87</v>
      </c>
      <c r="B440" s="7" t="s">
        <v>18</v>
      </c>
      <c r="C440" s="9">
        <v>30.0</v>
      </c>
      <c r="D440" s="9">
        <v>31.0</v>
      </c>
      <c r="E440" s="9">
        <v>30.0</v>
      </c>
      <c r="F440" s="9">
        <v>18.0</v>
      </c>
      <c r="G440" s="9">
        <v>32.0</v>
      </c>
      <c r="H440" s="10">
        <f t="shared" si="3"/>
        <v>2000</v>
      </c>
      <c r="I440" s="13" t="s">
        <v>88</v>
      </c>
    </row>
    <row r="441" hidden="1">
      <c r="A441" s="6" t="s">
        <v>87</v>
      </c>
      <c r="B441" s="7" t="s">
        <v>19</v>
      </c>
      <c r="C441" s="9">
        <v>30.0</v>
      </c>
      <c r="D441" s="9">
        <v>31.0</v>
      </c>
      <c r="E441" s="9">
        <v>30.0</v>
      </c>
      <c r="F441" s="9">
        <v>18.0</v>
      </c>
      <c r="G441" s="9">
        <v>32.0</v>
      </c>
      <c r="H441" s="10">
        <f t="shared" si="3"/>
        <v>2000</v>
      </c>
      <c r="I441" s="13" t="s">
        <v>88</v>
      </c>
    </row>
    <row r="442" hidden="1">
      <c r="A442" s="6" t="s">
        <v>87</v>
      </c>
      <c r="B442" s="7" t="s">
        <v>20</v>
      </c>
      <c r="C442" s="9">
        <v>30.0</v>
      </c>
      <c r="D442" s="9">
        <v>31.0</v>
      </c>
      <c r="E442" s="9">
        <v>30.0</v>
      </c>
      <c r="F442" s="9">
        <v>18.0</v>
      </c>
      <c r="G442" s="9">
        <v>32.0</v>
      </c>
      <c r="H442" s="10">
        <f t="shared" si="3"/>
        <v>2000</v>
      </c>
      <c r="I442" s="13" t="s">
        <v>88</v>
      </c>
    </row>
    <row r="443" hidden="1">
      <c r="A443" s="6" t="s">
        <v>87</v>
      </c>
      <c r="B443" s="7" t="s">
        <v>21</v>
      </c>
      <c r="C443" s="9">
        <v>30.0</v>
      </c>
      <c r="D443" s="9">
        <v>31.0</v>
      </c>
      <c r="E443" s="9">
        <v>30.0</v>
      </c>
      <c r="F443" s="9">
        <v>18.0</v>
      </c>
      <c r="G443" s="9">
        <v>32.0</v>
      </c>
      <c r="H443" s="10">
        <f t="shared" si="3"/>
        <v>2000</v>
      </c>
      <c r="I443" s="13" t="s">
        <v>88</v>
      </c>
    </row>
    <row r="444" hidden="1">
      <c r="A444" s="6" t="s">
        <v>87</v>
      </c>
      <c r="B444" s="7" t="s">
        <v>22</v>
      </c>
      <c r="C444" s="9">
        <v>30.0</v>
      </c>
      <c r="D444" s="9">
        <v>31.0</v>
      </c>
      <c r="E444" s="9">
        <v>30.0</v>
      </c>
      <c r="F444" s="9">
        <v>18.0</v>
      </c>
      <c r="G444" s="9">
        <v>32.0</v>
      </c>
      <c r="H444" s="10">
        <f t="shared" si="3"/>
        <v>2000</v>
      </c>
      <c r="I444" s="13" t="s">
        <v>88</v>
      </c>
    </row>
    <row r="445" hidden="1">
      <c r="A445" s="6" t="s">
        <v>87</v>
      </c>
      <c r="B445" s="7" t="s">
        <v>23</v>
      </c>
      <c r="C445" s="9">
        <v>30.0</v>
      </c>
      <c r="D445" s="9">
        <v>31.0</v>
      </c>
      <c r="E445" s="9">
        <v>30.0</v>
      </c>
      <c r="F445" s="9">
        <v>18.0</v>
      </c>
      <c r="G445" s="9">
        <v>32.0</v>
      </c>
      <c r="H445" s="10">
        <f t="shared" si="3"/>
        <v>2000</v>
      </c>
      <c r="I445" s="13" t="s">
        <v>88</v>
      </c>
    </row>
    <row r="446" hidden="1">
      <c r="A446" s="6" t="s">
        <v>87</v>
      </c>
      <c r="B446" s="7" t="s">
        <v>53</v>
      </c>
      <c r="C446" s="9">
        <v>30.0</v>
      </c>
      <c r="D446" s="9">
        <v>31.0</v>
      </c>
      <c r="E446" s="9">
        <v>30.0</v>
      </c>
      <c r="F446" s="9">
        <v>18.0</v>
      </c>
      <c r="G446" s="9">
        <v>32.0</v>
      </c>
      <c r="H446" s="10">
        <f t="shared" si="3"/>
        <v>2000</v>
      </c>
      <c r="I446" s="13" t="s">
        <v>88</v>
      </c>
    </row>
    <row r="447" hidden="1">
      <c r="A447" s="6" t="s">
        <v>89</v>
      </c>
      <c r="B447" s="13" t="s">
        <v>90</v>
      </c>
      <c r="C447" s="8">
        <v>30.0</v>
      </c>
      <c r="D447" s="9">
        <v>30.0</v>
      </c>
      <c r="E447" s="9">
        <v>17.0</v>
      </c>
      <c r="F447" s="9">
        <v>17.0</v>
      </c>
      <c r="G447" s="9">
        <v>19.0</v>
      </c>
      <c r="H447" s="10">
        <f t="shared" si="3"/>
        <v>1500</v>
      </c>
      <c r="I447" s="13" t="s">
        <v>91</v>
      </c>
    </row>
    <row r="448" hidden="1">
      <c r="A448" s="6" t="s">
        <v>89</v>
      </c>
      <c r="B448" s="7" t="s">
        <v>11</v>
      </c>
      <c r="C448" s="8">
        <v>30.0</v>
      </c>
      <c r="D448" s="9">
        <v>30.0</v>
      </c>
      <c r="E448" s="9">
        <v>17.0</v>
      </c>
      <c r="F448" s="9">
        <v>17.0</v>
      </c>
      <c r="G448" s="9">
        <v>19.0</v>
      </c>
      <c r="H448" s="10">
        <f t="shared" si="3"/>
        <v>1500</v>
      </c>
      <c r="I448" s="13" t="s">
        <v>91</v>
      </c>
    </row>
    <row r="449" hidden="1">
      <c r="A449" s="6" t="s">
        <v>89</v>
      </c>
      <c r="B449" s="7" t="s">
        <v>13</v>
      </c>
      <c r="C449" s="8">
        <v>30.0</v>
      </c>
      <c r="D449" s="9">
        <v>30.0</v>
      </c>
      <c r="E449" s="9">
        <v>17.0</v>
      </c>
      <c r="F449" s="9">
        <v>17.0</v>
      </c>
      <c r="G449" s="9">
        <v>19.0</v>
      </c>
      <c r="H449" s="10">
        <f t="shared" si="3"/>
        <v>1500</v>
      </c>
      <c r="I449" s="13" t="s">
        <v>91</v>
      </c>
    </row>
    <row r="450" hidden="1">
      <c r="A450" s="6" t="s">
        <v>89</v>
      </c>
      <c r="B450" s="7" t="s">
        <v>14</v>
      </c>
      <c r="C450" s="8">
        <v>30.0</v>
      </c>
      <c r="D450" s="9">
        <v>30.0</v>
      </c>
      <c r="E450" s="9">
        <v>17.0</v>
      </c>
      <c r="F450" s="9">
        <v>17.0</v>
      </c>
      <c r="G450" s="9">
        <v>19.0</v>
      </c>
      <c r="H450" s="10">
        <f t="shared" si="3"/>
        <v>1500</v>
      </c>
      <c r="I450" s="13" t="s">
        <v>91</v>
      </c>
    </row>
    <row r="451" hidden="1">
      <c r="A451" s="6" t="s">
        <v>89</v>
      </c>
      <c r="B451" s="7" t="s">
        <v>15</v>
      </c>
      <c r="C451" s="8">
        <v>30.0</v>
      </c>
      <c r="D451" s="9">
        <v>30.0</v>
      </c>
      <c r="E451" s="9">
        <v>17.0</v>
      </c>
      <c r="F451" s="9">
        <v>17.0</v>
      </c>
      <c r="G451" s="9">
        <v>19.0</v>
      </c>
      <c r="H451" s="10">
        <f t="shared" si="3"/>
        <v>1500</v>
      </c>
      <c r="I451" s="13" t="s">
        <v>91</v>
      </c>
    </row>
    <row r="452" hidden="1">
      <c r="A452" s="6" t="s">
        <v>89</v>
      </c>
      <c r="B452" s="7" t="s">
        <v>16</v>
      </c>
      <c r="C452" s="8">
        <v>30.0</v>
      </c>
      <c r="D452" s="9">
        <v>30.0</v>
      </c>
      <c r="E452" s="9">
        <v>17.0</v>
      </c>
      <c r="F452" s="9">
        <v>17.0</v>
      </c>
      <c r="G452" s="9">
        <v>19.0</v>
      </c>
      <c r="H452" s="10">
        <f t="shared" si="3"/>
        <v>1500</v>
      </c>
      <c r="I452" s="13" t="s">
        <v>91</v>
      </c>
    </row>
    <row r="453" hidden="1">
      <c r="A453" s="6" t="s">
        <v>89</v>
      </c>
      <c r="B453" s="7" t="s">
        <v>17</v>
      </c>
      <c r="C453" s="8">
        <v>30.0</v>
      </c>
      <c r="D453" s="9">
        <v>30.0</v>
      </c>
      <c r="E453" s="9">
        <v>17.0</v>
      </c>
      <c r="F453" s="9">
        <v>17.0</v>
      </c>
      <c r="G453" s="9">
        <v>19.0</v>
      </c>
      <c r="H453" s="10">
        <f t="shared" si="3"/>
        <v>1500</v>
      </c>
      <c r="I453" s="13" t="s">
        <v>91</v>
      </c>
    </row>
    <row r="454" hidden="1">
      <c r="A454" s="6" t="s">
        <v>89</v>
      </c>
      <c r="B454" s="7" t="s">
        <v>18</v>
      </c>
      <c r="C454" s="8">
        <v>30.0</v>
      </c>
      <c r="D454" s="9">
        <v>30.0</v>
      </c>
      <c r="E454" s="9">
        <v>17.0</v>
      </c>
      <c r="F454" s="9">
        <v>17.0</v>
      </c>
      <c r="G454" s="9">
        <v>19.0</v>
      </c>
      <c r="H454" s="10">
        <f t="shared" si="3"/>
        <v>1500</v>
      </c>
      <c r="I454" s="13" t="s">
        <v>91</v>
      </c>
    </row>
    <row r="455" hidden="1">
      <c r="A455" s="6" t="s">
        <v>89</v>
      </c>
      <c r="B455" s="7" t="s">
        <v>19</v>
      </c>
      <c r="C455" s="8">
        <v>30.0</v>
      </c>
      <c r="D455" s="9">
        <v>30.0</v>
      </c>
      <c r="E455" s="9">
        <v>17.0</v>
      </c>
      <c r="F455" s="9">
        <v>17.0</v>
      </c>
      <c r="G455" s="9">
        <v>19.0</v>
      </c>
      <c r="H455" s="10">
        <f t="shared" si="3"/>
        <v>1500</v>
      </c>
      <c r="I455" s="13" t="s">
        <v>91</v>
      </c>
    </row>
    <row r="456" hidden="1">
      <c r="A456" s="6" t="s">
        <v>89</v>
      </c>
      <c r="B456" s="7" t="s">
        <v>20</v>
      </c>
      <c r="C456" s="8">
        <v>30.0</v>
      </c>
      <c r="D456" s="9">
        <v>30.0</v>
      </c>
      <c r="E456" s="9">
        <v>17.0</v>
      </c>
      <c r="F456" s="9">
        <v>17.0</v>
      </c>
      <c r="G456" s="9">
        <v>19.0</v>
      </c>
      <c r="H456" s="10">
        <f t="shared" si="3"/>
        <v>1500</v>
      </c>
      <c r="I456" s="13" t="s">
        <v>91</v>
      </c>
    </row>
    <row r="457" hidden="1">
      <c r="A457" s="6" t="s">
        <v>89</v>
      </c>
      <c r="B457" s="7" t="s">
        <v>21</v>
      </c>
      <c r="C457" s="8">
        <v>30.0</v>
      </c>
      <c r="D457" s="9">
        <v>30.0</v>
      </c>
      <c r="E457" s="9">
        <v>17.0</v>
      </c>
      <c r="F457" s="9">
        <v>17.0</v>
      </c>
      <c r="G457" s="9">
        <v>19.0</v>
      </c>
      <c r="H457" s="10">
        <f t="shared" si="3"/>
        <v>1500</v>
      </c>
      <c r="I457" s="13" t="s">
        <v>91</v>
      </c>
    </row>
    <row r="458" hidden="1">
      <c r="A458" s="6" t="s">
        <v>89</v>
      </c>
      <c r="B458" s="7" t="s">
        <v>22</v>
      </c>
      <c r="C458" s="8">
        <v>30.0</v>
      </c>
      <c r="D458" s="9">
        <v>30.0</v>
      </c>
      <c r="E458" s="9">
        <v>17.0</v>
      </c>
      <c r="F458" s="9">
        <v>17.0</v>
      </c>
      <c r="G458" s="9">
        <v>19.0</v>
      </c>
      <c r="H458" s="10">
        <f t="shared" si="3"/>
        <v>1500</v>
      </c>
      <c r="I458" s="13" t="s">
        <v>91</v>
      </c>
    </row>
    <row r="459" hidden="1">
      <c r="A459" s="6" t="s">
        <v>89</v>
      </c>
      <c r="B459" s="7" t="s">
        <v>23</v>
      </c>
      <c r="C459" s="8">
        <v>30.0</v>
      </c>
      <c r="D459" s="9">
        <v>30.0</v>
      </c>
      <c r="E459" s="9">
        <v>17.0</v>
      </c>
      <c r="F459" s="9">
        <v>17.0</v>
      </c>
      <c r="G459" s="9">
        <v>19.0</v>
      </c>
      <c r="H459" s="10">
        <f t="shared" si="3"/>
        <v>1500</v>
      </c>
      <c r="I459" s="13" t="s">
        <v>91</v>
      </c>
    </row>
    <row r="460" hidden="1">
      <c r="A460" s="6" t="s">
        <v>89</v>
      </c>
      <c r="B460" s="7" t="s">
        <v>53</v>
      </c>
      <c r="C460" s="8">
        <v>30.0</v>
      </c>
      <c r="D460" s="9">
        <v>30.0</v>
      </c>
      <c r="E460" s="9">
        <v>17.0</v>
      </c>
      <c r="F460" s="9">
        <v>17.0</v>
      </c>
      <c r="G460" s="9">
        <v>19.0</v>
      </c>
      <c r="H460" s="10">
        <f t="shared" si="3"/>
        <v>1500</v>
      </c>
      <c r="I460" s="13" t="s">
        <v>91</v>
      </c>
    </row>
    <row r="461" hidden="1">
      <c r="A461" s="6" t="s">
        <v>92</v>
      </c>
      <c r="B461" s="13" t="s">
        <v>90</v>
      </c>
      <c r="C461" s="17"/>
      <c r="D461" s="11"/>
      <c r="E461" s="11"/>
      <c r="F461" s="9">
        <v>22.0</v>
      </c>
      <c r="G461" s="9">
        <v>22.0</v>
      </c>
      <c r="H461" s="10">
        <f t="shared" si="3"/>
        <v>600</v>
      </c>
      <c r="I461" s="13" t="s">
        <v>93</v>
      </c>
    </row>
    <row r="462" hidden="1">
      <c r="A462" s="6" t="s">
        <v>92</v>
      </c>
      <c r="B462" s="7" t="s">
        <v>11</v>
      </c>
      <c r="C462" s="8">
        <v>18.0</v>
      </c>
      <c r="D462" s="9">
        <v>23.0</v>
      </c>
      <c r="E462" s="9">
        <v>18.0</v>
      </c>
      <c r="F462" s="9">
        <v>22.0</v>
      </c>
      <c r="G462" s="9">
        <v>22.0</v>
      </c>
      <c r="H462" s="10">
        <f t="shared" si="3"/>
        <v>1300</v>
      </c>
      <c r="I462" s="13" t="s">
        <v>94</v>
      </c>
    </row>
    <row r="463" hidden="1">
      <c r="A463" s="6" t="s">
        <v>92</v>
      </c>
      <c r="B463" s="7" t="s">
        <v>13</v>
      </c>
      <c r="C463" s="8">
        <v>18.0</v>
      </c>
      <c r="D463" s="9">
        <v>23.0</v>
      </c>
      <c r="E463" s="9">
        <v>18.0</v>
      </c>
      <c r="F463" s="9">
        <v>22.0</v>
      </c>
      <c r="G463" s="9">
        <v>22.0</v>
      </c>
      <c r="H463" s="10">
        <f t="shared" si="3"/>
        <v>1300</v>
      </c>
      <c r="I463" s="13" t="s">
        <v>94</v>
      </c>
    </row>
    <row r="464" hidden="1">
      <c r="A464" s="6" t="s">
        <v>92</v>
      </c>
      <c r="B464" s="7" t="s">
        <v>14</v>
      </c>
      <c r="C464" s="8">
        <v>18.0</v>
      </c>
      <c r="D464" s="9">
        <v>23.0</v>
      </c>
      <c r="E464" s="9">
        <v>18.0</v>
      </c>
      <c r="F464" s="9">
        <v>22.0</v>
      </c>
      <c r="G464" s="9">
        <v>22.0</v>
      </c>
      <c r="H464" s="10">
        <f t="shared" si="3"/>
        <v>1300</v>
      </c>
      <c r="I464" s="13" t="s">
        <v>94</v>
      </c>
    </row>
    <row r="465" hidden="1">
      <c r="A465" s="6" t="s">
        <v>92</v>
      </c>
      <c r="B465" s="7" t="s">
        <v>15</v>
      </c>
      <c r="C465" s="8">
        <v>18.0</v>
      </c>
      <c r="D465" s="9">
        <v>23.0</v>
      </c>
      <c r="E465" s="9">
        <v>18.0</v>
      </c>
      <c r="F465" s="9">
        <v>22.0</v>
      </c>
      <c r="G465" s="9">
        <v>22.0</v>
      </c>
      <c r="H465" s="10">
        <f t="shared" si="3"/>
        <v>1300</v>
      </c>
      <c r="I465" s="13" t="s">
        <v>94</v>
      </c>
    </row>
    <row r="466" hidden="1">
      <c r="A466" s="6" t="s">
        <v>92</v>
      </c>
      <c r="B466" s="7" t="s">
        <v>16</v>
      </c>
      <c r="C466" s="8">
        <v>18.0</v>
      </c>
      <c r="D466" s="9">
        <v>23.0</v>
      </c>
      <c r="E466" s="9">
        <v>18.0</v>
      </c>
      <c r="F466" s="9">
        <v>22.0</v>
      </c>
      <c r="G466" s="9">
        <v>22.0</v>
      </c>
      <c r="H466" s="10">
        <f t="shared" si="3"/>
        <v>1300</v>
      </c>
      <c r="I466" s="13" t="s">
        <v>94</v>
      </c>
    </row>
    <row r="467" hidden="1">
      <c r="A467" s="6" t="s">
        <v>92</v>
      </c>
      <c r="B467" s="7" t="s">
        <v>17</v>
      </c>
      <c r="C467" s="8">
        <v>18.0</v>
      </c>
      <c r="D467" s="9">
        <v>23.0</v>
      </c>
      <c r="E467" s="9">
        <v>18.0</v>
      </c>
      <c r="F467" s="9">
        <v>22.0</v>
      </c>
      <c r="G467" s="9">
        <v>22.0</v>
      </c>
      <c r="H467" s="10">
        <f t="shared" si="3"/>
        <v>1300</v>
      </c>
      <c r="I467" s="13" t="s">
        <v>94</v>
      </c>
    </row>
    <row r="468" hidden="1">
      <c r="A468" s="6" t="s">
        <v>92</v>
      </c>
      <c r="B468" s="7" t="s">
        <v>18</v>
      </c>
      <c r="C468" s="8">
        <v>18.0</v>
      </c>
      <c r="D468" s="9">
        <v>23.0</v>
      </c>
      <c r="E468" s="9">
        <v>18.0</v>
      </c>
      <c r="F468" s="9">
        <v>22.0</v>
      </c>
      <c r="G468" s="9">
        <v>22.0</v>
      </c>
      <c r="H468" s="10">
        <f t="shared" si="3"/>
        <v>1300</v>
      </c>
      <c r="I468" s="13" t="s">
        <v>94</v>
      </c>
    </row>
    <row r="469" hidden="1">
      <c r="A469" s="6" t="s">
        <v>92</v>
      </c>
      <c r="B469" s="7" t="s">
        <v>19</v>
      </c>
      <c r="C469" s="8">
        <v>18.0</v>
      </c>
      <c r="D469" s="9">
        <v>23.0</v>
      </c>
      <c r="E469" s="9">
        <v>18.0</v>
      </c>
      <c r="F469" s="9">
        <v>22.0</v>
      </c>
      <c r="G469" s="9">
        <v>22.0</v>
      </c>
      <c r="H469" s="10">
        <f t="shared" si="3"/>
        <v>1300</v>
      </c>
      <c r="I469" s="13" t="s">
        <v>94</v>
      </c>
    </row>
    <row r="470" hidden="1">
      <c r="A470" s="6" t="s">
        <v>92</v>
      </c>
      <c r="B470" s="7" t="s">
        <v>20</v>
      </c>
      <c r="C470" s="8">
        <v>18.0</v>
      </c>
      <c r="D470" s="9">
        <v>23.0</v>
      </c>
      <c r="E470" s="9">
        <v>18.0</v>
      </c>
      <c r="F470" s="9">
        <v>22.0</v>
      </c>
      <c r="G470" s="9">
        <v>22.0</v>
      </c>
      <c r="H470" s="10">
        <f t="shared" si="3"/>
        <v>1300</v>
      </c>
      <c r="I470" s="13" t="s">
        <v>94</v>
      </c>
    </row>
    <row r="471" hidden="1">
      <c r="A471" s="6" t="s">
        <v>92</v>
      </c>
      <c r="B471" s="7" t="s">
        <v>21</v>
      </c>
      <c r="C471" s="8">
        <v>18.0</v>
      </c>
      <c r="D471" s="9">
        <v>23.0</v>
      </c>
      <c r="E471" s="9">
        <v>18.0</v>
      </c>
      <c r="F471" s="9">
        <v>22.0</v>
      </c>
      <c r="G471" s="9">
        <v>22.0</v>
      </c>
      <c r="H471" s="10">
        <f t="shared" si="3"/>
        <v>1300</v>
      </c>
      <c r="I471" s="13" t="s">
        <v>94</v>
      </c>
    </row>
    <row r="472" hidden="1">
      <c r="A472" s="6" t="s">
        <v>92</v>
      </c>
      <c r="B472" s="7" t="s">
        <v>22</v>
      </c>
      <c r="C472" s="8">
        <v>18.0</v>
      </c>
      <c r="D472" s="9">
        <v>23.0</v>
      </c>
      <c r="E472" s="9">
        <v>18.0</v>
      </c>
      <c r="F472" s="9">
        <v>22.0</v>
      </c>
      <c r="G472" s="9">
        <v>22.0</v>
      </c>
      <c r="H472" s="10">
        <f t="shared" si="3"/>
        <v>1300</v>
      </c>
      <c r="I472" s="13" t="s">
        <v>94</v>
      </c>
    </row>
    <row r="473" hidden="1">
      <c r="A473" s="6" t="s">
        <v>92</v>
      </c>
      <c r="B473" s="7" t="s">
        <v>23</v>
      </c>
      <c r="C473" s="8">
        <v>18.0</v>
      </c>
      <c r="D473" s="9">
        <v>23.0</v>
      </c>
      <c r="E473" s="9">
        <v>18.0</v>
      </c>
      <c r="F473" s="9">
        <v>22.0</v>
      </c>
      <c r="G473" s="9">
        <v>22.0</v>
      </c>
      <c r="H473" s="10">
        <f t="shared" si="3"/>
        <v>1300</v>
      </c>
      <c r="I473" s="13" t="s">
        <v>94</v>
      </c>
    </row>
    <row r="474" hidden="1">
      <c r="A474" s="6" t="s">
        <v>92</v>
      </c>
      <c r="B474" s="7" t="s">
        <v>53</v>
      </c>
      <c r="C474" s="8">
        <v>18.0</v>
      </c>
      <c r="D474" s="9">
        <v>23.0</v>
      </c>
      <c r="E474" s="9">
        <v>18.0</v>
      </c>
      <c r="F474" s="9">
        <v>22.0</v>
      </c>
      <c r="G474" s="9">
        <v>22.0</v>
      </c>
      <c r="H474" s="10">
        <f t="shared" si="3"/>
        <v>1300</v>
      </c>
      <c r="I474" s="13" t="s">
        <v>94</v>
      </c>
    </row>
    <row r="475" hidden="1">
      <c r="A475" s="6" t="s">
        <v>95</v>
      </c>
      <c r="B475" s="7" t="s">
        <v>11</v>
      </c>
      <c r="C475" s="12"/>
      <c r="D475" s="9">
        <v>31.0</v>
      </c>
      <c r="E475" s="9">
        <v>24.0</v>
      </c>
      <c r="F475" s="9">
        <v>30.0</v>
      </c>
      <c r="G475" s="9">
        <v>14.0</v>
      </c>
      <c r="H475" s="10">
        <f t="shared" si="3"/>
        <v>1200</v>
      </c>
      <c r="I475" s="13" t="s">
        <v>96</v>
      </c>
    </row>
    <row r="476" hidden="1">
      <c r="A476" s="6" t="s">
        <v>95</v>
      </c>
      <c r="B476" s="7" t="s">
        <v>13</v>
      </c>
      <c r="C476" s="12"/>
      <c r="D476" s="9">
        <v>31.0</v>
      </c>
      <c r="E476" s="9">
        <v>24.0</v>
      </c>
      <c r="F476" s="9">
        <v>30.0</v>
      </c>
      <c r="G476" s="9">
        <v>14.0</v>
      </c>
      <c r="H476" s="10">
        <f t="shared" si="3"/>
        <v>1200</v>
      </c>
      <c r="I476" s="13" t="s">
        <v>96</v>
      </c>
    </row>
    <row r="477" hidden="1">
      <c r="A477" s="6" t="s">
        <v>95</v>
      </c>
      <c r="B477" s="7" t="s">
        <v>14</v>
      </c>
      <c r="C477" s="12"/>
      <c r="D477" s="9">
        <v>31.0</v>
      </c>
      <c r="E477" s="9">
        <v>24.0</v>
      </c>
      <c r="F477" s="9">
        <v>30.0</v>
      </c>
      <c r="G477" s="9">
        <v>14.0</v>
      </c>
      <c r="H477" s="10">
        <f t="shared" si="3"/>
        <v>1200</v>
      </c>
      <c r="I477" s="13" t="s">
        <v>96</v>
      </c>
    </row>
    <row r="478" hidden="1">
      <c r="A478" s="6" t="s">
        <v>95</v>
      </c>
      <c r="B478" s="7" t="s">
        <v>15</v>
      </c>
      <c r="C478" s="12"/>
      <c r="D478" s="9">
        <v>31.0</v>
      </c>
      <c r="E478" s="9">
        <v>24.0</v>
      </c>
      <c r="F478" s="9">
        <v>30.0</v>
      </c>
      <c r="G478" s="9">
        <v>14.0</v>
      </c>
      <c r="H478" s="10">
        <f t="shared" si="3"/>
        <v>1200</v>
      </c>
      <c r="I478" s="13" t="s">
        <v>96</v>
      </c>
    </row>
    <row r="479" hidden="1">
      <c r="A479" s="6" t="s">
        <v>95</v>
      </c>
      <c r="B479" s="7" t="s">
        <v>16</v>
      </c>
      <c r="C479" s="12"/>
      <c r="D479" s="9">
        <v>31.0</v>
      </c>
      <c r="E479" s="9">
        <v>24.0</v>
      </c>
      <c r="F479" s="9">
        <v>30.0</v>
      </c>
      <c r="G479" s="9">
        <v>14.0</v>
      </c>
      <c r="H479" s="10">
        <f t="shared" si="3"/>
        <v>1200</v>
      </c>
      <c r="I479" s="13" t="s">
        <v>96</v>
      </c>
    </row>
    <row r="480" hidden="1">
      <c r="A480" s="6" t="s">
        <v>95</v>
      </c>
      <c r="B480" s="7" t="s">
        <v>17</v>
      </c>
      <c r="C480" s="12"/>
      <c r="D480" s="9">
        <v>31.0</v>
      </c>
      <c r="E480" s="9">
        <v>24.0</v>
      </c>
      <c r="F480" s="9">
        <v>30.0</v>
      </c>
      <c r="G480" s="9">
        <v>14.0</v>
      </c>
      <c r="H480" s="10">
        <f t="shared" si="3"/>
        <v>1200</v>
      </c>
      <c r="I480" s="13" t="s">
        <v>96</v>
      </c>
    </row>
    <row r="481" hidden="1">
      <c r="A481" s="6" t="s">
        <v>95</v>
      </c>
      <c r="B481" s="7" t="s">
        <v>18</v>
      </c>
      <c r="C481" s="12"/>
      <c r="D481" s="9">
        <v>31.0</v>
      </c>
      <c r="E481" s="9">
        <v>24.0</v>
      </c>
      <c r="F481" s="9">
        <v>30.0</v>
      </c>
      <c r="G481" s="9">
        <v>14.0</v>
      </c>
      <c r="H481" s="10">
        <f t="shared" si="3"/>
        <v>1200</v>
      </c>
      <c r="I481" s="13" t="s">
        <v>96</v>
      </c>
    </row>
    <row r="482" hidden="1">
      <c r="A482" s="6" t="s">
        <v>95</v>
      </c>
      <c r="B482" s="7" t="s">
        <v>19</v>
      </c>
      <c r="C482" s="12"/>
      <c r="D482" s="9">
        <v>31.0</v>
      </c>
      <c r="E482" s="9">
        <v>24.0</v>
      </c>
      <c r="F482" s="9">
        <v>30.0</v>
      </c>
      <c r="G482" s="9">
        <v>14.0</v>
      </c>
      <c r="H482" s="10">
        <f t="shared" si="3"/>
        <v>1200</v>
      </c>
      <c r="I482" s="13" t="s">
        <v>96</v>
      </c>
    </row>
    <row r="483" hidden="1">
      <c r="A483" s="6" t="s">
        <v>95</v>
      </c>
      <c r="B483" s="7" t="s">
        <v>20</v>
      </c>
      <c r="C483" s="12"/>
      <c r="D483" s="9">
        <v>31.0</v>
      </c>
      <c r="E483" s="9">
        <v>24.0</v>
      </c>
      <c r="F483" s="9">
        <v>30.0</v>
      </c>
      <c r="G483" s="9">
        <v>14.0</v>
      </c>
      <c r="H483" s="10">
        <f t="shared" si="3"/>
        <v>1200</v>
      </c>
      <c r="I483" s="13" t="s">
        <v>96</v>
      </c>
    </row>
    <row r="484" hidden="1">
      <c r="A484" s="6" t="s">
        <v>95</v>
      </c>
      <c r="B484" s="7" t="s">
        <v>21</v>
      </c>
      <c r="C484" s="12"/>
      <c r="D484" s="9">
        <v>31.0</v>
      </c>
      <c r="E484" s="9">
        <v>24.0</v>
      </c>
      <c r="F484" s="9">
        <v>30.0</v>
      </c>
      <c r="G484" s="9">
        <v>14.0</v>
      </c>
      <c r="H484" s="10">
        <f t="shared" si="3"/>
        <v>1200</v>
      </c>
      <c r="I484" s="13" t="s">
        <v>96</v>
      </c>
    </row>
    <row r="485" hidden="1">
      <c r="A485" s="6" t="s">
        <v>95</v>
      </c>
      <c r="B485" s="7" t="s">
        <v>22</v>
      </c>
      <c r="C485" s="12"/>
      <c r="D485" s="9">
        <v>31.0</v>
      </c>
      <c r="E485" s="9">
        <v>24.0</v>
      </c>
      <c r="F485" s="9">
        <v>30.0</v>
      </c>
      <c r="G485" s="9">
        <v>14.0</v>
      </c>
      <c r="H485" s="10">
        <f t="shared" si="3"/>
        <v>1200</v>
      </c>
      <c r="I485" s="13" t="s">
        <v>96</v>
      </c>
    </row>
    <row r="486" hidden="1">
      <c r="A486" s="6" t="s">
        <v>95</v>
      </c>
      <c r="B486" s="7" t="s">
        <v>23</v>
      </c>
      <c r="C486" s="12"/>
      <c r="D486" s="9">
        <v>31.0</v>
      </c>
      <c r="E486" s="9">
        <v>24.0</v>
      </c>
      <c r="F486" s="9">
        <v>30.0</v>
      </c>
      <c r="G486" s="9">
        <v>14.0</v>
      </c>
      <c r="H486" s="10">
        <f t="shared" si="3"/>
        <v>1200</v>
      </c>
      <c r="I486" s="13" t="s">
        <v>96</v>
      </c>
    </row>
    <row r="487" hidden="1">
      <c r="A487" s="6" t="s">
        <v>95</v>
      </c>
      <c r="B487" s="7" t="s">
        <v>53</v>
      </c>
      <c r="C487" s="12"/>
      <c r="D487" s="9">
        <v>31.0</v>
      </c>
      <c r="E487" s="9">
        <v>24.0</v>
      </c>
      <c r="F487" s="9">
        <v>30.0</v>
      </c>
      <c r="G487" s="9">
        <v>14.0</v>
      </c>
      <c r="H487" s="10">
        <f t="shared" si="3"/>
        <v>1200</v>
      </c>
      <c r="I487" s="13" t="s">
        <v>96</v>
      </c>
    </row>
    <row r="488" hidden="1">
      <c r="A488" s="6" t="s">
        <v>97</v>
      </c>
      <c r="B488" s="7" t="s">
        <v>11</v>
      </c>
      <c r="C488" s="9">
        <v>25.0</v>
      </c>
      <c r="D488" s="9">
        <v>17.0</v>
      </c>
      <c r="E488" s="9">
        <v>26.0</v>
      </c>
      <c r="F488" s="9">
        <v>30.0</v>
      </c>
      <c r="G488" s="9">
        <v>31.0</v>
      </c>
      <c r="H488" s="10">
        <f t="shared" si="3"/>
        <v>1700</v>
      </c>
      <c r="I488" s="7"/>
    </row>
    <row r="489" hidden="1">
      <c r="A489" s="6" t="s">
        <v>97</v>
      </c>
      <c r="B489" s="7" t="s">
        <v>13</v>
      </c>
      <c r="C489" s="9">
        <v>25.0</v>
      </c>
      <c r="D489" s="9">
        <v>17.0</v>
      </c>
      <c r="E489" s="9">
        <v>26.0</v>
      </c>
      <c r="F489" s="9">
        <v>30.0</v>
      </c>
      <c r="G489" s="9">
        <v>31.0</v>
      </c>
      <c r="H489" s="10">
        <f t="shared" si="3"/>
        <v>1700</v>
      </c>
      <c r="I489" s="7"/>
    </row>
    <row r="490" hidden="1">
      <c r="A490" s="6" t="s">
        <v>97</v>
      </c>
      <c r="B490" s="7" t="s">
        <v>14</v>
      </c>
      <c r="C490" s="9">
        <v>25.0</v>
      </c>
      <c r="D490" s="9">
        <v>17.0</v>
      </c>
      <c r="E490" s="9">
        <v>26.0</v>
      </c>
      <c r="F490" s="9">
        <v>30.0</v>
      </c>
      <c r="G490" s="9">
        <v>31.0</v>
      </c>
      <c r="H490" s="10">
        <f t="shared" si="3"/>
        <v>1700</v>
      </c>
      <c r="I490" s="7"/>
    </row>
    <row r="491" hidden="1">
      <c r="A491" s="6" t="s">
        <v>97</v>
      </c>
      <c r="B491" s="7" t="s">
        <v>15</v>
      </c>
      <c r="C491" s="9">
        <v>25.0</v>
      </c>
      <c r="D491" s="9">
        <v>17.0</v>
      </c>
      <c r="E491" s="9">
        <v>26.0</v>
      </c>
      <c r="F491" s="9">
        <v>30.0</v>
      </c>
      <c r="G491" s="9">
        <v>31.0</v>
      </c>
      <c r="H491" s="10">
        <f t="shared" si="3"/>
        <v>1700</v>
      </c>
      <c r="I491" s="7"/>
    </row>
    <row r="492" hidden="1">
      <c r="A492" s="6" t="s">
        <v>97</v>
      </c>
      <c r="B492" s="7" t="s">
        <v>16</v>
      </c>
      <c r="C492" s="9">
        <v>25.0</v>
      </c>
      <c r="D492" s="9">
        <v>17.0</v>
      </c>
      <c r="E492" s="9">
        <v>26.0</v>
      </c>
      <c r="F492" s="9">
        <v>30.0</v>
      </c>
      <c r="G492" s="9">
        <v>31.0</v>
      </c>
      <c r="H492" s="10">
        <f t="shared" si="3"/>
        <v>1700</v>
      </c>
      <c r="I492" s="7"/>
    </row>
    <row r="493" hidden="1">
      <c r="A493" s="6" t="s">
        <v>97</v>
      </c>
      <c r="B493" s="7" t="s">
        <v>17</v>
      </c>
      <c r="C493" s="9">
        <v>25.0</v>
      </c>
      <c r="D493" s="9">
        <v>17.0</v>
      </c>
      <c r="E493" s="9">
        <v>26.0</v>
      </c>
      <c r="F493" s="9">
        <v>30.0</v>
      </c>
      <c r="G493" s="9">
        <v>31.0</v>
      </c>
      <c r="H493" s="10">
        <f t="shared" si="3"/>
        <v>1700</v>
      </c>
      <c r="I493" s="7"/>
    </row>
    <row r="494" hidden="1">
      <c r="A494" s="6" t="s">
        <v>97</v>
      </c>
      <c r="B494" s="7" t="s">
        <v>18</v>
      </c>
      <c r="C494" s="9">
        <v>25.0</v>
      </c>
      <c r="D494" s="9">
        <v>17.0</v>
      </c>
      <c r="E494" s="9">
        <v>26.0</v>
      </c>
      <c r="F494" s="9">
        <v>30.0</v>
      </c>
      <c r="G494" s="9">
        <v>31.0</v>
      </c>
      <c r="H494" s="10">
        <f t="shared" si="3"/>
        <v>1700</v>
      </c>
      <c r="I494" s="7"/>
    </row>
    <row r="495" hidden="1">
      <c r="A495" s="6" t="s">
        <v>97</v>
      </c>
      <c r="B495" s="7" t="s">
        <v>19</v>
      </c>
      <c r="C495" s="9">
        <v>25.0</v>
      </c>
      <c r="D495" s="9">
        <v>17.0</v>
      </c>
      <c r="E495" s="9">
        <v>26.0</v>
      </c>
      <c r="F495" s="9">
        <v>30.0</v>
      </c>
      <c r="G495" s="9">
        <v>31.0</v>
      </c>
      <c r="H495" s="10">
        <f t="shared" si="3"/>
        <v>1700</v>
      </c>
      <c r="I495" s="7"/>
    </row>
    <row r="496" hidden="1">
      <c r="A496" s="6" t="s">
        <v>97</v>
      </c>
      <c r="B496" s="7" t="s">
        <v>20</v>
      </c>
      <c r="C496" s="9">
        <v>25.0</v>
      </c>
      <c r="D496" s="9">
        <v>17.0</v>
      </c>
      <c r="E496" s="9">
        <v>26.0</v>
      </c>
      <c r="F496" s="9">
        <v>30.0</v>
      </c>
      <c r="G496" s="9">
        <v>31.0</v>
      </c>
      <c r="H496" s="10">
        <f t="shared" si="3"/>
        <v>1700</v>
      </c>
      <c r="I496" s="7"/>
    </row>
    <row r="497" hidden="1">
      <c r="A497" s="6" t="s">
        <v>97</v>
      </c>
      <c r="B497" s="7" t="s">
        <v>21</v>
      </c>
      <c r="C497" s="9">
        <v>25.0</v>
      </c>
      <c r="D497" s="9">
        <v>17.0</v>
      </c>
      <c r="E497" s="9">
        <v>26.0</v>
      </c>
      <c r="F497" s="9">
        <v>30.0</v>
      </c>
      <c r="G497" s="9">
        <v>31.0</v>
      </c>
      <c r="H497" s="10">
        <f t="shared" si="3"/>
        <v>1700</v>
      </c>
      <c r="I497" s="7"/>
    </row>
    <row r="498" hidden="1">
      <c r="A498" s="6" t="s">
        <v>97</v>
      </c>
      <c r="B498" s="7" t="s">
        <v>22</v>
      </c>
      <c r="C498" s="9">
        <v>25.0</v>
      </c>
      <c r="D498" s="9">
        <v>17.0</v>
      </c>
      <c r="E498" s="9">
        <v>26.0</v>
      </c>
      <c r="F498" s="9">
        <v>30.0</v>
      </c>
      <c r="G498" s="9">
        <v>31.0</v>
      </c>
      <c r="H498" s="10">
        <f t="shared" si="3"/>
        <v>1700</v>
      </c>
      <c r="I498" s="7"/>
    </row>
    <row r="499" hidden="1">
      <c r="A499" s="6" t="s">
        <v>97</v>
      </c>
      <c r="B499" s="7" t="s">
        <v>23</v>
      </c>
      <c r="C499" s="9">
        <v>25.0</v>
      </c>
      <c r="D499" s="9">
        <v>17.0</v>
      </c>
      <c r="E499" s="9">
        <v>26.0</v>
      </c>
      <c r="F499" s="9">
        <v>30.0</v>
      </c>
      <c r="G499" s="9">
        <v>31.0</v>
      </c>
      <c r="H499" s="10">
        <f t="shared" si="3"/>
        <v>1700</v>
      </c>
      <c r="I499" s="7"/>
    </row>
    <row r="500" hidden="1">
      <c r="A500" s="6" t="s">
        <v>97</v>
      </c>
      <c r="B500" s="7" t="s">
        <v>53</v>
      </c>
      <c r="C500" s="9">
        <v>25.0</v>
      </c>
      <c r="D500" s="9">
        <v>17.0</v>
      </c>
      <c r="E500" s="9">
        <v>26.0</v>
      </c>
      <c r="F500" s="9">
        <v>30.0</v>
      </c>
      <c r="G500" s="9">
        <v>31.0</v>
      </c>
      <c r="H500" s="10">
        <f t="shared" si="3"/>
        <v>1700</v>
      </c>
      <c r="I500" s="7"/>
    </row>
    <row r="501" hidden="1">
      <c r="A501" s="6" t="s">
        <v>98</v>
      </c>
      <c r="B501" s="7" t="s">
        <v>11</v>
      </c>
      <c r="C501" s="9">
        <v>22.0</v>
      </c>
      <c r="D501" s="9">
        <v>15.0</v>
      </c>
      <c r="E501" s="9">
        <v>22.0</v>
      </c>
      <c r="F501" s="9">
        <v>19.0</v>
      </c>
      <c r="G501" s="9">
        <v>14.0</v>
      </c>
      <c r="H501" s="10">
        <f t="shared" si="3"/>
        <v>800</v>
      </c>
      <c r="I501" s="18"/>
    </row>
    <row r="502" hidden="1">
      <c r="A502" s="6" t="s">
        <v>98</v>
      </c>
      <c r="B502" s="7" t="s">
        <v>13</v>
      </c>
      <c r="C502" s="9">
        <v>22.0</v>
      </c>
      <c r="D502" s="9">
        <v>15.0</v>
      </c>
      <c r="E502" s="9">
        <v>22.0</v>
      </c>
      <c r="F502" s="9">
        <v>19.0</v>
      </c>
      <c r="G502" s="9">
        <v>14.0</v>
      </c>
      <c r="H502" s="10">
        <f t="shared" si="3"/>
        <v>800</v>
      </c>
      <c r="I502" s="18"/>
    </row>
    <row r="503" hidden="1">
      <c r="A503" s="6" t="s">
        <v>98</v>
      </c>
      <c r="B503" s="7" t="s">
        <v>14</v>
      </c>
      <c r="C503" s="9">
        <v>22.0</v>
      </c>
      <c r="D503" s="9">
        <v>15.0</v>
      </c>
      <c r="E503" s="9">
        <v>22.0</v>
      </c>
      <c r="F503" s="9">
        <v>19.0</v>
      </c>
      <c r="G503" s="9">
        <v>14.0</v>
      </c>
      <c r="H503" s="10">
        <f t="shared" si="3"/>
        <v>800</v>
      </c>
      <c r="I503" s="18"/>
    </row>
    <row r="504" hidden="1">
      <c r="A504" s="6" t="s">
        <v>98</v>
      </c>
      <c r="B504" s="7" t="s">
        <v>15</v>
      </c>
      <c r="C504" s="9">
        <v>22.0</v>
      </c>
      <c r="D504" s="9">
        <v>15.0</v>
      </c>
      <c r="E504" s="9">
        <v>22.0</v>
      </c>
      <c r="F504" s="9">
        <v>19.0</v>
      </c>
      <c r="G504" s="9">
        <v>14.0</v>
      </c>
      <c r="H504" s="10">
        <f t="shared" si="3"/>
        <v>800</v>
      </c>
      <c r="I504" s="18"/>
    </row>
    <row r="505" hidden="1">
      <c r="A505" s="6" t="s">
        <v>98</v>
      </c>
      <c r="B505" s="7" t="s">
        <v>16</v>
      </c>
      <c r="C505" s="9">
        <v>22.0</v>
      </c>
      <c r="D505" s="9">
        <v>15.0</v>
      </c>
      <c r="E505" s="9">
        <v>22.0</v>
      </c>
      <c r="F505" s="9">
        <v>19.0</v>
      </c>
      <c r="G505" s="9">
        <v>14.0</v>
      </c>
      <c r="H505" s="10">
        <f t="shared" si="3"/>
        <v>800</v>
      </c>
      <c r="I505" s="18"/>
    </row>
    <row r="506" hidden="1">
      <c r="A506" s="6" t="s">
        <v>98</v>
      </c>
      <c r="B506" s="7" t="s">
        <v>17</v>
      </c>
      <c r="C506" s="9">
        <v>22.0</v>
      </c>
      <c r="D506" s="9">
        <v>15.0</v>
      </c>
      <c r="E506" s="9">
        <v>22.0</v>
      </c>
      <c r="F506" s="9">
        <v>19.0</v>
      </c>
      <c r="G506" s="9">
        <v>14.0</v>
      </c>
      <c r="H506" s="10">
        <f t="shared" si="3"/>
        <v>800</v>
      </c>
      <c r="I506" s="18"/>
    </row>
    <row r="507" hidden="1">
      <c r="A507" s="6" t="s">
        <v>98</v>
      </c>
      <c r="B507" s="7" t="s">
        <v>18</v>
      </c>
      <c r="C507" s="9">
        <v>22.0</v>
      </c>
      <c r="D507" s="9">
        <v>15.0</v>
      </c>
      <c r="E507" s="9">
        <v>22.0</v>
      </c>
      <c r="F507" s="9">
        <v>19.0</v>
      </c>
      <c r="G507" s="9">
        <v>14.0</v>
      </c>
      <c r="H507" s="10">
        <f t="shared" si="3"/>
        <v>800</v>
      </c>
      <c r="I507" s="18"/>
    </row>
    <row r="508" hidden="1">
      <c r="A508" s="6" t="s">
        <v>98</v>
      </c>
      <c r="B508" s="7" t="s">
        <v>19</v>
      </c>
      <c r="C508" s="9">
        <v>22.0</v>
      </c>
      <c r="D508" s="9">
        <v>15.0</v>
      </c>
      <c r="E508" s="9">
        <v>22.0</v>
      </c>
      <c r="F508" s="9">
        <v>19.0</v>
      </c>
      <c r="G508" s="9">
        <v>14.0</v>
      </c>
      <c r="H508" s="10">
        <f t="shared" si="3"/>
        <v>800</v>
      </c>
      <c r="I508" s="18"/>
    </row>
    <row r="509" hidden="1">
      <c r="A509" s="6" t="s">
        <v>98</v>
      </c>
      <c r="B509" s="7" t="s">
        <v>20</v>
      </c>
      <c r="C509" s="9">
        <v>22.0</v>
      </c>
      <c r="D509" s="9">
        <v>15.0</v>
      </c>
      <c r="E509" s="9">
        <v>22.0</v>
      </c>
      <c r="F509" s="9">
        <v>19.0</v>
      </c>
      <c r="G509" s="9">
        <v>14.0</v>
      </c>
      <c r="H509" s="10">
        <f t="shared" si="3"/>
        <v>800</v>
      </c>
      <c r="I509" s="18"/>
    </row>
    <row r="510" hidden="1">
      <c r="A510" s="6" t="s">
        <v>98</v>
      </c>
      <c r="B510" s="7" t="s">
        <v>21</v>
      </c>
      <c r="C510" s="9">
        <v>22.0</v>
      </c>
      <c r="D510" s="9">
        <v>15.0</v>
      </c>
      <c r="E510" s="9">
        <v>22.0</v>
      </c>
      <c r="F510" s="9">
        <v>19.0</v>
      </c>
      <c r="G510" s="9">
        <v>14.0</v>
      </c>
      <c r="H510" s="10">
        <f t="shared" si="3"/>
        <v>800</v>
      </c>
      <c r="I510" s="18"/>
    </row>
    <row r="511" hidden="1">
      <c r="A511" s="6" t="s">
        <v>98</v>
      </c>
      <c r="B511" s="7" t="s">
        <v>22</v>
      </c>
      <c r="C511" s="9">
        <v>22.0</v>
      </c>
      <c r="D511" s="9">
        <v>15.0</v>
      </c>
      <c r="E511" s="9">
        <v>22.0</v>
      </c>
      <c r="F511" s="9">
        <v>19.0</v>
      </c>
      <c r="G511" s="9">
        <v>14.0</v>
      </c>
      <c r="H511" s="10">
        <f t="shared" si="3"/>
        <v>800</v>
      </c>
      <c r="I511" s="18"/>
    </row>
    <row r="512" hidden="1">
      <c r="A512" s="6" t="s">
        <v>98</v>
      </c>
      <c r="B512" s="7" t="s">
        <v>23</v>
      </c>
      <c r="C512" s="9">
        <v>22.0</v>
      </c>
      <c r="D512" s="9">
        <v>15.0</v>
      </c>
      <c r="E512" s="9">
        <v>22.0</v>
      </c>
      <c r="F512" s="9">
        <v>19.0</v>
      </c>
      <c r="G512" s="9">
        <v>14.0</v>
      </c>
      <c r="H512" s="10">
        <f t="shared" si="3"/>
        <v>800</v>
      </c>
      <c r="I512" s="18"/>
    </row>
    <row r="513" hidden="1">
      <c r="A513" s="6" t="s">
        <v>98</v>
      </c>
      <c r="B513" s="7" t="s">
        <v>53</v>
      </c>
      <c r="C513" s="9">
        <v>22.0</v>
      </c>
      <c r="D513" s="9">
        <v>15.0</v>
      </c>
      <c r="E513" s="9">
        <v>22.0</v>
      </c>
      <c r="F513" s="9">
        <v>19.0</v>
      </c>
      <c r="G513" s="9">
        <v>14.0</v>
      </c>
      <c r="H513" s="10">
        <f t="shared" si="3"/>
        <v>800</v>
      </c>
      <c r="I513" s="18"/>
    </row>
    <row r="514" hidden="1">
      <c r="A514" s="6" t="s">
        <v>99</v>
      </c>
      <c r="B514" s="7" t="s">
        <v>11</v>
      </c>
      <c r="C514" s="9">
        <v>22.0</v>
      </c>
      <c r="D514" s="9">
        <v>17.0</v>
      </c>
      <c r="E514" s="9">
        <v>18.0</v>
      </c>
      <c r="F514" s="9">
        <v>19.0</v>
      </c>
      <c r="G514" s="9">
        <v>14.0</v>
      </c>
      <c r="H514" s="10">
        <f t="shared" si="3"/>
        <v>900</v>
      </c>
      <c r="I514" s="18"/>
    </row>
    <row r="515" hidden="1">
      <c r="A515" s="6" t="s">
        <v>99</v>
      </c>
      <c r="B515" s="7" t="s">
        <v>13</v>
      </c>
      <c r="C515" s="9">
        <v>22.0</v>
      </c>
      <c r="D515" s="9">
        <v>17.0</v>
      </c>
      <c r="E515" s="9">
        <v>18.0</v>
      </c>
      <c r="F515" s="9">
        <v>19.0</v>
      </c>
      <c r="G515" s="9">
        <v>14.0</v>
      </c>
      <c r="H515" s="10">
        <f t="shared" si="3"/>
        <v>900</v>
      </c>
      <c r="I515" s="18"/>
    </row>
    <row r="516" hidden="1">
      <c r="A516" s="6" t="s">
        <v>99</v>
      </c>
      <c r="B516" s="7" t="s">
        <v>14</v>
      </c>
      <c r="C516" s="9">
        <v>22.0</v>
      </c>
      <c r="D516" s="9">
        <v>17.0</v>
      </c>
      <c r="E516" s="9">
        <v>18.0</v>
      </c>
      <c r="F516" s="9">
        <v>19.0</v>
      </c>
      <c r="G516" s="9">
        <v>14.0</v>
      </c>
      <c r="H516" s="10">
        <f t="shared" si="3"/>
        <v>900</v>
      </c>
      <c r="I516" s="18"/>
    </row>
    <row r="517" hidden="1">
      <c r="A517" s="6" t="s">
        <v>99</v>
      </c>
      <c r="B517" s="7" t="s">
        <v>15</v>
      </c>
      <c r="C517" s="9">
        <v>22.0</v>
      </c>
      <c r="D517" s="9">
        <v>17.0</v>
      </c>
      <c r="E517" s="9">
        <v>18.0</v>
      </c>
      <c r="F517" s="9">
        <v>19.0</v>
      </c>
      <c r="G517" s="9">
        <v>14.0</v>
      </c>
      <c r="H517" s="10">
        <f t="shared" si="3"/>
        <v>900</v>
      </c>
      <c r="I517" s="18"/>
    </row>
    <row r="518" hidden="1">
      <c r="A518" s="6" t="s">
        <v>99</v>
      </c>
      <c r="B518" s="7" t="s">
        <v>16</v>
      </c>
      <c r="C518" s="9">
        <v>22.0</v>
      </c>
      <c r="D518" s="9">
        <v>17.0</v>
      </c>
      <c r="E518" s="9">
        <v>18.0</v>
      </c>
      <c r="F518" s="9">
        <v>19.0</v>
      </c>
      <c r="G518" s="9">
        <v>14.0</v>
      </c>
      <c r="H518" s="10">
        <f t="shared" si="3"/>
        <v>900</v>
      </c>
      <c r="I518" s="18"/>
    </row>
    <row r="519" hidden="1">
      <c r="A519" s="6" t="s">
        <v>99</v>
      </c>
      <c r="B519" s="7" t="s">
        <v>17</v>
      </c>
      <c r="C519" s="9">
        <v>22.0</v>
      </c>
      <c r="D519" s="9">
        <v>17.0</v>
      </c>
      <c r="E519" s="9">
        <v>18.0</v>
      </c>
      <c r="F519" s="9">
        <v>19.0</v>
      </c>
      <c r="G519" s="9">
        <v>14.0</v>
      </c>
      <c r="H519" s="10">
        <f t="shared" si="3"/>
        <v>900</v>
      </c>
      <c r="I519" s="18"/>
    </row>
    <row r="520" hidden="1">
      <c r="A520" s="6" t="s">
        <v>99</v>
      </c>
      <c r="B520" s="7" t="s">
        <v>18</v>
      </c>
      <c r="C520" s="9">
        <v>22.0</v>
      </c>
      <c r="D520" s="9">
        <v>17.0</v>
      </c>
      <c r="E520" s="9">
        <v>18.0</v>
      </c>
      <c r="F520" s="9">
        <v>19.0</v>
      </c>
      <c r="G520" s="9">
        <v>14.0</v>
      </c>
      <c r="H520" s="10">
        <f t="shared" si="3"/>
        <v>900</v>
      </c>
      <c r="I520" s="18"/>
    </row>
    <row r="521" hidden="1">
      <c r="A521" s="6" t="s">
        <v>99</v>
      </c>
      <c r="B521" s="7" t="s">
        <v>19</v>
      </c>
      <c r="C521" s="9">
        <v>22.0</v>
      </c>
      <c r="D521" s="9">
        <v>17.0</v>
      </c>
      <c r="E521" s="9">
        <v>18.0</v>
      </c>
      <c r="F521" s="9">
        <v>19.0</v>
      </c>
      <c r="G521" s="9">
        <v>14.0</v>
      </c>
      <c r="H521" s="10">
        <f t="shared" si="3"/>
        <v>900</v>
      </c>
      <c r="I521" s="18"/>
    </row>
    <row r="522" hidden="1">
      <c r="A522" s="6" t="s">
        <v>99</v>
      </c>
      <c r="B522" s="7" t="s">
        <v>20</v>
      </c>
      <c r="C522" s="9">
        <v>22.0</v>
      </c>
      <c r="D522" s="9">
        <v>17.0</v>
      </c>
      <c r="E522" s="9">
        <v>18.0</v>
      </c>
      <c r="F522" s="9">
        <v>19.0</v>
      </c>
      <c r="G522" s="9">
        <v>14.0</v>
      </c>
      <c r="H522" s="10">
        <f t="shared" si="3"/>
        <v>900</v>
      </c>
      <c r="I522" s="18"/>
    </row>
    <row r="523" hidden="1">
      <c r="A523" s="6" t="s">
        <v>99</v>
      </c>
      <c r="B523" s="7" t="s">
        <v>21</v>
      </c>
      <c r="C523" s="9">
        <v>22.0</v>
      </c>
      <c r="D523" s="9">
        <v>17.0</v>
      </c>
      <c r="E523" s="9">
        <v>18.0</v>
      </c>
      <c r="F523" s="9">
        <v>19.0</v>
      </c>
      <c r="G523" s="9">
        <v>14.0</v>
      </c>
      <c r="H523" s="10">
        <f t="shared" si="3"/>
        <v>900</v>
      </c>
      <c r="I523" s="18"/>
    </row>
    <row r="524" hidden="1">
      <c r="A524" s="6" t="s">
        <v>99</v>
      </c>
      <c r="B524" s="7" t="s">
        <v>22</v>
      </c>
      <c r="C524" s="9">
        <v>22.0</v>
      </c>
      <c r="D524" s="9">
        <v>17.0</v>
      </c>
      <c r="E524" s="9">
        <v>18.0</v>
      </c>
      <c r="F524" s="9">
        <v>19.0</v>
      </c>
      <c r="G524" s="9">
        <v>14.0</v>
      </c>
      <c r="H524" s="10">
        <f t="shared" si="3"/>
        <v>900</v>
      </c>
      <c r="I524" s="18"/>
    </row>
    <row r="525" hidden="1">
      <c r="A525" s="6" t="s">
        <v>99</v>
      </c>
      <c r="B525" s="7" t="s">
        <v>23</v>
      </c>
      <c r="C525" s="9">
        <v>22.0</v>
      </c>
      <c r="D525" s="9">
        <v>17.0</v>
      </c>
      <c r="E525" s="9">
        <v>18.0</v>
      </c>
      <c r="F525" s="9">
        <v>19.0</v>
      </c>
      <c r="G525" s="9">
        <v>14.0</v>
      </c>
      <c r="H525" s="10">
        <f t="shared" si="3"/>
        <v>900</v>
      </c>
      <c r="I525" s="18"/>
    </row>
    <row r="526" hidden="1">
      <c r="A526" s="6" t="s">
        <v>99</v>
      </c>
      <c r="B526" s="7" t="s">
        <v>53</v>
      </c>
      <c r="C526" s="9">
        <v>22.0</v>
      </c>
      <c r="D526" s="9">
        <v>17.0</v>
      </c>
      <c r="E526" s="9">
        <v>18.0</v>
      </c>
      <c r="F526" s="9">
        <v>19.0</v>
      </c>
      <c r="G526" s="9">
        <v>14.0</v>
      </c>
      <c r="H526" s="10">
        <f t="shared" si="3"/>
        <v>900</v>
      </c>
      <c r="I526" s="18"/>
    </row>
    <row r="527" hidden="1">
      <c r="A527" s="6" t="s">
        <v>100</v>
      </c>
      <c r="B527" s="7" t="s">
        <v>11</v>
      </c>
      <c r="C527" s="9">
        <v>23.0</v>
      </c>
      <c r="D527" s="9">
        <v>22.0</v>
      </c>
      <c r="E527" s="9">
        <v>15.0</v>
      </c>
      <c r="F527" s="9">
        <v>17.0</v>
      </c>
      <c r="G527" s="9">
        <v>18.0</v>
      </c>
      <c r="H527" s="10">
        <f t="shared" si="3"/>
        <v>1000</v>
      </c>
      <c r="I527" s="18" t="s">
        <v>101</v>
      </c>
    </row>
    <row r="528" hidden="1">
      <c r="A528" s="6" t="s">
        <v>100</v>
      </c>
      <c r="B528" s="7" t="s">
        <v>13</v>
      </c>
      <c r="C528" s="9">
        <v>23.0</v>
      </c>
      <c r="D528" s="9">
        <v>22.0</v>
      </c>
      <c r="E528" s="9">
        <v>15.0</v>
      </c>
      <c r="F528" s="9">
        <v>17.0</v>
      </c>
      <c r="G528" s="9">
        <v>18.0</v>
      </c>
      <c r="H528" s="10">
        <f t="shared" si="3"/>
        <v>1000</v>
      </c>
      <c r="I528" s="18" t="s">
        <v>101</v>
      </c>
    </row>
    <row r="529" hidden="1">
      <c r="A529" s="6" t="s">
        <v>100</v>
      </c>
      <c r="B529" s="7" t="s">
        <v>14</v>
      </c>
      <c r="C529" s="9">
        <v>23.0</v>
      </c>
      <c r="D529" s="9">
        <v>22.0</v>
      </c>
      <c r="E529" s="9">
        <v>15.0</v>
      </c>
      <c r="F529" s="9">
        <v>17.0</v>
      </c>
      <c r="G529" s="9">
        <v>18.0</v>
      </c>
      <c r="H529" s="10">
        <f t="shared" si="3"/>
        <v>1000</v>
      </c>
      <c r="I529" s="18" t="s">
        <v>101</v>
      </c>
    </row>
    <row r="530" hidden="1">
      <c r="A530" s="6" t="s">
        <v>100</v>
      </c>
      <c r="B530" s="7" t="s">
        <v>15</v>
      </c>
      <c r="C530" s="9">
        <v>23.0</v>
      </c>
      <c r="D530" s="9">
        <v>22.0</v>
      </c>
      <c r="E530" s="9">
        <v>15.0</v>
      </c>
      <c r="F530" s="9">
        <v>17.0</v>
      </c>
      <c r="G530" s="9">
        <v>18.0</v>
      </c>
      <c r="H530" s="10">
        <f t="shared" si="3"/>
        <v>1000</v>
      </c>
      <c r="I530" s="18" t="s">
        <v>101</v>
      </c>
    </row>
    <row r="531" hidden="1">
      <c r="A531" s="6" t="s">
        <v>100</v>
      </c>
      <c r="B531" s="7" t="s">
        <v>16</v>
      </c>
      <c r="C531" s="9">
        <v>23.0</v>
      </c>
      <c r="D531" s="9">
        <v>22.0</v>
      </c>
      <c r="E531" s="9">
        <v>15.0</v>
      </c>
      <c r="F531" s="9">
        <v>17.0</v>
      </c>
      <c r="G531" s="9">
        <v>18.0</v>
      </c>
      <c r="H531" s="10">
        <f t="shared" si="3"/>
        <v>1000</v>
      </c>
      <c r="I531" s="18" t="s">
        <v>101</v>
      </c>
    </row>
    <row r="532" hidden="1">
      <c r="A532" s="6" t="s">
        <v>100</v>
      </c>
      <c r="B532" s="7" t="s">
        <v>17</v>
      </c>
      <c r="C532" s="9">
        <v>23.0</v>
      </c>
      <c r="D532" s="9">
        <v>22.0</v>
      </c>
      <c r="E532" s="9">
        <v>15.0</v>
      </c>
      <c r="F532" s="9">
        <v>17.0</v>
      </c>
      <c r="G532" s="9">
        <v>18.0</v>
      </c>
      <c r="H532" s="10">
        <f t="shared" si="3"/>
        <v>1000</v>
      </c>
      <c r="I532" s="18" t="s">
        <v>101</v>
      </c>
    </row>
    <row r="533" hidden="1">
      <c r="A533" s="6" t="s">
        <v>100</v>
      </c>
      <c r="B533" s="7" t="s">
        <v>18</v>
      </c>
      <c r="C533" s="9">
        <v>23.0</v>
      </c>
      <c r="D533" s="9">
        <v>22.0</v>
      </c>
      <c r="E533" s="9">
        <v>15.0</v>
      </c>
      <c r="F533" s="9">
        <v>17.0</v>
      </c>
      <c r="G533" s="9">
        <v>18.0</v>
      </c>
      <c r="H533" s="10">
        <f t="shared" si="3"/>
        <v>1000</v>
      </c>
      <c r="I533" s="18" t="s">
        <v>101</v>
      </c>
    </row>
    <row r="534" hidden="1">
      <c r="A534" s="6" t="s">
        <v>100</v>
      </c>
      <c r="B534" s="7" t="s">
        <v>19</v>
      </c>
      <c r="C534" s="9">
        <v>23.0</v>
      </c>
      <c r="D534" s="9">
        <v>22.0</v>
      </c>
      <c r="E534" s="9">
        <v>15.0</v>
      </c>
      <c r="F534" s="9">
        <v>17.0</v>
      </c>
      <c r="G534" s="9">
        <v>18.0</v>
      </c>
      <c r="H534" s="10">
        <f t="shared" si="3"/>
        <v>1000</v>
      </c>
      <c r="I534" s="18" t="s">
        <v>101</v>
      </c>
    </row>
    <row r="535" hidden="1">
      <c r="A535" s="6" t="s">
        <v>100</v>
      </c>
      <c r="B535" s="7" t="s">
        <v>20</v>
      </c>
      <c r="C535" s="9">
        <v>23.0</v>
      </c>
      <c r="D535" s="9">
        <v>22.0</v>
      </c>
      <c r="E535" s="9">
        <v>15.0</v>
      </c>
      <c r="F535" s="9">
        <v>17.0</v>
      </c>
      <c r="G535" s="9">
        <v>18.0</v>
      </c>
      <c r="H535" s="10">
        <f t="shared" si="3"/>
        <v>1000</v>
      </c>
      <c r="I535" s="18" t="s">
        <v>101</v>
      </c>
    </row>
    <row r="536" hidden="1">
      <c r="A536" s="6" t="s">
        <v>100</v>
      </c>
      <c r="B536" s="7" t="s">
        <v>21</v>
      </c>
      <c r="C536" s="9">
        <v>23.0</v>
      </c>
      <c r="D536" s="9">
        <v>22.0</v>
      </c>
      <c r="E536" s="9">
        <v>15.0</v>
      </c>
      <c r="F536" s="9">
        <v>17.0</v>
      </c>
      <c r="G536" s="9">
        <v>18.0</v>
      </c>
      <c r="H536" s="10">
        <f t="shared" si="3"/>
        <v>1000</v>
      </c>
      <c r="I536" s="18" t="s">
        <v>101</v>
      </c>
    </row>
    <row r="537" hidden="1">
      <c r="A537" s="6" t="s">
        <v>100</v>
      </c>
      <c r="B537" s="7" t="s">
        <v>22</v>
      </c>
      <c r="C537" s="9">
        <v>23.0</v>
      </c>
      <c r="D537" s="9">
        <v>22.0</v>
      </c>
      <c r="E537" s="9">
        <v>15.0</v>
      </c>
      <c r="F537" s="9">
        <v>17.0</v>
      </c>
      <c r="G537" s="9">
        <v>18.0</v>
      </c>
      <c r="H537" s="10">
        <f t="shared" si="3"/>
        <v>1000</v>
      </c>
      <c r="I537" s="18" t="s">
        <v>101</v>
      </c>
    </row>
    <row r="538" hidden="1">
      <c r="A538" s="6" t="s">
        <v>100</v>
      </c>
      <c r="B538" s="7" t="s">
        <v>23</v>
      </c>
      <c r="C538" s="9">
        <v>23.0</v>
      </c>
      <c r="D538" s="9">
        <v>22.0</v>
      </c>
      <c r="E538" s="9">
        <v>15.0</v>
      </c>
      <c r="F538" s="9">
        <v>17.0</v>
      </c>
      <c r="G538" s="9">
        <v>18.0</v>
      </c>
      <c r="H538" s="10">
        <f t="shared" si="3"/>
        <v>1000</v>
      </c>
      <c r="I538" s="18" t="s">
        <v>101</v>
      </c>
    </row>
    <row r="539" hidden="1">
      <c r="A539" s="6" t="s">
        <v>100</v>
      </c>
      <c r="B539" s="7" t="s">
        <v>53</v>
      </c>
      <c r="C539" s="9">
        <v>23.0</v>
      </c>
      <c r="D539" s="9">
        <v>22.0</v>
      </c>
      <c r="E539" s="9">
        <v>15.0</v>
      </c>
      <c r="F539" s="9">
        <v>17.0</v>
      </c>
      <c r="G539" s="9">
        <v>18.0</v>
      </c>
      <c r="H539" s="10">
        <f t="shared" si="3"/>
        <v>1000</v>
      </c>
      <c r="I539" s="18" t="s">
        <v>101</v>
      </c>
    </row>
    <row r="540" hidden="1">
      <c r="A540" s="6" t="s">
        <v>102</v>
      </c>
      <c r="B540" s="7" t="s">
        <v>11</v>
      </c>
      <c r="C540" s="9">
        <v>22.0</v>
      </c>
      <c r="D540" s="9">
        <v>18.0</v>
      </c>
      <c r="E540" s="9">
        <v>32.0</v>
      </c>
      <c r="F540" s="9">
        <v>17.0</v>
      </c>
      <c r="G540" s="9">
        <v>23.0</v>
      </c>
      <c r="H540" s="10">
        <f t="shared" si="3"/>
        <v>1450</v>
      </c>
      <c r="I540" s="18" t="s">
        <v>103</v>
      </c>
    </row>
    <row r="541" hidden="1">
      <c r="A541" s="6" t="s">
        <v>102</v>
      </c>
      <c r="B541" s="7" t="s">
        <v>13</v>
      </c>
      <c r="C541" s="9">
        <v>22.0</v>
      </c>
      <c r="D541" s="9">
        <v>18.0</v>
      </c>
      <c r="E541" s="9">
        <v>32.0</v>
      </c>
      <c r="F541" s="9">
        <v>17.0</v>
      </c>
      <c r="G541" s="9">
        <v>23.0</v>
      </c>
      <c r="H541" s="10">
        <f t="shared" si="3"/>
        <v>1450</v>
      </c>
      <c r="I541" s="18" t="s">
        <v>103</v>
      </c>
    </row>
    <row r="542" hidden="1">
      <c r="A542" s="6" t="s">
        <v>102</v>
      </c>
      <c r="B542" s="7" t="s">
        <v>14</v>
      </c>
      <c r="C542" s="9">
        <v>22.0</v>
      </c>
      <c r="D542" s="9">
        <v>18.0</v>
      </c>
      <c r="E542" s="9">
        <v>32.0</v>
      </c>
      <c r="F542" s="9">
        <v>17.0</v>
      </c>
      <c r="G542" s="9">
        <v>23.0</v>
      </c>
      <c r="H542" s="10">
        <f t="shared" si="3"/>
        <v>1450</v>
      </c>
      <c r="I542" s="18" t="s">
        <v>103</v>
      </c>
    </row>
    <row r="543" hidden="1">
      <c r="A543" s="6" t="s">
        <v>102</v>
      </c>
      <c r="B543" s="7" t="s">
        <v>15</v>
      </c>
      <c r="C543" s="9">
        <v>22.0</v>
      </c>
      <c r="D543" s="9">
        <v>18.0</v>
      </c>
      <c r="E543" s="9">
        <v>32.0</v>
      </c>
      <c r="F543" s="9">
        <v>17.0</v>
      </c>
      <c r="G543" s="9">
        <v>23.0</v>
      </c>
      <c r="H543" s="10">
        <f t="shared" si="3"/>
        <v>1450</v>
      </c>
      <c r="I543" s="18" t="s">
        <v>103</v>
      </c>
    </row>
    <row r="544" hidden="1">
      <c r="A544" s="6" t="s">
        <v>102</v>
      </c>
      <c r="B544" s="7" t="s">
        <v>16</v>
      </c>
      <c r="C544" s="9">
        <v>22.0</v>
      </c>
      <c r="D544" s="9">
        <v>18.0</v>
      </c>
      <c r="E544" s="9">
        <v>32.0</v>
      </c>
      <c r="F544" s="9">
        <v>17.0</v>
      </c>
      <c r="G544" s="9">
        <v>23.0</v>
      </c>
      <c r="H544" s="10">
        <f t="shared" si="3"/>
        <v>1450</v>
      </c>
      <c r="I544" s="18" t="s">
        <v>103</v>
      </c>
    </row>
    <row r="545" hidden="1">
      <c r="A545" s="6" t="s">
        <v>102</v>
      </c>
      <c r="B545" s="7" t="s">
        <v>17</v>
      </c>
      <c r="C545" s="9">
        <v>22.0</v>
      </c>
      <c r="D545" s="9">
        <v>18.0</v>
      </c>
      <c r="E545" s="9">
        <v>32.0</v>
      </c>
      <c r="F545" s="9">
        <v>17.0</v>
      </c>
      <c r="G545" s="9">
        <v>23.0</v>
      </c>
      <c r="H545" s="10">
        <f t="shared" si="3"/>
        <v>1450</v>
      </c>
      <c r="I545" s="18" t="s">
        <v>103</v>
      </c>
    </row>
    <row r="546" hidden="1">
      <c r="A546" s="6" t="s">
        <v>102</v>
      </c>
      <c r="B546" s="7" t="s">
        <v>18</v>
      </c>
      <c r="C546" s="9">
        <v>22.0</v>
      </c>
      <c r="D546" s="9">
        <v>18.0</v>
      </c>
      <c r="E546" s="9">
        <v>32.0</v>
      </c>
      <c r="F546" s="9">
        <v>17.0</v>
      </c>
      <c r="G546" s="9">
        <v>23.0</v>
      </c>
      <c r="H546" s="10">
        <f t="shared" si="3"/>
        <v>1450</v>
      </c>
      <c r="I546" s="18" t="s">
        <v>103</v>
      </c>
    </row>
    <row r="547" hidden="1">
      <c r="A547" s="6" t="s">
        <v>102</v>
      </c>
      <c r="B547" s="7" t="s">
        <v>19</v>
      </c>
      <c r="C547" s="9">
        <v>22.0</v>
      </c>
      <c r="D547" s="9">
        <v>18.0</v>
      </c>
      <c r="E547" s="9">
        <v>32.0</v>
      </c>
      <c r="F547" s="9">
        <v>17.0</v>
      </c>
      <c r="G547" s="9">
        <v>23.0</v>
      </c>
      <c r="H547" s="10">
        <f t="shared" si="3"/>
        <v>1450</v>
      </c>
      <c r="I547" s="18" t="s">
        <v>103</v>
      </c>
    </row>
    <row r="548" hidden="1">
      <c r="A548" s="6" t="s">
        <v>102</v>
      </c>
      <c r="B548" s="7" t="s">
        <v>20</v>
      </c>
      <c r="C548" s="9">
        <v>22.0</v>
      </c>
      <c r="D548" s="9">
        <v>18.0</v>
      </c>
      <c r="E548" s="9">
        <v>32.0</v>
      </c>
      <c r="F548" s="9">
        <v>17.0</v>
      </c>
      <c r="G548" s="9">
        <v>23.0</v>
      </c>
      <c r="H548" s="10">
        <f t="shared" si="3"/>
        <v>1450</v>
      </c>
      <c r="I548" s="18" t="s">
        <v>103</v>
      </c>
    </row>
    <row r="549" hidden="1">
      <c r="A549" s="6" t="s">
        <v>102</v>
      </c>
      <c r="B549" s="7" t="s">
        <v>21</v>
      </c>
      <c r="C549" s="9">
        <v>22.0</v>
      </c>
      <c r="D549" s="9">
        <v>18.0</v>
      </c>
      <c r="E549" s="9">
        <v>32.0</v>
      </c>
      <c r="F549" s="9">
        <v>17.0</v>
      </c>
      <c r="G549" s="9">
        <v>23.0</v>
      </c>
      <c r="H549" s="10">
        <f t="shared" si="3"/>
        <v>1450</v>
      </c>
      <c r="I549" s="18" t="s">
        <v>103</v>
      </c>
    </row>
    <row r="550" hidden="1">
      <c r="A550" s="6" t="s">
        <v>102</v>
      </c>
      <c r="B550" s="7" t="s">
        <v>22</v>
      </c>
      <c r="C550" s="9">
        <v>22.0</v>
      </c>
      <c r="D550" s="9">
        <v>18.0</v>
      </c>
      <c r="E550" s="9">
        <v>32.0</v>
      </c>
      <c r="F550" s="9">
        <v>17.0</v>
      </c>
      <c r="G550" s="9">
        <v>23.0</v>
      </c>
      <c r="H550" s="10">
        <f t="shared" si="3"/>
        <v>1450</v>
      </c>
      <c r="I550" s="18" t="s">
        <v>103</v>
      </c>
    </row>
    <row r="551" hidden="1">
      <c r="A551" s="6" t="s">
        <v>102</v>
      </c>
      <c r="B551" s="7" t="s">
        <v>23</v>
      </c>
      <c r="C551" s="9">
        <v>22.0</v>
      </c>
      <c r="D551" s="9">
        <v>18.0</v>
      </c>
      <c r="E551" s="9">
        <v>32.0</v>
      </c>
      <c r="F551" s="9">
        <v>17.0</v>
      </c>
      <c r="G551" s="9">
        <v>23.0</v>
      </c>
      <c r="H551" s="10">
        <f t="shared" si="3"/>
        <v>1450</v>
      </c>
      <c r="I551" s="18" t="s">
        <v>103</v>
      </c>
    </row>
    <row r="552" hidden="1">
      <c r="A552" s="6" t="s">
        <v>102</v>
      </c>
      <c r="B552" s="7" t="s">
        <v>53</v>
      </c>
      <c r="C552" s="9">
        <v>22.0</v>
      </c>
      <c r="D552" s="9">
        <v>18.0</v>
      </c>
      <c r="E552" s="9">
        <v>32.0</v>
      </c>
      <c r="F552" s="9">
        <v>17.0</v>
      </c>
      <c r="G552" s="9">
        <v>23.0</v>
      </c>
      <c r="H552" s="10">
        <f t="shared" si="3"/>
        <v>1450</v>
      </c>
      <c r="I552" s="18" t="s">
        <v>103</v>
      </c>
    </row>
    <row r="553" hidden="1">
      <c r="A553" s="6" t="s">
        <v>104</v>
      </c>
      <c r="B553" s="7" t="s">
        <v>11</v>
      </c>
      <c r="C553" s="9">
        <v>30.0</v>
      </c>
      <c r="D553" s="9">
        <v>22.0</v>
      </c>
      <c r="E553" s="9">
        <v>15.0</v>
      </c>
      <c r="F553" s="9">
        <v>18.0</v>
      </c>
      <c r="G553" s="9">
        <v>18.0</v>
      </c>
      <c r="H553" s="10">
        <f t="shared" si="3"/>
        <v>1150</v>
      </c>
      <c r="I553" s="10"/>
    </row>
    <row r="554" hidden="1">
      <c r="A554" s="6" t="s">
        <v>104</v>
      </c>
      <c r="B554" s="7" t="s">
        <v>13</v>
      </c>
      <c r="C554" s="9">
        <v>30.0</v>
      </c>
      <c r="D554" s="9">
        <v>22.0</v>
      </c>
      <c r="E554" s="9">
        <v>15.0</v>
      </c>
      <c r="F554" s="9">
        <v>18.0</v>
      </c>
      <c r="G554" s="9">
        <v>18.0</v>
      </c>
      <c r="H554" s="10">
        <f t="shared" si="3"/>
        <v>1150</v>
      </c>
      <c r="I554" s="10"/>
    </row>
    <row r="555" hidden="1">
      <c r="A555" s="6" t="s">
        <v>104</v>
      </c>
      <c r="B555" s="7" t="s">
        <v>14</v>
      </c>
      <c r="C555" s="9">
        <v>30.0</v>
      </c>
      <c r="D555" s="9">
        <v>22.0</v>
      </c>
      <c r="E555" s="9">
        <v>15.0</v>
      </c>
      <c r="F555" s="9">
        <v>18.0</v>
      </c>
      <c r="G555" s="9">
        <v>18.0</v>
      </c>
      <c r="H555" s="10">
        <f t="shared" si="3"/>
        <v>1150</v>
      </c>
      <c r="I555" s="10"/>
    </row>
    <row r="556" hidden="1">
      <c r="A556" s="6" t="s">
        <v>104</v>
      </c>
      <c r="B556" s="7" t="s">
        <v>15</v>
      </c>
      <c r="C556" s="9">
        <v>30.0</v>
      </c>
      <c r="D556" s="9">
        <v>22.0</v>
      </c>
      <c r="E556" s="9">
        <v>15.0</v>
      </c>
      <c r="F556" s="9">
        <v>18.0</v>
      </c>
      <c r="G556" s="9">
        <v>18.0</v>
      </c>
      <c r="H556" s="10">
        <f t="shared" si="3"/>
        <v>1150</v>
      </c>
      <c r="I556" s="10"/>
    </row>
    <row r="557" hidden="1">
      <c r="A557" s="6" t="s">
        <v>104</v>
      </c>
      <c r="B557" s="7" t="s">
        <v>16</v>
      </c>
      <c r="C557" s="9">
        <v>30.0</v>
      </c>
      <c r="D557" s="9">
        <v>22.0</v>
      </c>
      <c r="E557" s="9">
        <v>15.0</v>
      </c>
      <c r="F557" s="9">
        <v>18.0</v>
      </c>
      <c r="G557" s="9">
        <v>18.0</v>
      </c>
      <c r="H557" s="10">
        <f t="shared" si="3"/>
        <v>1150</v>
      </c>
      <c r="I557" s="10"/>
    </row>
    <row r="558" hidden="1">
      <c r="A558" s="6" t="s">
        <v>104</v>
      </c>
      <c r="B558" s="7" t="s">
        <v>17</v>
      </c>
      <c r="C558" s="9">
        <v>30.0</v>
      </c>
      <c r="D558" s="9">
        <v>22.0</v>
      </c>
      <c r="E558" s="9">
        <v>15.0</v>
      </c>
      <c r="F558" s="9">
        <v>18.0</v>
      </c>
      <c r="G558" s="9">
        <v>18.0</v>
      </c>
      <c r="H558" s="10">
        <f t="shared" si="3"/>
        <v>1150</v>
      </c>
      <c r="I558" s="10"/>
    </row>
    <row r="559" hidden="1">
      <c r="A559" s="6" t="s">
        <v>104</v>
      </c>
      <c r="B559" s="7" t="s">
        <v>18</v>
      </c>
      <c r="C559" s="9">
        <v>30.0</v>
      </c>
      <c r="D559" s="9">
        <v>22.0</v>
      </c>
      <c r="E559" s="9">
        <v>15.0</v>
      </c>
      <c r="F559" s="9">
        <v>18.0</v>
      </c>
      <c r="G559" s="9">
        <v>18.0</v>
      </c>
      <c r="H559" s="10">
        <f t="shared" si="3"/>
        <v>1150</v>
      </c>
      <c r="I559" s="10"/>
    </row>
    <row r="560" hidden="1">
      <c r="A560" s="6" t="s">
        <v>104</v>
      </c>
      <c r="B560" s="7" t="s">
        <v>19</v>
      </c>
      <c r="C560" s="9">
        <v>30.0</v>
      </c>
      <c r="D560" s="9">
        <v>22.0</v>
      </c>
      <c r="E560" s="9">
        <v>15.0</v>
      </c>
      <c r="F560" s="9">
        <v>18.0</v>
      </c>
      <c r="G560" s="9">
        <v>18.0</v>
      </c>
      <c r="H560" s="10">
        <f t="shared" si="3"/>
        <v>1150</v>
      </c>
      <c r="I560" s="10"/>
    </row>
    <row r="561" hidden="1">
      <c r="A561" s="6" t="s">
        <v>104</v>
      </c>
      <c r="B561" s="7" t="s">
        <v>20</v>
      </c>
      <c r="C561" s="9">
        <v>30.0</v>
      </c>
      <c r="D561" s="9">
        <v>22.0</v>
      </c>
      <c r="E561" s="9">
        <v>15.0</v>
      </c>
      <c r="F561" s="9">
        <v>18.0</v>
      </c>
      <c r="G561" s="9">
        <v>18.0</v>
      </c>
      <c r="H561" s="10">
        <f t="shared" si="3"/>
        <v>1150</v>
      </c>
      <c r="I561" s="10"/>
    </row>
    <row r="562" hidden="1">
      <c r="A562" s="6" t="s">
        <v>104</v>
      </c>
      <c r="B562" s="7" t="s">
        <v>21</v>
      </c>
      <c r="C562" s="9">
        <v>30.0</v>
      </c>
      <c r="D562" s="9">
        <v>22.0</v>
      </c>
      <c r="E562" s="9">
        <v>15.0</v>
      </c>
      <c r="F562" s="9">
        <v>18.0</v>
      </c>
      <c r="G562" s="9">
        <v>18.0</v>
      </c>
      <c r="H562" s="10">
        <f t="shared" si="3"/>
        <v>1150</v>
      </c>
      <c r="I562" s="10"/>
    </row>
    <row r="563" hidden="1">
      <c r="A563" s="6" t="s">
        <v>104</v>
      </c>
      <c r="B563" s="7" t="s">
        <v>22</v>
      </c>
      <c r="C563" s="9">
        <v>30.0</v>
      </c>
      <c r="D563" s="9">
        <v>22.0</v>
      </c>
      <c r="E563" s="9">
        <v>15.0</v>
      </c>
      <c r="F563" s="9">
        <v>18.0</v>
      </c>
      <c r="G563" s="9">
        <v>18.0</v>
      </c>
      <c r="H563" s="10">
        <f t="shared" si="3"/>
        <v>1150</v>
      </c>
      <c r="I563" s="10"/>
    </row>
    <row r="564" hidden="1">
      <c r="A564" s="6" t="s">
        <v>104</v>
      </c>
      <c r="B564" s="7" t="s">
        <v>23</v>
      </c>
      <c r="C564" s="9">
        <v>30.0</v>
      </c>
      <c r="D564" s="9">
        <v>22.0</v>
      </c>
      <c r="E564" s="9">
        <v>15.0</v>
      </c>
      <c r="F564" s="9">
        <v>18.0</v>
      </c>
      <c r="G564" s="9">
        <v>18.0</v>
      </c>
      <c r="H564" s="10">
        <f t="shared" si="3"/>
        <v>1150</v>
      </c>
      <c r="I564" s="10"/>
    </row>
    <row r="565" hidden="1">
      <c r="A565" s="6" t="s">
        <v>104</v>
      </c>
      <c r="B565" s="7" t="s">
        <v>53</v>
      </c>
      <c r="C565" s="9">
        <v>30.0</v>
      </c>
      <c r="D565" s="9">
        <v>22.0</v>
      </c>
      <c r="E565" s="9">
        <v>15.0</v>
      </c>
      <c r="F565" s="9">
        <v>18.0</v>
      </c>
      <c r="G565" s="9">
        <v>18.0</v>
      </c>
      <c r="H565" s="10">
        <f t="shared" si="3"/>
        <v>1150</v>
      </c>
      <c r="I565" s="10"/>
    </row>
    <row r="566" hidden="1">
      <c r="A566" s="6" t="s">
        <v>105</v>
      </c>
      <c r="B566" s="7" t="s">
        <v>11</v>
      </c>
      <c r="C566" s="9">
        <v>27.0</v>
      </c>
      <c r="D566" s="9">
        <v>30.0</v>
      </c>
      <c r="E566" s="9">
        <v>23.0</v>
      </c>
      <c r="F566" s="9">
        <v>17.0</v>
      </c>
      <c r="G566" s="9">
        <v>11.0</v>
      </c>
      <c r="H566" s="10">
        <f t="shared" si="3"/>
        <v>1250</v>
      </c>
      <c r="I566" s="10"/>
    </row>
    <row r="567" hidden="1">
      <c r="A567" s="6" t="s">
        <v>105</v>
      </c>
      <c r="B567" s="7" t="s">
        <v>13</v>
      </c>
      <c r="C567" s="9">
        <v>27.0</v>
      </c>
      <c r="D567" s="9">
        <v>30.0</v>
      </c>
      <c r="E567" s="9">
        <v>23.0</v>
      </c>
      <c r="F567" s="9">
        <v>17.0</v>
      </c>
      <c r="G567" s="9">
        <v>11.0</v>
      </c>
      <c r="H567" s="10">
        <f t="shared" si="3"/>
        <v>1250</v>
      </c>
      <c r="I567" s="10"/>
    </row>
    <row r="568" hidden="1">
      <c r="A568" s="6" t="s">
        <v>105</v>
      </c>
      <c r="B568" s="7" t="s">
        <v>14</v>
      </c>
      <c r="C568" s="9">
        <v>27.0</v>
      </c>
      <c r="D568" s="9">
        <v>30.0</v>
      </c>
      <c r="E568" s="9">
        <v>23.0</v>
      </c>
      <c r="F568" s="9">
        <v>17.0</v>
      </c>
      <c r="G568" s="9">
        <v>11.0</v>
      </c>
      <c r="H568" s="10">
        <f t="shared" si="3"/>
        <v>1250</v>
      </c>
      <c r="I568" s="10"/>
    </row>
    <row r="569" hidden="1">
      <c r="A569" s="6" t="s">
        <v>105</v>
      </c>
      <c r="B569" s="7" t="s">
        <v>15</v>
      </c>
      <c r="C569" s="9">
        <v>27.0</v>
      </c>
      <c r="D569" s="9">
        <v>30.0</v>
      </c>
      <c r="E569" s="9">
        <v>23.0</v>
      </c>
      <c r="F569" s="9">
        <v>17.0</v>
      </c>
      <c r="G569" s="9">
        <v>11.0</v>
      </c>
      <c r="H569" s="10">
        <f t="shared" si="3"/>
        <v>1250</v>
      </c>
      <c r="I569" s="10"/>
    </row>
    <row r="570" hidden="1">
      <c r="A570" s="6" t="s">
        <v>105</v>
      </c>
      <c r="B570" s="7" t="s">
        <v>16</v>
      </c>
      <c r="C570" s="9">
        <v>27.0</v>
      </c>
      <c r="D570" s="9">
        <v>30.0</v>
      </c>
      <c r="E570" s="9">
        <v>23.0</v>
      </c>
      <c r="F570" s="9">
        <v>17.0</v>
      </c>
      <c r="G570" s="9">
        <v>11.0</v>
      </c>
      <c r="H570" s="10">
        <f t="shared" si="3"/>
        <v>1250</v>
      </c>
      <c r="I570" s="10"/>
    </row>
    <row r="571" hidden="1">
      <c r="A571" s="6" t="s">
        <v>105</v>
      </c>
      <c r="B571" s="7" t="s">
        <v>17</v>
      </c>
      <c r="C571" s="9">
        <v>27.0</v>
      </c>
      <c r="D571" s="9">
        <v>30.0</v>
      </c>
      <c r="E571" s="9">
        <v>23.0</v>
      </c>
      <c r="F571" s="9">
        <v>17.0</v>
      </c>
      <c r="G571" s="9">
        <v>11.0</v>
      </c>
      <c r="H571" s="10">
        <f t="shared" si="3"/>
        <v>1250</v>
      </c>
      <c r="I571" s="10"/>
    </row>
    <row r="572" hidden="1">
      <c r="A572" s="6" t="s">
        <v>105</v>
      </c>
      <c r="B572" s="7" t="s">
        <v>18</v>
      </c>
      <c r="C572" s="9">
        <v>27.0</v>
      </c>
      <c r="D572" s="9">
        <v>30.0</v>
      </c>
      <c r="E572" s="9">
        <v>23.0</v>
      </c>
      <c r="F572" s="9">
        <v>17.0</v>
      </c>
      <c r="G572" s="9">
        <v>11.0</v>
      </c>
      <c r="H572" s="10">
        <f t="shared" si="3"/>
        <v>1250</v>
      </c>
      <c r="I572" s="10"/>
    </row>
    <row r="573" hidden="1">
      <c r="A573" s="6" t="s">
        <v>105</v>
      </c>
      <c r="B573" s="7" t="s">
        <v>19</v>
      </c>
      <c r="C573" s="9">
        <v>27.0</v>
      </c>
      <c r="D573" s="9">
        <v>30.0</v>
      </c>
      <c r="E573" s="9">
        <v>23.0</v>
      </c>
      <c r="F573" s="9">
        <v>17.0</v>
      </c>
      <c r="G573" s="9">
        <v>11.0</v>
      </c>
      <c r="H573" s="10">
        <f t="shared" si="3"/>
        <v>1250</v>
      </c>
      <c r="I573" s="10"/>
    </row>
    <row r="574" hidden="1">
      <c r="A574" s="6" t="s">
        <v>105</v>
      </c>
      <c r="B574" s="7" t="s">
        <v>20</v>
      </c>
      <c r="C574" s="9">
        <v>27.0</v>
      </c>
      <c r="D574" s="9">
        <v>30.0</v>
      </c>
      <c r="E574" s="9">
        <v>23.0</v>
      </c>
      <c r="F574" s="9">
        <v>17.0</v>
      </c>
      <c r="G574" s="9">
        <v>11.0</v>
      </c>
      <c r="H574" s="10">
        <f t="shared" si="3"/>
        <v>1250</v>
      </c>
      <c r="I574" s="10"/>
    </row>
    <row r="575" hidden="1">
      <c r="A575" s="6" t="s">
        <v>105</v>
      </c>
      <c r="B575" s="7" t="s">
        <v>21</v>
      </c>
      <c r="C575" s="9">
        <v>27.0</v>
      </c>
      <c r="D575" s="9">
        <v>30.0</v>
      </c>
      <c r="E575" s="9">
        <v>23.0</v>
      </c>
      <c r="F575" s="9">
        <v>17.0</v>
      </c>
      <c r="G575" s="9">
        <v>11.0</v>
      </c>
      <c r="H575" s="10">
        <f t="shared" si="3"/>
        <v>1250</v>
      </c>
      <c r="I575" s="10"/>
    </row>
    <row r="576" hidden="1">
      <c r="A576" s="6" t="s">
        <v>105</v>
      </c>
      <c r="B576" s="7" t="s">
        <v>22</v>
      </c>
      <c r="C576" s="9">
        <v>27.0</v>
      </c>
      <c r="D576" s="9">
        <v>30.0</v>
      </c>
      <c r="E576" s="9">
        <v>23.0</v>
      </c>
      <c r="F576" s="9">
        <v>17.0</v>
      </c>
      <c r="G576" s="9">
        <v>11.0</v>
      </c>
      <c r="H576" s="10">
        <f t="shared" si="3"/>
        <v>1250</v>
      </c>
      <c r="I576" s="10"/>
    </row>
    <row r="577" hidden="1">
      <c r="A577" s="6" t="s">
        <v>105</v>
      </c>
      <c r="B577" s="7" t="s">
        <v>23</v>
      </c>
      <c r="C577" s="9">
        <v>27.0</v>
      </c>
      <c r="D577" s="9">
        <v>30.0</v>
      </c>
      <c r="E577" s="9">
        <v>23.0</v>
      </c>
      <c r="F577" s="9">
        <v>17.0</v>
      </c>
      <c r="G577" s="9">
        <v>11.0</v>
      </c>
      <c r="H577" s="10">
        <f t="shared" si="3"/>
        <v>1250</v>
      </c>
      <c r="I577" s="10"/>
    </row>
    <row r="578" hidden="1">
      <c r="A578" s="6" t="s">
        <v>105</v>
      </c>
      <c r="B578" s="7" t="s">
        <v>53</v>
      </c>
      <c r="C578" s="9">
        <v>27.0</v>
      </c>
      <c r="D578" s="9">
        <v>30.0</v>
      </c>
      <c r="E578" s="9">
        <v>23.0</v>
      </c>
      <c r="F578" s="9">
        <v>17.0</v>
      </c>
      <c r="G578" s="9">
        <v>11.0</v>
      </c>
      <c r="H578" s="10">
        <f t="shared" si="3"/>
        <v>1250</v>
      </c>
      <c r="I578" s="10"/>
    </row>
    <row r="579" hidden="1">
      <c r="A579" s="6" t="s">
        <v>106</v>
      </c>
      <c r="B579" s="7" t="s">
        <v>11</v>
      </c>
      <c r="C579" s="9">
        <v>22.0</v>
      </c>
      <c r="D579" s="9">
        <v>23.0</v>
      </c>
      <c r="E579" s="9">
        <v>30.0</v>
      </c>
      <c r="F579" s="9">
        <v>18.0</v>
      </c>
      <c r="G579" s="8">
        <v>22.0</v>
      </c>
      <c r="H579" s="10">
        <f t="shared" si="3"/>
        <v>1550</v>
      </c>
      <c r="I579" s="10"/>
    </row>
    <row r="580" hidden="1">
      <c r="A580" s="6" t="s">
        <v>106</v>
      </c>
      <c r="B580" s="7" t="s">
        <v>13</v>
      </c>
      <c r="C580" s="9">
        <v>22.0</v>
      </c>
      <c r="D580" s="9">
        <v>23.0</v>
      </c>
      <c r="E580" s="9">
        <v>30.0</v>
      </c>
      <c r="F580" s="9">
        <v>18.0</v>
      </c>
      <c r="G580" s="8">
        <v>22.0</v>
      </c>
      <c r="H580" s="10">
        <f t="shared" si="3"/>
        <v>1550</v>
      </c>
      <c r="I580" s="10"/>
    </row>
    <row r="581" hidden="1">
      <c r="A581" s="6" t="s">
        <v>106</v>
      </c>
      <c r="B581" s="7" t="s">
        <v>14</v>
      </c>
      <c r="C581" s="9">
        <v>22.0</v>
      </c>
      <c r="D581" s="9">
        <v>23.0</v>
      </c>
      <c r="E581" s="9">
        <v>30.0</v>
      </c>
      <c r="F581" s="9">
        <v>18.0</v>
      </c>
      <c r="G581" s="8">
        <v>22.0</v>
      </c>
      <c r="H581" s="10">
        <f t="shared" si="3"/>
        <v>1550</v>
      </c>
      <c r="I581" s="10"/>
    </row>
    <row r="582" hidden="1">
      <c r="A582" s="6" t="s">
        <v>106</v>
      </c>
      <c r="B582" s="7" t="s">
        <v>15</v>
      </c>
      <c r="C582" s="9">
        <v>22.0</v>
      </c>
      <c r="D582" s="9">
        <v>23.0</v>
      </c>
      <c r="E582" s="9">
        <v>30.0</v>
      </c>
      <c r="F582" s="9">
        <v>18.0</v>
      </c>
      <c r="G582" s="8">
        <v>22.0</v>
      </c>
      <c r="H582" s="10">
        <f t="shared" si="3"/>
        <v>1550</v>
      </c>
      <c r="I582" s="10"/>
    </row>
    <row r="583" hidden="1">
      <c r="A583" s="6" t="s">
        <v>106</v>
      </c>
      <c r="B583" s="7" t="s">
        <v>16</v>
      </c>
      <c r="C583" s="9">
        <v>22.0</v>
      </c>
      <c r="D583" s="9">
        <v>23.0</v>
      </c>
      <c r="E583" s="9">
        <v>30.0</v>
      </c>
      <c r="F583" s="9">
        <v>18.0</v>
      </c>
      <c r="G583" s="8">
        <v>22.0</v>
      </c>
      <c r="H583" s="10">
        <f t="shared" si="3"/>
        <v>1550</v>
      </c>
      <c r="I583" s="10"/>
    </row>
    <row r="584" hidden="1">
      <c r="A584" s="6" t="s">
        <v>106</v>
      </c>
      <c r="B584" s="7" t="s">
        <v>17</v>
      </c>
      <c r="C584" s="9">
        <v>22.0</v>
      </c>
      <c r="D584" s="9">
        <v>23.0</v>
      </c>
      <c r="E584" s="9">
        <v>30.0</v>
      </c>
      <c r="F584" s="9">
        <v>18.0</v>
      </c>
      <c r="G584" s="8">
        <v>22.0</v>
      </c>
      <c r="H584" s="10">
        <f t="shared" si="3"/>
        <v>1550</v>
      </c>
      <c r="I584" s="10"/>
    </row>
    <row r="585" hidden="1">
      <c r="A585" s="6" t="s">
        <v>106</v>
      </c>
      <c r="B585" s="7" t="s">
        <v>18</v>
      </c>
      <c r="C585" s="9">
        <v>22.0</v>
      </c>
      <c r="D585" s="9">
        <v>23.0</v>
      </c>
      <c r="E585" s="9">
        <v>30.0</v>
      </c>
      <c r="F585" s="9">
        <v>18.0</v>
      </c>
      <c r="G585" s="8">
        <v>22.0</v>
      </c>
      <c r="H585" s="10">
        <f t="shared" si="3"/>
        <v>1550</v>
      </c>
      <c r="I585" s="10"/>
    </row>
    <row r="586" hidden="1">
      <c r="A586" s="6" t="s">
        <v>106</v>
      </c>
      <c r="B586" s="7" t="s">
        <v>19</v>
      </c>
      <c r="C586" s="9">
        <v>22.0</v>
      </c>
      <c r="D586" s="9">
        <v>23.0</v>
      </c>
      <c r="E586" s="9">
        <v>30.0</v>
      </c>
      <c r="F586" s="9">
        <v>18.0</v>
      </c>
      <c r="G586" s="8">
        <v>22.0</v>
      </c>
      <c r="H586" s="10">
        <f t="shared" si="3"/>
        <v>1550</v>
      </c>
      <c r="I586" s="10"/>
    </row>
    <row r="587" hidden="1">
      <c r="A587" s="6" t="s">
        <v>106</v>
      </c>
      <c r="B587" s="7" t="s">
        <v>20</v>
      </c>
      <c r="C587" s="9">
        <v>22.0</v>
      </c>
      <c r="D587" s="9">
        <v>23.0</v>
      </c>
      <c r="E587" s="9">
        <v>30.0</v>
      </c>
      <c r="F587" s="9">
        <v>18.0</v>
      </c>
      <c r="G587" s="8">
        <v>22.0</v>
      </c>
      <c r="H587" s="10">
        <f t="shared" si="3"/>
        <v>1550</v>
      </c>
      <c r="I587" s="10"/>
    </row>
    <row r="588" hidden="1">
      <c r="A588" s="6" t="s">
        <v>106</v>
      </c>
      <c r="B588" s="7" t="s">
        <v>21</v>
      </c>
      <c r="C588" s="9">
        <v>22.0</v>
      </c>
      <c r="D588" s="9">
        <v>23.0</v>
      </c>
      <c r="E588" s="9">
        <v>30.0</v>
      </c>
      <c r="F588" s="9">
        <v>18.0</v>
      </c>
      <c r="G588" s="8">
        <v>22.0</v>
      </c>
      <c r="H588" s="10">
        <f t="shared" si="3"/>
        <v>1550</v>
      </c>
      <c r="I588" s="10"/>
    </row>
    <row r="589" hidden="1">
      <c r="A589" s="6" t="s">
        <v>106</v>
      </c>
      <c r="B589" s="7" t="s">
        <v>22</v>
      </c>
      <c r="C589" s="9">
        <v>22.0</v>
      </c>
      <c r="D589" s="9">
        <v>23.0</v>
      </c>
      <c r="E589" s="9">
        <v>30.0</v>
      </c>
      <c r="F589" s="9">
        <v>18.0</v>
      </c>
      <c r="G589" s="8">
        <v>22.0</v>
      </c>
      <c r="H589" s="10">
        <f t="shared" si="3"/>
        <v>1550</v>
      </c>
      <c r="I589" s="10"/>
    </row>
    <row r="590" hidden="1">
      <c r="A590" s="6" t="s">
        <v>106</v>
      </c>
      <c r="B590" s="7" t="s">
        <v>23</v>
      </c>
      <c r="C590" s="9">
        <v>22.0</v>
      </c>
      <c r="D590" s="9">
        <v>23.0</v>
      </c>
      <c r="E590" s="9">
        <v>30.0</v>
      </c>
      <c r="F590" s="9">
        <v>18.0</v>
      </c>
      <c r="G590" s="8">
        <v>22.0</v>
      </c>
      <c r="H590" s="10">
        <f t="shared" si="3"/>
        <v>1550</v>
      </c>
      <c r="I590" s="10"/>
    </row>
    <row r="591" hidden="1">
      <c r="A591" s="6" t="s">
        <v>106</v>
      </c>
      <c r="B591" s="7" t="s">
        <v>53</v>
      </c>
      <c r="C591" s="9">
        <v>22.0</v>
      </c>
      <c r="D591" s="9">
        <v>23.0</v>
      </c>
      <c r="E591" s="9">
        <v>30.0</v>
      </c>
      <c r="F591" s="9">
        <v>18.0</v>
      </c>
      <c r="G591" s="8">
        <v>22.0</v>
      </c>
      <c r="H591" s="10">
        <f t="shared" si="3"/>
        <v>1550</v>
      </c>
      <c r="I591" s="10"/>
    </row>
    <row r="592" hidden="1">
      <c r="A592" s="6" t="s">
        <v>107</v>
      </c>
      <c r="B592" s="7" t="s">
        <v>11</v>
      </c>
      <c r="C592" s="9">
        <v>27.0</v>
      </c>
      <c r="D592" s="9">
        <v>18.0</v>
      </c>
      <c r="E592" s="9">
        <v>27.0</v>
      </c>
      <c r="F592" s="9">
        <v>17.0</v>
      </c>
      <c r="G592" s="19"/>
      <c r="H592" s="10">
        <f t="shared" si="3"/>
        <v>1000</v>
      </c>
      <c r="I592" s="10"/>
    </row>
    <row r="593" hidden="1">
      <c r="A593" s="6" t="s">
        <v>107</v>
      </c>
      <c r="B593" s="7" t="s">
        <v>13</v>
      </c>
      <c r="C593" s="9">
        <v>27.0</v>
      </c>
      <c r="D593" s="9">
        <v>18.0</v>
      </c>
      <c r="E593" s="9">
        <v>27.0</v>
      </c>
      <c r="F593" s="9">
        <v>17.0</v>
      </c>
      <c r="G593" s="19"/>
      <c r="H593" s="10">
        <f t="shared" si="3"/>
        <v>1000</v>
      </c>
      <c r="I593" s="10"/>
    </row>
    <row r="594" hidden="1">
      <c r="A594" s="6" t="s">
        <v>107</v>
      </c>
      <c r="B594" s="7" t="s">
        <v>14</v>
      </c>
      <c r="C594" s="9">
        <v>27.0</v>
      </c>
      <c r="D594" s="9">
        <v>18.0</v>
      </c>
      <c r="E594" s="9">
        <v>27.0</v>
      </c>
      <c r="F594" s="9">
        <v>17.0</v>
      </c>
      <c r="G594" s="19"/>
      <c r="H594" s="10">
        <f t="shared" si="3"/>
        <v>1000</v>
      </c>
      <c r="I594" s="10"/>
    </row>
    <row r="595" hidden="1">
      <c r="A595" s="6" t="s">
        <v>107</v>
      </c>
      <c r="B595" s="7" t="s">
        <v>15</v>
      </c>
      <c r="C595" s="9">
        <v>27.0</v>
      </c>
      <c r="D595" s="9">
        <v>18.0</v>
      </c>
      <c r="E595" s="9">
        <v>27.0</v>
      </c>
      <c r="F595" s="9">
        <v>17.0</v>
      </c>
      <c r="G595" s="19"/>
      <c r="H595" s="10">
        <f t="shared" si="3"/>
        <v>1000</v>
      </c>
      <c r="I595" s="10"/>
    </row>
    <row r="596" hidden="1">
      <c r="A596" s="6" t="s">
        <v>107</v>
      </c>
      <c r="B596" s="7" t="s">
        <v>16</v>
      </c>
      <c r="C596" s="9">
        <v>27.0</v>
      </c>
      <c r="D596" s="9">
        <v>18.0</v>
      </c>
      <c r="E596" s="9">
        <v>27.0</v>
      </c>
      <c r="F596" s="9">
        <v>17.0</v>
      </c>
      <c r="G596" s="19"/>
      <c r="H596" s="10">
        <f t="shared" si="3"/>
        <v>1000</v>
      </c>
      <c r="I596" s="10"/>
    </row>
    <row r="597" hidden="1">
      <c r="A597" s="6" t="s">
        <v>107</v>
      </c>
      <c r="B597" s="7" t="s">
        <v>17</v>
      </c>
      <c r="C597" s="9">
        <v>27.0</v>
      </c>
      <c r="D597" s="9">
        <v>18.0</v>
      </c>
      <c r="E597" s="9">
        <v>27.0</v>
      </c>
      <c r="F597" s="9">
        <v>17.0</v>
      </c>
      <c r="G597" s="19"/>
      <c r="H597" s="10">
        <f t="shared" si="3"/>
        <v>1000</v>
      </c>
      <c r="I597" s="10"/>
    </row>
    <row r="598" hidden="1">
      <c r="A598" s="6" t="s">
        <v>107</v>
      </c>
      <c r="B598" s="7" t="s">
        <v>18</v>
      </c>
      <c r="C598" s="9">
        <v>27.0</v>
      </c>
      <c r="D598" s="9">
        <v>18.0</v>
      </c>
      <c r="E598" s="9">
        <v>27.0</v>
      </c>
      <c r="F598" s="9">
        <v>17.0</v>
      </c>
      <c r="G598" s="19"/>
      <c r="H598" s="10">
        <f t="shared" si="3"/>
        <v>1000</v>
      </c>
      <c r="I598" s="10"/>
    </row>
    <row r="599" hidden="1">
      <c r="A599" s="6" t="s">
        <v>107</v>
      </c>
      <c r="B599" s="7" t="s">
        <v>19</v>
      </c>
      <c r="C599" s="9">
        <v>27.0</v>
      </c>
      <c r="D599" s="9">
        <v>18.0</v>
      </c>
      <c r="E599" s="9">
        <v>27.0</v>
      </c>
      <c r="F599" s="9">
        <v>17.0</v>
      </c>
      <c r="G599" s="19"/>
      <c r="H599" s="10">
        <f t="shared" si="3"/>
        <v>1000</v>
      </c>
      <c r="I599" s="10"/>
    </row>
    <row r="600" hidden="1">
      <c r="A600" s="6" t="s">
        <v>107</v>
      </c>
      <c r="B600" s="7" t="s">
        <v>20</v>
      </c>
      <c r="C600" s="9">
        <v>27.0</v>
      </c>
      <c r="D600" s="9">
        <v>18.0</v>
      </c>
      <c r="E600" s="9">
        <v>27.0</v>
      </c>
      <c r="F600" s="9">
        <v>17.0</v>
      </c>
      <c r="G600" s="19"/>
      <c r="H600" s="10">
        <f t="shared" si="3"/>
        <v>1000</v>
      </c>
      <c r="I600" s="10"/>
    </row>
    <row r="601" hidden="1">
      <c r="A601" s="6" t="s">
        <v>107</v>
      </c>
      <c r="B601" s="7" t="s">
        <v>21</v>
      </c>
      <c r="C601" s="9">
        <v>27.0</v>
      </c>
      <c r="D601" s="9">
        <v>18.0</v>
      </c>
      <c r="E601" s="9">
        <v>27.0</v>
      </c>
      <c r="F601" s="9">
        <v>17.0</v>
      </c>
      <c r="G601" s="19"/>
      <c r="H601" s="10">
        <f t="shared" si="3"/>
        <v>1000</v>
      </c>
      <c r="I601" s="10"/>
    </row>
    <row r="602" hidden="1">
      <c r="A602" s="6" t="s">
        <v>107</v>
      </c>
      <c r="B602" s="7" t="s">
        <v>22</v>
      </c>
      <c r="C602" s="9">
        <v>27.0</v>
      </c>
      <c r="D602" s="9">
        <v>18.0</v>
      </c>
      <c r="E602" s="9">
        <v>27.0</v>
      </c>
      <c r="F602" s="9">
        <v>17.0</v>
      </c>
      <c r="G602" s="19"/>
      <c r="H602" s="10">
        <f t="shared" si="3"/>
        <v>1000</v>
      </c>
      <c r="I602" s="10"/>
    </row>
    <row r="603" hidden="1">
      <c r="A603" s="6" t="s">
        <v>107</v>
      </c>
      <c r="B603" s="7" t="s">
        <v>23</v>
      </c>
      <c r="C603" s="9">
        <v>27.0</v>
      </c>
      <c r="D603" s="9">
        <v>18.0</v>
      </c>
      <c r="E603" s="9">
        <v>27.0</v>
      </c>
      <c r="F603" s="9">
        <v>17.0</v>
      </c>
      <c r="G603" s="19"/>
      <c r="H603" s="10">
        <f t="shared" si="3"/>
        <v>1000</v>
      </c>
      <c r="I603" s="10"/>
    </row>
    <row r="604" hidden="1">
      <c r="A604" s="6" t="s">
        <v>107</v>
      </c>
      <c r="B604" s="13" t="s">
        <v>53</v>
      </c>
      <c r="C604" s="9"/>
      <c r="D604" s="9"/>
      <c r="E604" s="9"/>
      <c r="F604" s="9">
        <v>17.0</v>
      </c>
      <c r="G604" s="19"/>
      <c r="H604" s="10">
        <f t="shared" si="3"/>
        <v>200</v>
      </c>
      <c r="I604" s="10"/>
    </row>
    <row r="605" hidden="1">
      <c r="A605" s="6" t="s">
        <v>108</v>
      </c>
      <c r="B605" s="7" t="s">
        <v>11</v>
      </c>
      <c r="C605" s="9">
        <v>30.0</v>
      </c>
      <c r="D605" s="9">
        <v>31.0</v>
      </c>
      <c r="E605" s="9">
        <v>32.0</v>
      </c>
      <c r="F605" s="9">
        <v>17.0</v>
      </c>
      <c r="G605" s="9">
        <v>10.0</v>
      </c>
      <c r="H605" s="10">
        <f t="shared" si="3"/>
        <v>1550</v>
      </c>
      <c r="I605" s="10"/>
    </row>
    <row r="606" hidden="1">
      <c r="A606" s="6" t="s">
        <v>108</v>
      </c>
      <c r="B606" s="7" t="s">
        <v>13</v>
      </c>
      <c r="C606" s="9">
        <v>30.0</v>
      </c>
      <c r="D606" s="9">
        <v>31.0</v>
      </c>
      <c r="E606" s="9">
        <v>32.0</v>
      </c>
      <c r="F606" s="9">
        <v>17.0</v>
      </c>
      <c r="G606" s="9">
        <v>10.0</v>
      </c>
      <c r="H606" s="10">
        <f t="shared" si="3"/>
        <v>1550</v>
      </c>
      <c r="I606" s="10"/>
    </row>
    <row r="607" hidden="1">
      <c r="A607" s="6" t="s">
        <v>108</v>
      </c>
      <c r="B607" s="7" t="s">
        <v>14</v>
      </c>
      <c r="C607" s="9">
        <v>30.0</v>
      </c>
      <c r="D607" s="9">
        <v>31.0</v>
      </c>
      <c r="E607" s="9">
        <v>32.0</v>
      </c>
      <c r="F607" s="9">
        <v>17.0</v>
      </c>
      <c r="G607" s="9">
        <v>10.0</v>
      </c>
      <c r="H607" s="10">
        <f t="shared" si="3"/>
        <v>1550</v>
      </c>
      <c r="I607" s="10"/>
    </row>
    <row r="608" hidden="1">
      <c r="A608" s="6" t="s">
        <v>108</v>
      </c>
      <c r="B608" s="7" t="s">
        <v>15</v>
      </c>
      <c r="C608" s="9">
        <v>30.0</v>
      </c>
      <c r="D608" s="9">
        <v>31.0</v>
      </c>
      <c r="E608" s="9">
        <v>32.0</v>
      </c>
      <c r="F608" s="9">
        <v>17.0</v>
      </c>
      <c r="G608" s="9">
        <v>10.0</v>
      </c>
      <c r="H608" s="10">
        <f t="shared" si="3"/>
        <v>1550</v>
      </c>
      <c r="I608" s="10"/>
    </row>
    <row r="609" hidden="1">
      <c r="A609" s="6" t="s">
        <v>108</v>
      </c>
      <c r="B609" s="7" t="s">
        <v>16</v>
      </c>
      <c r="C609" s="9">
        <v>30.0</v>
      </c>
      <c r="D609" s="9">
        <v>31.0</v>
      </c>
      <c r="E609" s="9">
        <v>32.0</v>
      </c>
      <c r="F609" s="9">
        <v>17.0</v>
      </c>
      <c r="G609" s="9">
        <v>10.0</v>
      </c>
      <c r="H609" s="10">
        <f t="shared" si="3"/>
        <v>1550</v>
      </c>
      <c r="I609" s="10"/>
    </row>
    <row r="610" hidden="1">
      <c r="A610" s="6" t="s">
        <v>108</v>
      </c>
      <c r="B610" s="7" t="s">
        <v>17</v>
      </c>
      <c r="C610" s="9">
        <v>30.0</v>
      </c>
      <c r="D610" s="9">
        <v>31.0</v>
      </c>
      <c r="E610" s="9">
        <v>32.0</v>
      </c>
      <c r="F610" s="9">
        <v>17.0</v>
      </c>
      <c r="G610" s="9">
        <v>10.0</v>
      </c>
      <c r="H610" s="10">
        <f t="shared" si="3"/>
        <v>1550</v>
      </c>
      <c r="I610" s="10"/>
    </row>
    <row r="611" hidden="1">
      <c r="A611" s="6" t="s">
        <v>108</v>
      </c>
      <c r="B611" s="7" t="s">
        <v>18</v>
      </c>
      <c r="C611" s="9">
        <v>30.0</v>
      </c>
      <c r="D611" s="9">
        <v>31.0</v>
      </c>
      <c r="E611" s="9">
        <v>32.0</v>
      </c>
      <c r="F611" s="9">
        <v>17.0</v>
      </c>
      <c r="G611" s="9">
        <v>10.0</v>
      </c>
      <c r="H611" s="10">
        <f t="shared" si="3"/>
        <v>1550</v>
      </c>
      <c r="I611" s="10"/>
    </row>
    <row r="612" hidden="1">
      <c r="A612" s="6" t="s">
        <v>108</v>
      </c>
      <c r="B612" s="7" t="s">
        <v>19</v>
      </c>
      <c r="C612" s="9">
        <v>30.0</v>
      </c>
      <c r="D612" s="9">
        <v>31.0</v>
      </c>
      <c r="E612" s="9">
        <v>32.0</v>
      </c>
      <c r="F612" s="9">
        <v>17.0</v>
      </c>
      <c r="G612" s="9">
        <v>10.0</v>
      </c>
      <c r="H612" s="10">
        <f t="shared" si="3"/>
        <v>1550</v>
      </c>
      <c r="I612" s="10"/>
    </row>
    <row r="613" hidden="1">
      <c r="A613" s="6" t="s">
        <v>108</v>
      </c>
      <c r="B613" s="7" t="s">
        <v>20</v>
      </c>
      <c r="C613" s="9">
        <v>30.0</v>
      </c>
      <c r="D613" s="9">
        <v>31.0</v>
      </c>
      <c r="E613" s="9">
        <v>32.0</v>
      </c>
      <c r="F613" s="9">
        <v>17.0</v>
      </c>
      <c r="G613" s="9">
        <v>10.0</v>
      </c>
      <c r="H613" s="10">
        <f t="shared" si="3"/>
        <v>1550</v>
      </c>
      <c r="I613" s="10"/>
    </row>
    <row r="614" hidden="1">
      <c r="A614" s="6" t="s">
        <v>108</v>
      </c>
      <c r="B614" s="7" t="s">
        <v>21</v>
      </c>
      <c r="C614" s="9">
        <v>30.0</v>
      </c>
      <c r="D614" s="9">
        <v>31.0</v>
      </c>
      <c r="E614" s="9">
        <v>32.0</v>
      </c>
      <c r="F614" s="9">
        <v>17.0</v>
      </c>
      <c r="G614" s="9">
        <v>10.0</v>
      </c>
      <c r="H614" s="10">
        <f t="shared" si="3"/>
        <v>1550</v>
      </c>
      <c r="I614" s="10"/>
    </row>
    <row r="615" hidden="1">
      <c r="A615" s="6" t="s">
        <v>108</v>
      </c>
      <c r="B615" s="7" t="s">
        <v>22</v>
      </c>
      <c r="C615" s="9">
        <v>30.0</v>
      </c>
      <c r="D615" s="9">
        <v>31.0</v>
      </c>
      <c r="E615" s="9">
        <v>32.0</v>
      </c>
      <c r="F615" s="9">
        <v>17.0</v>
      </c>
      <c r="G615" s="9">
        <v>10.0</v>
      </c>
      <c r="H615" s="10">
        <f t="shared" si="3"/>
        <v>1550</v>
      </c>
      <c r="I615" s="10"/>
    </row>
    <row r="616" hidden="1">
      <c r="A616" s="6" t="s">
        <v>108</v>
      </c>
      <c r="B616" s="7" t="s">
        <v>23</v>
      </c>
      <c r="C616" s="9">
        <v>30.0</v>
      </c>
      <c r="D616" s="9">
        <v>31.0</v>
      </c>
      <c r="E616" s="9">
        <v>32.0</v>
      </c>
      <c r="F616" s="9">
        <v>17.0</v>
      </c>
      <c r="G616" s="9">
        <v>10.0</v>
      </c>
      <c r="H616" s="10">
        <f t="shared" si="3"/>
        <v>1550</v>
      </c>
      <c r="I616" s="10"/>
    </row>
    <row r="617" hidden="1">
      <c r="A617" s="6" t="s">
        <v>109</v>
      </c>
      <c r="B617" s="7" t="s">
        <v>11</v>
      </c>
      <c r="C617" s="9">
        <v>30.0</v>
      </c>
      <c r="D617" s="9">
        <v>25.0</v>
      </c>
      <c r="E617" s="9">
        <v>20.0</v>
      </c>
      <c r="F617" s="9">
        <v>18.0</v>
      </c>
      <c r="G617" s="9">
        <v>18.0</v>
      </c>
      <c r="H617" s="10">
        <f t="shared" ref="H617:H726" si="4">SUM(IF(C617&lt;17, 0, IF(C617&lt;=21, 200, 300)), 
     IF(D617&lt;17, 0, IF(D617&lt;=21, 200, 300)), 
     IF(E617&lt;17, 0, IF(E617&lt;=21, 200, 300)), 
     IF(F617&lt;17, 0, IF(F617&lt;=21, 200, 300)), 
     IF(G617&lt;17, 0, IF(G617&lt;=21, 200, 300)))</f>
        <v>1200</v>
      </c>
      <c r="I617" s="10"/>
    </row>
    <row r="618" hidden="1">
      <c r="A618" s="6" t="s">
        <v>109</v>
      </c>
      <c r="B618" s="7" t="s">
        <v>13</v>
      </c>
      <c r="C618" s="9">
        <v>30.0</v>
      </c>
      <c r="D618" s="9">
        <v>25.0</v>
      </c>
      <c r="E618" s="9">
        <v>20.0</v>
      </c>
      <c r="F618" s="9">
        <v>18.0</v>
      </c>
      <c r="G618" s="9">
        <v>18.0</v>
      </c>
      <c r="H618" s="10">
        <f t="shared" si="4"/>
        <v>1200</v>
      </c>
      <c r="I618" s="10"/>
    </row>
    <row r="619" hidden="1">
      <c r="A619" s="6" t="s">
        <v>109</v>
      </c>
      <c r="B619" s="7" t="s">
        <v>14</v>
      </c>
      <c r="C619" s="9">
        <v>30.0</v>
      </c>
      <c r="D619" s="9">
        <v>25.0</v>
      </c>
      <c r="E619" s="9">
        <v>20.0</v>
      </c>
      <c r="F619" s="9">
        <v>18.0</v>
      </c>
      <c r="G619" s="9">
        <v>18.0</v>
      </c>
      <c r="H619" s="10">
        <f t="shared" si="4"/>
        <v>1200</v>
      </c>
      <c r="I619" s="10"/>
    </row>
    <row r="620" hidden="1">
      <c r="A620" s="6" t="s">
        <v>109</v>
      </c>
      <c r="B620" s="7" t="s">
        <v>15</v>
      </c>
      <c r="C620" s="9">
        <v>30.0</v>
      </c>
      <c r="D620" s="9">
        <v>25.0</v>
      </c>
      <c r="E620" s="9">
        <v>20.0</v>
      </c>
      <c r="F620" s="9">
        <v>18.0</v>
      </c>
      <c r="G620" s="9">
        <v>18.0</v>
      </c>
      <c r="H620" s="10">
        <f t="shared" si="4"/>
        <v>1200</v>
      </c>
      <c r="I620" s="10"/>
    </row>
    <row r="621" hidden="1">
      <c r="A621" s="6" t="s">
        <v>109</v>
      </c>
      <c r="B621" s="7" t="s">
        <v>16</v>
      </c>
      <c r="C621" s="9">
        <v>30.0</v>
      </c>
      <c r="D621" s="9">
        <v>25.0</v>
      </c>
      <c r="E621" s="9">
        <v>20.0</v>
      </c>
      <c r="F621" s="9">
        <v>18.0</v>
      </c>
      <c r="G621" s="9">
        <v>18.0</v>
      </c>
      <c r="H621" s="10">
        <f t="shared" si="4"/>
        <v>1200</v>
      </c>
      <c r="I621" s="10"/>
    </row>
    <row r="622" hidden="1">
      <c r="A622" s="6" t="s">
        <v>109</v>
      </c>
      <c r="B622" s="7" t="s">
        <v>17</v>
      </c>
      <c r="C622" s="9">
        <v>30.0</v>
      </c>
      <c r="D622" s="9">
        <v>25.0</v>
      </c>
      <c r="E622" s="9">
        <v>20.0</v>
      </c>
      <c r="F622" s="9">
        <v>18.0</v>
      </c>
      <c r="G622" s="9">
        <v>18.0</v>
      </c>
      <c r="H622" s="10">
        <f t="shared" si="4"/>
        <v>1200</v>
      </c>
      <c r="I622" s="10"/>
    </row>
    <row r="623" hidden="1">
      <c r="A623" s="6" t="s">
        <v>109</v>
      </c>
      <c r="B623" s="7" t="s">
        <v>18</v>
      </c>
      <c r="C623" s="9">
        <v>30.0</v>
      </c>
      <c r="D623" s="9">
        <v>25.0</v>
      </c>
      <c r="E623" s="9">
        <v>20.0</v>
      </c>
      <c r="F623" s="9">
        <v>18.0</v>
      </c>
      <c r="G623" s="9">
        <v>18.0</v>
      </c>
      <c r="H623" s="10">
        <f t="shared" si="4"/>
        <v>1200</v>
      </c>
      <c r="I623" s="10"/>
    </row>
    <row r="624" hidden="1">
      <c r="A624" s="6" t="s">
        <v>109</v>
      </c>
      <c r="B624" s="7" t="s">
        <v>19</v>
      </c>
      <c r="C624" s="9">
        <v>30.0</v>
      </c>
      <c r="D624" s="9">
        <v>25.0</v>
      </c>
      <c r="E624" s="9">
        <v>20.0</v>
      </c>
      <c r="F624" s="9">
        <v>18.0</v>
      </c>
      <c r="G624" s="9">
        <v>18.0</v>
      </c>
      <c r="H624" s="10">
        <f t="shared" si="4"/>
        <v>1200</v>
      </c>
      <c r="I624" s="10"/>
    </row>
    <row r="625" hidden="1">
      <c r="A625" s="6" t="s">
        <v>109</v>
      </c>
      <c r="B625" s="7" t="s">
        <v>20</v>
      </c>
      <c r="C625" s="9">
        <v>30.0</v>
      </c>
      <c r="D625" s="9">
        <v>25.0</v>
      </c>
      <c r="E625" s="9">
        <v>20.0</v>
      </c>
      <c r="F625" s="9">
        <v>18.0</v>
      </c>
      <c r="G625" s="9">
        <v>18.0</v>
      </c>
      <c r="H625" s="10">
        <f t="shared" si="4"/>
        <v>1200</v>
      </c>
      <c r="I625" s="10"/>
    </row>
    <row r="626" hidden="1">
      <c r="A626" s="6" t="s">
        <v>109</v>
      </c>
      <c r="B626" s="7" t="s">
        <v>21</v>
      </c>
      <c r="C626" s="9">
        <v>30.0</v>
      </c>
      <c r="D626" s="9">
        <v>25.0</v>
      </c>
      <c r="E626" s="9">
        <v>20.0</v>
      </c>
      <c r="F626" s="9">
        <v>18.0</v>
      </c>
      <c r="G626" s="9">
        <v>18.0</v>
      </c>
      <c r="H626" s="10">
        <f t="shared" si="4"/>
        <v>1200</v>
      </c>
      <c r="I626" s="10"/>
    </row>
    <row r="627" hidden="1">
      <c r="A627" s="6" t="s">
        <v>109</v>
      </c>
      <c r="B627" s="7" t="s">
        <v>22</v>
      </c>
      <c r="C627" s="9">
        <v>30.0</v>
      </c>
      <c r="D627" s="9">
        <v>25.0</v>
      </c>
      <c r="E627" s="9">
        <v>20.0</v>
      </c>
      <c r="F627" s="9">
        <v>18.0</v>
      </c>
      <c r="G627" s="9">
        <v>18.0</v>
      </c>
      <c r="H627" s="10">
        <f t="shared" si="4"/>
        <v>1200</v>
      </c>
      <c r="I627" s="10"/>
    </row>
    <row r="628" hidden="1">
      <c r="A628" s="6" t="s">
        <v>109</v>
      </c>
      <c r="B628" s="7" t="s">
        <v>23</v>
      </c>
      <c r="C628" s="9">
        <v>30.0</v>
      </c>
      <c r="D628" s="9">
        <v>25.0</v>
      </c>
      <c r="E628" s="9">
        <v>20.0</v>
      </c>
      <c r="F628" s="9">
        <v>18.0</v>
      </c>
      <c r="G628" s="9">
        <v>18.0</v>
      </c>
      <c r="H628" s="10">
        <f t="shared" si="4"/>
        <v>1200</v>
      </c>
      <c r="I628" s="10"/>
    </row>
    <row r="629" hidden="1">
      <c r="A629" s="6" t="s">
        <v>110</v>
      </c>
      <c r="B629" s="7" t="s">
        <v>11</v>
      </c>
      <c r="C629" s="9">
        <v>18.0</v>
      </c>
      <c r="D629" s="9">
        <v>30.0</v>
      </c>
      <c r="E629" s="9">
        <v>25.0</v>
      </c>
      <c r="F629" s="9">
        <v>17.0</v>
      </c>
      <c r="G629" s="9">
        <v>13.0</v>
      </c>
      <c r="H629" s="10">
        <f t="shared" si="4"/>
        <v>1000</v>
      </c>
      <c r="I629" s="10"/>
    </row>
    <row r="630" hidden="1">
      <c r="A630" s="6" t="s">
        <v>110</v>
      </c>
      <c r="B630" s="7" t="s">
        <v>13</v>
      </c>
      <c r="C630" s="9">
        <v>18.0</v>
      </c>
      <c r="D630" s="9">
        <v>30.0</v>
      </c>
      <c r="E630" s="9">
        <v>25.0</v>
      </c>
      <c r="F630" s="9">
        <v>17.0</v>
      </c>
      <c r="G630" s="9">
        <v>13.0</v>
      </c>
      <c r="H630" s="10">
        <f t="shared" si="4"/>
        <v>1000</v>
      </c>
      <c r="I630" s="10"/>
    </row>
    <row r="631" hidden="1">
      <c r="A631" s="6" t="s">
        <v>110</v>
      </c>
      <c r="B631" s="7" t="s">
        <v>14</v>
      </c>
      <c r="C631" s="9">
        <v>18.0</v>
      </c>
      <c r="D631" s="9">
        <v>30.0</v>
      </c>
      <c r="E631" s="9">
        <v>25.0</v>
      </c>
      <c r="F631" s="9">
        <v>17.0</v>
      </c>
      <c r="G631" s="9">
        <v>13.0</v>
      </c>
      <c r="H631" s="10">
        <f t="shared" si="4"/>
        <v>1000</v>
      </c>
      <c r="I631" s="10"/>
    </row>
    <row r="632" hidden="1">
      <c r="A632" s="6" t="s">
        <v>110</v>
      </c>
      <c r="B632" s="7" t="s">
        <v>15</v>
      </c>
      <c r="C632" s="9">
        <v>18.0</v>
      </c>
      <c r="D632" s="9">
        <v>30.0</v>
      </c>
      <c r="E632" s="9">
        <v>25.0</v>
      </c>
      <c r="F632" s="9">
        <v>17.0</v>
      </c>
      <c r="G632" s="9">
        <v>13.0</v>
      </c>
      <c r="H632" s="10">
        <f t="shared" si="4"/>
        <v>1000</v>
      </c>
      <c r="I632" s="10"/>
    </row>
    <row r="633" hidden="1">
      <c r="A633" s="6" t="s">
        <v>110</v>
      </c>
      <c r="B633" s="7" t="s">
        <v>16</v>
      </c>
      <c r="C633" s="9">
        <v>18.0</v>
      </c>
      <c r="D633" s="9">
        <v>30.0</v>
      </c>
      <c r="E633" s="9">
        <v>25.0</v>
      </c>
      <c r="F633" s="9">
        <v>17.0</v>
      </c>
      <c r="G633" s="9">
        <v>13.0</v>
      </c>
      <c r="H633" s="10">
        <f t="shared" si="4"/>
        <v>1000</v>
      </c>
      <c r="I633" s="10"/>
    </row>
    <row r="634" hidden="1">
      <c r="A634" s="6" t="s">
        <v>110</v>
      </c>
      <c r="B634" s="7" t="s">
        <v>17</v>
      </c>
      <c r="C634" s="9">
        <v>18.0</v>
      </c>
      <c r="D634" s="9">
        <v>30.0</v>
      </c>
      <c r="E634" s="9">
        <v>25.0</v>
      </c>
      <c r="F634" s="9">
        <v>17.0</v>
      </c>
      <c r="G634" s="9">
        <v>13.0</v>
      </c>
      <c r="H634" s="10">
        <f t="shared" si="4"/>
        <v>1000</v>
      </c>
      <c r="I634" s="10"/>
    </row>
    <row r="635" hidden="1">
      <c r="A635" s="6" t="s">
        <v>110</v>
      </c>
      <c r="B635" s="7" t="s">
        <v>18</v>
      </c>
      <c r="C635" s="9">
        <v>18.0</v>
      </c>
      <c r="D635" s="9">
        <v>30.0</v>
      </c>
      <c r="E635" s="9">
        <v>25.0</v>
      </c>
      <c r="F635" s="9">
        <v>17.0</v>
      </c>
      <c r="G635" s="9">
        <v>13.0</v>
      </c>
      <c r="H635" s="10">
        <f t="shared" si="4"/>
        <v>1000</v>
      </c>
      <c r="I635" s="10"/>
    </row>
    <row r="636" hidden="1">
      <c r="A636" s="6" t="s">
        <v>110</v>
      </c>
      <c r="B636" s="7" t="s">
        <v>19</v>
      </c>
      <c r="C636" s="9">
        <v>18.0</v>
      </c>
      <c r="D636" s="9">
        <v>30.0</v>
      </c>
      <c r="E636" s="9">
        <v>25.0</v>
      </c>
      <c r="F636" s="9">
        <v>17.0</v>
      </c>
      <c r="G636" s="9">
        <v>13.0</v>
      </c>
      <c r="H636" s="10">
        <f t="shared" si="4"/>
        <v>1000</v>
      </c>
      <c r="I636" s="10"/>
    </row>
    <row r="637" hidden="1">
      <c r="A637" s="6" t="s">
        <v>110</v>
      </c>
      <c r="B637" s="7" t="s">
        <v>20</v>
      </c>
      <c r="C637" s="9">
        <v>18.0</v>
      </c>
      <c r="D637" s="9">
        <v>30.0</v>
      </c>
      <c r="E637" s="9">
        <v>25.0</v>
      </c>
      <c r="F637" s="9">
        <v>17.0</v>
      </c>
      <c r="G637" s="9">
        <v>13.0</v>
      </c>
      <c r="H637" s="10">
        <f t="shared" si="4"/>
        <v>1000</v>
      </c>
      <c r="I637" s="10"/>
    </row>
    <row r="638" hidden="1">
      <c r="A638" s="6" t="s">
        <v>110</v>
      </c>
      <c r="B638" s="7" t="s">
        <v>21</v>
      </c>
      <c r="C638" s="9">
        <v>18.0</v>
      </c>
      <c r="D638" s="9">
        <v>30.0</v>
      </c>
      <c r="E638" s="9">
        <v>25.0</v>
      </c>
      <c r="F638" s="9">
        <v>17.0</v>
      </c>
      <c r="G638" s="9">
        <v>13.0</v>
      </c>
      <c r="H638" s="10">
        <f t="shared" si="4"/>
        <v>1000</v>
      </c>
      <c r="I638" s="10"/>
    </row>
    <row r="639" hidden="1">
      <c r="A639" s="6" t="s">
        <v>110</v>
      </c>
      <c r="B639" s="7" t="s">
        <v>22</v>
      </c>
      <c r="C639" s="9">
        <v>18.0</v>
      </c>
      <c r="D639" s="9">
        <v>30.0</v>
      </c>
      <c r="E639" s="9">
        <v>25.0</v>
      </c>
      <c r="F639" s="9">
        <v>17.0</v>
      </c>
      <c r="G639" s="9">
        <v>13.0</v>
      </c>
      <c r="H639" s="10">
        <f t="shared" si="4"/>
        <v>1000</v>
      </c>
      <c r="I639" s="10"/>
    </row>
    <row r="640" hidden="1">
      <c r="A640" s="6" t="s">
        <v>110</v>
      </c>
      <c r="B640" s="7" t="s">
        <v>23</v>
      </c>
      <c r="C640" s="9">
        <v>18.0</v>
      </c>
      <c r="D640" s="9">
        <v>30.0</v>
      </c>
      <c r="E640" s="9">
        <v>25.0</v>
      </c>
      <c r="F640" s="9">
        <v>17.0</v>
      </c>
      <c r="G640" s="9">
        <v>13.0</v>
      </c>
      <c r="H640" s="10">
        <f t="shared" si="4"/>
        <v>1000</v>
      </c>
      <c r="I640" s="10"/>
    </row>
    <row r="641" hidden="1">
      <c r="A641" s="6" t="s">
        <v>111</v>
      </c>
      <c r="B641" s="7" t="s">
        <v>11</v>
      </c>
      <c r="C641" s="8">
        <v>22.0</v>
      </c>
      <c r="D641" s="8">
        <v>22.0</v>
      </c>
      <c r="E641" s="8">
        <v>19.0</v>
      </c>
      <c r="F641" s="8">
        <v>30.0</v>
      </c>
      <c r="G641" s="8">
        <v>17.0</v>
      </c>
      <c r="H641" s="10">
        <f t="shared" si="4"/>
        <v>1300</v>
      </c>
      <c r="I641" s="10"/>
    </row>
    <row r="642" hidden="1">
      <c r="A642" s="6" t="s">
        <v>111</v>
      </c>
      <c r="B642" s="7" t="s">
        <v>13</v>
      </c>
      <c r="C642" s="8">
        <v>22.0</v>
      </c>
      <c r="D642" s="8">
        <v>22.0</v>
      </c>
      <c r="E642" s="8">
        <v>19.0</v>
      </c>
      <c r="F642" s="8">
        <v>30.0</v>
      </c>
      <c r="G642" s="8">
        <v>17.0</v>
      </c>
      <c r="H642" s="10">
        <f t="shared" si="4"/>
        <v>1300</v>
      </c>
      <c r="I642" s="10"/>
    </row>
    <row r="643" hidden="1">
      <c r="A643" s="6" t="s">
        <v>111</v>
      </c>
      <c r="B643" s="7" t="s">
        <v>14</v>
      </c>
      <c r="C643" s="8">
        <v>22.0</v>
      </c>
      <c r="D643" s="8">
        <v>22.0</v>
      </c>
      <c r="E643" s="8">
        <v>19.0</v>
      </c>
      <c r="F643" s="8">
        <v>30.0</v>
      </c>
      <c r="G643" s="8">
        <v>17.0</v>
      </c>
      <c r="H643" s="10">
        <f t="shared" si="4"/>
        <v>1300</v>
      </c>
      <c r="I643" s="10"/>
    </row>
    <row r="644" hidden="1">
      <c r="A644" s="6" t="s">
        <v>111</v>
      </c>
      <c r="B644" s="7" t="s">
        <v>15</v>
      </c>
      <c r="C644" s="8">
        <v>22.0</v>
      </c>
      <c r="D644" s="8">
        <v>22.0</v>
      </c>
      <c r="E644" s="8">
        <v>19.0</v>
      </c>
      <c r="F644" s="8">
        <v>30.0</v>
      </c>
      <c r="G644" s="8">
        <v>17.0</v>
      </c>
      <c r="H644" s="10">
        <f t="shared" si="4"/>
        <v>1300</v>
      </c>
      <c r="I644" s="10"/>
    </row>
    <row r="645" hidden="1">
      <c r="A645" s="6" t="s">
        <v>111</v>
      </c>
      <c r="B645" s="7" t="s">
        <v>16</v>
      </c>
      <c r="C645" s="8">
        <v>22.0</v>
      </c>
      <c r="D645" s="8">
        <v>22.0</v>
      </c>
      <c r="E645" s="8">
        <v>19.0</v>
      </c>
      <c r="F645" s="8">
        <v>30.0</v>
      </c>
      <c r="G645" s="8">
        <v>17.0</v>
      </c>
      <c r="H645" s="10">
        <f t="shared" si="4"/>
        <v>1300</v>
      </c>
      <c r="I645" s="10"/>
    </row>
    <row r="646" hidden="1">
      <c r="A646" s="6" t="s">
        <v>111</v>
      </c>
      <c r="B646" s="7" t="s">
        <v>17</v>
      </c>
      <c r="C646" s="8">
        <v>22.0</v>
      </c>
      <c r="D646" s="8">
        <v>22.0</v>
      </c>
      <c r="E646" s="8">
        <v>19.0</v>
      </c>
      <c r="F646" s="8">
        <v>30.0</v>
      </c>
      <c r="G646" s="8">
        <v>17.0</v>
      </c>
      <c r="H646" s="10">
        <f t="shared" si="4"/>
        <v>1300</v>
      </c>
      <c r="I646" s="10"/>
    </row>
    <row r="647" hidden="1">
      <c r="A647" s="6" t="s">
        <v>111</v>
      </c>
      <c r="B647" s="7" t="s">
        <v>18</v>
      </c>
      <c r="C647" s="8">
        <v>22.0</v>
      </c>
      <c r="D647" s="8">
        <v>22.0</v>
      </c>
      <c r="E647" s="8">
        <v>19.0</v>
      </c>
      <c r="F647" s="8">
        <v>30.0</v>
      </c>
      <c r="G647" s="8">
        <v>17.0</v>
      </c>
      <c r="H647" s="10">
        <f t="shared" si="4"/>
        <v>1300</v>
      </c>
      <c r="I647" s="10"/>
    </row>
    <row r="648" hidden="1">
      <c r="A648" s="6" t="s">
        <v>111</v>
      </c>
      <c r="B648" s="7" t="s">
        <v>19</v>
      </c>
      <c r="C648" s="8">
        <v>22.0</v>
      </c>
      <c r="D648" s="8">
        <v>22.0</v>
      </c>
      <c r="E648" s="8">
        <v>19.0</v>
      </c>
      <c r="F648" s="8">
        <v>30.0</v>
      </c>
      <c r="G648" s="8">
        <v>17.0</v>
      </c>
      <c r="H648" s="10">
        <f t="shared" si="4"/>
        <v>1300</v>
      </c>
      <c r="I648" s="10"/>
    </row>
    <row r="649" hidden="1">
      <c r="A649" s="6" t="s">
        <v>111</v>
      </c>
      <c r="B649" s="7" t="s">
        <v>20</v>
      </c>
      <c r="C649" s="8">
        <v>22.0</v>
      </c>
      <c r="D649" s="8">
        <v>22.0</v>
      </c>
      <c r="E649" s="8">
        <v>19.0</v>
      </c>
      <c r="F649" s="8">
        <v>30.0</v>
      </c>
      <c r="G649" s="8">
        <v>17.0</v>
      </c>
      <c r="H649" s="10">
        <f t="shared" si="4"/>
        <v>1300</v>
      </c>
      <c r="I649" s="10"/>
    </row>
    <row r="650" hidden="1">
      <c r="A650" s="6" t="s">
        <v>111</v>
      </c>
      <c r="B650" s="7" t="s">
        <v>21</v>
      </c>
      <c r="C650" s="8">
        <v>22.0</v>
      </c>
      <c r="D650" s="8">
        <v>22.0</v>
      </c>
      <c r="E650" s="8">
        <v>19.0</v>
      </c>
      <c r="F650" s="8">
        <v>30.0</v>
      </c>
      <c r="G650" s="8">
        <v>17.0</v>
      </c>
      <c r="H650" s="10">
        <f t="shared" si="4"/>
        <v>1300</v>
      </c>
      <c r="I650" s="10"/>
    </row>
    <row r="651" hidden="1">
      <c r="A651" s="6" t="s">
        <v>111</v>
      </c>
      <c r="B651" s="7" t="s">
        <v>22</v>
      </c>
      <c r="C651" s="8">
        <v>22.0</v>
      </c>
      <c r="D651" s="8">
        <v>22.0</v>
      </c>
      <c r="E651" s="8">
        <v>19.0</v>
      </c>
      <c r="F651" s="8">
        <v>30.0</v>
      </c>
      <c r="G651" s="8">
        <v>17.0</v>
      </c>
      <c r="H651" s="10">
        <f t="shared" si="4"/>
        <v>1300</v>
      </c>
      <c r="I651" s="10"/>
    </row>
    <row r="652" hidden="1">
      <c r="A652" s="6" t="s">
        <v>111</v>
      </c>
      <c r="B652" s="7" t="s">
        <v>23</v>
      </c>
      <c r="C652" s="8">
        <v>22.0</v>
      </c>
      <c r="D652" s="8">
        <v>22.0</v>
      </c>
      <c r="E652" s="8">
        <v>19.0</v>
      </c>
      <c r="F652" s="8">
        <v>30.0</v>
      </c>
      <c r="G652" s="8">
        <v>17.0</v>
      </c>
      <c r="H652" s="10">
        <f t="shared" si="4"/>
        <v>1300</v>
      </c>
      <c r="I652" s="10"/>
    </row>
    <row r="653" hidden="1">
      <c r="A653" s="20" t="s">
        <v>112</v>
      </c>
      <c r="B653" s="7" t="s">
        <v>113</v>
      </c>
      <c r="C653" s="21">
        <v>30.0</v>
      </c>
      <c r="D653" s="21">
        <v>18.0</v>
      </c>
      <c r="E653" s="21">
        <v>22.0</v>
      </c>
      <c r="F653" s="21">
        <v>23.0</v>
      </c>
      <c r="G653" s="22"/>
      <c r="H653" s="3">
        <f t="shared" si="4"/>
        <v>1100</v>
      </c>
      <c r="I653" s="3"/>
    </row>
    <row r="654" hidden="1">
      <c r="A654" s="20" t="s">
        <v>112</v>
      </c>
      <c r="B654" s="7" t="s">
        <v>11</v>
      </c>
      <c r="C654" s="21">
        <v>30.0</v>
      </c>
      <c r="D654" s="21">
        <v>18.0</v>
      </c>
      <c r="E654" s="21">
        <v>22.0</v>
      </c>
      <c r="F654" s="21">
        <v>23.0</v>
      </c>
      <c r="G654" s="21">
        <v>22.0</v>
      </c>
      <c r="H654" s="3">
        <f t="shared" si="4"/>
        <v>1400</v>
      </c>
      <c r="I654" s="3"/>
    </row>
    <row r="655" hidden="1">
      <c r="A655" s="20" t="s">
        <v>112</v>
      </c>
      <c r="B655" s="7" t="s">
        <v>13</v>
      </c>
      <c r="C655" s="21">
        <v>30.0</v>
      </c>
      <c r="D655" s="21">
        <v>18.0</v>
      </c>
      <c r="E655" s="21">
        <v>22.0</v>
      </c>
      <c r="F655" s="21">
        <v>23.0</v>
      </c>
      <c r="G655" s="21">
        <v>22.0</v>
      </c>
      <c r="H655" s="3">
        <f t="shared" si="4"/>
        <v>1400</v>
      </c>
      <c r="I655" s="3"/>
    </row>
    <row r="656" hidden="1">
      <c r="A656" s="20" t="s">
        <v>112</v>
      </c>
      <c r="B656" s="7" t="s">
        <v>14</v>
      </c>
      <c r="C656" s="21">
        <v>30.0</v>
      </c>
      <c r="D656" s="21">
        <v>18.0</v>
      </c>
      <c r="E656" s="21">
        <v>22.0</v>
      </c>
      <c r="F656" s="21">
        <v>23.0</v>
      </c>
      <c r="G656" s="21">
        <v>22.0</v>
      </c>
      <c r="H656" s="3">
        <f t="shared" si="4"/>
        <v>1400</v>
      </c>
      <c r="I656" s="3"/>
    </row>
    <row r="657" hidden="1">
      <c r="A657" s="20" t="s">
        <v>112</v>
      </c>
      <c r="B657" s="7" t="s">
        <v>15</v>
      </c>
      <c r="C657" s="21">
        <v>30.0</v>
      </c>
      <c r="D657" s="21">
        <v>18.0</v>
      </c>
      <c r="E657" s="21">
        <v>22.0</v>
      </c>
      <c r="F657" s="21">
        <v>23.0</v>
      </c>
      <c r="G657" s="21">
        <v>22.0</v>
      </c>
      <c r="H657" s="3">
        <f t="shared" si="4"/>
        <v>1400</v>
      </c>
      <c r="I657" s="3"/>
    </row>
    <row r="658" hidden="1">
      <c r="A658" s="20" t="s">
        <v>112</v>
      </c>
      <c r="B658" s="7" t="s">
        <v>16</v>
      </c>
      <c r="C658" s="21">
        <v>30.0</v>
      </c>
      <c r="D658" s="21">
        <v>18.0</v>
      </c>
      <c r="E658" s="21">
        <v>22.0</v>
      </c>
      <c r="F658" s="21">
        <v>23.0</v>
      </c>
      <c r="G658" s="21">
        <v>22.0</v>
      </c>
      <c r="H658" s="3">
        <f t="shared" si="4"/>
        <v>1400</v>
      </c>
      <c r="I658" s="3"/>
    </row>
    <row r="659" hidden="1">
      <c r="A659" s="20" t="s">
        <v>112</v>
      </c>
      <c r="B659" s="7" t="s">
        <v>17</v>
      </c>
      <c r="C659" s="21">
        <v>30.0</v>
      </c>
      <c r="D659" s="21">
        <v>18.0</v>
      </c>
      <c r="E659" s="21">
        <v>22.0</v>
      </c>
      <c r="F659" s="21">
        <v>23.0</v>
      </c>
      <c r="G659" s="21">
        <v>22.0</v>
      </c>
      <c r="H659" s="3">
        <f t="shared" si="4"/>
        <v>1400</v>
      </c>
      <c r="I659" s="3"/>
    </row>
    <row r="660" hidden="1">
      <c r="A660" s="20" t="s">
        <v>112</v>
      </c>
      <c r="B660" s="7" t="s">
        <v>18</v>
      </c>
      <c r="C660" s="21">
        <v>30.0</v>
      </c>
      <c r="D660" s="21">
        <v>18.0</v>
      </c>
      <c r="E660" s="21">
        <v>22.0</v>
      </c>
      <c r="F660" s="21">
        <v>23.0</v>
      </c>
      <c r="G660" s="21">
        <v>22.0</v>
      </c>
      <c r="H660" s="3">
        <f t="shared" si="4"/>
        <v>1400</v>
      </c>
      <c r="I660" s="3"/>
    </row>
    <row r="661" hidden="1">
      <c r="A661" s="20" t="s">
        <v>112</v>
      </c>
      <c r="B661" s="7" t="s">
        <v>19</v>
      </c>
      <c r="C661" s="21">
        <v>30.0</v>
      </c>
      <c r="D661" s="21">
        <v>18.0</v>
      </c>
      <c r="E661" s="21">
        <v>22.0</v>
      </c>
      <c r="F661" s="21">
        <v>23.0</v>
      </c>
      <c r="G661" s="21">
        <v>22.0</v>
      </c>
      <c r="H661" s="3">
        <f t="shared" si="4"/>
        <v>1400</v>
      </c>
      <c r="I661" s="3"/>
    </row>
    <row r="662" hidden="1">
      <c r="A662" s="20" t="s">
        <v>112</v>
      </c>
      <c r="B662" s="7" t="s">
        <v>20</v>
      </c>
      <c r="C662" s="21">
        <v>30.0</v>
      </c>
      <c r="D662" s="21">
        <v>18.0</v>
      </c>
      <c r="E662" s="21">
        <v>22.0</v>
      </c>
      <c r="F662" s="21">
        <v>23.0</v>
      </c>
      <c r="G662" s="21">
        <v>22.0</v>
      </c>
      <c r="H662" s="3">
        <f t="shared" si="4"/>
        <v>1400</v>
      </c>
      <c r="I662" s="3"/>
    </row>
    <row r="663" hidden="1">
      <c r="A663" s="20" t="s">
        <v>112</v>
      </c>
      <c r="B663" s="7" t="s">
        <v>21</v>
      </c>
      <c r="C663" s="21">
        <v>30.0</v>
      </c>
      <c r="D663" s="21">
        <v>18.0</v>
      </c>
      <c r="E663" s="21">
        <v>22.0</v>
      </c>
      <c r="F663" s="21">
        <v>23.0</v>
      </c>
      <c r="G663" s="21">
        <v>22.0</v>
      </c>
      <c r="H663" s="3">
        <f t="shared" si="4"/>
        <v>1400</v>
      </c>
      <c r="I663" s="3"/>
    </row>
    <row r="664" hidden="1">
      <c r="A664" s="20" t="s">
        <v>112</v>
      </c>
      <c r="B664" s="7" t="s">
        <v>22</v>
      </c>
      <c r="C664" s="21">
        <v>30.0</v>
      </c>
      <c r="D664" s="21">
        <v>18.0</v>
      </c>
      <c r="E664" s="21">
        <v>22.0</v>
      </c>
      <c r="F664" s="21">
        <v>23.0</v>
      </c>
      <c r="G664" s="21">
        <v>22.0</v>
      </c>
      <c r="H664" s="3">
        <f t="shared" si="4"/>
        <v>1400</v>
      </c>
      <c r="I664" s="3"/>
    </row>
    <row r="665" hidden="1">
      <c r="A665" s="20" t="s">
        <v>112</v>
      </c>
      <c r="B665" s="7" t="s">
        <v>23</v>
      </c>
      <c r="C665" s="21">
        <v>30.0</v>
      </c>
      <c r="D665" s="21">
        <v>18.0</v>
      </c>
      <c r="E665" s="21">
        <v>22.0</v>
      </c>
      <c r="F665" s="21">
        <v>23.0</v>
      </c>
      <c r="G665" s="21">
        <v>22.0</v>
      </c>
      <c r="H665" s="3">
        <f t="shared" si="4"/>
        <v>1400</v>
      </c>
      <c r="I665" s="3"/>
    </row>
    <row r="666" hidden="1">
      <c r="A666" s="20" t="s">
        <v>114</v>
      </c>
      <c r="B666" s="7" t="s">
        <v>113</v>
      </c>
      <c r="C666" s="23">
        <v>22.0</v>
      </c>
      <c r="D666" s="23">
        <v>19.0</v>
      </c>
      <c r="E666" s="23">
        <v>11.0</v>
      </c>
      <c r="F666" s="23">
        <v>10.0</v>
      </c>
      <c r="G666" s="23">
        <v>27.0</v>
      </c>
      <c r="H666" s="10">
        <f t="shared" si="4"/>
        <v>800</v>
      </c>
      <c r="I666" s="10"/>
    </row>
    <row r="667" hidden="1">
      <c r="A667" s="20" t="s">
        <v>114</v>
      </c>
      <c r="B667" s="7" t="s">
        <v>11</v>
      </c>
      <c r="C667" s="23">
        <v>22.0</v>
      </c>
      <c r="D667" s="23">
        <v>19.0</v>
      </c>
      <c r="E667" s="23">
        <v>11.0</v>
      </c>
      <c r="F667" s="23">
        <v>10.0</v>
      </c>
      <c r="G667" s="23">
        <v>27.0</v>
      </c>
      <c r="H667" s="10">
        <f t="shared" si="4"/>
        <v>800</v>
      </c>
      <c r="I667" s="10"/>
    </row>
    <row r="668" hidden="1">
      <c r="A668" s="20" t="s">
        <v>114</v>
      </c>
      <c r="B668" s="7" t="s">
        <v>13</v>
      </c>
      <c r="C668" s="23">
        <v>22.0</v>
      </c>
      <c r="D668" s="23">
        <v>19.0</v>
      </c>
      <c r="E668" s="23">
        <v>11.0</v>
      </c>
      <c r="F668" s="23">
        <v>10.0</v>
      </c>
      <c r="G668" s="23">
        <v>27.0</v>
      </c>
      <c r="H668" s="10">
        <f t="shared" si="4"/>
        <v>800</v>
      </c>
      <c r="I668" s="10"/>
    </row>
    <row r="669" hidden="1">
      <c r="A669" s="20" t="s">
        <v>114</v>
      </c>
      <c r="B669" s="7" t="s">
        <v>15</v>
      </c>
      <c r="C669" s="23">
        <v>22.0</v>
      </c>
      <c r="D669" s="23">
        <v>19.0</v>
      </c>
      <c r="E669" s="23">
        <v>11.0</v>
      </c>
      <c r="F669" s="23">
        <v>10.0</v>
      </c>
      <c r="G669" s="23">
        <v>27.0</v>
      </c>
      <c r="H669" s="10">
        <f t="shared" si="4"/>
        <v>800</v>
      </c>
      <c r="I669" s="10"/>
    </row>
    <row r="670" hidden="1">
      <c r="A670" s="20" t="s">
        <v>114</v>
      </c>
      <c r="B670" s="7" t="s">
        <v>14</v>
      </c>
      <c r="C670" s="23">
        <v>22.0</v>
      </c>
      <c r="D670" s="23">
        <v>19.0</v>
      </c>
      <c r="E670" s="23">
        <v>11.0</v>
      </c>
      <c r="F670" s="23">
        <v>10.0</v>
      </c>
      <c r="G670" s="23">
        <v>27.0</v>
      </c>
      <c r="H670" s="10">
        <f t="shared" si="4"/>
        <v>800</v>
      </c>
      <c r="I670" s="10"/>
    </row>
    <row r="671" hidden="1">
      <c r="A671" s="20" t="s">
        <v>114</v>
      </c>
      <c r="B671" s="7" t="s">
        <v>17</v>
      </c>
      <c r="C671" s="23">
        <v>22.0</v>
      </c>
      <c r="D671" s="23">
        <v>19.0</v>
      </c>
      <c r="E671" s="23">
        <v>11.0</v>
      </c>
      <c r="F671" s="23">
        <v>10.0</v>
      </c>
      <c r="G671" s="23">
        <v>27.0</v>
      </c>
      <c r="H671" s="10">
        <f t="shared" si="4"/>
        <v>800</v>
      </c>
      <c r="I671" s="10"/>
    </row>
    <row r="672" hidden="1">
      <c r="A672" s="20" t="s">
        <v>114</v>
      </c>
      <c r="B672" s="7" t="s">
        <v>18</v>
      </c>
      <c r="C672" s="23">
        <v>22.0</v>
      </c>
      <c r="D672" s="23">
        <v>19.0</v>
      </c>
      <c r="E672" s="23">
        <v>11.0</v>
      </c>
      <c r="F672" s="23">
        <v>10.0</v>
      </c>
      <c r="G672" s="23">
        <v>27.0</v>
      </c>
      <c r="H672" s="10">
        <f t="shared" si="4"/>
        <v>800</v>
      </c>
      <c r="I672" s="10"/>
    </row>
    <row r="673" hidden="1">
      <c r="A673" s="20" t="s">
        <v>114</v>
      </c>
      <c r="B673" s="7" t="s">
        <v>19</v>
      </c>
      <c r="C673" s="23">
        <v>22.0</v>
      </c>
      <c r="D673" s="23">
        <v>19.0</v>
      </c>
      <c r="E673" s="23">
        <v>11.0</v>
      </c>
      <c r="F673" s="23">
        <v>10.0</v>
      </c>
      <c r="G673" s="23">
        <v>27.0</v>
      </c>
      <c r="H673" s="10">
        <f t="shared" si="4"/>
        <v>800</v>
      </c>
      <c r="I673" s="10"/>
    </row>
    <row r="674" hidden="1">
      <c r="A674" s="20" t="s">
        <v>114</v>
      </c>
      <c r="B674" s="7" t="s">
        <v>21</v>
      </c>
      <c r="C674" s="23">
        <v>22.0</v>
      </c>
      <c r="D674" s="23">
        <v>19.0</v>
      </c>
      <c r="E674" s="23">
        <v>11.0</v>
      </c>
      <c r="F674" s="23">
        <v>10.0</v>
      </c>
      <c r="G674" s="23">
        <v>27.0</v>
      </c>
      <c r="H674" s="10">
        <f t="shared" si="4"/>
        <v>800</v>
      </c>
      <c r="I674" s="10"/>
    </row>
    <row r="675" hidden="1">
      <c r="A675" s="20" t="s">
        <v>114</v>
      </c>
      <c r="B675" s="7" t="s">
        <v>22</v>
      </c>
      <c r="C675" s="23">
        <v>22.0</v>
      </c>
      <c r="D675" s="23">
        <v>19.0</v>
      </c>
      <c r="E675" s="23">
        <v>11.0</v>
      </c>
      <c r="F675" s="23">
        <v>10.0</v>
      </c>
      <c r="G675" s="23">
        <v>27.0</v>
      </c>
      <c r="H675" s="10">
        <f t="shared" si="4"/>
        <v>800</v>
      </c>
      <c r="I675" s="10"/>
    </row>
    <row r="676" hidden="1">
      <c r="A676" s="20" t="s">
        <v>114</v>
      </c>
      <c r="B676" s="7" t="s">
        <v>23</v>
      </c>
      <c r="C676" s="23">
        <v>22.0</v>
      </c>
      <c r="D676" s="23">
        <v>19.0</v>
      </c>
      <c r="E676" s="23">
        <v>11.0</v>
      </c>
      <c r="F676" s="23">
        <v>10.0</v>
      </c>
      <c r="G676" s="23">
        <v>27.0</v>
      </c>
      <c r="H676" s="10">
        <f t="shared" si="4"/>
        <v>800</v>
      </c>
      <c r="I676" s="10"/>
    </row>
    <row r="677" hidden="1">
      <c r="A677" s="20" t="s">
        <v>114</v>
      </c>
      <c r="B677" s="7" t="s">
        <v>20</v>
      </c>
      <c r="C677" s="23">
        <v>22.0</v>
      </c>
      <c r="D677" s="23">
        <v>19.0</v>
      </c>
      <c r="E677" s="23">
        <v>11.0</v>
      </c>
      <c r="F677" s="23">
        <v>10.0</v>
      </c>
      <c r="G677" s="23">
        <v>27.0</v>
      </c>
      <c r="H677" s="10">
        <f t="shared" si="4"/>
        <v>800</v>
      </c>
      <c r="I677" s="10"/>
    </row>
    <row r="678" hidden="1">
      <c r="A678" s="20" t="s">
        <v>114</v>
      </c>
      <c r="B678" s="7" t="s">
        <v>16</v>
      </c>
      <c r="C678" s="23">
        <v>22.0</v>
      </c>
      <c r="D678" s="23">
        <v>19.0</v>
      </c>
      <c r="E678" s="23">
        <v>11.0</v>
      </c>
      <c r="F678" s="23">
        <v>10.0</v>
      </c>
      <c r="G678" s="23">
        <v>27.0</v>
      </c>
      <c r="H678" s="10">
        <f t="shared" si="4"/>
        <v>800</v>
      </c>
      <c r="I678" s="10"/>
    </row>
    <row r="679" hidden="1">
      <c r="A679" s="24" t="s">
        <v>115</v>
      </c>
      <c r="B679" s="7" t="s">
        <v>113</v>
      </c>
      <c r="C679" s="15">
        <v>300.0</v>
      </c>
      <c r="D679" s="15">
        <v>300.0</v>
      </c>
      <c r="E679" s="15">
        <v>300.0</v>
      </c>
      <c r="F679" s="15">
        <v>300.0</v>
      </c>
      <c r="G679" s="15">
        <v>300.0</v>
      </c>
      <c r="H679" s="10">
        <f t="shared" si="4"/>
        <v>1500</v>
      </c>
      <c r="I679" s="10"/>
    </row>
    <row r="680" hidden="1">
      <c r="A680" s="24" t="s">
        <v>115</v>
      </c>
      <c r="B680" s="7" t="s">
        <v>11</v>
      </c>
      <c r="C680" s="15">
        <v>300.0</v>
      </c>
      <c r="D680" s="15">
        <v>300.0</v>
      </c>
      <c r="E680" s="15">
        <v>300.0</v>
      </c>
      <c r="F680" s="15">
        <v>300.0</v>
      </c>
      <c r="G680" s="15">
        <v>300.0</v>
      </c>
      <c r="H680" s="10">
        <f t="shared" si="4"/>
        <v>1500</v>
      </c>
      <c r="I680" s="10"/>
    </row>
    <row r="681" hidden="1">
      <c r="A681" s="24" t="s">
        <v>115</v>
      </c>
      <c r="B681" s="7" t="s">
        <v>13</v>
      </c>
      <c r="C681" s="15">
        <v>300.0</v>
      </c>
      <c r="D681" s="15">
        <v>300.0</v>
      </c>
      <c r="E681" s="15">
        <v>300.0</v>
      </c>
      <c r="F681" s="15">
        <v>300.0</v>
      </c>
      <c r="G681" s="15">
        <v>300.0</v>
      </c>
      <c r="H681" s="10">
        <f t="shared" si="4"/>
        <v>1500</v>
      </c>
      <c r="I681" s="10"/>
    </row>
    <row r="682" hidden="1">
      <c r="A682" s="24" t="s">
        <v>115</v>
      </c>
      <c r="B682" s="7" t="s">
        <v>15</v>
      </c>
      <c r="C682" s="15">
        <v>300.0</v>
      </c>
      <c r="D682" s="15">
        <v>300.0</v>
      </c>
      <c r="E682" s="15">
        <v>300.0</v>
      </c>
      <c r="F682" s="15">
        <v>300.0</v>
      </c>
      <c r="G682" s="15">
        <v>300.0</v>
      </c>
      <c r="H682" s="10">
        <f t="shared" si="4"/>
        <v>1500</v>
      </c>
      <c r="I682" s="10"/>
    </row>
    <row r="683" hidden="1">
      <c r="A683" s="24" t="s">
        <v>115</v>
      </c>
      <c r="B683" s="13" t="s">
        <v>14</v>
      </c>
      <c r="C683" s="15">
        <v>300.0</v>
      </c>
      <c r="D683" s="15">
        <v>300.0</v>
      </c>
      <c r="E683" s="15">
        <v>300.0</v>
      </c>
      <c r="F683" s="15">
        <v>300.0</v>
      </c>
      <c r="G683" s="15">
        <v>300.0</v>
      </c>
      <c r="H683" s="10">
        <f t="shared" si="4"/>
        <v>1500</v>
      </c>
      <c r="I683" s="10"/>
    </row>
    <row r="684" hidden="1">
      <c r="A684" s="24" t="s">
        <v>115</v>
      </c>
      <c r="B684" s="7" t="s">
        <v>17</v>
      </c>
      <c r="C684" s="15">
        <v>300.0</v>
      </c>
      <c r="D684" s="15">
        <v>300.0</v>
      </c>
      <c r="E684" s="15">
        <v>300.0</v>
      </c>
      <c r="F684" s="15">
        <v>300.0</v>
      </c>
      <c r="G684" s="15">
        <v>300.0</v>
      </c>
      <c r="H684" s="10">
        <f t="shared" si="4"/>
        <v>1500</v>
      </c>
      <c r="I684" s="10"/>
    </row>
    <row r="685" hidden="1">
      <c r="A685" s="24" t="s">
        <v>115</v>
      </c>
      <c r="B685" s="7" t="s">
        <v>18</v>
      </c>
      <c r="C685" s="15">
        <v>300.0</v>
      </c>
      <c r="D685" s="15">
        <v>300.0</v>
      </c>
      <c r="E685" s="15">
        <v>300.0</v>
      </c>
      <c r="F685" s="15">
        <v>300.0</v>
      </c>
      <c r="G685" s="15">
        <v>300.0</v>
      </c>
      <c r="H685" s="10">
        <f t="shared" si="4"/>
        <v>1500</v>
      </c>
      <c r="I685" s="10"/>
    </row>
    <row r="686" hidden="1">
      <c r="A686" s="24" t="s">
        <v>115</v>
      </c>
      <c r="B686" s="7" t="s">
        <v>19</v>
      </c>
      <c r="C686" s="15">
        <v>300.0</v>
      </c>
      <c r="D686" s="15">
        <v>300.0</v>
      </c>
      <c r="E686" s="15">
        <v>300.0</v>
      </c>
      <c r="F686" s="15">
        <v>300.0</v>
      </c>
      <c r="G686" s="15">
        <v>300.0</v>
      </c>
      <c r="H686" s="10">
        <f t="shared" si="4"/>
        <v>1500</v>
      </c>
      <c r="I686" s="10"/>
    </row>
    <row r="687" hidden="1">
      <c r="A687" s="24" t="s">
        <v>115</v>
      </c>
      <c r="B687" s="7" t="s">
        <v>21</v>
      </c>
      <c r="C687" s="15">
        <v>300.0</v>
      </c>
      <c r="D687" s="15">
        <v>300.0</v>
      </c>
      <c r="E687" s="15">
        <v>300.0</v>
      </c>
      <c r="F687" s="15">
        <v>300.0</v>
      </c>
      <c r="G687" s="15">
        <v>300.0</v>
      </c>
      <c r="H687" s="10">
        <f t="shared" si="4"/>
        <v>1500</v>
      </c>
      <c r="I687" s="10"/>
    </row>
    <row r="688" hidden="1">
      <c r="A688" s="24" t="s">
        <v>115</v>
      </c>
      <c r="B688" s="7" t="s">
        <v>22</v>
      </c>
      <c r="C688" s="15">
        <v>300.0</v>
      </c>
      <c r="D688" s="15">
        <v>300.0</v>
      </c>
      <c r="E688" s="15">
        <v>300.0</v>
      </c>
      <c r="F688" s="15">
        <v>300.0</v>
      </c>
      <c r="G688" s="15">
        <v>300.0</v>
      </c>
      <c r="H688" s="10">
        <f t="shared" si="4"/>
        <v>1500</v>
      </c>
      <c r="I688" s="10"/>
    </row>
    <row r="689" hidden="1">
      <c r="A689" s="24" t="s">
        <v>115</v>
      </c>
      <c r="B689" s="7" t="s">
        <v>23</v>
      </c>
      <c r="C689" s="15">
        <v>300.0</v>
      </c>
      <c r="D689" s="15">
        <v>300.0</v>
      </c>
      <c r="E689" s="15">
        <v>300.0</v>
      </c>
      <c r="F689" s="15">
        <v>300.0</v>
      </c>
      <c r="G689" s="15">
        <v>300.0</v>
      </c>
      <c r="H689" s="10">
        <f t="shared" si="4"/>
        <v>1500</v>
      </c>
      <c r="I689" s="10"/>
    </row>
    <row r="690" hidden="1">
      <c r="A690" s="24" t="s">
        <v>115</v>
      </c>
      <c r="B690" s="7" t="s">
        <v>20</v>
      </c>
      <c r="C690" s="15">
        <v>300.0</v>
      </c>
      <c r="D690" s="15">
        <v>300.0</v>
      </c>
      <c r="E690" s="15">
        <v>300.0</v>
      </c>
      <c r="F690" s="15">
        <v>300.0</v>
      </c>
      <c r="G690" s="15">
        <v>300.0</v>
      </c>
      <c r="H690" s="10">
        <f t="shared" si="4"/>
        <v>1500</v>
      </c>
      <c r="I690" s="10"/>
    </row>
    <row r="691" hidden="1">
      <c r="A691" s="24" t="s">
        <v>115</v>
      </c>
      <c r="B691" s="7" t="s">
        <v>16</v>
      </c>
      <c r="C691" s="15">
        <v>300.0</v>
      </c>
      <c r="D691" s="15">
        <v>300.0</v>
      </c>
      <c r="E691" s="15">
        <v>300.0</v>
      </c>
      <c r="F691" s="15">
        <v>300.0</v>
      </c>
      <c r="G691" s="15">
        <v>300.0</v>
      </c>
      <c r="H691" s="10">
        <f t="shared" si="4"/>
        <v>1500</v>
      </c>
      <c r="I691" s="10"/>
    </row>
    <row r="692" hidden="1">
      <c r="A692" s="24" t="s">
        <v>116</v>
      </c>
      <c r="B692" s="25" t="s">
        <v>113</v>
      </c>
      <c r="C692" s="25">
        <v>26.0</v>
      </c>
      <c r="D692" s="25">
        <v>17.0</v>
      </c>
      <c r="E692" s="25">
        <v>17.0</v>
      </c>
      <c r="F692" s="25">
        <v>17.0</v>
      </c>
      <c r="G692" s="25">
        <v>22.0</v>
      </c>
      <c r="H692" s="3">
        <f t="shared" si="4"/>
        <v>1200</v>
      </c>
      <c r="I692" s="3"/>
    </row>
    <row r="693" hidden="1">
      <c r="A693" s="24" t="s">
        <v>116</v>
      </c>
      <c r="B693" s="25" t="s">
        <v>11</v>
      </c>
      <c r="C693" s="25">
        <v>26.0</v>
      </c>
      <c r="D693" s="25">
        <v>17.0</v>
      </c>
      <c r="E693" s="25">
        <v>17.0</v>
      </c>
      <c r="F693" s="25">
        <v>17.0</v>
      </c>
      <c r="G693" s="25">
        <v>22.0</v>
      </c>
      <c r="H693" s="3">
        <f t="shared" si="4"/>
        <v>1200</v>
      </c>
      <c r="I693" s="3"/>
    </row>
    <row r="694" hidden="1">
      <c r="A694" s="24" t="s">
        <v>116</v>
      </c>
      <c r="B694" s="25" t="s">
        <v>13</v>
      </c>
      <c r="C694" s="25">
        <v>26.0</v>
      </c>
      <c r="D694" s="25">
        <v>17.0</v>
      </c>
      <c r="E694" s="25">
        <v>17.0</v>
      </c>
      <c r="F694" s="25">
        <v>17.0</v>
      </c>
      <c r="G694" s="25">
        <v>22.0</v>
      </c>
      <c r="H694" s="3">
        <f t="shared" si="4"/>
        <v>1200</v>
      </c>
      <c r="I694" s="3"/>
    </row>
    <row r="695" hidden="1">
      <c r="A695" s="24" t="s">
        <v>116</v>
      </c>
      <c r="B695" s="25" t="s">
        <v>117</v>
      </c>
      <c r="C695" s="25">
        <v>26.0</v>
      </c>
      <c r="D695" s="25">
        <v>17.0</v>
      </c>
      <c r="E695" s="25">
        <v>17.0</v>
      </c>
      <c r="F695" s="26">
        <v>0.0</v>
      </c>
      <c r="G695" s="26">
        <v>0.0</v>
      </c>
      <c r="H695" s="3">
        <f t="shared" si="4"/>
        <v>700</v>
      </c>
      <c r="I695" s="3"/>
    </row>
    <row r="696" hidden="1">
      <c r="A696" s="24" t="s">
        <v>116</v>
      </c>
      <c r="B696" s="25" t="s">
        <v>15</v>
      </c>
      <c r="C696" s="25">
        <v>26.0</v>
      </c>
      <c r="D696" s="25">
        <v>17.0</v>
      </c>
      <c r="E696" s="25">
        <v>17.0</v>
      </c>
      <c r="F696" s="25">
        <v>17.0</v>
      </c>
      <c r="G696" s="25">
        <v>22.0</v>
      </c>
      <c r="H696" s="3">
        <f t="shared" si="4"/>
        <v>1200</v>
      </c>
      <c r="I696" s="3"/>
    </row>
    <row r="697" hidden="1">
      <c r="A697" s="24" t="s">
        <v>116</v>
      </c>
      <c r="B697" s="25" t="s">
        <v>17</v>
      </c>
      <c r="C697" s="25">
        <v>26.0</v>
      </c>
      <c r="D697" s="25">
        <v>17.0</v>
      </c>
      <c r="E697" s="25">
        <v>17.0</v>
      </c>
      <c r="F697" s="25">
        <v>17.0</v>
      </c>
      <c r="G697" s="25">
        <v>22.0</v>
      </c>
      <c r="H697" s="3">
        <f t="shared" si="4"/>
        <v>1200</v>
      </c>
      <c r="I697" s="3"/>
    </row>
    <row r="698" hidden="1">
      <c r="A698" s="24" t="s">
        <v>116</v>
      </c>
      <c r="B698" s="25" t="s">
        <v>18</v>
      </c>
      <c r="C698" s="25">
        <v>26.0</v>
      </c>
      <c r="D698" s="25">
        <v>17.0</v>
      </c>
      <c r="E698" s="25">
        <v>17.0</v>
      </c>
      <c r="F698" s="25">
        <v>17.0</v>
      </c>
      <c r="G698" s="25">
        <v>22.0</v>
      </c>
      <c r="H698" s="3">
        <f t="shared" si="4"/>
        <v>1200</v>
      </c>
      <c r="I698" s="3"/>
    </row>
    <row r="699" hidden="1">
      <c r="A699" s="24" t="s">
        <v>116</v>
      </c>
      <c r="B699" s="25" t="s">
        <v>19</v>
      </c>
      <c r="C699" s="25">
        <v>26.0</v>
      </c>
      <c r="D699" s="25">
        <v>17.0</v>
      </c>
      <c r="E699" s="25">
        <v>17.0</v>
      </c>
      <c r="F699" s="25">
        <v>17.0</v>
      </c>
      <c r="G699" s="25">
        <v>22.0</v>
      </c>
      <c r="H699" s="3">
        <f t="shared" si="4"/>
        <v>1200</v>
      </c>
      <c r="I699" s="3"/>
    </row>
    <row r="700" hidden="1">
      <c r="A700" s="24" t="s">
        <v>116</v>
      </c>
      <c r="B700" s="25" t="s">
        <v>21</v>
      </c>
      <c r="C700" s="25">
        <v>26.0</v>
      </c>
      <c r="D700" s="25">
        <v>17.0</v>
      </c>
      <c r="E700" s="25">
        <v>17.0</v>
      </c>
      <c r="F700" s="25">
        <v>17.0</v>
      </c>
      <c r="G700" s="25">
        <v>22.0</v>
      </c>
      <c r="H700" s="3">
        <f t="shared" si="4"/>
        <v>1200</v>
      </c>
      <c r="I700" s="3"/>
    </row>
    <row r="701" hidden="1">
      <c r="A701" s="24" t="s">
        <v>116</v>
      </c>
      <c r="B701" s="25" t="s">
        <v>22</v>
      </c>
      <c r="C701" s="25">
        <v>26.0</v>
      </c>
      <c r="D701" s="25">
        <v>17.0</v>
      </c>
      <c r="E701" s="25">
        <v>17.0</v>
      </c>
      <c r="F701" s="25">
        <v>17.0</v>
      </c>
      <c r="G701" s="25">
        <v>22.0</v>
      </c>
      <c r="H701" s="3">
        <f t="shared" si="4"/>
        <v>1200</v>
      </c>
      <c r="I701" s="3"/>
    </row>
    <row r="702" hidden="1">
      <c r="A702" s="24" t="s">
        <v>116</v>
      </c>
      <c r="B702" s="25" t="s">
        <v>23</v>
      </c>
      <c r="C702" s="25">
        <v>26.0</v>
      </c>
      <c r="D702" s="25">
        <v>17.0</v>
      </c>
      <c r="E702" s="25">
        <v>17.0</v>
      </c>
      <c r="F702" s="25">
        <v>17.0</v>
      </c>
      <c r="G702" s="25">
        <v>22.0</v>
      </c>
      <c r="H702" s="3">
        <f t="shared" si="4"/>
        <v>1200</v>
      </c>
      <c r="I702" s="3"/>
    </row>
    <row r="703" hidden="1">
      <c r="A703" s="24" t="s">
        <v>116</v>
      </c>
      <c r="B703" s="25" t="s">
        <v>20</v>
      </c>
      <c r="C703" s="25">
        <v>26.0</v>
      </c>
      <c r="D703" s="25">
        <v>17.0</v>
      </c>
      <c r="E703" s="25">
        <v>17.0</v>
      </c>
      <c r="F703" s="25">
        <v>17.0</v>
      </c>
      <c r="G703" s="25">
        <v>22.0</v>
      </c>
      <c r="H703" s="3">
        <f t="shared" si="4"/>
        <v>1200</v>
      </c>
      <c r="I703" s="3"/>
    </row>
    <row r="704" hidden="1">
      <c r="A704" s="24" t="s">
        <v>116</v>
      </c>
      <c r="B704" s="25" t="s">
        <v>16</v>
      </c>
      <c r="C704" s="25">
        <v>26.0</v>
      </c>
      <c r="D704" s="25">
        <v>17.0</v>
      </c>
      <c r="E704" s="25">
        <v>17.0</v>
      </c>
      <c r="F704" s="25">
        <v>17.0</v>
      </c>
      <c r="G704" s="25">
        <v>22.0</v>
      </c>
      <c r="H704" s="3">
        <f t="shared" si="4"/>
        <v>1200</v>
      </c>
      <c r="I704" s="3"/>
    </row>
    <row r="705" hidden="1">
      <c r="A705" s="24" t="s">
        <v>118</v>
      </c>
      <c r="B705" s="25" t="s">
        <v>113</v>
      </c>
      <c r="C705" s="25">
        <v>34.0</v>
      </c>
      <c r="D705" s="25">
        <v>36.0</v>
      </c>
      <c r="E705" s="25">
        <v>20.0</v>
      </c>
      <c r="F705" s="25">
        <v>11.0</v>
      </c>
      <c r="G705" s="25">
        <v>17.0</v>
      </c>
      <c r="H705" s="3">
        <f t="shared" si="4"/>
        <v>1000</v>
      </c>
      <c r="I705" s="3"/>
    </row>
    <row r="706" hidden="1">
      <c r="A706" s="24" t="s">
        <v>118</v>
      </c>
      <c r="B706" s="25" t="s">
        <v>11</v>
      </c>
      <c r="C706" s="25">
        <v>34.0</v>
      </c>
      <c r="D706" s="25">
        <v>36.0</v>
      </c>
      <c r="E706" s="25">
        <v>20.0</v>
      </c>
      <c r="F706" s="25">
        <v>11.0</v>
      </c>
      <c r="G706" s="25">
        <v>17.0</v>
      </c>
      <c r="H706" s="3">
        <f t="shared" si="4"/>
        <v>1000</v>
      </c>
      <c r="I706" s="3"/>
    </row>
    <row r="707" hidden="1">
      <c r="A707" s="24" t="s">
        <v>118</v>
      </c>
      <c r="B707" s="25" t="s">
        <v>13</v>
      </c>
      <c r="C707" s="25">
        <v>34.0</v>
      </c>
      <c r="D707" s="25">
        <v>36.0</v>
      </c>
      <c r="E707" s="25">
        <v>20.0</v>
      </c>
      <c r="F707" s="25">
        <v>11.0</v>
      </c>
      <c r="G707" s="25">
        <v>17.0</v>
      </c>
      <c r="H707" s="3">
        <f t="shared" si="4"/>
        <v>1000</v>
      </c>
      <c r="I707" s="3"/>
    </row>
    <row r="708" hidden="1">
      <c r="A708" s="24" t="s">
        <v>118</v>
      </c>
      <c r="B708" s="25" t="s">
        <v>117</v>
      </c>
      <c r="C708" s="25">
        <v>34.0</v>
      </c>
      <c r="D708" s="25">
        <v>36.0</v>
      </c>
      <c r="E708" s="25">
        <v>20.0</v>
      </c>
      <c r="F708" s="25">
        <v>11.0</v>
      </c>
      <c r="G708" s="25">
        <v>17.0</v>
      </c>
      <c r="H708" s="3">
        <f t="shared" si="4"/>
        <v>1000</v>
      </c>
      <c r="I708" s="3"/>
    </row>
    <row r="709" hidden="1">
      <c r="A709" s="24" t="s">
        <v>118</v>
      </c>
      <c r="B709" s="25" t="s">
        <v>15</v>
      </c>
      <c r="C709" s="25">
        <v>34.0</v>
      </c>
      <c r="D709" s="25">
        <v>36.0</v>
      </c>
      <c r="E709" s="25">
        <v>20.0</v>
      </c>
      <c r="F709" s="25">
        <v>11.0</v>
      </c>
      <c r="G709" s="25">
        <v>17.0</v>
      </c>
      <c r="H709" s="3">
        <f t="shared" si="4"/>
        <v>1000</v>
      </c>
      <c r="I709" s="3"/>
    </row>
    <row r="710" hidden="1">
      <c r="A710" s="24" t="s">
        <v>118</v>
      </c>
      <c r="B710" s="25" t="s">
        <v>17</v>
      </c>
      <c r="C710" s="25">
        <v>34.0</v>
      </c>
      <c r="D710" s="25">
        <v>36.0</v>
      </c>
      <c r="E710" s="25">
        <v>20.0</v>
      </c>
      <c r="F710" s="25">
        <v>11.0</v>
      </c>
      <c r="G710" s="25">
        <v>17.0</v>
      </c>
      <c r="H710" s="3">
        <f t="shared" si="4"/>
        <v>1000</v>
      </c>
      <c r="I710" s="3"/>
    </row>
    <row r="711" hidden="1">
      <c r="A711" s="24" t="s">
        <v>118</v>
      </c>
      <c r="B711" s="25" t="s">
        <v>18</v>
      </c>
      <c r="C711" s="25">
        <v>34.0</v>
      </c>
      <c r="D711" s="25">
        <v>36.0</v>
      </c>
      <c r="E711" s="25">
        <v>20.0</v>
      </c>
      <c r="F711" s="25">
        <v>11.0</v>
      </c>
      <c r="G711" s="25">
        <v>17.0</v>
      </c>
      <c r="H711" s="3">
        <f t="shared" si="4"/>
        <v>1000</v>
      </c>
      <c r="I711" s="3"/>
    </row>
    <row r="712" hidden="1">
      <c r="A712" s="24" t="s">
        <v>118</v>
      </c>
      <c r="B712" s="25" t="s">
        <v>19</v>
      </c>
      <c r="C712" s="25">
        <v>34.0</v>
      </c>
      <c r="D712" s="25">
        <v>36.0</v>
      </c>
      <c r="E712" s="25">
        <v>20.0</v>
      </c>
      <c r="F712" s="25">
        <v>11.0</v>
      </c>
      <c r="G712" s="25">
        <v>17.0</v>
      </c>
      <c r="H712" s="3">
        <f t="shared" si="4"/>
        <v>1000</v>
      </c>
      <c r="I712" s="3"/>
    </row>
    <row r="713" hidden="1">
      <c r="A713" s="24" t="s">
        <v>118</v>
      </c>
      <c r="B713" s="25" t="s">
        <v>21</v>
      </c>
      <c r="C713" s="25">
        <v>34.0</v>
      </c>
      <c r="D713" s="25">
        <v>36.0</v>
      </c>
      <c r="E713" s="25">
        <v>20.0</v>
      </c>
      <c r="F713" s="25">
        <v>11.0</v>
      </c>
      <c r="G713" s="25">
        <v>17.0</v>
      </c>
      <c r="H713" s="3">
        <f t="shared" si="4"/>
        <v>1000</v>
      </c>
      <c r="I713" s="3"/>
    </row>
    <row r="714" hidden="1">
      <c r="A714" s="24" t="s">
        <v>118</v>
      </c>
      <c r="B714" s="25" t="s">
        <v>22</v>
      </c>
      <c r="C714" s="25">
        <v>34.0</v>
      </c>
      <c r="D714" s="25">
        <v>36.0</v>
      </c>
      <c r="E714" s="25">
        <v>20.0</v>
      </c>
      <c r="F714" s="25">
        <v>11.0</v>
      </c>
      <c r="G714" s="25">
        <v>17.0</v>
      </c>
      <c r="H714" s="3">
        <f t="shared" si="4"/>
        <v>1000</v>
      </c>
      <c r="I714" s="3"/>
    </row>
    <row r="715" hidden="1">
      <c r="A715" s="24" t="s">
        <v>118</v>
      </c>
      <c r="B715" s="25" t="s">
        <v>23</v>
      </c>
      <c r="C715" s="25">
        <v>34.0</v>
      </c>
      <c r="D715" s="25">
        <v>36.0</v>
      </c>
      <c r="E715" s="25">
        <v>20.0</v>
      </c>
      <c r="F715" s="25">
        <v>11.0</v>
      </c>
      <c r="G715" s="25">
        <v>17.0</v>
      </c>
      <c r="H715" s="3">
        <f t="shared" si="4"/>
        <v>1000</v>
      </c>
      <c r="I715" s="3"/>
    </row>
    <row r="716" hidden="1">
      <c r="A716" s="24" t="s">
        <v>119</v>
      </c>
      <c r="B716" s="25" t="s">
        <v>113</v>
      </c>
      <c r="C716" s="25">
        <v>31.0</v>
      </c>
      <c r="D716" s="25">
        <v>22.0</v>
      </c>
      <c r="E716" s="25">
        <v>30.0</v>
      </c>
      <c r="F716" s="25">
        <v>18.0</v>
      </c>
      <c r="G716" s="25">
        <v>23.0</v>
      </c>
      <c r="H716" s="3">
        <f t="shared" si="4"/>
        <v>1400</v>
      </c>
      <c r="I716" s="3"/>
    </row>
    <row r="717" hidden="1">
      <c r="A717" s="24" t="s">
        <v>119</v>
      </c>
      <c r="B717" s="25" t="s">
        <v>11</v>
      </c>
      <c r="C717" s="25">
        <v>31.0</v>
      </c>
      <c r="D717" s="25">
        <v>22.0</v>
      </c>
      <c r="E717" s="25">
        <v>30.0</v>
      </c>
      <c r="F717" s="25">
        <v>18.0</v>
      </c>
      <c r="G717" s="25">
        <v>23.0</v>
      </c>
      <c r="H717" s="3">
        <f t="shared" si="4"/>
        <v>1400</v>
      </c>
      <c r="I717" s="3"/>
    </row>
    <row r="718" hidden="1">
      <c r="A718" s="24" t="s">
        <v>119</v>
      </c>
      <c r="B718" s="25" t="s">
        <v>13</v>
      </c>
      <c r="C718" s="25">
        <v>31.0</v>
      </c>
      <c r="D718" s="25">
        <v>22.0</v>
      </c>
      <c r="E718" s="25">
        <v>30.0</v>
      </c>
      <c r="F718" s="25">
        <v>18.0</v>
      </c>
      <c r="G718" s="25">
        <v>23.0</v>
      </c>
      <c r="H718" s="3">
        <f t="shared" si="4"/>
        <v>1400</v>
      </c>
      <c r="I718" s="3"/>
    </row>
    <row r="719" hidden="1">
      <c r="A719" s="24" t="s">
        <v>119</v>
      </c>
      <c r="B719" s="25" t="s">
        <v>117</v>
      </c>
      <c r="C719" s="25">
        <v>31.0</v>
      </c>
      <c r="D719" s="25">
        <v>22.0</v>
      </c>
      <c r="E719" s="25">
        <v>30.0</v>
      </c>
      <c r="F719" s="25">
        <v>18.0</v>
      </c>
      <c r="G719" s="25">
        <v>23.0</v>
      </c>
      <c r="H719" s="3">
        <f t="shared" si="4"/>
        <v>1400</v>
      </c>
      <c r="I719" s="3"/>
    </row>
    <row r="720" hidden="1">
      <c r="A720" s="24" t="s">
        <v>119</v>
      </c>
      <c r="B720" s="25" t="s">
        <v>15</v>
      </c>
      <c r="C720" s="25">
        <v>31.0</v>
      </c>
      <c r="D720" s="25">
        <v>22.0</v>
      </c>
      <c r="E720" s="25">
        <v>30.0</v>
      </c>
      <c r="F720" s="25">
        <v>18.0</v>
      </c>
      <c r="G720" s="25">
        <v>23.0</v>
      </c>
      <c r="H720" s="3">
        <f t="shared" si="4"/>
        <v>1400</v>
      </c>
      <c r="I720" s="3"/>
    </row>
    <row r="721" hidden="1">
      <c r="A721" s="24" t="s">
        <v>119</v>
      </c>
      <c r="B721" s="25" t="s">
        <v>17</v>
      </c>
      <c r="C721" s="25">
        <v>31.0</v>
      </c>
      <c r="D721" s="25">
        <v>22.0</v>
      </c>
      <c r="E721" s="25">
        <v>30.0</v>
      </c>
      <c r="F721" s="25">
        <v>18.0</v>
      </c>
      <c r="G721" s="25">
        <v>23.0</v>
      </c>
      <c r="H721" s="3">
        <f t="shared" si="4"/>
        <v>1400</v>
      </c>
      <c r="I721" s="3"/>
    </row>
    <row r="722" hidden="1">
      <c r="A722" s="24" t="s">
        <v>119</v>
      </c>
      <c r="B722" s="25" t="s">
        <v>18</v>
      </c>
      <c r="C722" s="25">
        <v>31.0</v>
      </c>
      <c r="D722" s="25">
        <v>22.0</v>
      </c>
      <c r="E722" s="25">
        <v>30.0</v>
      </c>
      <c r="F722" s="25">
        <v>18.0</v>
      </c>
      <c r="G722" s="25">
        <v>23.0</v>
      </c>
      <c r="H722" s="3">
        <f t="shared" si="4"/>
        <v>1400</v>
      </c>
      <c r="I722" s="3"/>
    </row>
    <row r="723" hidden="1">
      <c r="A723" s="24" t="s">
        <v>119</v>
      </c>
      <c r="B723" s="25" t="s">
        <v>19</v>
      </c>
      <c r="C723" s="25">
        <v>31.0</v>
      </c>
      <c r="D723" s="25">
        <v>22.0</v>
      </c>
      <c r="E723" s="25">
        <v>30.0</v>
      </c>
      <c r="F723" s="25">
        <v>18.0</v>
      </c>
      <c r="G723" s="25">
        <v>23.0</v>
      </c>
      <c r="H723" s="3">
        <f t="shared" si="4"/>
        <v>1400</v>
      </c>
      <c r="I723" s="3"/>
    </row>
    <row r="724" hidden="1">
      <c r="A724" s="24" t="s">
        <v>119</v>
      </c>
      <c r="B724" s="25" t="s">
        <v>21</v>
      </c>
      <c r="C724" s="25">
        <v>31.0</v>
      </c>
      <c r="D724" s="25">
        <v>22.0</v>
      </c>
      <c r="E724" s="25">
        <v>30.0</v>
      </c>
      <c r="F724" s="25">
        <v>18.0</v>
      </c>
      <c r="G724" s="25">
        <v>23.0</v>
      </c>
      <c r="H724" s="3">
        <f t="shared" si="4"/>
        <v>1400</v>
      </c>
      <c r="I724" s="3"/>
    </row>
    <row r="725" hidden="1">
      <c r="A725" s="24" t="s">
        <v>119</v>
      </c>
      <c r="B725" s="25" t="s">
        <v>22</v>
      </c>
      <c r="C725" s="25">
        <v>31.0</v>
      </c>
      <c r="D725" s="25">
        <v>22.0</v>
      </c>
      <c r="E725" s="25">
        <v>30.0</v>
      </c>
      <c r="F725" s="25">
        <v>18.0</v>
      </c>
      <c r="G725" s="25">
        <v>23.0</v>
      </c>
      <c r="H725" s="3">
        <f t="shared" si="4"/>
        <v>1400</v>
      </c>
      <c r="I725" s="3"/>
    </row>
    <row r="726" hidden="1">
      <c r="A726" s="24" t="s">
        <v>119</v>
      </c>
      <c r="B726" s="25" t="s">
        <v>23</v>
      </c>
      <c r="C726" s="25">
        <v>31.0</v>
      </c>
      <c r="D726" s="25">
        <v>22.0</v>
      </c>
      <c r="E726" s="25">
        <v>30.0</v>
      </c>
      <c r="F726" s="25">
        <v>18.0</v>
      </c>
      <c r="G726" s="25">
        <v>23.0</v>
      </c>
      <c r="H726" s="3">
        <f t="shared" si="4"/>
        <v>1400</v>
      </c>
      <c r="I726" s="3"/>
    </row>
    <row r="727">
      <c r="C727" s="27"/>
      <c r="H727" s="3"/>
      <c r="I727" s="13"/>
    </row>
    <row r="728">
      <c r="H728" s="3"/>
      <c r="I728" s="3"/>
    </row>
    <row r="729">
      <c r="H729" s="3"/>
      <c r="I729" s="3"/>
    </row>
    <row r="730">
      <c r="H730" s="3"/>
      <c r="I730" s="3"/>
    </row>
    <row r="731">
      <c r="H731" s="3"/>
      <c r="I731" s="3"/>
    </row>
    <row r="732">
      <c r="H732" s="3"/>
      <c r="I732" s="3"/>
    </row>
    <row r="733">
      <c r="H733" s="3"/>
      <c r="I733" s="3"/>
    </row>
    <row r="734">
      <c r="H734" s="3"/>
      <c r="I734" s="3"/>
    </row>
    <row r="735">
      <c r="H735" s="3"/>
      <c r="I735" s="3"/>
    </row>
    <row r="736">
      <c r="H736" s="3"/>
      <c r="I736" s="3"/>
    </row>
    <row r="737">
      <c r="H737" s="3"/>
      <c r="I737" s="3"/>
    </row>
    <row r="738">
      <c r="H738" s="3"/>
      <c r="I738" s="3"/>
    </row>
    <row r="739">
      <c r="H739" s="3"/>
      <c r="I739" s="3"/>
    </row>
    <row r="740">
      <c r="H740" s="3"/>
      <c r="I740" s="3"/>
    </row>
    <row r="741">
      <c r="H741" s="3"/>
      <c r="I741" s="3"/>
    </row>
    <row r="742">
      <c r="H742" s="3"/>
      <c r="I742" s="3"/>
    </row>
    <row r="743">
      <c r="H743" s="3"/>
      <c r="I743" s="3"/>
    </row>
    <row r="744">
      <c r="H744" s="3"/>
      <c r="I744" s="3"/>
    </row>
    <row r="745">
      <c r="H745" s="3"/>
      <c r="I745" s="3"/>
    </row>
    <row r="746">
      <c r="H746" s="3"/>
      <c r="I746" s="3"/>
    </row>
    <row r="747">
      <c r="H747" s="3"/>
      <c r="I747" s="3"/>
    </row>
    <row r="748">
      <c r="H748" s="3"/>
      <c r="I748" s="3"/>
    </row>
    <row r="749">
      <c r="H749" s="3"/>
      <c r="I749" s="3"/>
    </row>
    <row r="750">
      <c r="H750" s="3"/>
      <c r="I750" s="3"/>
    </row>
    <row r="751">
      <c r="H751" s="3"/>
      <c r="I751" s="3"/>
    </row>
    <row r="752">
      <c r="H752" s="3"/>
      <c r="I752" s="3"/>
    </row>
    <row r="753">
      <c r="H753" s="3"/>
      <c r="I753" s="3"/>
    </row>
    <row r="754">
      <c r="H754" s="3"/>
      <c r="I754" s="3"/>
    </row>
    <row r="755">
      <c r="H755" s="3"/>
      <c r="I755" s="3"/>
    </row>
    <row r="756">
      <c r="H756" s="3"/>
      <c r="I756" s="3"/>
    </row>
    <row r="757">
      <c r="H757" s="3"/>
      <c r="I757" s="3"/>
    </row>
    <row r="758">
      <c r="H758" s="3"/>
      <c r="I758" s="3"/>
    </row>
    <row r="759">
      <c r="H759" s="3"/>
      <c r="I759" s="3"/>
    </row>
    <row r="760">
      <c r="H760" s="3"/>
      <c r="I760" s="3"/>
    </row>
    <row r="761">
      <c r="H761" s="3"/>
      <c r="I761" s="3"/>
    </row>
    <row r="762">
      <c r="H762" s="3"/>
      <c r="I762" s="3"/>
    </row>
    <row r="763">
      <c r="H763" s="3"/>
      <c r="I763" s="3"/>
    </row>
    <row r="764">
      <c r="H764" s="3"/>
      <c r="I764" s="3"/>
    </row>
    <row r="765">
      <c r="H765" s="3"/>
      <c r="I765" s="3"/>
    </row>
    <row r="766">
      <c r="H766" s="3"/>
      <c r="I766" s="3"/>
    </row>
    <row r="767">
      <c r="H767" s="3"/>
      <c r="I767" s="3"/>
    </row>
    <row r="768">
      <c r="H768" s="3"/>
      <c r="I768" s="3"/>
    </row>
    <row r="769">
      <c r="H769" s="3"/>
      <c r="I769" s="3"/>
    </row>
    <row r="770">
      <c r="H770" s="3"/>
      <c r="I770" s="3"/>
    </row>
    <row r="771">
      <c r="H771" s="3"/>
      <c r="I771" s="3"/>
    </row>
    <row r="772">
      <c r="H772" s="3"/>
      <c r="I772" s="3"/>
    </row>
    <row r="773">
      <c r="H773" s="3"/>
      <c r="I773" s="3"/>
    </row>
    <row r="774">
      <c r="H774" s="3"/>
      <c r="I774" s="3"/>
    </row>
    <row r="775">
      <c r="H775" s="3"/>
      <c r="I775" s="3"/>
    </row>
    <row r="776">
      <c r="H776" s="3"/>
      <c r="I776" s="3"/>
    </row>
    <row r="777">
      <c r="H777" s="3"/>
      <c r="I777" s="3"/>
    </row>
    <row r="778">
      <c r="H778" s="3"/>
      <c r="I778" s="3"/>
    </row>
    <row r="779">
      <c r="H779" s="3"/>
      <c r="I779" s="3"/>
    </row>
    <row r="780">
      <c r="H780" s="3"/>
      <c r="I780" s="3"/>
    </row>
    <row r="781">
      <c r="H781" s="3"/>
      <c r="I781" s="3"/>
    </row>
    <row r="782">
      <c r="H782" s="3"/>
      <c r="I782" s="3"/>
    </row>
    <row r="783">
      <c r="H783" s="3"/>
      <c r="I783" s="3"/>
    </row>
    <row r="784">
      <c r="H784" s="3"/>
      <c r="I784" s="3"/>
    </row>
    <row r="785">
      <c r="H785" s="3"/>
      <c r="I785" s="3"/>
    </row>
    <row r="786">
      <c r="H786" s="3"/>
      <c r="I786" s="3"/>
    </row>
    <row r="787">
      <c r="H787" s="3"/>
      <c r="I787" s="3"/>
    </row>
    <row r="788">
      <c r="H788" s="3"/>
      <c r="I788" s="3"/>
    </row>
    <row r="789">
      <c r="H789" s="3"/>
      <c r="I789" s="3"/>
    </row>
    <row r="790">
      <c r="H790" s="3"/>
      <c r="I790" s="3"/>
    </row>
    <row r="791">
      <c r="H791" s="3"/>
      <c r="I791" s="3"/>
    </row>
    <row r="792">
      <c r="H792" s="3"/>
      <c r="I792" s="3"/>
    </row>
    <row r="793">
      <c r="H793" s="3"/>
      <c r="I793" s="3"/>
    </row>
    <row r="794">
      <c r="H794" s="3"/>
      <c r="I794" s="3"/>
    </row>
    <row r="795">
      <c r="H795" s="3"/>
      <c r="I795" s="3"/>
    </row>
    <row r="796">
      <c r="H796" s="3"/>
      <c r="I796" s="3"/>
    </row>
    <row r="797">
      <c r="H797" s="3"/>
      <c r="I797" s="3"/>
    </row>
    <row r="798">
      <c r="H798" s="3"/>
      <c r="I798" s="3"/>
    </row>
    <row r="799">
      <c r="H799" s="3"/>
      <c r="I799" s="3"/>
    </row>
    <row r="800">
      <c r="H800" s="3"/>
      <c r="I800" s="3"/>
    </row>
    <row r="801">
      <c r="H801" s="3"/>
      <c r="I801" s="3"/>
    </row>
    <row r="802">
      <c r="H802" s="3"/>
      <c r="I802" s="3"/>
    </row>
    <row r="803">
      <c r="H803" s="3"/>
      <c r="I803" s="3"/>
    </row>
    <row r="804">
      <c r="H804" s="3"/>
      <c r="I804" s="3"/>
    </row>
    <row r="805">
      <c r="H805" s="3"/>
      <c r="I805" s="3"/>
    </row>
    <row r="806">
      <c r="H806" s="3"/>
      <c r="I806" s="3"/>
    </row>
    <row r="807">
      <c r="H807" s="3"/>
      <c r="I807" s="3"/>
    </row>
    <row r="808">
      <c r="H808" s="3"/>
      <c r="I808" s="3"/>
    </row>
    <row r="809">
      <c r="H809" s="3"/>
      <c r="I809" s="3"/>
    </row>
    <row r="810">
      <c r="H810" s="3"/>
      <c r="I810" s="3"/>
    </row>
    <row r="811">
      <c r="H811" s="3"/>
      <c r="I811" s="3"/>
    </row>
    <row r="812">
      <c r="H812" s="3"/>
      <c r="I812" s="3"/>
    </row>
    <row r="813">
      <c r="H813" s="3"/>
      <c r="I813" s="3"/>
    </row>
    <row r="814">
      <c r="H814" s="3"/>
      <c r="I814" s="3"/>
    </row>
    <row r="815">
      <c r="H815" s="3"/>
      <c r="I815" s="3"/>
    </row>
    <row r="816">
      <c r="H816" s="3"/>
      <c r="I816" s="3"/>
    </row>
    <row r="817">
      <c r="H817" s="3"/>
      <c r="I817" s="3"/>
    </row>
    <row r="818">
      <c r="H818" s="3"/>
      <c r="I818" s="3"/>
    </row>
    <row r="819">
      <c r="H819" s="3"/>
      <c r="I819" s="3"/>
    </row>
    <row r="820">
      <c r="H820" s="3"/>
      <c r="I820" s="3"/>
    </row>
    <row r="821">
      <c r="H821" s="3"/>
      <c r="I821" s="3"/>
    </row>
    <row r="822">
      <c r="H822" s="3"/>
      <c r="I822" s="3"/>
    </row>
    <row r="823">
      <c r="H823" s="3"/>
      <c r="I823" s="3"/>
    </row>
    <row r="824">
      <c r="H824" s="3"/>
      <c r="I824" s="3"/>
    </row>
    <row r="825">
      <c r="H825" s="3"/>
      <c r="I825" s="3"/>
    </row>
    <row r="826">
      <c r="H826" s="3"/>
      <c r="I826" s="3"/>
    </row>
    <row r="827">
      <c r="H827" s="3"/>
      <c r="I827" s="3"/>
    </row>
    <row r="828">
      <c r="H828" s="3"/>
      <c r="I828" s="3"/>
    </row>
    <row r="829">
      <c r="H829" s="3"/>
      <c r="I829" s="3"/>
    </row>
    <row r="830">
      <c r="H830" s="3"/>
      <c r="I830" s="3"/>
    </row>
    <row r="831">
      <c r="H831" s="3"/>
      <c r="I831" s="3"/>
    </row>
    <row r="832">
      <c r="H832" s="3"/>
      <c r="I832" s="3"/>
    </row>
    <row r="833">
      <c r="H833" s="3"/>
      <c r="I833" s="3"/>
    </row>
    <row r="834">
      <c r="H834" s="3"/>
      <c r="I834" s="3"/>
    </row>
    <row r="835">
      <c r="H835" s="3"/>
      <c r="I835" s="3"/>
    </row>
    <row r="836">
      <c r="H836" s="3"/>
      <c r="I836" s="3"/>
    </row>
    <row r="837">
      <c r="H837" s="3"/>
      <c r="I837" s="3"/>
    </row>
    <row r="838">
      <c r="H838" s="3"/>
      <c r="I838" s="3"/>
    </row>
    <row r="839">
      <c r="H839" s="3"/>
      <c r="I839" s="3"/>
    </row>
    <row r="840">
      <c r="H840" s="3"/>
      <c r="I840" s="3"/>
    </row>
    <row r="841">
      <c r="H841" s="3"/>
      <c r="I841" s="3"/>
    </row>
    <row r="842">
      <c r="H842" s="3"/>
      <c r="I842" s="3"/>
    </row>
    <row r="843">
      <c r="H843" s="3"/>
      <c r="I843" s="3"/>
    </row>
    <row r="844">
      <c r="H844" s="3"/>
      <c r="I844" s="3"/>
    </row>
    <row r="845">
      <c r="H845" s="3"/>
      <c r="I845" s="3"/>
    </row>
    <row r="846">
      <c r="H846" s="3"/>
      <c r="I846" s="3"/>
    </row>
    <row r="847">
      <c r="H847" s="3"/>
      <c r="I847" s="3"/>
    </row>
    <row r="848">
      <c r="H848" s="3"/>
      <c r="I848" s="3"/>
    </row>
    <row r="849">
      <c r="H849" s="3"/>
      <c r="I849" s="3"/>
    </row>
    <row r="850">
      <c r="H850" s="3"/>
      <c r="I850" s="3"/>
    </row>
    <row r="851">
      <c r="H851" s="3"/>
      <c r="I851" s="3"/>
    </row>
    <row r="852">
      <c r="H852" s="3"/>
      <c r="I852" s="3"/>
    </row>
    <row r="853">
      <c r="H853" s="3"/>
      <c r="I853" s="3"/>
    </row>
    <row r="854">
      <c r="H854" s="3"/>
      <c r="I854" s="3"/>
    </row>
    <row r="855">
      <c r="H855" s="3"/>
      <c r="I855" s="3"/>
    </row>
    <row r="856">
      <c r="H856" s="3"/>
      <c r="I856" s="3"/>
    </row>
    <row r="857">
      <c r="H857" s="3"/>
      <c r="I857" s="3"/>
    </row>
    <row r="858">
      <c r="H858" s="3"/>
      <c r="I858" s="3"/>
    </row>
    <row r="859">
      <c r="H859" s="3"/>
      <c r="I859" s="3"/>
    </row>
    <row r="860">
      <c r="H860" s="3"/>
      <c r="I860" s="3"/>
    </row>
    <row r="861">
      <c r="H861" s="3"/>
      <c r="I861" s="3"/>
    </row>
    <row r="862">
      <c r="H862" s="3"/>
      <c r="I862" s="3"/>
    </row>
    <row r="863">
      <c r="H863" s="3"/>
      <c r="I863" s="3"/>
    </row>
    <row r="864">
      <c r="H864" s="3"/>
      <c r="I864" s="3"/>
    </row>
    <row r="865">
      <c r="H865" s="3"/>
      <c r="I865" s="3"/>
    </row>
    <row r="866">
      <c r="H866" s="3"/>
      <c r="I866" s="3"/>
    </row>
    <row r="867">
      <c r="H867" s="3"/>
      <c r="I867" s="3"/>
    </row>
    <row r="868">
      <c r="H868" s="3"/>
      <c r="I868" s="3"/>
    </row>
    <row r="869">
      <c r="H869" s="3"/>
      <c r="I869" s="3"/>
    </row>
    <row r="870">
      <c r="H870" s="3"/>
      <c r="I870" s="3"/>
    </row>
    <row r="871">
      <c r="H871" s="3"/>
      <c r="I871" s="3"/>
    </row>
    <row r="872">
      <c r="H872" s="3"/>
      <c r="I872" s="3"/>
    </row>
    <row r="873">
      <c r="H873" s="3"/>
      <c r="I873" s="3"/>
    </row>
    <row r="874">
      <c r="H874" s="3"/>
      <c r="I874" s="3"/>
    </row>
    <row r="875">
      <c r="H875" s="3"/>
      <c r="I875" s="3"/>
    </row>
    <row r="876">
      <c r="H876" s="3"/>
      <c r="I876" s="3"/>
    </row>
    <row r="877">
      <c r="H877" s="3"/>
      <c r="I877" s="3"/>
    </row>
    <row r="878">
      <c r="H878" s="3"/>
      <c r="I878" s="3"/>
    </row>
    <row r="879">
      <c r="H879" s="3"/>
      <c r="I879" s="3"/>
    </row>
    <row r="880">
      <c r="H880" s="3"/>
      <c r="I880" s="3"/>
    </row>
    <row r="881">
      <c r="H881" s="3"/>
      <c r="I881" s="3"/>
    </row>
    <row r="882">
      <c r="H882" s="3"/>
      <c r="I882" s="3"/>
    </row>
    <row r="883">
      <c r="H883" s="3"/>
      <c r="I883" s="3"/>
    </row>
    <row r="884">
      <c r="H884" s="3"/>
      <c r="I884" s="3"/>
    </row>
    <row r="885">
      <c r="H885" s="3"/>
      <c r="I885" s="3"/>
    </row>
    <row r="886">
      <c r="H886" s="3"/>
      <c r="I886" s="3"/>
    </row>
    <row r="887">
      <c r="H887" s="3"/>
      <c r="I887" s="3"/>
    </row>
    <row r="888">
      <c r="H888" s="3"/>
      <c r="I888" s="3"/>
    </row>
    <row r="889">
      <c r="H889" s="3"/>
      <c r="I889" s="3"/>
    </row>
    <row r="890">
      <c r="H890" s="3"/>
      <c r="I890" s="3"/>
    </row>
    <row r="891">
      <c r="H891" s="3"/>
      <c r="I891" s="3"/>
    </row>
    <row r="892">
      <c r="H892" s="3"/>
      <c r="I892" s="3"/>
    </row>
    <row r="893">
      <c r="H893" s="3"/>
      <c r="I893" s="3"/>
    </row>
    <row r="894">
      <c r="H894" s="3"/>
      <c r="I894" s="3"/>
    </row>
    <row r="895">
      <c r="H895" s="3"/>
      <c r="I895" s="3"/>
    </row>
    <row r="896">
      <c r="H896" s="3"/>
      <c r="I896" s="3"/>
    </row>
    <row r="897">
      <c r="H897" s="3"/>
      <c r="I897" s="3"/>
    </row>
    <row r="898">
      <c r="H898" s="3"/>
      <c r="I898" s="3"/>
    </row>
    <row r="899">
      <c r="H899" s="3"/>
      <c r="I899" s="3"/>
    </row>
    <row r="900">
      <c r="H900" s="3"/>
      <c r="I900" s="3"/>
    </row>
    <row r="901">
      <c r="H901" s="3"/>
      <c r="I901" s="3"/>
    </row>
    <row r="902">
      <c r="H902" s="3"/>
      <c r="I902" s="3"/>
    </row>
    <row r="903">
      <c r="H903" s="3"/>
      <c r="I903" s="3"/>
    </row>
    <row r="904">
      <c r="H904" s="3"/>
      <c r="I904" s="3"/>
    </row>
    <row r="905">
      <c r="H905" s="3"/>
      <c r="I905" s="3"/>
    </row>
    <row r="906">
      <c r="H906" s="3"/>
      <c r="I906" s="3"/>
    </row>
    <row r="907">
      <c r="H907" s="3"/>
      <c r="I907" s="3"/>
    </row>
    <row r="908">
      <c r="H908" s="3"/>
      <c r="I908" s="3"/>
    </row>
    <row r="909">
      <c r="H909" s="3"/>
      <c r="I909" s="3"/>
    </row>
    <row r="910">
      <c r="H910" s="3"/>
      <c r="I910" s="3"/>
    </row>
    <row r="911">
      <c r="H911" s="3"/>
      <c r="I911" s="3"/>
    </row>
    <row r="912">
      <c r="H912" s="3"/>
      <c r="I912" s="3"/>
    </row>
    <row r="913">
      <c r="H913" s="3"/>
      <c r="I913" s="3"/>
    </row>
    <row r="914">
      <c r="H914" s="3"/>
      <c r="I914" s="3"/>
    </row>
    <row r="915">
      <c r="H915" s="3"/>
      <c r="I915" s="3"/>
    </row>
    <row r="916">
      <c r="H916" s="3"/>
      <c r="I916" s="3"/>
    </row>
    <row r="917">
      <c r="H917" s="3"/>
      <c r="I917" s="3"/>
    </row>
    <row r="918">
      <c r="H918" s="3"/>
      <c r="I918" s="3"/>
    </row>
    <row r="919">
      <c r="H919" s="3"/>
      <c r="I919" s="3"/>
    </row>
    <row r="920">
      <c r="H920" s="3"/>
      <c r="I920" s="3"/>
    </row>
    <row r="921">
      <c r="H921" s="3"/>
      <c r="I921" s="3"/>
    </row>
    <row r="922">
      <c r="H922" s="3"/>
      <c r="I922" s="3"/>
    </row>
    <row r="923">
      <c r="H923" s="3"/>
      <c r="I923" s="3"/>
    </row>
    <row r="924">
      <c r="H924" s="3"/>
      <c r="I924" s="3"/>
    </row>
    <row r="925">
      <c r="H925" s="3"/>
      <c r="I925" s="3"/>
    </row>
    <row r="926">
      <c r="H926" s="3"/>
      <c r="I926" s="3"/>
    </row>
    <row r="927">
      <c r="H927" s="3"/>
      <c r="I927" s="3"/>
    </row>
    <row r="928">
      <c r="H928" s="3"/>
      <c r="I928" s="3"/>
    </row>
    <row r="929">
      <c r="H929" s="3"/>
      <c r="I929" s="3"/>
    </row>
    <row r="930">
      <c r="H930" s="3"/>
      <c r="I930" s="3"/>
    </row>
    <row r="931">
      <c r="H931" s="3"/>
      <c r="I931" s="3"/>
    </row>
    <row r="932">
      <c r="H932" s="3"/>
      <c r="I932" s="3"/>
    </row>
    <row r="933">
      <c r="H933" s="3"/>
      <c r="I933" s="3"/>
    </row>
    <row r="934">
      <c r="H934" s="3"/>
      <c r="I934" s="3"/>
    </row>
    <row r="935">
      <c r="H935" s="3"/>
      <c r="I935" s="3"/>
    </row>
    <row r="936">
      <c r="H936" s="3"/>
      <c r="I936" s="3"/>
    </row>
    <row r="937">
      <c r="H937" s="3"/>
      <c r="I937" s="3"/>
    </row>
    <row r="938">
      <c r="H938" s="3"/>
      <c r="I938" s="3"/>
    </row>
    <row r="939">
      <c r="H939" s="3"/>
      <c r="I939" s="3"/>
    </row>
    <row r="940">
      <c r="H940" s="3"/>
      <c r="I940" s="3"/>
    </row>
    <row r="941">
      <c r="H941" s="3"/>
      <c r="I941" s="3"/>
    </row>
    <row r="942">
      <c r="H942" s="3"/>
      <c r="I942" s="3"/>
    </row>
    <row r="943">
      <c r="H943" s="3"/>
      <c r="I943" s="3"/>
    </row>
    <row r="944">
      <c r="H944" s="3"/>
      <c r="I944" s="3"/>
    </row>
    <row r="945">
      <c r="H945" s="3"/>
      <c r="I945" s="3"/>
    </row>
    <row r="946">
      <c r="H946" s="3"/>
      <c r="I946" s="3"/>
    </row>
    <row r="947">
      <c r="H947" s="3"/>
      <c r="I947" s="3"/>
    </row>
    <row r="948">
      <c r="H948" s="3"/>
      <c r="I948" s="3"/>
    </row>
    <row r="949">
      <c r="H949" s="3"/>
      <c r="I949" s="3"/>
    </row>
    <row r="950">
      <c r="H950" s="3"/>
      <c r="I950" s="3"/>
    </row>
    <row r="951">
      <c r="H951" s="3"/>
      <c r="I951" s="3"/>
    </row>
    <row r="952">
      <c r="H952" s="3"/>
      <c r="I952" s="3"/>
    </row>
    <row r="953">
      <c r="H953" s="3"/>
      <c r="I953" s="3"/>
    </row>
    <row r="954">
      <c r="H954" s="3"/>
      <c r="I954" s="3"/>
    </row>
    <row r="955">
      <c r="H955" s="3"/>
      <c r="I955" s="3"/>
    </row>
    <row r="956">
      <c r="H956" s="3"/>
      <c r="I956" s="3"/>
    </row>
    <row r="957">
      <c r="H957" s="3"/>
      <c r="I957" s="3"/>
    </row>
    <row r="958">
      <c r="H958" s="3"/>
      <c r="I958" s="3"/>
    </row>
    <row r="959">
      <c r="H959" s="3"/>
      <c r="I959" s="3"/>
    </row>
    <row r="960">
      <c r="H960" s="3"/>
      <c r="I960" s="3"/>
    </row>
    <row r="961">
      <c r="H961" s="3"/>
      <c r="I961" s="3"/>
    </row>
    <row r="962">
      <c r="H962" s="3"/>
      <c r="I962" s="3"/>
    </row>
    <row r="963">
      <c r="H963" s="3"/>
      <c r="I963" s="3"/>
    </row>
    <row r="964">
      <c r="H964" s="3"/>
      <c r="I964" s="3"/>
    </row>
    <row r="965">
      <c r="H965" s="3"/>
      <c r="I965" s="3"/>
    </row>
    <row r="966">
      <c r="H966" s="3"/>
      <c r="I966" s="3"/>
    </row>
    <row r="967">
      <c r="H967" s="3"/>
      <c r="I967" s="3"/>
    </row>
    <row r="968">
      <c r="H968" s="3"/>
      <c r="I968" s="3"/>
    </row>
    <row r="969">
      <c r="H969" s="3"/>
      <c r="I969" s="3"/>
    </row>
    <row r="970">
      <c r="H970" s="3"/>
      <c r="I970" s="3"/>
    </row>
    <row r="971">
      <c r="H971" s="3"/>
      <c r="I971" s="3"/>
    </row>
    <row r="972">
      <c r="H972" s="3"/>
      <c r="I972" s="3"/>
    </row>
    <row r="973">
      <c r="H973" s="3"/>
      <c r="I973" s="3"/>
    </row>
    <row r="974">
      <c r="H974" s="3"/>
      <c r="I974" s="3"/>
    </row>
    <row r="975">
      <c r="H975" s="3"/>
      <c r="I975" s="3"/>
    </row>
    <row r="976">
      <c r="H976" s="3"/>
      <c r="I976" s="3"/>
    </row>
    <row r="977">
      <c r="H977" s="3"/>
      <c r="I977" s="3"/>
    </row>
    <row r="978">
      <c r="H978" s="3"/>
      <c r="I978" s="3"/>
    </row>
    <row r="979">
      <c r="H979" s="3"/>
      <c r="I979" s="3"/>
    </row>
    <row r="980">
      <c r="H980" s="3"/>
      <c r="I980" s="3"/>
    </row>
    <row r="981">
      <c r="H981" s="3"/>
      <c r="I981" s="3"/>
    </row>
    <row r="982">
      <c r="H982" s="3"/>
      <c r="I982" s="3"/>
    </row>
    <row r="983">
      <c r="H983" s="3"/>
      <c r="I983" s="3"/>
    </row>
    <row r="984">
      <c r="H984" s="3"/>
      <c r="I984" s="3"/>
    </row>
    <row r="985">
      <c r="H985" s="3"/>
      <c r="I985" s="3"/>
    </row>
    <row r="986">
      <c r="H986" s="3"/>
      <c r="I986" s="3"/>
    </row>
    <row r="987">
      <c r="H987" s="3"/>
      <c r="I987" s="3"/>
    </row>
    <row r="988">
      <c r="H988" s="3"/>
      <c r="I988" s="3"/>
    </row>
    <row r="989">
      <c r="H989" s="3"/>
      <c r="I989" s="3"/>
    </row>
    <row r="990">
      <c r="H990" s="3"/>
      <c r="I990" s="3"/>
    </row>
    <row r="991">
      <c r="H991" s="3"/>
      <c r="I991" s="3"/>
    </row>
    <row r="992">
      <c r="H992" s="3"/>
      <c r="I992" s="3"/>
    </row>
    <row r="993">
      <c r="H993" s="3"/>
      <c r="I993" s="3"/>
    </row>
    <row r="994">
      <c r="H994" s="3"/>
      <c r="I994" s="3"/>
    </row>
    <row r="995">
      <c r="H995" s="3"/>
      <c r="I995" s="3"/>
    </row>
    <row r="996">
      <c r="H996" s="3"/>
      <c r="I996" s="3"/>
    </row>
    <row r="997">
      <c r="H997" s="3"/>
      <c r="I997" s="3"/>
    </row>
    <row r="998">
      <c r="H998" s="3"/>
      <c r="I998" s="3"/>
    </row>
    <row r="999">
      <c r="H999" s="3"/>
      <c r="I999" s="3"/>
    </row>
    <row r="1000">
      <c r="H1000" s="3"/>
      <c r="I1000" s="3"/>
    </row>
    <row r="1001">
      <c r="H1001" s="3"/>
      <c r="I1001" s="3"/>
    </row>
    <row r="1002">
      <c r="H1002" s="3"/>
      <c r="I1002" s="3"/>
    </row>
    <row r="1003">
      <c r="H1003" s="3"/>
      <c r="I1003" s="3"/>
    </row>
    <row r="1004">
      <c r="H1004" s="3"/>
      <c r="I1004" s="3"/>
    </row>
    <row r="1005">
      <c r="H1005" s="3"/>
      <c r="I1005" s="3"/>
    </row>
    <row r="1006">
      <c r="H1006" s="3"/>
      <c r="I1006" s="3"/>
    </row>
    <row r="1007">
      <c r="H1007" s="3"/>
      <c r="I1007" s="3"/>
    </row>
    <row r="1008">
      <c r="H1008" s="3"/>
      <c r="I1008" s="3"/>
    </row>
    <row r="1009">
      <c r="H1009" s="3"/>
      <c r="I1009" s="3"/>
    </row>
    <row r="1010">
      <c r="H1010" s="3"/>
      <c r="I1010" s="3"/>
    </row>
    <row r="1011">
      <c r="H1011" s="3"/>
      <c r="I1011" s="3"/>
    </row>
    <row r="1012">
      <c r="H1012" s="3"/>
      <c r="I1012" s="3"/>
    </row>
    <row r="1013">
      <c r="H1013" s="3"/>
      <c r="I1013" s="3"/>
    </row>
    <row r="1014">
      <c r="H1014" s="3"/>
      <c r="I1014" s="3"/>
    </row>
    <row r="1015">
      <c r="H1015" s="3"/>
      <c r="I1015" s="3"/>
    </row>
    <row r="1016">
      <c r="H1016" s="3"/>
      <c r="I1016" s="3"/>
    </row>
    <row r="1017">
      <c r="H1017" s="3"/>
      <c r="I1017" s="3"/>
    </row>
    <row r="1018">
      <c r="H1018" s="3"/>
      <c r="I1018" s="3"/>
    </row>
    <row r="1019">
      <c r="H1019" s="3"/>
      <c r="I1019" s="3"/>
    </row>
    <row r="1020">
      <c r="H1020" s="3"/>
      <c r="I1020" s="3"/>
    </row>
    <row r="1021">
      <c r="H1021" s="3"/>
      <c r="I1021" s="3"/>
    </row>
    <row r="1022">
      <c r="H1022" s="3"/>
      <c r="I1022" s="3"/>
    </row>
    <row r="1023">
      <c r="H1023" s="3"/>
      <c r="I1023" s="3"/>
    </row>
    <row r="1024">
      <c r="H1024" s="3"/>
      <c r="I1024" s="3"/>
    </row>
    <row r="1025">
      <c r="H1025" s="3"/>
      <c r="I1025" s="3"/>
    </row>
    <row r="1026">
      <c r="H1026" s="3"/>
      <c r="I1026" s="3"/>
    </row>
    <row r="1027">
      <c r="H1027" s="3"/>
      <c r="I1027" s="3"/>
    </row>
    <row r="1028">
      <c r="H1028" s="3"/>
      <c r="I1028" s="3"/>
    </row>
    <row r="1029">
      <c r="H1029" s="3"/>
      <c r="I1029" s="3"/>
    </row>
    <row r="1030">
      <c r="H1030" s="3"/>
      <c r="I1030" s="3"/>
    </row>
    <row r="1031">
      <c r="H1031" s="3"/>
      <c r="I1031" s="3"/>
    </row>
    <row r="1032">
      <c r="H1032" s="3"/>
      <c r="I1032" s="3"/>
    </row>
    <row r="1033">
      <c r="H1033" s="3"/>
      <c r="I1033" s="3"/>
    </row>
    <row r="1034">
      <c r="H1034" s="3"/>
      <c r="I1034" s="3"/>
    </row>
    <row r="1035">
      <c r="H1035" s="3"/>
      <c r="I1035" s="3"/>
    </row>
    <row r="1036">
      <c r="H1036" s="3"/>
      <c r="I1036" s="3"/>
    </row>
    <row r="1037">
      <c r="H1037" s="3"/>
      <c r="I1037" s="3"/>
    </row>
    <row r="1038">
      <c r="H1038" s="3"/>
      <c r="I1038" s="3"/>
    </row>
    <row r="1039">
      <c r="H1039" s="3"/>
      <c r="I1039" s="3"/>
    </row>
    <row r="1040">
      <c r="H1040" s="3"/>
      <c r="I1040" s="3"/>
    </row>
    <row r="1041">
      <c r="H1041" s="3"/>
      <c r="I1041" s="3"/>
    </row>
    <row r="1042">
      <c r="H1042" s="3"/>
      <c r="I1042" s="3"/>
    </row>
    <row r="1043">
      <c r="H1043" s="3"/>
      <c r="I1043" s="3"/>
    </row>
    <row r="1044">
      <c r="H1044" s="3"/>
      <c r="I1044" s="3"/>
    </row>
    <row r="1045">
      <c r="H1045" s="3"/>
      <c r="I1045" s="3"/>
    </row>
    <row r="1046">
      <c r="H1046" s="3"/>
      <c r="I1046" s="3"/>
    </row>
    <row r="1047">
      <c r="H1047" s="3"/>
      <c r="I1047" s="3"/>
    </row>
    <row r="1048">
      <c r="H1048" s="3"/>
      <c r="I1048" s="3"/>
    </row>
    <row r="1049">
      <c r="H1049" s="3"/>
      <c r="I1049" s="3"/>
    </row>
    <row r="1050">
      <c r="H1050" s="3"/>
      <c r="I1050" s="3"/>
    </row>
    <row r="1051">
      <c r="H1051" s="3"/>
      <c r="I1051" s="3"/>
    </row>
    <row r="1052">
      <c r="H1052" s="3"/>
      <c r="I1052" s="3"/>
    </row>
    <row r="1053">
      <c r="H1053" s="3"/>
      <c r="I1053" s="3"/>
    </row>
    <row r="1054">
      <c r="H1054" s="3"/>
      <c r="I1054" s="3"/>
    </row>
    <row r="1055">
      <c r="H1055" s="3"/>
      <c r="I1055" s="3"/>
    </row>
    <row r="1056">
      <c r="H1056" s="3"/>
      <c r="I1056" s="3"/>
    </row>
    <row r="1057">
      <c r="H1057" s="3"/>
      <c r="I1057" s="3"/>
    </row>
    <row r="1058">
      <c r="H1058" s="3"/>
      <c r="I1058" s="3"/>
    </row>
    <row r="1059">
      <c r="H1059" s="3"/>
      <c r="I1059" s="3"/>
    </row>
    <row r="1060">
      <c r="H1060" s="3"/>
      <c r="I1060" s="3"/>
    </row>
    <row r="1061">
      <c r="H1061" s="3"/>
      <c r="I1061" s="3"/>
    </row>
    <row r="1062">
      <c r="H1062" s="3"/>
      <c r="I1062" s="3"/>
    </row>
    <row r="1063">
      <c r="H1063" s="3"/>
      <c r="I1063" s="3"/>
    </row>
    <row r="1064">
      <c r="H1064" s="3"/>
      <c r="I1064" s="3"/>
    </row>
    <row r="1065">
      <c r="H1065" s="3"/>
      <c r="I1065" s="3"/>
    </row>
    <row r="1066">
      <c r="H1066" s="3"/>
      <c r="I1066" s="3"/>
    </row>
    <row r="1067">
      <c r="H1067" s="3"/>
      <c r="I1067" s="3"/>
    </row>
    <row r="1068">
      <c r="H1068" s="3"/>
      <c r="I1068" s="3"/>
    </row>
    <row r="1069">
      <c r="H1069" s="3"/>
      <c r="I1069" s="3"/>
    </row>
    <row r="1070">
      <c r="H1070" s="3"/>
      <c r="I1070" s="3"/>
    </row>
    <row r="1071">
      <c r="H1071" s="3"/>
      <c r="I1071" s="3"/>
    </row>
    <row r="1072">
      <c r="H1072" s="3"/>
      <c r="I1072" s="3"/>
    </row>
    <row r="1073">
      <c r="H1073" s="3"/>
      <c r="I1073" s="3"/>
    </row>
    <row r="1074">
      <c r="H1074" s="3"/>
      <c r="I1074" s="3"/>
    </row>
    <row r="1075">
      <c r="H1075" s="3"/>
      <c r="I1075" s="3"/>
    </row>
    <row r="1076">
      <c r="H1076" s="3"/>
      <c r="I1076" s="3"/>
    </row>
    <row r="1077">
      <c r="H1077" s="3"/>
      <c r="I1077" s="3"/>
    </row>
    <row r="1078">
      <c r="H1078" s="3"/>
      <c r="I1078" s="3"/>
    </row>
    <row r="1079">
      <c r="H1079" s="3"/>
      <c r="I1079" s="3"/>
    </row>
    <row r="1080">
      <c r="H1080" s="3"/>
      <c r="I1080" s="3"/>
    </row>
    <row r="1081">
      <c r="H1081" s="3"/>
      <c r="I1081" s="3"/>
    </row>
    <row r="1082">
      <c r="H1082" s="3"/>
      <c r="I1082" s="3"/>
    </row>
    <row r="1083">
      <c r="H1083" s="3"/>
      <c r="I1083" s="3"/>
    </row>
    <row r="1084">
      <c r="H1084" s="3"/>
      <c r="I1084" s="3"/>
    </row>
    <row r="1085">
      <c r="H1085" s="3"/>
      <c r="I1085" s="3"/>
    </row>
    <row r="1086">
      <c r="H1086" s="3"/>
      <c r="I1086" s="3"/>
    </row>
    <row r="1087">
      <c r="H1087" s="3"/>
      <c r="I1087" s="3"/>
    </row>
    <row r="1088">
      <c r="H1088" s="3"/>
      <c r="I1088" s="3"/>
    </row>
    <row r="1089">
      <c r="H1089" s="3"/>
      <c r="I1089" s="3"/>
    </row>
    <row r="1090">
      <c r="H1090" s="3"/>
      <c r="I1090" s="3"/>
    </row>
    <row r="1091">
      <c r="H1091" s="3"/>
      <c r="I1091" s="3"/>
    </row>
    <row r="1092">
      <c r="H1092" s="3"/>
      <c r="I1092" s="3"/>
    </row>
    <row r="1093">
      <c r="H1093" s="3"/>
      <c r="I1093" s="3"/>
    </row>
    <row r="1094">
      <c r="H1094" s="3"/>
      <c r="I1094" s="3"/>
    </row>
    <row r="1095">
      <c r="H1095" s="3"/>
      <c r="I1095" s="3"/>
    </row>
    <row r="1096">
      <c r="H1096" s="3"/>
      <c r="I1096" s="3"/>
    </row>
    <row r="1097">
      <c r="H1097" s="3"/>
      <c r="I1097" s="3"/>
    </row>
    <row r="1098">
      <c r="H1098" s="3"/>
      <c r="I1098" s="3"/>
    </row>
    <row r="1099">
      <c r="H1099" s="3"/>
      <c r="I1099" s="3"/>
    </row>
    <row r="1100">
      <c r="H1100" s="3"/>
      <c r="I1100" s="3"/>
    </row>
    <row r="1101">
      <c r="H1101" s="3"/>
      <c r="I1101" s="3"/>
    </row>
    <row r="1102">
      <c r="H1102" s="3"/>
      <c r="I1102" s="3"/>
    </row>
    <row r="1103">
      <c r="H1103" s="3"/>
      <c r="I1103" s="3"/>
    </row>
    <row r="1104">
      <c r="H1104" s="3"/>
      <c r="I1104" s="3"/>
    </row>
    <row r="1105">
      <c r="H1105" s="3"/>
      <c r="I1105" s="3"/>
    </row>
    <row r="1106">
      <c r="H1106" s="3"/>
      <c r="I1106" s="3"/>
    </row>
    <row r="1107">
      <c r="H1107" s="3"/>
      <c r="I1107" s="3"/>
    </row>
    <row r="1108">
      <c r="H1108" s="3"/>
      <c r="I1108" s="3"/>
    </row>
    <row r="1109">
      <c r="H1109" s="3"/>
      <c r="I1109" s="3"/>
    </row>
    <row r="1110">
      <c r="H1110" s="3"/>
      <c r="I1110" s="3"/>
    </row>
    <row r="1111">
      <c r="H1111" s="3"/>
      <c r="I1111" s="3"/>
    </row>
    <row r="1112">
      <c r="H1112" s="3"/>
      <c r="I1112" s="3"/>
    </row>
    <row r="1113">
      <c r="H1113" s="3"/>
      <c r="I1113" s="3"/>
    </row>
    <row r="1114">
      <c r="H1114" s="3"/>
      <c r="I1114" s="3"/>
    </row>
    <row r="1115">
      <c r="H1115" s="3"/>
      <c r="I1115" s="3"/>
    </row>
    <row r="1116">
      <c r="H1116" s="3"/>
      <c r="I1116" s="3"/>
    </row>
    <row r="1117">
      <c r="H1117" s="3"/>
      <c r="I1117" s="3"/>
    </row>
    <row r="1118">
      <c r="H1118" s="3"/>
      <c r="I1118" s="3"/>
    </row>
    <row r="1119">
      <c r="H1119" s="3"/>
      <c r="I1119" s="3"/>
    </row>
    <row r="1120">
      <c r="H1120" s="3"/>
      <c r="I1120" s="3"/>
    </row>
    <row r="1121">
      <c r="H1121" s="3"/>
      <c r="I1121" s="3"/>
    </row>
    <row r="1122">
      <c r="H1122" s="3"/>
      <c r="I1122" s="3"/>
    </row>
    <row r="1123">
      <c r="H1123" s="3"/>
      <c r="I1123" s="3"/>
    </row>
    <row r="1124">
      <c r="H1124" s="3"/>
      <c r="I1124" s="3"/>
    </row>
    <row r="1125">
      <c r="H1125" s="3"/>
      <c r="I1125" s="3"/>
    </row>
    <row r="1126">
      <c r="H1126" s="3"/>
      <c r="I1126" s="3"/>
    </row>
    <row r="1127">
      <c r="H1127" s="3"/>
      <c r="I1127" s="3"/>
    </row>
    <row r="1128">
      <c r="H1128" s="3"/>
      <c r="I1128" s="3"/>
    </row>
    <row r="1129">
      <c r="H1129" s="3"/>
      <c r="I1129" s="3"/>
    </row>
    <row r="1130">
      <c r="H1130" s="3"/>
      <c r="I1130" s="3"/>
    </row>
    <row r="1131">
      <c r="H1131" s="3"/>
      <c r="I1131" s="3"/>
    </row>
    <row r="1132">
      <c r="H1132" s="3"/>
      <c r="I1132" s="3"/>
    </row>
    <row r="1133">
      <c r="H1133" s="3"/>
      <c r="I1133" s="3"/>
    </row>
    <row r="1134">
      <c r="H1134" s="3"/>
      <c r="I1134" s="3"/>
    </row>
    <row r="1135">
      <c r="H1135" s="3"/>
      <c r="I1135" s="3"/>
    </row>
    <row r="1136">
      <c r="H1136" s="3"/>
      <c r="I1136" s="3"/>
    </row>
    <row r="1137">
      <c r="H1137" s="3"/>
      <c r="I1137" s="3"/>
    </row>
    <row r="1138">
      <c r="H1138" s="3"/>
      <c r="I1138" s="3"/>
    </row>
    <row r="1139">
      <c r="H1139" s="3"/>
      <c r="I1139" s="3"/>
    </row>
    <row r="1140">
      <c r="H1140" s="3"/>
      <c r="I1140" s="3"/>
    </row>
    <row r="1141">
      <c r="H1141" s="3"/>
      <c r="I1141" s="3"/>
    </row>
    <row r="1142">
      <c r="H1142" s="3"/>
      <c r="I1142" s="3"/>
    </row>
    <row r="1143">
      <c r="H1143" s="3"/>
      <c r="I1143" s="3"/>
    </row>
    <row r="1144">
      <c r="H1144" s="3"/>
      <c r="I1144" s="3"/>
    </row>
    <row r="1145">
      <c r="H1145" s="3"/>
      <c r="I1145" s="3"/>
    </row>
    <row r="1146">
      <c r="H1146" s="3"/>
      <c r="I1146" s="3"/>
    </row>
    <row r="1147">
      <c r="H1147" s="3"/>
      <c r="I1147" s="3"/>
    </row>
    <row r="1148">
      <c r="H1148" s="3"/>
      <c r="I1148" s="3"/>
    </row>
    <row r="1149">
      <c r="H1149" s="3"/>
      <c r="I1149" s="3"/>
    </row>
    <row r="1150">
      <c r="H1150" s="3"/>
      <c r="I1150" s="3"/>
    </row>
    <row r="1151">
      <c r="H1151" s="3"/>
      <c r="I1151" s="3"/>
    </row>
    <row r="1152">
      <c r="H1152" s="3"/>
      <c r="I1152" s="3"/>
    </row>
    <row r="1153">
      <c r="H1153" s="3"/>
      <c r="I1153" s="3"/>
    </row>
    <row r="1154">
      <c r="H1154" s="3"/>
      <c r="I1154" s="3"/>
    </row>
    <row r="1155">
      <c r="H1155" s="3"/>
      <c r="I1155" s="3"/>
    </row>
    <row r="1156">
      <c r="H1156" s="3"/>
      <c r="I1156" s="3"/>
    </row>
    <row r="1157">
      <c r="H1157" s="3"/>
      <c r="I1157" s="3"/>
    </row>
    <row r="1158">
      <c r="H1158" s="3"/>
      <c r="I1158" s="3"/>
    </row>
    <row r="1159">
      <c r="H1159" s="3"/>
      <c r="I1159" s="3"/>
    </row>
    <row r="1160">
      <c r="H1160" s="3"/>
      <c r="I1160" s="3"/>
    </row>
    <row r="1161">
      <c r="H1161" s="3"/>
      <c r="I1161" s="3"/>
    </row>
    <row r="1162">
      <c r="H1162" s="3"/>
      <c r="I1162" s="3"/>
    </row>
    <row r="1163">
      <c r="H1163" s="3"/>
      <c r="I1163" s="3"/>
    </row>
    <row r="1164">
      <c r="H1164" s="3"/>
      <c r="I1164" s="3"/>
    </row>
    <row r="1165">
      <c r="H1165" s="3"/>
      <c r="I1165" s="3"/>
    </row>
    <row r="1166">
      <c r="H1166" s="3"/>
      <c r="I1166" s="3"/>
    </row>
    <row r="1167">
      <c r="H1167" s="3"/>
      <c r="I1167" s="3"/>
    </row>
    <row r="1168">
      <c r="H1168" s="3"/>
      <c r="I1168" s="3"/>
    </row>
    <row r="1169">
      <c r="H1169" s="3"/>
      <c r="I1169" s="3"/>
    </row>
    <row r="1170">
      <c r="H1170" s="3"/>
      <c r="I1170" s="3"/>
    </row>
    <row r="1171">
      <c r="H1171" s="3"/>
      <c r="I1171" s="3"/>
    </row>
    <row r="1172">
      <c r="H1172" s="3"/>
      <c r="I1172" s="3"/>
    </row>
    <row r="1173">
      <c r="H1173" s="3"/>
      <c r="I1173" s="3"/>
    </row>
    <row r="1174">
      <c r="H1174" s="3"/>
      <c r="I1174" s="3"/>
    </row>
    <row r="1175">
      <c r="H1175" s="3"/>
      <c r="I1175" s="3"/>
    </row>
    <row r="1176">
      <c r="H1176" s="3"/>
      <c r="I1176" s="3"/>
    </row>
    <row r="1177">
      <c r="H1177" s="3"/>
      <c r="I1177" s="3"/>
    </row>
    <row r="1178">
      <c r="H1178" s="3"/>
      <c r="I1178" s="3"/>
    </row>
    <row r="1179">
      <c r="H1179" s="3"/>
      <c r="I1179" s="3"/>
    </row>
    <row r="1180">
      <c r="H1180" s="3"/>
      <c r="I1180" s="3"/>
    </row>
    <row r="1181">
      <c r="H1181" s="3"/>
      <c r="I1181" s="3"/>
    </row>
    <row r="1182">
      <c r="H1182" s="3"/>
      <c r="I1182" s="3"/>
    </row>
    <row r="1183">
      <c r="H1183" s="3"/>
      <c r="I1183" s="3"/>
    </row>
    <row r="1184">
      <c r="H1184" s="3"/>
      <c r="I1184" s="3"/>
    </row>
    <row r="1185">
      <c r="H1185" s="3"/>
      <c r="I1185" s="3"/>
    </row>
    <row r="1186">
      <c r="H1186" s="3"/>
      <c r="I1186" s="3"/>
    </row>
    <row r="1187">
      <c r="H1187" s="3"/>
      <c r="I1187" s="3"/>
    </row>
    <row r="1188">
      <c r="H1188" s="3"/>
      <c r="I1188" s="3"/>
    </row>
    <row r="1189">
      <c r="H1189" s="3"/>
      <c r="I1189" s="3"/>
    </row>
    <row r="1190">
      <c r="H1190" s="3"/>
      <c r="I1190" s="3"/>
    </row>
    <row r="1191">
      <c r="H1191" s="3"/>
      <c r="I1191" s="3"/>
    </row>
    <row r="1192">
      <c r="H1192" s="3"/>
      <c r="I1192" s="3"/>
    </row>
    <row r="1193">
      <c r="H1193" s="3"/>
      <c r="I1193" s="3"/>
    </row>
    <row r="1194">
      <c r="H1194" s="3"/>
      <c r="I1194" s="3"/>
    </row>
    <row r="1195">
      <c r="H1195" s="3"/>
      <c r="I1195" s="3"/>
    </row>
    <row r="1196">
      <c r="H1196" s="3"/>
      <c r="I1196" s="3"/>
    </row>
    <row r="1197">
      <c r="H1197" s="3"/>
      <c r="I1197" s="3"/>
    </row>
    <row r="1198">
      <c r="H1198" s="3"/>
      <c r="I1198" s="3"/>
    </row>
    <row r="1199">
      <c r="H1199" s="3"/>
      <c r="I1199" s="3"/>
    </row>
    <row r="1200">
      <c r="H1200" s="3"/>
      <c r="I1200" s="3"/>
    </row>
    <row r="1201">
      <c r="H1201" s="3"/>
      <c r="I1201" s="3"/>
    </row>
    <row r="1202">
      <c r="H1202" s="3"/>
      <c r="I1202" s="3"/>
    </row>
    <row r="1203">
      <c r="H1203" s="3"/>
      <c r="I1203" s="3"/>
    </row>
    <row r="1204">
      <c r="H1204" s="3"/>
      <c r="I1204" s="3"/>
    </row>
    <row r="1205">
      <c r="H1205" s="3"/>
      <c r="I1205" s="3"/>
    </row>
    <row r="1206">
      <c r="H1206" s="3"/>
      <c r="I1206" s="3"/>
    </row>
    <row r="1207">
      <c r="H1207" s="3"/>
      <c r="I1207" s="3"/>
    </row>
    <row r="1208">
      <c r="H1208" s="3"/>
      <c r="I1208" s="3"/>
    </row>
    <row r="1209">
      <c r="H1209" s="3"/>
      <c r="I1209" s="3"/>
    </row>
    <row r="1210">
      <c r="H1210" s="3"/>
      <c r="I1210" s="3"/>
    </row>
    <row r="1211">
      <c r="H1211" s="3"/>
      <c r="I1211" s="3"/>
    </row>
    <row r="1212">
      <c r="H1212" s="3"/>
      <c r="I1212" s="3"/>
    </row>
    <row r="1213">
      <c r="H1213" s="3"/>
      <c r="I1213" s="3"/>
    </row>
    <row r="1214">
      <c r="H1214" s="3"/>
      <c r="I1214" s="3"/>
    </row>
    <row r="1215">
      <c r="H1215" s="3"/>
      <c r="I1215" s="3"/>
    </row>
    <row r="1216">
      <c r="H1216" s="3"/>
      <c r="I1216" s="3"/>
    </row>
    <row r="1217">
      <c r="H1217" s="3"/>
      <c r="I1217" s="3"/>
    </row>
    <row r="1218">
      <c r="H1218" s="3"/>
      <c r="I1218" s="3"/>
    </row>
    <row r="1219">
      <c r="H1219" s="3"/>
      <c r="I1219" s="3"/>
    </row>
    <row r="1220">
      <c r="H1220" s="3"/>
      <c r="I1220" s="3"/>
    </row>
    <row r="1221">
      <c r="H1221" s="3"/>
      <c r="I1221" s="3"/>
    </row>
    <row r="1222">
      <c r="H1222" s="3"/>
      <c r="I1222" s="3"/>
    </row>
    <row r="1223">
      <c r="H1223" s="3"/>
      <c r="I1223" s="3"/>
    </row>
    <row r="1224">
      <c r="H1224" s="3"/>
      <c r="I1224" s="3"/>
    </row>
    <row r="1225">
      <c r="H1225" s="3"/>
      <c r="I1225" s="3"/>
    </row>
    <row r="1226">
      <c r="H1226" s="3"/>
      <c r="I1226" s="3"/>
    </row>
    <row r="1227">
      <c r="H1227" s="3"/>
      <c r="I1227" s="3"/>
    </row>
    <row r="1228">
      <c r="H1228" s="3"/>
      <c r="I1228" s="3"/>
    </row>
    <row r="1229">
      <c r="H1229" s="3"/>
      <c r="I1229" s="3"/>
    </row>
    <row r="1230">
      <c r="H1230" s="3"/>
      <c r="I1230" s="3"/>
    </row>
    <row r="1231">
      <c r="H1231" s="3"/>
      <c r="I1231" s="3"/>
    </row>
    <row r="1232">
      <c r="H1232" s="3"/>
      <c r="I1232" s="3"/>
    </row>
    <row r="1233">
      <c r="H1233" s="3"/>
      <c r="I1233" s="3"/>
    </row>
    <row r="1234">
      <c r="H1234" s="3"/>
      <c r="I1234" s="3"/>
    </row>
    <row r="1235">
      <c r="H1235" s="3"/>
      <c r="I1235" s="3"/>
    </row>
    <row r="1236">
      <c r="H1236" s="3"/>
      <c r="I1236" s="3"/>
    </row>
    <row r="1237">
      <c r="H1237" s="3"/>
      <c r="I1237" s="3"/>
    </row>
    <row r="1238">
      <c r="H1238" s="3"/>
      <c r="I1238" s="3"/>
    </row>
    <row r="1239">
      <c r="H1239" s="3"/>
      <c r="I1239" s="3"/>
    </row>
    <row r="1240">
      <c r="H1240" s="3"/>
      <c r="I1240" s="3"/>
    </row>
    <row r="1241">
      <c r="H1241" s="3"/>
      <c r="I1241" s="3"/>
    </row>
    <row r="1242">
      <c r="H1242" s="3"/>
      <c r="I1242" s="3"/>
    </row>
    <row r="1243">
      <c r="H1243" s="3"/>
      <c r="I1243" s="3"/>
    </row>
    <row r="1244">
      <c r="H1244" s="3"/>
      <c r="I1244" s="3"/>
    </row>
    <row r="1245">
      <c r="H1245" s="3"/>
      <c r="I1245" s="3"/>
    </row>
    <row r="1246">
      <c r="H1246" s="3"/>
      <c r="I1246" s="3"/>
    </row>
    <row r="1247">
      <c r="H1247" s="3"/>
      <c r="I1247" s="3"/>
    </row>
    <row r="1248">
      <c r="H1248" s="3"/>
      <c r="I1248" s="3"/>
    </row>
    <row r="1249">
      <c r="H1249" s="3"/>
      <c r="I1249" s="3"/>
    </row>
    <row r="1250">
      <c r="H1250" s="3"/>
      <c r="I1250" s="3"/>
    </row>
    <row r="1251">
      <c r="H1251" s="3"/>
      <c r="I1251" s="3"/>
    </row>
    <row r="1252">
      <c r="H1252" s="3"/>
      <c r="I1252" s="3"/>
    </row>
    <row r="1253">
      <c r="H1253" s="3"/>
      <c r="I1253" s="3"/>
    </row>
    <row r="1254">
      <c r="H1254" s="3"/>
      <c r="I1254" s="3"/>
    </row>
    <row r="1255">
      <c r="H1255" s="3"/>
      <c r="I1255" s="3"/>
    </row>
    <row r="1256">
      <c r="H1256" s="3"/>
      <c r="I1256" s="3"/>
    </row>
    <row r="1257">
      <c r="H1257" s="3"/>
      <c r="I1257" s="3"/>
    </row>
    <row r="1258">
      <c r="H1258" s="3"/>
      <c r="I1258" s="3"/>
    </row>
    <row r="1259">
      <c r="H1259" s="3"/>
      <c r="I1259" s="3"/>
    </row>
    <row r="1260">
      <c r="H1260" s="3"/>
      <c r="I1260" s="3"/>
    </row>
    <row r="1261">
      <c r="H1261" s="3"/>
      <c r="I1261" s="3"/>
    </row>
    <row r="1262">
      <c r="H1262" s="3"/>
      <c r="I1262" s="3"/>
    </row>
    <row r="1263">
      <c r="H1263" s="3"/>
      <c r="I1263" s="3"/>
    </row>
    <row r="1264">
      <c r="H1264" s="3"/>
      <c r="I1264" s="3"/>
    </row>
    <row r="1265">
      <c r="H1265" s="3"/>
      <c r="I1265" s="3"/>
    </row>
    <row r="1266">
      <c r="H1266" s="3"/>
      <c r="I1266" s="3"/>
    </row>
    <row r="1267">
      <c r="H1267" s="3"/>
      <c r="I1267" s="3"/>
    </row>
    <row r="1268">
      <c r="H1268" s="3"/>
      <c r="I1268" s="3"/>
    </row>
    <row r="1269">
      <c r="H1269" s="3"/>
      <c r="I1269" s="3"/>
    </row>
    <row r="1270">
      <c r="H1270" s="3"/>
      <c r="I1270" s="3"/>
    </row>
    <row r="1271">
      <c r="H1271" s="3"/>
      <c r="I1271" s="3"/>
    </row>
    <row r="1272">
      <c r="H1272" s="3"/>
      <c r="I1272" s="3"/>
    </row>
    <row r="1273">
      <c r="H1273" s="3"/>
      <c r="I1273" s="3"/>
    </row>
    <row r="1274">
      <c r="H1274" s="3"/>
      <c r="I1274" s="3"/>
    </row>
    <row r="1275">
      <c r="H1275" s="3"/>
      <c r="I1275" s="3"/>
    </row>
    <row r="1276">
      <c r="H1276" s="3"/>
      <c r="I1276" s="3"/>
    </row>
    <row r="1277">
      <c r="H1277" s="3"/>
      <c r="I1277" s="3"/>
    </row>
    <row r="1278">
      <c r="H1278" s="3"/>
      <c r="I1278" s="3"/>
    </row>
    <row r="1279">
      <c r="H1279" s="3"/>
      <c r="I1279" s="3"/>
    </row>
    <row r="1280">
      <c r="H1280" s="3"/>
      <c r="I1280" s="3"/>
    </row>
    <row r="1281">
      <c r="H1281" s="3"/>
      <c r="I1281" s="3"/>
    </row>
    <row r="1282">
      <c r="H1282" s="3"/>
      <c r="I1282" s="3"/>
    </row>
    <row r="1283">
      <c r="H1283" s="3"/>
      <c r="I1283" s="3"/>
    </row>
    <row r="1284">
      <c r="H1284" s="3"/>
      <c r="I1284" s="3"/>
    </row>
    <row r="1285">
      <c r="H1285" s="3"/>
      <c r="I1285" s="3"/>
    </row>
    <row r="1286">
      <c r="H1286" s="3"/>
      <c r="I1286" s="3"/>
    </row>
    <row r="1287">
      <c r="H1287" s="3"/>
      <c r="I1287" s="3"/>
    </row>
    <row r="1288">
      <c r="H1288" s="3"/>
      <c r="I1288" s="3"/>
    </row>
    <row r="1289">
      <c r="H1289" s="3"/>
      <c r="I1289" s="3"/>
    </row>
    <row r="1290">
      <c r="H1290" s="3"/>
      <c r="I1290" s="3"/>
    </row>
    <row r="1291">
      <c r="H1291" s="3"/>
      <c r="I1291" s="3"/>
    </row>
    <row r="1292">
      <c r="H1292" s="3"/>
      <c r="I1292" s="3"/>
    </row>
    <row r="1293">
      <c r="H1293" s="3"/>
      <c r="I1293" s="3"/>
    </row>
    <row r="1294">
      <c r="H1294" s="3"/>
      <c r="I1294" s="3"/>
    </row>
    <row r="1295">
      <c r="H1295" s="3"/>
      <c r="I1295" s="3"/>
    </row>
    <row r="1296">
      <c r="H1296" s="3"/>
      <c r="I1296" s="3"/>
    </row>
    <row r="1297">
      <c r="H1297" s="3"/>
      <c r="I1297" s="3"/>
    </row>
    <row r="1298">
      <c r="H1298" s="3"/>
      <c r="I1298" s="3"/>
    </row>
    <row r="1299">
      <c r="H1299" s="3"/>
      <c r="I1299" s="3"/>
    </row>
    <row r="1300">
      <c r="H1300" s="3"/>
      <c r="I1300" s="3"/>
    </row>
    <row r="1301">
      <c r="H1301" s="3"/>
      <c r="I1301" s="3"/>
    </row>
    <row r="1302">
      <c r="H1302" s="3"/>
      <c r="I1302" s="3"/>
    </row>
    <row r="1303">
      <c r="H1303" s="3"/>
      <c r="I1303" s="3"/>
    </row>
    <row r="1304">
      <c r="H1304" s="3"/>
      <c r="I1304" s="3"/>
    </row>
    <row r="1305">
      <c r="H1305" s="3"/>
      <c r="I1305" s="3"/>
    </row>
    <row r="1306">
      <c r="H1306" s="3"/>
      <c r="I1306" s="3"/>
    </row>
    <row r="1307">
      <c r="H1307" s="3"/>
      <c r="I1307" s="3"/>
    </row>
    <row r="1308">
      <c r="H1308" s="3"/>
      <c r="I1308" s="3"/>
    </row>
    <row r="1309">
      <c r="H1309" s="3"/>
      <c r="I1309" s="3"/>
    </row>
    <row r="1310">
      <c r="H1310" s="3"/>
      <c r="I1310" s="3"/>
    </row>
    <row r="1311">
      <c r="H1311" s="3"/>
      <c r="I1311" s="3"/>
    </row>
    <row r="1312">
      <c r="H1312" s="3"/>
      <c r="I1312" s="3"/>
    </row>
    <row r="1313">
      <c r="H1313" s="3"/>
      <c r="I1313" s="3"/>
    </row>
    <row r="1314">
      <c r="H1314" s="3"/>
      <c r="I1314" s="3"/>
    </row>
    <row r="1315">
      <c r="H1315" s="3"/>
      <c r="I1315" s="3"/>
    </row>
    <row r="1316">
      <c r="H1316" s="3"/>
      <c r="I1316" s="3"/>
    </row>
    <row r="1317">
      <c r="H1317" s="3"/>
      <c r="I1317" s="3"/>
    </row>
    <row r="1318">
      <c r="H1318" s="3"/>
      <c r="I1318" s="3"/>
    </row>
    <row r="1319">
      <c r="H1319" s="3"/>
      <c r="I1319" s="3"/>
    </row>
    <row r="1320">
      <c r="H1320" s="3"/>
      <c r="I1320" s="3"/>
    </row>
    <row r="1321">
      <c r="H1321" s="3"/>
      <c r="I1321" s="3"/>
    </row>
    <row r="1322">
      <c r="H1322" s="3"/>
      <c r="I1322" s="3"/>
    </row>
    <row r="1323">
      <c r="H1323" s="3"/>
      <c r="I1323" s="3"/>
    </row>
    <row r="1324">
      <c r="H1324" s="3"/>
      <c r="I1324" s="3"/>
    </row>
    <row r="1325">
      <c r="H1325" s="3"/>
      <c r="I1325" s="3"/>
    </row>
    <row r="1326">
      <c r="H1326" s="3"/>
      <c r="I1326" s="3"/>
    </row>
    <row r="1327">
      <c r="H1327" s="3"/>
      <c r="I1327" s="3"/>
    </row>
    <row r="1328">
      <c r="H1328" s="3"/>
      <c r="I1328" s="3"/>
    </row>
    <row r="1329">
      <c r="H1329" s="3"/>
      <c r="I1329" s="3"/>
    </row>
    <row r="1330">
      <c r="H1330" s="3"/>
      <c r="I1330" s="3"/>
    </row>
    <row r="1331">
      <c r="H1331" s="3"/>
      <c r="I1331" s="3"/>
    </row>
    <row r="1332">
      <c r="H1332" s="3"/>
      <c r="I1332" s="3"/>
    </row>
    <row r="1333">
      <c r="H1333" s="3"/>
      <c r="I1333" s="3"/>
    </row>
    <row r="1334">
      <c r="H1334" s="3"/>
      <c r="I1334" s="3"/>
    </row>
    <row r="1335">
      <c r="H1335" s="3"/>
      <c r="I1335" s="3"/>
    </row>
    <row r="1336">
      <c r="H1336" s="3"/>
      <c r="I1336" s="3"/>
    </row>
    <row r="1337">
      <c r="H1337" s="3"/>
      <c r="I1337" s="3"/>
    </row>
    <row r="1338">
      <c r="H1338" s="3"/>
      <c r="I1338" s="3"/>
    </row>
    <row r="1339">
      <c r="H1339" s="3"/>
      <c r="I1339" s="3"/>
    </row>
    <row r="1340">
      <c r="H1340" s="3"/>
      <c r="I1340" s="3"/>
    </row>
    <row r="1341">
      <c r="H1341" s="3"/>
      <c r="I1341" s="3"/>
    </row>
    <row r="1342">
      <c r="H1342" s="3"/>
      <c r="I1342" s="3"/>
    </row>
    <row r="1343">
      <c r="H1343" s="3"/>
      <c r="I1343" s="3"/>
    </row>
    <row r="1344">
      <c r="H1344" s="3"/>
      <c r="I1344" s="3"/>
    </row>
    <row r="1345">
      <c r="H1345" s="3"/>
      <c r="I1345" s="3"/>
    </row>
    <row r="1346">
      <c r="H1346" s="3"/>
      <c r="I1346" s="3"/>
    </row>
    <row r="1347">
      <c r="H1347" s="3"/>
      <c r="I1347" s="3"/>
    </row>
    <row r="1348">
      <c r="H1348" s="3"/>
      <c r="I1348" s="3"/>
    </row>
    <row r="1349">
      <c r="H1349" s="3"/>
      <c r="I1349" s="3"/>
    </row>
    <row r="1350">
      <c r="H1350" s="3"/>
      <c r="I1350" s="3"/>
    </row>
    <row r="1351">
      <c r="H1351" s="3"/>
      <c r="I1351" s="3"/>
    </row>
    <row r="1352">
      <c r="H1352" s="3"/>
      <c r="I1352" s="3"/>
    </row>
    <row r="1353">
      <c r="H1353" s="3"/>
      <c r="I1353" s="3"/>
    </row>
    <row r="1354">
      <c r="H1354" s="3"/>
      <c r="I1354" s="3"/>
    </row>
    <row r="1355">
      <c r="H1355" s="3"/>
      <c r="I1355" s="3"/>
    </row>
    <row r="1356">
      <c r="H1356" s="3"/>
      <c r="I1356" s="3"/>
    </row>
    <row r="1357">
      <c r="H1357" s="3"/>
      <c r="I1357" s="3"/>
    </row>
    <row r="1358">
      <c r="H1358" s="3"/>
      <c r="I1358" s="3"/>
    </row>
    <row r="1359">
      <c r="H1359" s="3"/>
      <c r="I1359" s="3"/>
    </row>
    <row r="1360">
      <c r="H1360" s="3"/>
      <c r="I1360" s="3"/>
    </row>
    <row r="1361">
      <c r="H1361" s="3"/>
      <c r="I1361" s="3"/>
    </row>
    <row r="1362">
      <c r="H1362" s="3"/>
      <c r="I1362" s="3"/>
    </row>
    <row r="1363">
      <c r="H1363" s="3"/>
      <c r="I1363" s="3"/>
    </row>
    <row r="1364">
      <c r="H1364" s="3"/>
      <c r="I1364" s="3"/>
    </row>
    <row r="1365">
      <c r="H1365" s="3"/>
      <c r="I1365" s="3"/>
    </row>
    <row r="1366">
      <c r="H1366" s="3"/>
      <c r="I1366" s="3"/>
    </row>
    <row r="1367">
      <c r="H1367" s="3"/>
      <c r="I1367" s="3"/>
    </row>
    <row r="1368">
      <c r="H1368" s="3"/>
      <c r="I1368" s="3"/>
    </row>
    <row r="1369">
      <c r="H1369" s="3"/>
      <c r="I1369" s="3"/>
    </row>
    <row r="1370">
      <c r="H1370" s="3"/>
      <c r="I1370" s="3"/>
    </row>
    <row r="1371">
      <c r="H1371" s="3"/>
      <c r="I1371" s="3"/>
    </row>
    <row r="1372">
      <c r="H1372" s="3"/>
      <c r="I1372" s="3"/>
    </row>
    <row r="1373">
      <c r="H1373" s="3"/>
      <c r="I1373" s="3"/>
    </row>
    <row r="1374">
      <c r="H1374" s="3"/>
      <c r="I1374" s="3"/>
    </row>
    <row r="1375">
      <c r="H1375" s="3"/>
      <c r="I1375" s="3"/>
    </row>
    <row r="1376">
      <c r="H1376" s="3"/>
      <c r="I1376" s="3"/>
    </row>
    <row r="1377">
      <c r="H1377" s="3"/>
      <c r="I1377" s="3"/>
    </row>
    <row r="1378">
      <c r="H1378" s="3"/>
      <c r="I1378" s="3"/>
    </row>
    <row r="1379">
      <c r="H1379" s="3"/>
      <c r="I1379" s="3"/>
    </row>
    <row r="1380">
      <c r="H1380" s="3"/>
      <c r="I1380" s="3"/>
    </row>
    <row r="1381">
      <c r="H1381" s="3"/>
      <c r="I1381" s="3"/>
    </row>
    <row r="1382">
      <c r="H1382" s="3"/>
      <c r="I1382" s="3"/>
    </row>
    <row r="1383">
      <c r="H1383" s="3"/>
      <c r="I1383" s="3"/>
    </row>
    <row r="1384">
      <c r="H1384" s="3"/>
      <c r="I1384" s="3"/>
    </row>
    <row r="1385">
      <c r="H1385" s="3"/>
      <c r="I1385" s="3"/>
    </row>
    <row r="1386">
      <c r="H1386" s="3"/>
      <c r="I1386" s="3"/>
    </row>
    <row r="1387">
      <c r="H1387" s="3"/>
      <c r="I1387" s="3"/>
    </row>
    <row r="1388">
      <c r="H1388" s="3"/>
      <c r="I1388" s="3"/>
    </row>
    <row r="1389">
      <c r="H1389" s="3"/>
      <c r="I1389" s="3"/>
    </row>
    <row r="1390">
      <c r="H1390" s="3"/>
      <c r="I1390" s="3"/>
    </row>
    <row r="1391">
      <c r="H1391" s="3"/>
      <c r="I1391" s="3"/>
    </row>
    <row r="1392">
      <c r="H1392" s="3"/>
      <c r="I1392" s="3"/>
    </row>
    <row r="1393">
      <c r="H1393" s="3"/>
      <c r="I1393" s="3"/>
    </row>
    <row r="1394">
      <c r="H1394" s="3"/>
      <c r="I1394" s="3"/>
    </row>
    <row r="1395">
      <c r="H1395" s="3"/>
      <c r="I1395" s="3"/>
    </row>
    <row r="1396">
      <c r="H1396" s="3"/>
      <c r="I1396" s="3"/>
    </row>
    <row r="1397">
      <c r="H1397" s="3"/>
      <c r="I1397" s="3"/>
    </row>
    <row r="1398">
      <c r="H1398" s="3"/>
      <c r="I1398" s="3"/>
    </row>
    <row r="1399">
      <c r="H1399" s="3"/>
      <c r="I1399" s="3"/>
    </row>
    <row r="1400">
      <c r="H1400" s="3"/>
      <c r="I1400" s="3"/>
    </row>
    <row r="1401">
      <c r="H1401" s="3"/>
      <c r="I1401" s="3"/>
    </row>
    <row r="1402">
      <c r="H1402" s="3"/>
      <c r="I1402" s="3"/>
    </row>
    <row r="1403">
      <c r="H1403" s="3"/>
      <c r="I1403" s="3"/>
    </row>
    <row r="1404">
      <c r="H1404" s="3"/>
      <c r="I1404" s="3"/>
    </row>
    <row r="1405">
      <c r="H1405" s="3"/>
      <c r="I1405" s="3"/>
    </row>
    <row r="1406">
      <c r="H1406" s="3"/>
      <c r="I1406" s="3"/>
    </row>
    <row r="1407">
      <c r="H1407" s="3"/>
      <c r="I1407" s="3"/>
    </row>
    <row r="1408">
      <c r="H1408" s="3"/>
      <c r="I1408" s="3"/>
    </row>
    <row r="1409">
      <c r="H1409" s="3"/>
      <c r="I1409" s="3"/>
    </row>
    <row r="1410">
      <c r="H1410" s="3"/>
      <c r="I1410" s="3"/>
    </row>
    <row r="1411">
      <c r="H1411" s="3"/>
      <c r="I1411" s="3"/>
    </row>
    <row r="1412">
      <c r="H1412" s="3"/>
      <c r="I1412" s="3"/>
    </row>
    <row r="1413">
      <c r="H1413" s="3"/>
      <c r="I1413" s="3"/>
    </row>
    <row r="1414">
      <c r="H1414" s="3"/>
      <c r="I1414" s="3"/>
    </row>
    <row r="1415">
      <c r="H1415" s="3"/>
      <c r="I1415" s="3"/>
    </row>
    <row r="1416">
      <c r="H1416" s="3"/>
      <c r="I1416" s="3"/>
    </row>
    <row r="1417">
      <c r="H1417" s="3"/>
      <c r="I1417" s="3"/>
    </row>
    <row r="1418">
      <c r="H1418" s="3"/>
      <c r="I1418" s="3"/>
    </row>
    <row r="1419">
      <c r="H1419" s="3"/>
      <c r="I1419" s="3"/>
    </row>
    <row r="1420">
      <c r="H1420" s="3"/>
      <c r="I1420" s="3"/>
    </row>
    <row r="1421">
      <c r="H1421" s="3"/>
      <c r="I1421" s="3"/>
    </row>
    <row r="1422">
      <c r="H1422" s="3"/>
      <c r="I1422" s="3"/>
    </row>
    <row r="1423">
      <c r="H1423" s="3"/>
      <c r="I1423" s="3"/>
    </row>
    <row r="1424">
      <c r="H1424" s="3"/>
      <c r="I1424" s="3"/>
    </row>
    <row r="1425">
      <c r="H1425" s="3"/>
      <c r="I1425" s="3"/>
    </row>
    <row r="1426">
      <c r="H1426" s="3"/>
      <c r="I1426" s="3"/>
    </row>
    <row r="1427">
      <c r="H1427" s="3"/>
      <c r="I1427" s="3"/>
    </row>
    <row r="1428">
      <c r="H1428" s="3"/>
      <c r="I1428" s="3"/>
    </row>
    <row r="1429">
      <c r="H1429" s="3"/>
      <c r="I1429" s="3"/>
    </row>
    <row r="1430">
      <c r="H1430" s="3"/>
      <c r="I1430" s="3"/>
    </row>
    <row r="1431">
      <c r="H1431" s="3"/>
      <c r="I1431" s="3"/>
    </row>
    <row r="1432">
      <c r="H1432" s="3"/>
      <c r="I1432" s="3"/>
    </row>
    <row r="1433">
      <c r="H1433" s="3"/>
      <c r="I1433" s="3"/>
    </row>
    <row r="1434">
      <c r="H1434" s="3"/>
      <c r="I1434" s="3"/>
    </row>
    <row r="1435">
      <c r="H1435" s="3"/>
      <c r="I1435" s="3"/>
    </row>
    <row r="1436">
      <c r="H1436" s="3"/>
      <c r="I1436" s="3"/>
    </row>
    <row r="1437">
      <c r="H1437" s="3"/>
      <c r="I1437" s="3"/>
    </row>
    <row r="1438">
      <c r="H1438" s="3"/>
      <c r="I1438" s="3"/>
    </row>
    <row r="1439">
      <c r="H1439" s="3"/>
      <c r="I1439" s="3"/>
    </row>
    <row r="1440">
      <c r="H1440" s="3"/>
      <c r="I1440" s="3"/>
    </row>
    <row r="1441">
      <c r="H1441" s="3"/>
      <c r="I1441" s="3"/>
    </row>
    <row r="1442">
      <c r="H1442" s="3"/>
      <c r="I1442" s="3"/>
    </row>
    <row r="1443">
      <c r="H1443" s="3"/>
      <c r="I1443" s="3"/>
    </row>
    <row r="1444">
      <c r="H1444" s="3"/>
      <c r="I1444" s="3"/>
    </row>
    <row r="1445">
      <c r="H1445" s="3"/>
      <c r="I1445" s="3"/>
    </row>
    <row r="1446">
      <c r="H1446" s="3"/>
      <c r="I1446" s="3"/>
    </row>
    <row r="1447">
      <c r="H1447" s="3"/>
      <c r="I1447" s="3"/>
    </row>
    <row r="1448">
      <c r="H1448" s="3"/>
      <c r="I1448" s="3"/>
    </row>
    <row r="1449">
      <c r="H1449" s="3"/>
      <c r="I1449" s="3"/>
    </row>
    <row r="1450">
      <c r="H1450" s="3"/>
      <c r="I1450" s="3"/>
    </row>
    <row r="1451">
      <c r="H1451" s="3"/>
      <c r="I1451" s="3"/>
    </row>
    <row r="1452">
      <c r="H1452" s="3"/>
      <c r="I1452" s="3"/>
    </row>
    <row r="1453">
      <c r="H1453" s="3"/>
      <c r="I1453" s="3"/>
    </row>
    <row r="1454">
      <c r="H1454" s="3"/>
      <c r="I1454" s="3"/>
    </row>
    <row r="1455">
      <c r="H1455" s="3"/>
      <c r="I1455" s="3"/>
    </row>
    <row r="1456">
      <c r="H1456" s="3"/>
      <c r="I1456" s="3"/>
    </row>
    <row r="1457">
      <c r="H1457" s="3"/>
      <c r="I1457" s="3"/>
    </row>
    <row r="1458">
      <c r="H1458" s="3"/>
      <c r="I1458" s="3"/>
    </row>
    <row r="1459">
      <c r="H1459" s="3"/>
      <c r="I1459" s="3"/>
    </row>
    <row r="1460">
      <c r="H1460" s="3"/>
      <c r="I1460" s="3"/>
    </row>
    <row r="1461">
      <c r="H1461" s="3"/>
      <c r="I1461" s="3"/>
    </row>
    <row r="1462">
      <c r="H1462" s="3"/>
      <c r="I1462" s="3"/>
    </row>
    <row r="1463">
      <c r="H1463" s="3"/>
      <c r="I1463" s="3"/>
    </row>
    <row r="1464">
      <c r="H1464" s="3"/>
      <c r="I1464" s="3"/>
    </row>
    <row r="1465">
      <c r="H1465" s="3"/>
      <c r="I1465" s="3"/>
    </row>
    <row r="1466">
      <c r="H1466" s="3"/>
      <c r="I1466" s="3"/>
    </row>
    <row r="1467">
      <c r="H1467" s="3"/>
      <c r="I1467" s="3"/>
    </row>
    <row r="1468">
      <c r="H1468" s="3"/>
      <c r="I1468" s="3"/>
    </row>
    <row r="1469">
      <c r="H1469" s="3"/>
      <c r="I1469" s="3"/>
    </row>
    <row r="1470">
      <c r="H1470" s="3"/>
      <c r="I1470" s="3"/>
    </row>
    <row r="1471">
      <c r="H1471" s="3"/>
      <c r="I1471" s="3"/>
    </row>
    <row r="1472">
      <c r="H1472" s="3"/>
      <c r="I1472" s="3"/>
    </row>
    <row r="1473">
      <c r="H1473" s="3"/>
      <c r="I1473" s="3"/>
    </row>
    <row r="1474">
      <c r="H1474" s="3"/>
      <c r="I1474" s="3"/>
    </row>
    <row r="1475">
      <c r="H1475" s="3"/>
      <c r="I1475" s="3"/>
    </row>
    <row r="1476">
      <c r="H1476" s="3"/>
      <c r="I1476" s="3"/>
    </row>
    <row r="1477">
      <c r="H1477" s="3"/>
      <c r="I1477" s="3"/>
    </row>
    <row r="1478">
      <c r="H1478" s="3"/>
      <c r="I1478" s="3"/>
    </row>
    <row r="1479">
      <c r="H1479" s="3"/>
      <c r="I1479" s="3"/>
    </row>
    <row r="1480">
      <c r="H1480" s="3"/>
      <c r="I1480" s="3"/>
    </row>
    <row r="1481">
      <c r="H1481" s="3"/>
      <c r="I1481" s="3"/>
    </row>
    <row r="1482">
      <c r="H1482" s="3"/>
      <c r="I1482" s="3"/>
    </row>
    <row r="1483">
      <c r="H1483" s="3"/>
      <c r="I1483" s="3"/>
    </row>
    <row r="1484">
      <c r="H1484" s="3"/>
      <c r="I1484" s="3"/>
    </row>
    <row r="1485">
      <c r="H1485" s="3"/>
      <c r="I1485" s="3"/>
    </row>
    <row r="1486">
      <c r="H1486" s="3"/>
      <c r="I1486" s="3"/>
    </row>
    <row r="1487">
      <c r="H1487" s="3"/>
      <c r="I1487" s="3"/>
    </row>
    <row r="1488">
      <c r="H1488" s="3"/>
      <c r="I1488" s="3"/>
    </row>
    <row r="1489">
      <c r="H1489" s="3"/>
      <c r="I1489" s="3"/>
    </row>
    <row r="1490">
      <c r="H1490" s="3"/>
      <c r="I1490" s="3"/>
    </row>
    <row r="1491">
      <c r="H1491" s="3"/>
      <c r="I1491" s="3"/>
    </row>
    <row r="1492">
      <c r="H1492" s="3"/>
      <c r="I1492" s="3"/>
    </row>
    <row r="1493">
      <c r="H1493" s="3"/>
      <c r="I1493" s="3"/>
    </row>
    <row r="1494">
      <c r="H1494" s="3"/>
      <c r="I1494" s="3"/>
    </row>
    <row r="1495">
      <c r="H1495" s="3"/>
      <c r="I1495" s="3"/>
    </row>
    <row r="1496">
      <c r="H1496" s="3"/>
      <c r="I1496" s="3"/>
    </row>
    <row r="1497">
      <c r="H1497" s="3"/>
      <c r="I1497" s="3"/>
    </row>
    <row r="1498">
      <c r="H1498" s="3"/>
      <c r="I1498" s="3"/>
    </row>
    <row r="1499">
      <c r="H1499" s="3"/>
      <c r="I1499" s="3"/>
    </row>
    <row r="1500">
      <c r="H1500" s="3"/>
      <c r="I1500" s="3"/>
    </row>
    <row r="1501">
      <c r="H1501" s="3"/>
      <c r="I1501" s="3"/>
    </row>
    <row r="1502">
      <c r="H1502" s="3"/>
      <c r="I1502" s="3"/>
    </row>
    <row r="1503">
      <c r="H1503" s="3"/>
      <c r="I1503" s="3"/>
    </row>
    <row r="1504">
      <c r="H1504" s="3"/>
      <c r="I1504" s="3"/>
    </row>
    <row r="1505">
      <c r="H1505" s="3"/>
      <c r="I1505" s="3"/>
    </row>
    <row r="1506">
      <c r="H1506" s="3"/>
      <c r="I1506" s="3"/>
    </row>
    <row r="1507">
      <c r="H1507" s="3"/>
      <c r="I1507" s="3"/>
    </row>
    <row r="1508">
      <c r="H1508" s="3"/>
      <c r="I1508" s="3"/>
    </row>
    <row r="1509">
      <c r="H1509" s="3"/>
      <c r="I1509" s="3"/>
    </row>
    <row r="1510">
      <c r="H1510" s="3"/>
      <c r="I1510" s="3"/>
    </row>
    <row r="1511">
      <c r="H1511" s="3"/>
      <c r="I1511" s="3"/>
    </row>
    <row r="1512">
      <c r="H1512" s="3"/>
      <c r="I1512" s="3"/>
    </row>
    <row r="1513">
      <c r="H1513" s="3"/>
      <c r="I1513" s="3"/>
    </row>
    <row r="1514">
      <c r="H1514" s="3"/>
      <c r="I1514" s="3"/>
    </row>
    <row r="1515">
      <c r="H1515" s="3"/>
      <c r="I1515" s="3"/>
    </row>
    <row r="1516">
      <c r="H1516" s="3"/>
      <c r="I1516" s="3"/>
    </row>
    <row r="1517">
      <c r="H1517" s="3"/>
      <c r="I1517" s="3"/>
    </row>
    <row r="1518">
      <c r="H1518" s="3"/>
      <c r="I1518" s="3"/>
    </row>
    <row r="1519">
      <c r="H1519" s="3"/>
      <c r="I1519" s="3"/>
    </row>
    <row r="1520">
      <c r="H1520" s="3"/>
      <c r="I1520" s="3"/>
    </row>
    <row r="1521">
      <c r="H1521" s="3"/>
      <c r="I1521" s="3"/>
    </row>
    <row r="1522">
      <c r="H1522" s="3"/>
      <c r="I1522" s="3"/>
    </row>
    <row r="1523">
      <c r="H1523" s="3"/>
      <c r="I1523" s="3"/>
    </row>
    <row r="1524">
      <c r="H1524" s="3"/>
      <c r="I1524" s="3"/>
    </row>
    <row r="1525">
      <c r="H1525" s="3"/>
      <c r="I1525" s="3"/>
    </row>
    <row r="1526">
      <c r="H1526" s="3"/>
      <c r="I1526" s="3"/>
    </row>
    <row r="1527">
      <c r="H1527" s="3"/>
      <c r="I1527" s="3"/>
    </row>
    <row r="1528">
      <c r="H1528" s="3"/>
      <c r="I1528" s="3"/>
    </row>
    <row r="1529">
      <c r="H1529" s="3"/>
      <c r="I1529" s="3"/>
    </row>
    <row r="1530">
      <c r="H1530" s="3"/>
      <c r="I1530" s="3"/>
    </row>
    <row r="1531">
      <c r="H1531" s="3"/>
      <c r="I1531" s="3"/>
    </row>
    <row r="1532">
      <c r="H1532" s="3"/>
      <c r="I1532" s="3"/>
    </row>
    <row r="1533">
      <c r="H1533" s="3"/>
      <c r="I1533" s="3"/>
    </row>
    <row r="1534">
      <c r="H1534" s="3"/>
      <c r="I1534" s="3"/>
    </row>
    <row r="1535">
      <c r="H1535" s="3"/>
      <c r="I1535" s="3"/>
    </row>
    <row r="1536">
      <c r="H1536" s="3"/>
      <c r="I1536" s="3"/>
    </row>
    <row r="1537">
      <c r="H1537" s="3"/>
      <c r="I1537" s="3"/>
    </row>
    <row r="1538">
      <c r="H1538" s="3"/>
      <c r="I1538" s="3"/>
    </row>
    <row r="1539">
      <c r="H1539" s="3"/>
      <c r="I1539" s="3"/>
    </row>
    <row r="1540">
      <c r="H1540" s="3"/>
      <c r="I1540" s="3"/>
    </row>
    <row r="1541">
      <c r="H1541" s="3"/>
      <c r="I1541" s="3"/>
    </row>
    <row r="1542">
      <c r="H1542" s="3"/>
      <c r="I1542" s="3"/>
    </row>
    <row r="1543">
      <c r="H1543" s="3"/>
      <c r="I1543" s="3"/>
    </row>
    <row r="1544">
      <c r="H1544" s="3"/>
      <c r="I1544" s="3"/>
    </row>
    <row r="1545">
      <c r="H1545" s="3"/>
      <c r="I1545" s="3"/>
    </row>
    <row r="1546">
      <c r="H1546" s="3"/>
      <c r="I1546" s="3"/>
    </row>
    <row r="1547">
      <c r="H1547" s="3"/>
      <c r="I1547" s="3"/>
    </row>
    <row r="1548">
      <c r="H1548" s="3"/>
      <c r="I1548" s="3"/>
    </row>
    <row r="1549">
      <c r="H1549" s="3"/>
      <c r="I1549" s="3"/>
    </row>
    <row r="1550">
      <c r="H1550" s="3"/>
      <c r="I1550" s="3"/>
    </row>
    <row r="1551">
      <c r="H1551" s="3"/>
      <c r="I1551" s="3"/>
    </row>
    <row r="1552">
      <c r="H1552" s="3"/>
      <c r="I1552" s="3"/>
    </row>
    <row r="1553">
      <c r="H1553" s="3"/>
      <c r="I1553" s="3"/>
    </row>
    <row r="1554">
      <c r="H1554" s="3"/>
      <c r="I1554" s="3"/>
    </row>
    <row r="1555">
      <c r="H1555" s="3"/>
      <c r="I1555" s="3"/>
    </row>
    <row r="1556">
      <c r="H1556" s="3"/>
      <c r="I1556" s="3"/>
    </row>
    <row r="1557">
      <c r="H1557" s="3"/>
      <c r="I1557" s="3"/>
    </row>
    <row r="1558">
      <c r="H1558" s="3"/>
      <c r="I1558" s="3"/>
    </row>
    <row r="1559">
      <c r="H1559" s="3"/>
      <c r="I1559" s="3"/>
    </row>
    <row r="1560">
      <c r="H1560" s="3"/>
      <c r="I1560" s="3"/>
    </row>
    <row r="1561">
      <c r="H1561" s="3"/>
      <c r="I1561" s="3"/>
    </row>
    <row r="1562">
      <c r="H1562" s="3"/>
      <c r="I1562" s="3"/>
    </row>
    <row r="1563">
      <c r="H1563" s="3"/>
      <c r="I1563" s="3"/>
    </row>
    <row r="1564">
      <c r="H1564" s="3"/>
      <c r="I1564" s="3"/>
    </row>
    <row r="1565">
      <c r="H1565" s="3"/>
      <c r="I1565" s="3"/>
    </row>
    <row r="1566">
      <c r="H1566" s="3"/>
      <c r="I1566" s="3"/>
    </row>
    <row r="1567">
      <c r="H1567" s="3"/>
      <c r="I1567" s="3"/>
    </row>
    <row r="1568">
      <c r="H1568" s="3"/>
      <c r="I1568" s="3"/>
    </row>
    <row r="1569">
      <c r="H1569" s="3"/>
      <c r="I1569" s="3"/>
    </row>
    <row r="1570">
      <c r="H1570" s="3"/>
      <c r="I1570" s="3"/>
    </row>
    <row r="1571">
      <c r="H1571" s="3"/>
      <c r="I1571" s="3"/>
    </row>
    <row r="1572">
      <c r="H1572" s="3"/>
      <c r="I1572" s="3"/>
    </row>
    <row r="1573">
      <c r="H1573" s="3"/>
      <c r="I1573" s="3"/>
    </row>
    <row r="1574">
      <c r="H1574" s="3"/>
      <c r="I1574" s="3"/>
    </row>
    <row r="1575">
      <c r="H1575" s="3"/>
      <c r="I1575" s="3"/>
    </row>
    <row r="1576">
      <c r="H1576" s="3"/>
      <c r="I1576" s="3"/>
    </row>
    <row r="1577">
      <c r="H1577" s="3"/>
      <c r="I1577" s="3"/>
    </row>
    <row r="1578">
      <c r="H1578" s="3"/>
      <c r="I1578" s="3"/>
    </row>
    <row r="1579">
      <c r="H1579" s="3"/>
      <c r="I1579" s="3"/>
    </row>
    <row r="1580">
      <c r="H1580" s="3"/>
      <c r="I1580" s="3"/>
    </row>
    <row r="1581">
      <c r="H1581" s="3"/>
      <c r="I1581" s="3"/>
    </row>
    <row r="1582">
      <c r="H1582" s="3"/>
      <c r="I1582" s="3"/>
    </row>
    <row r="1583">
      <c r="H1583" s="3"/>
      <c r="I1583" s="3"/>
    </row>
    <row r="1584">
      <c r="H1584" s="3"/>
      <c r="I1584" s="3"/>
    </row>
    <row r="1585">
      <c r="H1585" s="3"/>
      <c r="I1585" s="3"/>
    </row>
    <row r="1586">
      <c r="H1586" s="3"/>
      <c r="I1586" s="3"/>
    </row>
    <row r="1587">
      <c r="H1587" s="3"/>
      <c r="I1587" s="3"/>
    </row>
    <row r="1588">
      <c r="H1588" s="3"/>
      <c r="I1588" s="3"/>
    </row>
    <row r="1589">
      <c r="H1589" s="3"/>
      <c r="I1589" s="3"/>
    </row>
    <row r="1590">
      <c r="H1590" s="3"/>
      <c r="I1590" s="3"/>
    </row>
    <row r="1591">
      <c r="H1591" s="3"/>
      <c r="I1591" s="3"/>
    </row>
    <row r="1592">
      <c r="H1592" s="3"/>
      <c r="I1592" s="3"/>
    </row>
    <row r="1593">
      <c r="H1593" s="3"/>
      <c r="I1593" s="3"/>
    </row>
    <row r="1594">
      <c r="H1594" s="3"/>
      <c r="I1594" s="3"/>
    </row>
    <row r="1595">
      <c r="H1595" s="3"/>
      <c r="I1595" s="3"/>
    </row>
    <row r="1596">
      <c r="H1596" s="3"/>
      <c r="I1596" s="3"/>
    </row>
    <row r="1597">
      <c r="H1597" s="3"/>
      <c r="I1597" s="3"/>
    </row>
    <row r="1598">
      <c r="H1598" s="3"/>
      <c r="I1598" s="3"/>
    </row>
    <row r="1599">
      <c r="H1599" s="3"/>
      <c r="I1599" s="3"/>
    </row>
    <row r="1600">
      <c r="H1600" s="3"/>
      <c r="I1600" s="3"/>
    </row>
    <row r="1601">
      <c r="H1601" s="3"/>
      <c r="I1601" s="3"/>
    </row>
    <row r="1602">
      <c r="H1602" s="3"/>
      <c r="I1602" s="3"/>
    </row>
    <row r="1603">
      <c r="H1603" s="3"/>
      <c r="I1603" s="3"/>
    </row>
    <row r="1604">
      <c r="H1604" s="3"/>
      <c r="I1604" s="3"/>
    </row>
    <row r="1605">
      <c r="H1605" s="3"/>
      <c r="I1605" s="3"/>
    </row>
    <row r="1606">
      <c r="H1606" s="3"/>
      <c r="I1606" s="3"/>
    </row>
    <row r="1607">
      <c r="H1607" s="3"/>
      <c r="I1607" s="3"/>
    </row>
    <row r="1608">
      <c r="H1608" s="3"/>
      <c r="I1608" s="3"/>
    </row>
    <row r="1609">
      <c r="H1609" s="3"/>
      <c r="I1609" s="3"/>
    </row>
    <row r="1610">
      <c r="H1610" s="3"/>
      <c r="I1610" s="3"/>
    </row>
    <row r="1611">
      <c r="H1611" s="3"/>
      <c r="I1611" s="3"/>
    </row>
    <row r="1612">
      <c r="H1612" s="3"/>
      <c r="I1612" s="3"/>
    </row>
    <row r="1613">
      <c r="H1613" s="3"/>
      <c r="I1613" s="3"/>
    </row>
    <row r="1614">
      <c r="H1614" s="3"/>
      <c r="I1614" s="3"/>
    </row>
    <row r="1615">
      <c r="H1615" s="3"/>
      <c r="I1615" s="3"/>
    </row>
    <row r="1616">
      <c r="H1616" s="3"/>
      <c r="I1616" s="3"/>
    </row>
    <row r="1617">
      <c r="H1617" s="3"/>
      <c r="I1617" s="3"/>
    </row>
    <row r="1618">
      <c r="H1618" s="3"/>
      <c r="I1618" s="3"/>
    </row>
    <row r="1619">
      <c r="H1619" s="3"/>
      <c r="I1619" s="3"/>
    </row>
    <row r="1620">
      <c r="H1620" s="3"/>
      <c r="I1620" s="3"/>
    </row>
    <row r="1621">
      <c r="H1621" s="3"/>
      <c r="I1621" s="3"/>
    </row>
    <row r="1622">
      <c r="H1622" s="3"/>
      <c r="I1622" s="3"/>
    </row>
    <row r="1623">
      <c r="H1623" s="3"/>
      <c r="I1623" s="3"/>
    </row>
    <row r="1624">
      <c r="H1624" s="3"/>
      <c r="I1624" s="3"/>
    </row>
    <row r="1625">
      <c r="H1625" s="3"/>
      <c r="I1625" s="3"/>
    </row>
    <row r="1626">
      <c r="H1626" s="3"/>
      <c r="I1626" s="3"/>
    </row>
    <row r="1627">
      <c r="H1627" s="3"/>
      <c r="I1627" s="3"/>
    </row>
    <row r="1628">
      <c r="H1628" s="3"/>
      <c r="I1628" s="3"/>
    </row>
    <row r="1629">
      <c r="H1629" s="3"/>
      <c r="I1629" s="3"/>
    </row>
    <row r="1630">
      <c r="H1630" s="3"/>
      <c r="I1630" s="3"/>
    </row>
    <row r="1631">
      <c r="H1631" s="3"/>
      <c r="I1631" s="3"/>
    </row>
    <row r="1632">
      <c r="H1632" s="3"/>
      <c r="I1632" s="3"/>
    </row>
    <row r="1633">
      <c r="H1633" s="3"/>
      <c r="I1633" s="3"/>
    </row>
    <row r="1634">
      <c r="H1634" s="3"/>
      <c r="I1634" s="3"/>
    </row>
    <row r="1635">
      <c r="H1635" s="3"/>
      <c r="I1635" s="3"/>
    </row>
    <row r="1636">
      <c r="H1636" s="3"/>
      <c r="I1636" s="3"/>
    </row>
    <row r="1637">
      <c r="H1637" s="3"/>
      <c r="I1637" s="3"/>
    </row>
    <row r="1638">
      <c r="H1638" s="3"/>
      <c r="I1638" s="3"/>
    </row>
    <row r="1639">
      <c r="H1639" s="3"/>
      <c r="I1639" s="3"/>
    </row>
    <row r="1640">
      <c r="H1640" s="3"/>
      <c r="I1640" s="3"/>
    </row>
    <row r="1641">
      <c r="H1641" s="3"/>
      <c r="I1641" s="3"/>
    </row>
    <row r="1642">
      <c r="H1642" s="3"/>
      <c r="I1642" s="3"/>
    </row>
    <row r="1643">
      <c r="H1643" s="3"/>
      <c r="I1643" s="3"/>
    </row>
    <row r="1644">
      <c r="H1644" s="3"/>
      <c r="I1644" s="3"/>
    </row>
    <row r="1645">
      <c r="H1645" s="3"/>
      <c r="I1645" s="3"/>
    </row>
    <row r="1646">
      <c r="H1646" s="3"/>
      <c r="I1646" s="3"/>
    </row>
    <row r="1647">
      <c r="H1647" s="3"/>
      <c r="I1647" s="3"/>
    </row>
    <row r="1648">
      <c r="H1648" s="3"/>
      <c r="I1648" s="3"/>
    </row>
    <row r="1649">
      <c r="H1649" s="3"/>
      <c r="I1649" s="3"/>
    </row>
    <row r="1650">
      <c r="H1650" s="3"/>
      <c r="I1650" s="3"/>
    </row>
    <row r="1651">
      <c r="H1651" s="3"/>
      <c r="I1651" s="3"/>
    </row>
    <row r="1652">
      <c r="H1652" s="3"/>
      <c r="I1652" s="3"/>
    </row>
    <row r="1653">
      <c r="H1653" s="3"/>
      <c r="I1653" s="3"/>
    </row>
    <row r="1654">
      <c r="H1654" s="3"/>
      <c r="I1654" s="3"/>
    </row>
    <row r="1655">
      <c r="H1655" s="3"/>
      <c r="I1655" s="3"/>
    </row>
    <row r="1656">
      <c r="H1656" s="3"/>
      <c r="I1656" s="3"/>
    </row>
    <row r="1657">
      <c r="H1657" s="3"/>
      <c r="I1657" s="3"/>
    </row>
    <row r="1658">
      <c r="H1658" s="3"/>
      <c r="I1658" s="3"/>
    </row>
    <row r="1659">
      <c r="H1659" s="3"/>
      <c r="I1659" s="3"/>
    </row>
    <row r="1660">
      <c r="H1660" s="3"/>
      <c r="I1660" s="3"/>
    </row>
    <row r="1661">
      <c r="H1661" s="3"/>
      <c r="I1661" s="3"/>
    </row>
    <row r="1662">
      <c r="H1662" s="3"/>
      <c r="I1662" s="3"/>
    </row>
    <row r="1663">
      <c r="H1663" s="3"/>
      <c r="I1663" s="3"/>
    </row>
    <row r="1664">
      <c r="H1664" s="3"/>
      <c r="I1664" s="3"/>
    </row>
    <row r="1665">
      <c r="H1665" s="3"/>
      <c r="I1665" s="3"/>
    </row>
    <row r="1666">
      <c r="H1666" s="3"/>
      <c r="I1666" s="3"/>
    </row>
    <row r="1667">
      <c r="H1667" s="3"/>
      <c r="I1667" s="3"/>
    </row>
    <row r="1668">
      <c r="H1668" s="3"/>
      <c r="I1668" s="3"/>
    </row>
    <row r="1669">
      <c r="H1669" s="3"/>
      <c r="I1669" s="3"/>
    </row>
    <row r="1670">
      <c r="H1670" s="3"/>
      <c r="I1670" s="3"/>
    </row>
    <row r="1671">
      <c r="H1671" s="3"/>
      <c r="I1671" s="3"/>
    </row>
    <row r="1672">
      <c r="H1672" s="3"/>
      <c r="I1672" s="3"/>
    </row>
    <row r="1673">
      <c r="H1673" s="3"/>
      <c r="I1673" s="3"/>
    </row>
    <row r="1674">
      <c r="H1674" s="3"/>
      <c r="I1674" s="3"/>
    </row>
    <row r="1675">
      <c r="H1675" s="3"/>
      <c r="I1675" s="3"/>
    </row>
    <row r="1676">
      <c r="H1676" s="3"/>
      <c r="I1676" s="3"/>
    </row>
    <row r="1677">
      <c r="H1677" s="3"/>
      <c r="I1677" s="3"/>
    </row>
    <row r="1678">
      <c r="H1678" s="3"/>
      <c r="I1678" s="3"/>
    </row>
    <row r="1679">
      <c r="H1679" s="3"/>
      <c r="I1679" s="3"/>
    </row>
    <row r="1680">
      <c r="H1680" s="3"/>
      <c r="I1680" s="3"/>
    </row>
    <row r="1681">
      <c r="H1681" s="3"/>
      <c r="I1681" s="3"/>
    </row>
    <row r="1682">
      <c r="H1682" s="3"/>
      <c r="I1682" s="3"/>
    </row>
    <row r="1683">
      <c r="H1683" s="3"/>
      <c r="I1683" s="3"/>
    </row>
    <row r="1684">
      <c r="H1684" s="3"/>
      <c r="I1684" s="3"/>
    </row>
    <row r="1685">
      <c r="H1685" s="3"/>
      <c r="I1685" s="3"/>
    </row>
    <row r="1686">
      <c r="H1686" s="3"/>
      <c r="I1686" s="3"/>
    </row>
    <row r="1687">
      <c r="H1687" s="3"/>
      <c r="I1687" s="3"/>
    </row>
    <row r="1688">
      <c r="H1688" s="3"/>
      <c r="I1688" s="3"/>
    </row>
    <row r="1689">
      <c r="H1689" s="3"/>
      <c r="I1689" s="3"/>
    </row>
    <row r="1690">
      <c r="H1690" s="3"/>
      <c r="I1690" s="3"/>
    </row>
    <row r="1691">
      <c r="H1691" s="3"/>
      <c r="I1691" s="3"/>
    </row>
    <row r="1692">
      <c r="H1692" s="3"/>
      <c r="I1692" s="3"/>
    </row>
    <row r="1693">
      <c r="H1693" s="3"/>
      <c r="I1693" s="3"/>
    </row>
    <row r="1694">
      <c r="H1694" s="3"/>
      <c r="I1694" s="3"/>
    </row>
    <row r="1695">
      <c r="H1695" s="3"/>
      <c r="I1695" s="3"/>
    </row>
    <row r="1696">
      <c r="H1696" s="3"/>
      <c r="I1696" s="3"/>
    </row>
    <row r="1697">
      <c r="H1697" s="3"/>
      <c r="I1697" s="3"/>
    </row>
    <row r="1698">
      <c r="H1698" s="3"/>
      <c r="I1698" s="3"/>
    </row>
  </sheetData>
  <autoFilter ref="$A$3:$H$726">
    <filterColumn colId="0">
      <filters>
        <filter val="Week 3/22/26 - 3/28/26"/>
      </filters>
    </filterColumn>
    <sortState ref="A3:H726">
      <sortCondition ref="B3:B726"/>
    </sortState>
  </autoFilter>
  <dataValidations>
    <dataValidation type="list" allowBlank="1" showErrorMessage="1" sqref="A79:A93">
      <formula1>"Week 3/22/26 - 3/28/26"</formula1>
    </dataValidation>
    <dataValidation type="list" allowBlank="1" showErrorMessage="1" sqref="A566:A578">
      <formula1>"Week 7/13/25 - 7/19/25"</formula1>
    </dataValidation>
    <dataValidation type="list" allowBlank="1" showErrorMessage="1" sqref="A461:A474">
      <formula1>"Week 9/07/25 - 9/13/25"</formula1>
    </dataValidation>
    <dataValidation type="list" allowBlank="1" showErrorMessage="1" sqref="A55:A78 A641:A715">
      <formula1>"Week 3/2/25 - 3/8/25,Week 3/23/25 - 3/29/25,Week 3/30/25 -  4/5/25,Week 4/6/25 - 4/12/25,Week 4/13/25 - 4/19/25,Week 4/20/25 - 4/26/25,Week 4/27/25 - 5/3/25,Week 5/4/25 - 5/10/25"</formula1>
    </dataValidation>
    <dataValidation type="list" allowBlank="1" showErrorMessage="1" sqref="A447:A460">
      <formula1>"Week 9/14/25 - 9/20/25"</formula1>
    </dataValidation>
    <dataValidation type="list" allowBlank="1" showErrorMessage="1" sqref="A162:A172">
      <formula1>"Week 2/8/26 - 2/14/26"</formula1>
    </dataValidation>
    <dataValidation type="list" allowBlank="1" showErrorMessage="1" sqref="A629:A640">
      <formula1>"Week 6/8/25 - 6/14/25"</formula1>
    </dataValidation>
    <dataValidation type="list" allowBlank="1" showErrorMessage="1" sqref="A43:A54">
      <formula1>"Week 5/11/25 - 5/17/25"</formula1>
    </dataValidation>
    <dataValidation type="list" allowBlank="1" showErrorMessage="1" sqref="A4:A16">
      <formula1>"Week 6/1/25 - 6/7/25"</formula1>
    </dataValidation>
    <dataValidation type="list" allowBlank="1" showErrorMessage="1" sqref="A553:A565">
      <formula1>"Week 7/20/25 - 7/26/25"</formula1>
    </dataValidation>
    <dataValidation type="list" allowBlank="1" showErrorMessage="1" sqref="A17:A29">
      <formula1>"Week 5/25/25 - 5/31/25"</formula1>
    </dataValidation>
    <dataValidation type="list" allowBlank="1" showErrorMessage="1" sqref="A120:A133">
      <formula1>"Week 3/1/26 - 3/7/26"</formula1>
    </dataValidation>
    <dataValidation type="list" allowBlank="1" showErrorMessage="1" sqref="A418:A431">
      <formula1>"Week 9/28/25 - 10/4/25"</formula1>
    </dataValidation>
    <dataValidation type="list" allowBlank="1" showErrorMessage="1" sqref="A376:A389">
      <formula1>"Week 10/19/25 - 10/25/25"</formula1>
    </dataValidation>
    <dataValidation type="list" allowBlank="1" showErrorMessage="1" sqref="A334:A347">
      <formula1>"Week 11/9/25 - 11/15/25"</formula1>
    </dataValidation>
    <dataValidation type="list" allowBlank="1" showErrorMessage="1" sqref="A30:A42">
      <formula1>"Week 5/18/25 - 5/24/25"</formula1>
    </dataValidation>
    <dataValidation type="list" allowBlank="1" showErrorMessage="1" sqref="A592:A604">
      <formula1>"Week 6/29/25 - 7/5/25"</formula1>
    </dataValidation>
    <dataValidation type="list" allowBlank="1" showErrorMessage="1" sqref="A148:A161">
      <formula1>"Week 2/15/26 - 2/21/26"</formula1>
    </dataValidation>
    <dataValidation type="list" allowBlank="1" showErrorMessage="1" sqref="A362:A375">
      <formula1>"Week 10/26/25 - 11/1/25"</formula1>
    </dataValidation>
    <dataValidation type="list" allowBlank="1" showErrorMessage="1" sqref="A501:A513">
      <formula1>"Week 8/17/25 - 8/23/25"</formula1>
    </dataValidation>
    <dataValidation type="list" allowBlank="1" showErrorMessage="1" sqref="A348:A361">
      <formula1>"Week 11/2/25 - 11/8/25"</formula1>
    </dataValidation>
    <dataValidation type="list" allowBlank="1" showErrorMessage="1" sqref="A432:A446">
      <formula1>"Week 9/21/25 - 9/27/25"</formula1>
    </dataValidation>
    <dataValidation type="list" allowBlank="1" showErrorMessage="1" sqref="A527:A539">
      <formula1>"Week 8/3/25 - 8/9/25"</formula1>
    </dataValidation>
    <dataValidation type="list" allowBlank="1" showErrorMessage="1" sqref="A475:A487">
      <formula1>"Week 8/31/25 - 9/06/25"</formula1>
    </dataValidation>
    <dataValidation type="list" allowBlank="1" showErrorMessage="1" sqref="A291:A304">
      <formula1>"Week 11/30/25 - 12/6/25"</formula1>
    </dataValidation>
    <dataValidation type="list" allowBlank="1" showErrorMessage="1" sqref="A617:A628">
      <formula1>"Week 6/15/25 - 6/21/25"</formula1>
    </dataValidation>
    <dataValidation type="list" allowBlank="1" showErrorMessage="1" sqref="A3">
      <formula1>"Pay Week"</formula1>
    </dataValidation>
    <dataValidation type="list" allowBlank="1" showErrorMessage="1" sqref="A107:A119">
      <formula1>"Week 3/8/26 - 3/14/26"</formula1>
    </dataValidation>
    <dataValidation type="list" allowBlank="1" showErrorMessage="1" sqref="A222:A235">
      <formula1>"Week 1/4/26 - 1/10/26"</formula1>
    </dataValidation>
    <dataValidation type="list" allowBlank="1" showErrorMessage="1" sqref="A514:A526">
      <formula1>"Week 8/10/25 - 8/16/25 "</formula1>
    </dataValidation>
    <dataValidation type="list" allowBlank="1" showErrorMessage="1" sqref="A488:A500">
      <formula1>"Week 8/24/25 - 8/30/25"</formula1>
    </dataValidation>
    <dataValidation type="list" allowBlank="1" showErrorMessage="1" sqref="A173:A183">
      <formula1>"Week 2/1/26 - 2/7/26"</formula1>
    </dataValidation>
    <dataValidation type="list" allowBlank="1" showErrorMessage="1" sqref="A716:A726">
      <formula1>"Week 3/16/25 - 3/22/25"</formula1>
    </dataValidation>
    <dataValidation type="list" allowBlank="1" showErrorMessage="1" sqref="A249:A262">
      <formula1>"Week 12/21/25 - 12/27/25 "</formula1>
    </dataValidation>
    <dataValidation type="list" allowBlank="1" showErrorMessage="1" sqref="A540:A552">
      <formula1>"Week 7/27/25 - 8/2/25"</formula1>
    </dataValidation>
    <dataValidation type="list" allowBlank="1" showErrorMessage="1" sqref="A605:A616">
      <formula1>"Week 6/22/25 - 6/28/25"</formula1>
    </dataValidation>
    <dataValidation type="list" allowBlank="1" showErrorMessage="1" sqref="A209:A221">
      <formula1>"Week 1/11/26 - 1/17/26"</formula1>
    </dataValidation>
    <dataValidation type="list" allowBlank="1" showErrorMessage="1" sqref="A404:A417">
      <formula1>"Week 10/5/25 - 10/11/25"</formula1>
    </dataValidation>
    <dataValidation type="list" allowBlank="1" showErrorMessage="1" sqref="A134:A147">
      <formula1>"Week 2/22/26 - 2/28/26"</formula1>
    </dataValidation>
    <dataValidation type="list" allowBlank="1" showErrorMessage="1" sqref="A196:A208">
      <formula1>"Week 1/18/26 - 1/24/26"</formula1>
    </dataValidation>
    <dataValidation type="list" allowBlank="1" showErrorMessage="1" sqref="A579:A591">
      <formula1>"Week 7/6/25 - 7/12/25 "</formula1>
    </dataValidation>
    <dataValidation type="list" allowBlank="1" showErrorMessage="1" sqref="A305:A318">
      <formula1>"Week 11/23/25 - 11/29/25"</formula1>
    </dataValidation>
    <dataValidation type="list" allowBlank="1" showErrorMessage="1" sqref="A94:A106">
      <formula1>"Week 3/15/26 - 3/21/26"</formula1>
    </dataValidation>
    <dataValidation type="list" allowBlank="1" showErrorMessage="1" sqref="A184:A195">
      <formula1>"Week 1/25/26 - 1/31/26"</formula1>
    </dataValidation>
    <dataValidation type="list" allowBlank="1" showErrorMessage="1" sqref="A263:A276">
      <formula1>"Week 12/14/25 - 12/20/25"</formula1>
    </dataValidation>
    <dataValidation type="list" allowBlank="1" showErrorMessage="1" sqref="A236:A248">
      <formula1>"Week 12/28/25 - 1/3/25 "</formula1>
    </dataValidation>
    <dataValidation type="list" allowBlank="1" showErrorMessage="1" sqref="A277:A290">
      <formula1>"Week 12/7/25 - 12/13/25"</formula1>
    </dataValidation>
    <dataValidation type="list" allowBlank="1" showErrorMessage="1" sqref="A319:A333">
      <formula1>"Week 11/16/25 - 11/22/25"</formula1>
    </dataValidation>
    <dataValidation type="list" allowBlank="1" showErrorMessage="1" sqref="A390:A403">
      <formula1>"Week 10/12/25 - 10/18/25"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88"/>
    <col customWidth="1" min="2" max="3" width="26.25"/>
    <col customWidth="1" min="5" max="6" width="16.25"/>
  </cols>
  <sheetData>
    <row r="1">
      <c r="A1" s="2" t="s">
        <v>120</v>
      </c>
      <c r="B1" s="28"/>
      <c r="C1" s="28"/>
      <c r="E1" s="3"/>
      <c r="F1" s="3"/>
    </row>
    <row r="2">
      <c r="A2" s="4" t="s">
        <v>2</v>
      </c>
      <c r="B2" s="29" t="s">
        <v>121</v>
      </c>
      <c r="C2" s="29" t="s">
        <v>122</v>
      </c>
      <c r="D2" s="4" t="s">
        <v>123</v>
      </c>
      <c r="E2" s="5" t="s">
        <v>124</v>
      </c>
      <c r="F2" s="5"/>
    </row>
    <row r="3" hidden="1">
      <c r="A3" s="24" t="s">
        <v>125</v>
      </c>
      <c r="B3" s="30"/>
      <c r="C3" s="30" t="s">
        <v>126</v>
      </c>
      <c r="D3" s="25">
        <v>21.0</v>
      </c>
      <c r="E3" s="3">
        <f t="shared" ref="E3:E32" si="1">50*D3</f>
        <v>1050</v>
      </c>
      <c r="F3" s="3"/>
    </row>
    <row r="4" hidden="1">
      <c r="A4" s="24" t="s">
        <v>125</v>
      </c>
      <c r="B4" s="30"/>
      <c r="C4" s="30" t="s">
        <v>127</v>
      </c>
      <c r="D4" s="25">
        <v>28.0</v>
      </c>
      <c r="E4" s="3">
        <f t="shared" si="1"/>
        <v>1400</v>
      </c>
      <c r="F4" s="3"/>
    </row>
    <row r="5" hidden="1">
      <c r="A5" s="24" t="s">
        <v>125</v>
      </c>
      <c r="B5" s="30"/>
      <c r="C5" s="30" t="s">
        <v>128</v>
      </c>
      <c r="D5" s="25">
        <v>23.0</v>
      </c>
      <c r="E5" s="3">
        <f t="shared" si="1"/>
        <v>1150</v>
      </c>
      <c r="F5" s="3"/>
    </row>
    <row r="6" hidden="1">
      <c r="A6" s="24" t="s">
        <v>125</v>
      </c>
      <c r="B6" s="30"/>
      <c r="C6" s="30" t="s">
        <v>129</v>
      </c>
      <c r="D6" s="25">
        <v>28.0</v>
      </c>
      <c r="E6" s="3">
        <f t="shared" si="1"/>
        <v>1400</v>
      </c>
      <c r="F6" s="3"/>
    </row>
    <row r="7" hidden="1">
      <c r="A7" s="24" t="s">
        <v>125</v>
      </c>
      <c r="B7" s="30"/>
      <c r="C7" s="30" t="s">
        <v>130</v>
      </c>
      <c r="D7" s="25">
        <v>48.0</v>
      </c>
      <c r="E7" s="3">
        <f t="shared" si="1"/>
        <v>2400</v>
      </c>
      <c r="F7" s="3"/>
    </row>
    <row r="8" hidden="1">
      <c r="A8" s="24" t="s">
        <v>125</v>
      </c>
      <c r="B8" s="30"/>
      <c r="C8" s="30" t="s">
        <v>131</v>
      </c>
      <c r="D8" s="25">
        <v>38.0</v>
      </c>
      <c r="E8" s="3">
        <f t="shared" si="1"/>
        <v>1900</v>
      </c>
      <c r="F8" s="3"/>
    </row>
    <row r="9" hidden="1">
      <c r="A9" s="24" t="s">
        <v>125</v>
      </c>
      <c r="B9" s="30"/>
      <c r="C9" s="30" t="s">
        <v>132</v>
      </c>
      <c r="D9" s="25">
        <v>47.0</v>
      </c>
      <c r="E9" s="3">
        <f t="shared" si="1"/>
        <v>2350</v>
      </c>
      <c r="F9" s="3"/>
    </row>
    <row r="10" hidden="1">
      <c r="A10" s="24" t="s">
        <v>125</v>
      </c>
      <c r="B10" s="30"/>
      <c r="C10" s="30" t="s">
        <v>133</v>
      </c>
      <c r="D10" s="25">
        <v>34.0</v>
      </c>
      <c r="E10" s="3">
        <f t="shared" si="1"/>
        <v>1700</v>
      </c>
      <c r="F10" s="3"/>
    </row>
    <row r="11" hidden="1">
      <c r="A11" s="24" t="s">
        <v>125</v>
      </c>
      <c r="B11" s="30"/>
      <c r="C11" s="30" t="s">
        <v>134</v>
      </c>
      <c r="D11" s="25">
        <v>34.0</v>
      </c>
      <c r="E11" s="3">
        <f t="shared" si="1"/>
        <v>1700</v>
      </c>
      <c r="F11" s="3"/>
    </row>
    <row r="12" hidden="1">
      <c r="A12" s="24" t="s">
        <v>125</v>
      </c>
      <c r="B12" s="30"/>
      <c r="C12" s="30" t="s">
        <v>135</v>
      </c>
      <c r="D12" s="25">
        <v>49.0</v>
      </c>
      <c r="E12" s="3">
        <f t="shared" si="1"/>
        <v>2450</v>
      </c>
      <c r="F12" s="3"/>
    </row>
    <row r="13" hidden="1">
      <c r="A13" s="24" t="s">
        <v>125</v>
      </c>
      <c r="B13" s="30"/>
      <c r="C13" s="30" t="s">
        <v>136</v>
      </c>
      <c r="D13" s="25">
        <v>44.0</v>
      </c>
      <c r="E13" s="3">
        <f t="shared" si="1"/>
        <v>2200</v>
      </c>
      <c r="F13" s="3"/>
    </row>
    <row r="14" hidden="1">
      <c r="A14" s="24" t="s">
        <v>125</v>
      </c>
      <c r="B14" s="30"/>
      <c r="C14" s="30" t="s">
        <v>137</v>
      </c>
      <c r="D14" s="25">
        <v>0.0</v>
      </c>
      <c r="E14" s="3">
        <f t="shared" si="1"/>
        <v>0</v>
      </c>
      <c r="F14" s="3"/>
    </row>
    <row r="15" hidden="1">
      <c r="A15" s="24" t="s">
        <v>125</v>
      </c>
      <c r="B15" s="30"/>
      <c r="C15" s="30" t="s">
        <v>138</v>
      </c>
      <c r="D15" s="25">
        <v>49.0</v>
      </c>
      <c r="E15" s="3">
        <f t="shared" si="1"/>
        <v>2450</v>
      </c>
      <c r="F15" s="3"/>
    </row>
    <row r="16" hidden="1">
      <c r="A16" s="24" t="s">
        <v>125</v>
      </c>
      <c r="B16" s="30"/>
      <c r="C16" s="30" t="s">
        <v>139</v>
      </c>
      <c r="D16" s="25">
        <v>66.0</v>
      </c>
      <c r="E16" s="3">
        <f t="shared" si="1"/>
        <v>3300</v>
      </c>
      <c r="F16" s="3"/>
    </row>
    <row r="17" hidden="1">
      <c r="A17" s="24" t="s">
        <v>125</v>
      </c>
      <c r="B17" s="30"/>
      <c r="C17" s="30" t="s">
        <v>140</v>
      </c>
      <c r="D17" s="25">
        <v>39.0</v>
      </c>
      <c r="E17" s="3">
        <f t="shared" si="1"/>
        <v>1950</v>
      </c>
      <c r="F17" s="3"/>
    </row>
    <row r="18" hidden="1">
      <c r="A18" s="24" t="s">
        <v>125</v>
      </c>
      <c r="B18" s="30"/>
      <c r="C18" s="30" t="s">
        <v>141</v>
      </c>
      <c r="D18" s="25">
        <v>0.0</v>
      </c>
      <c r="E18" s="3">
        <f t="shared" si="1"/>
        <v>0</v>
      </c>
      <c r="F18" s="3"/>
    </row>
    <row r="19" hidden="1">
      <c r="A19" s="24" t="s">
        <v>125</v>
      </c>
      <c r="B19" s="30"/>
      <c r="C19" s="30" t="s">
        <v>142</v>
      </c>
      <c r="D19" s="25">
        <v>18.0</v>
      </c>
      <c r="E19" s="3">
        <f t="shared" si="1"/>
        <v>900</v>
      </c>
      <c r="F19" s="3"/>
    </row>
    <row r="20" hidden="1">
      <c r="A20" s="24" t="s">
        <v>125</v>
      </c>
      <c r="B20" s="30"/>
      <c r="C20" s="30" t="s">
        <v>143</v>
      </c>
      <c r="D20" s="25">
        <v>28.0</v>
      </c>
      <c r="E20" s="3">
        <f t="shared" si="1"/>
        <v>1400</v>
      </c>
      <c r="F20" s="3"/>
    </row>
    <row r="21" hidden="1">
      <c r="A21" s="24" t="s">
        <v>125</v>
      </c>
      <c r="B21" s="30"/>
      <c r="C21" s="30" t="s">
        <v>144</v>
      </c>
      <c r="D21" s="25">
        <v>28.0</v>
      </c>
      <c r="E21" s="3">
        <f t="shared" si="1"/>
        <v>1400</v>
      </c>
      <c r="F21" s="3"/>
    </row>
    <row r="22" hidden="1">
      <c r="A22" s="24" t="s">
        <v>125</v>
      </c>
      <c r="B22" s="30"/>
      <c r="C22" s="30" t="s">
        <v>145</v>
      </c>
      <c r="D22" s="25">
        <v>34.0</v>
      </c>
      <c r="E22" s="3">
        <f t="shared" si="1"/>
        <v>1700</v>
      </c>
      <c r="F22" s="3"/>
    </row>
    <row r="23" hidden="1">
      <c r="A23" s="24" t="s">
        <v>125</v>
      </c>
      <c r="B23" s="30"/>
      <c r="C23" s="30" t="s">
        <v>146</v>
      </c>
      <c r="D23" s="25">
        <v>8.0</v>
      </c>
      <c r="E23" s="3">
        <f t="shared" si="1"/>
        <v>400</v>
      </c>
      <c r="F23" s="3"/>
    </row>
    <row r="24" hidden="1">
      <c r="A24" s="24" t="s">
        <v>125</v>
      </c>
      <c r="B24" s="30"/>
      <c r="C24" s="30" t="s">
        <v>147</v>
      </c>
      <c r="D24" s="25">
        <v>41.0</v>
      </c>
      <c r="E24" s="3">
        <f t="shared" si="1"/>
        <v>2050</v>
      </c>
      <c r="F24" s="3"/>
    </row>
    <row r="25" hidden="1">
      <c r="A25" s="24" t="s">
        <v>125</v>
      </c>
      <c r="B25" s="30"/>
      <c r="C25" s="30" t="s">
        <v>148</v>
      </c>
      <c r="D25" s="25">
        <v>40.0</v>
      </c>
      <c r="E25" s="3">
        <f t="shared" si="1"/>
        <v>2000</v>
      </c>
      <c r="F25" s="3"/>
    </row>
    <row r="26" hidden="1">
      <c r="A26" s="24" t="s">
        <v>125</v>
      </c>
      <c r="B26" s="30"/>
      <c r="C26" s="30" t="s">
        <v>149</v>
      </c>
      <c r="D26" s="25">
        <v>59.0</v>
      </c>
      <c r="E26" s="3">
        <f t="shared" si="1"/>
        <v>2950</v>
      </c>
      <c r="F26" s="3"/>
    </row>
    <row r="27" hidden="1">
      <c r="A27" s="24" t="s">
        <v>125</v>
      </c>
      <c r="B27" s="31"/>
      <c r="C27" s="31" t="s">
        <v>150</v>
      </c>
      <c r="E27" s="3">
        <f t="shared" si="1"/>
        <v>0</v>
      </c>
      <c r="F27" s="3"/>
    </row>
    <row r="28" hidden="1">
      <c r="A28" s="24" t="s">
        <v>125</v>
      </c>
      <c r="B28" s="30"/>
      <c r="C28" s="30" t="s">
        <v>151</v>
      </c>
      <c r="D28" s="25">
        <v>18.0</v>
      </c>
      <c r="E28" s="3">
        <f t="shared" si="1"/>
        <v>900</v>
      </c>
      <c r="F28" s="3"/>
    </row>
    <row r="29" hidden="1">
      <c r="A29" s="24" t="s">
        <v>125</v>
      </c>
      <c r="B29" s="30"/>
      <c r="C29" s="30" t="s">
        <v>152</v>
      </c>
      <c r="D29" s="25">
        <v>42.0</v>
      </c>
      <c r="E29" s="3">
        <f t="shared" si="1"/>
        <v>2100</v>
      </c>
      <c r="F29" s="3"/>
    </row>
    <row r="30" hidden="1">
      <c r="A30" s="24" t="s">
        <v>125</v>
      </c>
      <c r="B30" s="30"/>
      <c r="C30" s="30" t="s">
        <v>153</v>
      </c>
      <c r="D30" s="25">
        <v>23.0</v>
      </c>
      <c r="E30" s="3">
        <f t="shared" si="1"/>
        <v>1150</v>
      </c>
      <c r="F30" s="3"/>
    </row>
    <row r="31" hidden="1">
      <c r="A31" s="24" t="s">
        <v>125</v>
      </c>
      <c r="B31" s="30"/>
      <c r="C31" s="30" t="s">
        <v>154</v>
      </c>
      <c r="D31" s="25">
        <v>43.0</v>
      </c>
      <c r="E31" s="3">
        <f t="shared" si="1"/>
        <v>2150</v>
      </c>
      <c r="F31" s="3"/>
    </row>
    <row r="32" hidden="1">
      <c r="A32" s="24" t="s">
        <v>125</v>
      </c>
      <c r="B32" s="30"/>
      <c r="C32" s="30" t="s">
        <v>155</v>
      </c>
      <c r="D32" s="25">
        <v>0.0</v>
      </c>
      <c r="E32" s="3">
        <f t="shared" si="1"/>
        <v>0</v>
      </c>
      <c r="F32" s="3"/>
    </row>
    <row r="33" hidden="1">
      <c r="A33" s="32" t="s">
        <v>116</v>
      </c>
      <c r="B33" s="33"/>
      <c r="C33" s="33" t="s">
        <v>126</v>
      </c>
      <c r="D33" s="34">
        <v>36.0</v>
      </c>
      <c r="E33" s="10">
        <f t="shared" ref="E33:E1975" si="2">D33*50</f>
        <v>1800</v>
      </c>
      <c r="F33" s="10"/>
    </row>
    <row r="34" hidden="1">
      <c r="A34" s="32" t="s">
        <v>116</v>
      </c>
      <c r="B34" s="33"/>
      <c r="C34" s="33" t="s">
        <v>156</v>
      </c>
      <c r="D34" s="34">
        <v>24.0</v>
      </c>
      <c r="E34" s="10">
        <f t="shared" si="2"/>
        <v>1200</v>
      </c>
      <c r="F34" s="10"/>
    </row>
    <row r="35" hidden="1">
      <c r="A35" s="32" t="s">
        <v>116</v>
      </c>
      <c r="B35" s="33"/>
      <c r="C35" s="33" t="s">
        <v>157</v>
      </c>
      <c r="D35" s="34">
        <v>30.0</v>
      </c>
      <c r="E35" s="10">
        <f t="shared" si="2"/>
        <v>1500</v>
      </c>
      <c r="F35" s="10"/>
    </row>
    <row r="36" hidden="1">
      <c r="A36" s="32" t="s">
        <v>116</v>
      </c>
      <c r="B36" s="33"/>
      <c r="C36" s="33" t="s">
        <v>158</v>
      </c>
      <c r="D36" s="34">
        <v>41.0</v>
      </c>
      <c r="E36" s="10">
        <f t="shared" si="2"/>
        <v>2050</v>
      </c>
      <c r="F36" s="10"/>
    </row>
    <row r="37" hidden="1">
      <c r="A37" s="32" t="s">
        <v>116</v>
      </c>
      <c r="B37" s="33"/>
      <c r="C37" s="33" t="s">
        <v>130</v>
      </c>
      <c r="D37" s="34">
        <v>55.0</v>
      </c>
      <c r="E37" s="10">
        <f t="shared" si="2"/>
        <v>2750</v>
      </c>
      <c r="F37" s="10"/>
    </row>
    <row r="38" hidden="1">
      <c r="A38" s="32" t="s">
        <v>116</v>
      </c>
      <c r="B38" s="33"/>
      <c r="C38" s="33" t="s">
        <v>159</v>
      </c>
      <c r="D38" s="34">
        <v>24.0</v>
      </c>
      <c r="E38" s="10">
        <f t="shared" si="2"/>
        <v>1200</v>
      </c>
      <c r="F38" s="10"/>
    </row>
    <row r="39" ht="15.0" customHeight="1">
      <c r="A39" s="6" t="s">
        <v>29</v>
      </c>
      <c r="B39" s="7" t="s">
        <v>160</v>
      </c>
      <c r="C39" s="13" t="s">
        <v>140</v>
      </c>
      <c r="D39" s="30">
        <v>47.0</v>
      </c>
      <c r="E39" s="10">
        <f t="shared" si="2"/>
        <v>2350</v>
      </c>
      <c r="F39" s="10" t="str">
        <f t="shared" ref="F39:F1336" si="3">D39 &amp; " completed tickets"</f>
        <v>47 completed tickets</v>
      </c>
    </row>
    <row r="40" ht="15.0" customHeight="1">
      <c r="A40" s="6" t="s">
        <v>29</v>
      </c>
      <c r="B40" s="35" t="s">
        <v>161</v>
      </c>
      <c r="C40" s="13" t="s">
        <v>152</v>
      </c>
      <c r="D40" s="30">
        <v>20.0</v>
      </c>
      <c r="E40" s="10">
        <f t="shared" si="2"/>
        <v>1000</v>
      </c>
      <c r="F40" s="10" t="str">
        <f t="shared" si="3"/>
        <v>20 completed tickets</v>
      </c>
    </row>
    <row r="41" ht="15.0" customHeight="1">
      <c r="A41" s="6" t="s">
        <v>29</v>
      </c>
      <c r="B41" s="7" t="s">
        <v>162</v>
      </c>
      <c r="C41" s="13" t="s">
        <v>163</v>
      </c>
      <c r="D41" s="30">
        <v>27.0</v>
      </c>
      <c r="E41" s="10">
        <f t="shared" si="2"/>
        <v>1350</v>
      </c>
      <c r="F41" s="10" t="str">
        <f t="shared" si="3"/>
        <v>27 completed tickets</v>
      </c>
    </row>
    <row r="42" ht="15.0" customHeight="1">
      <c r="A42" s="6" t="s">
        <v>29</v>
      </c>
      <c r="B42" s="7" t="s">
        <v>164</v>
      </c>
      <c r="C42" s="13" t="s">
        <v>158</v>
      </c>
      <c r="D42" s="30">
        <v>45.0</v>
      </c>
      <c r="E42" s="10">
        <f t="shared" si="2"/>
        <v>2250</v>
      </c>
      <c r="F42" s="10" t="str">
        <f t="shared" si="3"/>
        <v>45 completed tickets</v>
      </c>
    </row>
    <row r="43" ht="15.0" customHeight="1">
      <c r="A43" s="6" t="s">
        <v>29</v>
      </c>
      <c r="B43" s="7" t="s">
        <v>165</v>
      </c>
      <c r="C43" s="13" t="s">
        <v>166</v>
      </c>
      <c r="D43" s="30">
        <v>68.0</v>
      </c>
      <c r="E43" s="10">
        <f t="shared" si="2"/>
        <v>3400</v>
      </c>
      <c r="F43" s="10" t="str">
        <f t="shared" si="3"/>
        <v>68 completed tickets</v>
      </c>
    </row>
    <row r="44" ht="15.0" customHeight="1">
      <c r="A44" s="6" t="s">
        <v>29</v>
      </c>
      <c r="B44" s="7" t="s">
        <v>167</v>
      </c>
      <c r="C44" s="13" t="s">
        <v>157</v>
      </c>
      <c r="D44" s="30">
        <v>27.0</v>
      </c>
      <c r="E44" s="10">
        <f t="shared" si="2"/>
        <v>1350</v>
      </c>
      <c r="F44" s="10" t="str">
        <f t="shared" si="3"/>
        <v>27 completed tickets</v>
      </c>
    </row>
    <row r="45" ht="15.0" customHeight="1">
      <c r="A45" s="6" t="s">
        <v>29</v>
      </c>
      <c r="B45" s="7" t="s">
        <v>168</v>
      </c>
      <c r="C45" s="13" t="s">
        <v>169</v>
      </c>
      <c r="D45" s="30">
        <v>15.0</v>
      </c>
      <c r="E45" s="10">
        <f t="shared" si="2"/>
        <v>750</v>
      </c>
      <c r="F45" s="10" t="str">
        <f t="shared" si="3"/>
        <v>15 completed tickets</v>
      </c>
    </row>
    <row r="46" ht="15.0" customHeight="1">
      <c r="A46" s="6" t="s">
        <v>29</v>
      </c>
      <c r="B46" s="36" t="s">
        <v>170</v>
      </c>
      <c r="C46" s="13" t="s">
        <v>171</v>
      </c>
      <c r="D46" s="30">
        <v>20.0</v>
      </c>
      <c r="E46" s="10">
        <f t="shared" si="2"/>
        <v>1000</v>
      </c>
      <c r="F46" s="10" t="str">
        <f t="shared" si="3"/>
        <v>20 completed tickets</v>
      </c>
    </row>
    <row r="47" ht="15.0" customHeight="1">
      <c r="A47" s="6" t="s">
        <v>29</v>
      </c>
      <c r="B47" s="35" t="s">
        <v>172</v>
      </c>
      <c r="C47" s="13" t="s">
        <v>173</v>
      </c>
      <c r="D47" s="30">
        <v>66.0</v>
      </c>
      <c r="E47" s="10">
        <f t="shared" si="2"/>
        <v>3300</v>
      </c>
      <c r="F47" s="10" t="str">
        <f t="shared" si="3"/>
        <v>66 completed tickets</v>
      </c>
    </row>
    <row r="48" ht="15.0" customHeight="1">
      <c r="A48" s="6" t="s">
        <v>29</v>
      </c>
      <c r="B48" s="33" t="s">
        <v>174</v>
      </c>
      <c r="C48" s="13" t="s">
        <v>175</v>
      </c>
      <c r="D48" s="30">
        <v>23.0</v>
      </c>
      <c r="E48" s="10">
        <f t="shared" si="2"/>
        <v>1150</v>
      </c>
      <c r="F48" s="10" t="str">
        <f t="shared" si="3"/>
        <v>23 completed tickets</v>
      </c>
    </row>
    <row r="49" ht="15.0" customHeight="1">
      <c r="A49" s="6" t="s">
        <v>29</v>
      </c>
      <c r="B49" s="33" t="s">
        <v>176</v>
      </c>
      <c r="C49" s="13" t="s">
        <v>130</v>
      </c>
      <c r="D49" s="30">
        <v>46.0</v>
      </c>
      <c r="E49" s="10">
        <f t="shared" si="2"/>
        <v>2300</v>
      </c>
      <c r="F49" s="10" t="str">
        <f t="shared" si="3"/>
        <v>46 completed tickets</v>
      </c>
    </row>
    <row r="50" ht="15.0" customHeight="1">
      <c r="A50" s="6" t="s">
        <v>29</v>
      </c>
      <c r="B50" s="35" t="s">
        <v>177</v>
      </c>
      <c r="C50" s="13" t="s">
        <v>144</v>
      </c>
      <c r="D50" s="30">
        <v>38.0</v>
      </c>
      <c r="E50" s="10">
        <f t="shared" si="2"/>
        <v>1900</v>
      </c>
      <c r="F50" s="10" t="str">
        <f t="shared" si="3"/>
        <v>38 completed tickets</v>
      </c>
    </row>
    <row r="51" ht="15.0" customHeight="1">
      <c r="A51" s="6" t="s">
        <v>29</v>
      </c>
      <c r="B51" s="35" t="s">
        <v>178</v>
      </c>
      <c r="C51" s="30" t="s">
        <v>179</v>
      </c>
      <c r="D51" s="30">
        <v>6.0</v>
      </c>
      <c r="E51" s="10">
        <f t="shared" si="2"/>
        <v>300</v>
      </c>
      <c r="F51" s="10" t="str">
        <f t="shared" si="3"/>
        <v>6 completed tickets</v>
      </c>
    </row>
    <row r="52" ht="15.0" customHeight="1">
      <c r="A52" s="6" t="s">
        <v>29</v>
      </c>
      <c r="B52" s="35" t="s">
        <v>180</v>
      </c>
      <c r="C52" s="30" t="s">
        <v>181</v>
      </c>
      <c r="D52" s="30">
        <v>52.0</v>
      </c>
      <c r="E52" s="10">
        <f t="shared" si="2"/>
        <v>2600</v>
      </c>
      <c r="F52" s="10" t="str">
        <f t="shared" si="3"/>
        <v>52 completed tickets</v>
      </c>
    </row>
    <row r="53" ht="15.0" customHeight="1">
      <c r="A53" s="6" t="s">
        <v>29</v>
      </c>
      <c r="B53" s="35" t="s">
        <v>182</v>
      </c>
      <c r="C53" s="30" t="s">
        <v>183</v>
      </c>
      <c r="D53" s="30">
        <v>20.0</v>
      </c>
      <c r="E53" s="10">
        <f t="shared" si="2"/>
        <v>1000</v>
      </c>
      <c r="F53" s="10" t="str">
        <f t="shared" si="3"/>
        <v>20 completed tickets</v>
      </c>
    </row>
    <row r="54" ht="15.0" customHeight="1">
      <c r="A54" s="6" t="s">
        <v>29</v>
      </c>
      <c r="B54" s="37" t="s">
        <v>184</v>
      </c>
      <c r="C54" s="30" t="s">
        <v>185</v>
      </c>
      <c r="D54" s="30">
        <v>16.0</v>
      </c>
      <c r="E54" s="10">
        <f t="shared" si="2"/>
        <v>800</v>
      </c>
      <c r="F54" s="10" t="str">
        <f t="shared" si="3"/>
        <v>16 completed tickets</v>
      </c>
    </row>
    <row r="55" ht="15.0" customHeight="1">
      <c r="A55" s="6" t="s">
        <v>29</v>
      </c>
      <c r="B55" s="30" t="s">
        <v>186</v>
      </c>
      <c r="C55" s="30" t="s">
        <v>187</v>
      </c>
      <c r="D55" s="30">
        <v>45.0</v>
      </c>
      <c r="E55" s="10">
        <f t="shared" si="2"/>
        <v>2250</v>
      </c>
      <c r="F55" s="10" t="str">
        <f t="shared" si="3"/>
        <v>45 completed tickets</v>
      </c>
    </row>
    <row r="56" ht="15.0" customHeight="1">
      <c r="A56" s="6" t="s">
        <v>29</v>
      </c>
      <c r="B56" s="38" t="s">
        <v>188</v>
      </c>
      <c r="C56" s="30" t="s">
        <v>189</v>
      </c>
      <c r="D56" s="25">
        <v>30.0</v>
      </c>
      <c r="E56" s="10">
        <f t="shared" si="2"/>
        <v>1500</v>
      </c>
      <c r="F56" s="10" t="str">
        <f t="shared" si="3"/>
        <v>30 completed tickets</v>
      </c>
    </row>
    <row r="57" ht="15.0" customHeight="1">
      <c r="A57" s="6" t="s">
        <v>29</v>
      </c>
      <c r="B57" s="37" t="s">
        <v>190</v>
      </c>
      <c r="C57" s="30" t="s">
        <v>191</v>
      </c>
      <c r="D57" s="25">
        <v>10.0</v>
      </c>
      <c r="E57" s="10">
        <f t="shared" si="2"/>
        <v>500</v>
      </c>
      <c r="F57" s="10" t="str">
        <f t="shared" si="3"/>
        <v>10 completed tickets</v>
      </c>
    </row>
    <row r="58" ht="15.0" customHeight="1">
      <c r="A58" s="6" t="s">
        <v>29</v>
      </c>
      <c r="B58" s="37" t="s">
        <v>192</v>
      </c>
      <c r="C58" s="30" t="s">
        <v>193</v>
      </c>
      <c r="D58" s="25">
        <v>13.0</v>
      </c>
      <c r="E58" s="10">
        <f t="shared" si="2"/>
        <v>650</v>
      </c>
      <c r="F58" s="10" t="str">
        <f t="shared" si="3"/>
        <v>13 completed tickets</v>
      </c>
    </row>
    <row r="59" ht="15.0" customHeight="1">
      <c r="A59" s="6" t="s">
        <v>29</v>
      </c>
      <c r="B59" s="37" t="s">
        <v>194</v>
      </c>
      <c r="C59" s="30" t="s">
        <v>195</v>
      </c>
      <c r="D59" s="25">
        <v>12.0</v>
      </c>
      <c r="E59" s="10">
        <f t="shared" si="2"/>
        <v>600</v>
      </c>
      <c r="F59" s="10" t="str">
        <f t="shared" si="3"/>
        <v>12 completed tickets</v>
      </c>
    </row>
    <row r="60" ht="15.0" customHeight="1">
      <c r="A60" s="6" t="s">
        <v>29</v>
      </c>
      <c r="B60" s="30" t="s">
        <v>196</v>
      </c>
      <c r="C60" s="30" t="s">
        <v>197</v>
      </c>
      <c r="D60" s="25">
        <v>26.0</v>
      </c>
      <c r="E60" s="10">
        <f t="shared" si="2"/>
        <v>1300</v>
      </c>
      <c r="F60" s="10" t="str">
        <f t="shared" si="3"/>
        <v>26 completed tickets</v>
      </c>
    </row>
    <row r="61" ht="15.0" customHeight="1">
      <c r="A61" s="6" t="s">
        <v>29</v>
      </c>
      <c r="B61" s="30" t="s">
        <v>198</v>
      </c>
      <c r="C61" s="30" t="s">
        <v>199</v>
      </c>
      <c r="D61" s="25">
        <v>50.0</v>
      </c>
      <c r="E61" s="10">
        <f t="shared" si="2"/>
        <v>2500</v>
      </c>
      <c r="F61" s="10" t="str">
        <f t="shared" si="3"/>
        <v>50 completed tickets</v>
      </c>
    </row>
    <row r="62" ht="15.0" customHeight="1">
      <c r="A62" s="6" t="s">
        <v>29</v>
      </c>
      <c r="B62" s="30" t="s">
        <v>200</v>
      </c>
      <c r="C62" s="30" t="s">
        <v>201</v>
      </c>
      <c r="D62" s="25">
        <v>18.0</v>
      </c>
      <c r="E62" s="10">
        <f t="shared" si="2"/>
        <v>900</v>
      </c>
      <c r="F62" s="10" t="str">
        <f t="shared" si="3"/>
        <v>18 completed tickets</v>
      </c>
    </row>
    <row r="63" ht="15.0" customHeight="1">
      <c r="A63" s="6" t="s">
        <v>29</v>
      </c>
      <c r="B63" s="38" t="s">
        <v>202</v>
      </c>
      <c r="C63" s="30" t="s">
        <v>203</v>
      </c>
      <c r="D63" s="25">
        <v>10.0</v>
      </c>
      <c r="E63" s="10">
        <f t="shared" si="2"/>
        <v>500</v>
      </c>
      <c r="F63" s="10" t="str">
        <f t="shared" si="3"/>
        <v>10 completed tickets</v>
      </c>
    </row>
    <row r="64" ht="15.0" customHeight="1">
      <c r="A64" s="6" t="s">
        <v>29</v>
      </c>
      <c r="B64" s="30" t="s">
        <v>204</v>
      </c>
      <c r="C64" s="30" t="s">
        <v>205</v>
      </c>
      <c r="D64" s="25">
        <v>29.0</v>
      </c>
      <c r="E64" s="10">
        <f t="shared" si="2"/>
        <v>1450</v>
      </c>
      <c r="F64" s="10" t="str">
        <f t="shared" si="3"/>
        <v>29 completed tickets</v>
      </c>
    </row>
    <row r="65" ht="15.0" customHeight="1">
      <c r="A65" s="6" t="s">
        <v>29</v>
      </c>
      <c r="B65" s="36" t="s">
        <v>206</v>
      </c>
      <c r="C65" s="30" t="s">
        <v>207</v>
      </c>
      <c r="D65" s="25">
        <v>30.0</v>
      </c>
      <c r="E65" s="10">
        <f t="shared" si="2"/>
        <v>1500</v>
      </c>
      <c r="F65" s="10" t="str">
        <f t="shared" si="3"/>
        <v>30 completed tickets</v>
      </c>
    </row>
    <row r="66" ht="15.0" customHeight="1">
      <c r="A66" s="6" t="s">
        <v>29</v>
      </c>
      <c r="B66" s="30" t="s">
        <v>208</v>
      </c>
      <c r="C66" s="30" t="s">
        <v>209</v>
      </c>
      <c r="D66" s="25">
        <v>13.0</v>
      </c>
      <c r="E66" s="10">
        <f t="shared" si="2"/>
        <v>650</v>
      </c>
      <c r="F66" s="10" t="str">
        <f t="shared" si="3"/>
        <v>13 completed tickets</v>
      </c>
    </row>
    <row r="67" ht="15.0" customHeight="1">
      <c r="A67" s="6" t="s">
        <v>29</v>
      </c>
      <c r="B67" s="30" t="s">
        <v>210</v>
      </c>
      <c r="C67" s="30" t="s">
        <v>211</v>
      </c>
      <c r="D67" s="25">
        <v>12.0</v>
      </c>
      <c r="E67" s="10">
        <f t="shared" si="2"/>
        <v>600</v>
      </c>
      <c r="F67" s="10" t="str">
        <f t="shared" si="3"/>
        <v>12 completed tickets</v>
      </c>
    </row>
    <row r="68" ht="15.0" customHeight="1">
      <c r="A68" s="6" t="s">
        <v>29</v>
      </c>
      <c r="B68" s="30" t="s">
        <v>212</v>
      </c>
      <c r="C68" s="30" t="s">
        <v>213</v>
      </c>
      <c r="D68" s="25">
        <v>30.0</v>
      </c>
      <c r="E68" s="10">
        <f t="shared" si="2"/>
        <v>1500</v>
      </c>
      <c r="F68" s="10" t="str">
        <f t="shared" si="3"/>
        <v>30 completed tickets</v>
      </c>
    </row>
    <row r="69" ht="15.0" customHeight="1">
      <c r="A69" s="6" t="s">
        <v>29</v>
      </c>
      <c r="B69" s="30" t="s">
        <v>214</v>
      </c>
      <c r="C69" s="30" t="s">
        <v>215</v>
      </c>
      <c r="D69" s="25">
        <v>9.0</v>
      </c>
      <c r="E69" s="10">
        <f t="shared" si="2"/>
        <v>450</v>
      </c>
      <c r="F69" s="10" t="str">
        <f t="shared" si="3"/>
        <v>9 completed tickets</v>
      </c>
    </row>
    <row r="70" ht="15.0" customHeight="1">
      <c r="A70" s="6" t="s">
        <v>29</v>
      </c>
      <c r="B70" s="25" t="s">
        <v>216</v>
      </c>
      <c r="C70" s="30" t="s">
        <v>217</v>
      </c>
      <c r="D70" s="25">
        <v>19.0</v>
      </c>
      <c r="E70" s="10">
        <f t="shared" si="2"/>
        <v>950</v>
      </c>
      <c r="F70" s="10" t="str">
        <f t="shared" si="3"/>
        <v>19 completed tickets</v>
      </c>
    </row>
    <row r="71" ht="15.0" customHeight="1">
      <c r="A71" s="6" t="s">
        <v>29</v>
      </c>
      <c r="B71" s="30" t="s">
        <v>218</v>
      </c>
      <c r="C71" s="30" t="s">
        <v>219</v>
      </c>
      <c r="D71" s="25">
        <v>23.0</v>
      </c>
      <c r="E71" s="10">
        <f t="shared" si="2"/>
        <v>1150</v>
      </c>
      <c r="F71" s="10" t="str">
        <f t="shared" si="3"/>
        <v>23 completed tickets</v>
      </c>
    </row>
    <row r="72" ht="15.0" customHeight="1">
      <c r="A72" s="6" t="s">
        <v>29</v>
      </c>
      <c r="B72" s="25" t="s">
        <v>220</v>
      </c>
      <c r="C72" s="30" t="s">
        <v>221</v>
      </c>
      <c r="D72" s="25">
        <v>12.0</v>
      </c>
      <c r="E72" s="10">
        <f t="shared" si="2"/>
        <v>600</v>
      </c>
      <c r="F72" s="10" t="str">
        <f t="shared" si="3"/>
        <v>12 completed tickets</v>
      </c>
    </row>
    <row r="73" ht="15.0" customHeight="1">
      <c r="A73" s="6" t="s">
        <v>29</v>
      </c>
      <c r="B73" s="25" t="s">
        <v>222</v>
      </c>
      <c r="C73" s="30" t="s">
        <v>223</v>
      </c>
      <c r="D73" s="25">
        <v>16.0</v>
      </c>
      <c r="E73" s="10">
        <f t="shared" si="2"/>
        <v>800</v>
      </c>
      <c r="F73" s="10" t="str">
        <f t="shared" si="3"/>
        <v>16 completed tickets</v>
      </c>
    </row>
    <row r="74" ht="15.0" customHeight="1">
      <c r="A74" s="6" t="s">
        <v>29</v>
      </c>
      <c r="B74" s="30" t="s">
        <v>224</v>
      </c>
      <c r="C74" s="30" t="s">
        <v>225</v>
      </c>
      <c r="D74" s="25">
        <v>16.0</v>
      </c>
      <c r="E74" s="10">
        <f t="shared" si="2"/>
        <v>800</v>
      </c>
      <c r="F74" s="10" t="str">
        <f t="shared" si="3"/>
        <v>16 completed tickets</v>
      </c>
    </row>
    <row r="75" ht="15.0" customHeight="1">
      <c r="A75" s="6" t="s">
        <v>29</v>
      </c>
      <c r="B75" s="30" t="s">
        <v>226</v>
      </c>
      <c r="C75" s="30" t="s">
        <v>227</v>
      </c>
      <c r="D75" s="25">
        <v>17.0</v>
      </c>
      <c r="E75" s="10">
        <f t="shared" si="2"/>
        <v>850</v>
      </c>
      <c r="F75" s="10" t="str">
        <f t="shared" si="3"/>
        <v>17 completed tickets</v>
      </c>
    </row>
    <row r="76" ht="15.0" customHeight="1">
      <c r="A76" s="6" t="s">
        <v>29</v>
      </c>
      <c r="B76" s="30" t="s">
        <v>228</v>
      </c>
      <c r="C76" s="30" t="s">
        <v>229</v>
      </c>
      <c r="D76" s="25">
        <v>9.0</v>
      </c>
      <c r="E76" s="10">
        <f t="shared" si="2"/>
        <v>450</v>
      </c>
      <c r="F76" s="10" t="str">
        <f t="shared" si="3"/>
        <v>9 completed tickets</v>
      </c>
    </row>
    <row r="77" ht="15.0" customHeight="1">
      <c r="A77" s="6" t="s">
        <v>29</v>
      </c>
      <c r="B77" s="30" t="s">
        <v>230</v>
      </c>
      <c r="C77" s="30" t="s">
        <v>231</v>
      </c>
      <c r="D77" s="25">
        <v>9.0</v>
      </c>
      <c r="E77" s="10">
        <f t="shared" si="2"/>
        <v>450</v>
      </c>
      <c r="F77" s="10" t="str">
        <f t="shared" si="3"/>
        <v>9 completed tickets</v>
      </c>
    </row>
    <row r="78" ht="15.0" customHeight="1">
      <c r="A78" s="6" t="s">
        <v>29</v>
      </c>
      <c r="B78" s="30" t="s">
        <v>232</v>
      </c>
      <c r="C78" s="30" t="s">
        <v>233</v>
      </c>
      <c r="D78" s="25">
        <v>6.0</v>
      </c>
      <c r="E78" s="10">
        <f t="shared" si="2"/>
        <v>300</v>
      </c>
      <c r="F78" s="10" t="str">
        <f t="shared" si="3"/>
        <v>6 completed tickets</v>
      </c>
    </row>
    <row r="79" ht="15.0" customHeight="1">
      <c r="A79" s="6" t="s">
        <v>29</v>
      </c>
      <c r="B79" s="25" t="s">
        <v>234</v>
      </c>
      <c r="C79" s="30" t="s">
        <v>235</v>
      </c>
      <c r="D79" s="25">
        <v>2.0</v>
      </c>
      <c r="E79" s="10">
        <f t="shared" si="2"/>
        <v>100</v>
      </c>
      <c r="F79" s="10" t="str">
        <f t="shared" si="3"/>
        <v>2 completed tickets</v>
      </c>
    </row>
    <row r="80" ht="15.0" customHeight="1">
      <c r="A80" s="6" t="s">
        <v>29</v>
      </c>
      <c r="B80" s="30" t="s">
        <v>236</v>
      </c>
      <c r="C80" s="30" t="s">
        <v>237</v>
      </c>
      <c r="D80" s="25">
        <v>2.0</v>
      </c>
      <c r="E80" s="10">
        <f t="shared" si="2"/>
        <v>100</v>
      </c>
      <c r="F80" s="10" t="str">
        <f t="shared" si="3"/>
        <v>2 completed tickets</v>
      </c>
    </row>
    <row r="81" ht="15.0" customHeight="1">
      <c r="A81" s="6" t="s">
        <v>29</v>
      </c>
      <c r="B81" s="30" t="s">
        <v>238</v>
      </c>
      <c r="C81" s="30" t="s">
        <v>239</v>
      </c>
      <c r="D81" s="25">
        <v>2.0</v>
      </c>
      <c r="E81" s="10">
        <f t="shared" si="2"/>
        <v>100</v>
      </c>
      <c r="F81" s="10" t="str">
        <f t="shared" si="3"/>
        <v>2 completed tickets</v>
      </c>
    </row>
    <row r="82" ht="15.0" customHeight="1">
      <c r="A82" s="6" t="s">
        <v>29</v>
      </c>
      <c r="B82" s="30" t="s">
        <v>240</v>
      </c>
      <c r="C82" s="30" t="s">
        <v>241</v>
      </c>
      <c r="D82" s="25">
        <v>2.0</v>
      </c>
      <c r="E82" s="10">
        <f t="shared" si="2"/>
        <v>100</v>
      </c>
      <c r="F82" s="10" t="str">
        <f t="shared" si="3"/>
        <v>2 completed tickets</v>
      </c>
    </row>
    <row r="83" ht="15.0" customHeight="1">
      <c r="A83" s="6" t="s">
        <v>29</v>
      </c>
      <c r="B83" s="30" t="s">
        <v>242</v>
      </c>
      <c r="C83" s="30" t="s">
        <v>243</v>
      </c>
      <c r="D83" s="25">
        <v>2.0</v>
      </c>
      <c r="E83" s="10">
        <f t="shared" si="2"/>
        <v>100</v>
      </c>
      <c r="F83" s="10" t="str">
        <f t="shared" si="3"/>
        <v>2 completed tickets</v>
      </c>
    </row>
    <row r="84" ht="15.0" customHeight="1">
      <c r="A84" s="6" t="s">
        <v>29</v>
      </c>
      <c r="B84" s="30" t="s">
        <v>244</v>
      </c>
      <c r="C84" s="30" t="s">
        <v>245</v>
      </c>
      <c r="D84" s="25">
        <v>2.0</v>
      </c>
      <c r="E84" s="10">
        <f t="shared" si="2"/>
        <v>100</v>
      </c>
      <c r="F84" s="10" t="str">
        <f t="shared" si="3"/>
        <v>2 completed tickets</v>
      </c>
    </row>
    <row r="85" ht="15.0" customHeight="1">
      <c r="A85" s="6" t="s">
        <v>29</v>
      </c>
      <c r="B85" s="30" t="s">
        <v>246</v>
      </c>
      <c r="C85" s="30" t="s">
        <v>247</v>
      </c>
      <c r="D85" s="25">
        <v>2.0</v>
      </c>
      <c r="E85" s="10">
        <f t="shared" si="2"/>
        <v>100</v>
      </c>
      <c r="F85" s="10" t="str">
        <f t="shared" si="3"/>
        <v>2 completed tickets</v>
      </c>
    </row>
    <row r="86" ht="15.0" customHeight="1">
      <c r="A86" s="6" t="s">
        <v>29</v>
      </c>
      <c r="B86" s="30" t="s">
        <v>248</v>
      </c>
      <c r="C86" s="30" t="s">
        <v>249</v>
      </c>
      <c r="D86" s="25">
        <v>2.0</v>
      </c>
      <c r="E86" s="10">
        <f t="shared" si="2"/>
        <v>100</v>
      </c>
      <c r="F86" s="10" t="str">
        <f t="shared" si="3"/>
        <v>2 completed tickets</v>
      </c>
    </row>
    <row r="87" ht="15.0" customHeight="1">
      <c r="A87" s="6" t="s">
        <v>29</v>
      </c>
      <c r="B87" s="30" t="s">
        <v>250</v>
      </c>
      <c r="C87" s="30" t="s">
        <v>137</v>
      </c>
      <c r="D87" s="25">
        <v>2.0</v>
      </c>
      <c r="E87" s="10">
        <f t="shared" si="2"/>
        <v>100</v>
      </c>
      <c r="F87" s="10" t="str">
        <f t="shared" si="3"/>
        <v>2 completed tickets</v>
      </c>
    </row>
    <row r="88" ht="15.0" customHeight="1">
      <c r="A88" s="6" t="s">
        <v>29</v>
      </c>
      <c r="B88" s="30" t="s">
        <v>236</v>
      </c>
      <c r="C88" s="30" t="s">
        <v>251</v>
      </c>
      <c r="D88" s="25">
        <v>5.0</v>
      </c>
      <c r="E88" s="10">
        <f t="shared" si="2"/>
        <v>250</v>
      </c>
      <c r="F88" s="10" t="str">
        <f t="shared" si="3"/>
        <v>5 completed tickets</v>
      </c>
    </row>
    <row r="89" ht="15.0" hidden="1" customHeight="1">
      <c r="A89" s="6" t="s">
        <v>38</v>
      </c>
      <c r="B89" s="7" t="s">
        <v>160</v>
      </c>
      <c r="C89" s="13" t="s">
        <v>140</v>
      </c>
      <c r="D89" s="39">
        <v>48.0</v>
      </c>
      <c r="E89" s="10">
        <f t="shared" si="2"/>
        <v>2400</v>
      </c>
      <c r="F89" s="10" t="str">
        <f t="shared" si="3"/>
        <v>48 completed tickets</v>
      </c>
    </row>
    <row r="90" ht="15.0" hidden="1" customHeight="1">
      <c r="A90" s="6" t="s">
        <v>38</v>
      </c>
      <c r="B90" s="35" t="s">
        <v>161</v>
      </c>
      <c r="C90" s="13" t="s">
        <v>152</v>
      </c>
      <c r="D90" s="39">
        <v>20.0</v>
      </c>
      <c r="E90" s="10">
        <f t="shared" si="2"/>
        <v>1000</v>
      </c>
      <c r="F90" s="10" t="str">
        <f t="shared" si="3"/>
        <v>20 completed tickets</v>
      </c>
    </row>
    <row r="91" ht="15.0" hidden="1" customHeight="1">
      <c r="A91" s="6" t="s">
        <v>38</v>
      </c>
      <c r="B91" s="7" t="s">
        <v>162</v>
      </c>
      <c r="C91" s="13" t="s">
        <v>163</v>
      </c>
      <c r="D91" s="39">
        <v>30.0</v>
      </c>
      <c r="E91" s="10">
        <f t="shared" si="2"/>
        <v>1500</v>
      </c>
      <c r="F91" s="10" t="str">
        <f t="shared" si="3"/>
        <v>30 completed tickets</v>
      </c>
    </row>
    <row r="92" ht="15.0" hidden="1" customHeight="1">
      <c r="A92" s="6" t="s">
        <v>38</v>
      </c>
      <c r="B92" s="7" t="s">
        <v>164</v>
      </c>
      <c r="C92" s="13" t="s">
        <v>158</v>
      </c>
      <c r="D92" s="39">
        <v>46.0</v>
      </c>
      <c r="E92" s="10">
        <f t="shared" si="2"/>
        <v>2300</v>
      </c>
      <c r="F92" s="10" t="str">
        <f t="shared" si="3"/>
        <v>46 completed tickets</v>
      </c>
    </row>
    <row r="93" ht="15.0" hidden="1" customHeight="1">
      <c r="A93" s="6" t="s">
        <v>38</v>
      </c>
      <c r="B93" s="7" t="s">
        <v>165</v>
      </c>
      <c r="C93" s="13" t="s">
        <v>166</v>
      </c>
      <c r="D93" s="39">
        <v>58.0</v>
      </c>
      <c r="E93" s="10">
        <f t="shared" si="2"/>
        <v>2900</v>
      </c>
      <c r="F93" s="10" t="str">
        <f t="shared" si="3"/>
        <v>58 completed tickets</v>
      </c>
    </row>
    <row r="94" ht="15.0" hidden="1" customHeight="1">
      <c r="A94" s="6" t="s">
        <v>38</v>
      </c>
      <c r="B94" s="7" t="s">
        <v>167</v>
      </c>
      <c r="C94" s="13" t="s">
        <v>157</v>
      </c>
      <c r="D94" s="39">
        <v>21.0</v>
      </c>
      <c r="E94" s="10">
        <f t="shared" si="2"/>
        <v>1050</v>
      </c>
      <c r="F94" s="10" t="str">
        <f t="shared" si="3"/>
        <v>21 completed tickets</v>
      </c>
    </row>
    <row r="95" ht="15.0" hidden="1" customHeight="1">
      <c r="A95" s="6" t="s">
        <v>38</v>
      </c>
      <c r="B95" s="7" t="s">
        <v>168</v>
      </c>
      <c r="C95" s="13" t="s">
        <v>169</v>
      </c>
      <c r="D95" s="39">
        <v>36.0</v>
      </c>
      <c r="E95" s="10">
        <f t="shared" si="2"/>
        <v>1800</v>
      </c>
      <c r="F95" s="10" t="str">
        <f t="shared" si="3"/>
        <v>36 completed tickets</v>
      </c>
    </row>
    <row r="96" ht="15.0" hidden="1" customHeight="1">
      <c r="A96" s="6" t="s">
        <v>38</v>
      </c>
      <c r="B96" s="33" t="s">
        <v>172</v>
      </c>
      <c r="C96" s="13" t="s">
        <v>173</v>
      </c>
      <c r="D96" s="39">
        <v>54.0</v>
      </c>
      <c r="E96" s="10">
        <f t="shared" si="2"/>
        <v>2700</v>
      </c>
      <c r="F96" s="10" t="str">
        <f t="shared" si="3"/>
        <v>54 completed tickets</v>
      </c>
    </row>
    <row r="97" ht="15.0" hidden="1" customHeight="1">
      <c r="A97" s="6" t="s">
        <v>38</v>
      </c>
      <c r="B97" s="35" t="s">
        <v>174</v>
      </c>
      <c r="C97" s="13" t="s">
        <v>175</v>
      </c>
      <c r="D97" s="39">
        <v>33.0</v>
      </c>
      <c r="E97" s="10">
        <f t="shared" si="2"/>
        <v>1650</v>
      </c>
      <c r="F97" s="10" t="str">
        <f t="shared" si="3"/>
        <v>33 completed tickets</v>
      </c>
    </row>
    <row r="98" ht="15.0" hidden="1" customHeight="1">
      <c r="A98" s="6" t="s">
        <v>38</v>
      </c>
      <c r="B98" s="33" t="s">
        <v>176</v>
      </c>
      <c r="C98" s="13" t="s">
        <v>130</v>
      </c>
      <c r="D98" s="39">
        <v>20.0</v>
      </c>
      <c r="E98" s="10">
        <f t="shared" si="2"/>
        <v>1000</v>
      </c>
      <c r="F98" s="10" t="str">
        <f t="shared" si="3"/>
        <v>20 completed tickets</v>
      </c>
    </row>
    <row r="99" ht="15.0" hidden="1" customHeight="1">
      <c r="A99" s="6" t="s">
        <v>38</v>
      </c>
      <c r="B99" s="33" t="s">
        <v>252</v>
      </c>
      <c r="C99" s="13" t="s">
        <v>139</v>
      </c>
      <c r="D99" s="39">
        <v>26.0</v>
      </c>
      <c r="E99" s="10">
        <f t="shared" si="2"/>
        <v>1300</v>
      </c>
      <c r="F99" s="10" t="str">
        <f t="shared" si="3"/>
        <v>26 completed tickets</v>
      </c>
    </row>
    <row r="100" ht="15.0" hidden="1" customHeight="1">
      <c r="A100" s="6" t="s">
        <v>38</v>
      </c>
      <c r="B100" s="33" t="s">
        <v>177</v>
      </c>
      <c r="C100" s="13" t="s">
        <v>144</v>
      </c>
      <c r="D100" s="39">
        <v>8.0</v>
      </c>
      <c r="E100" s="10">
        <f t="shared" si="2"/>
        <v>400</v>
      </c>
      <c r="F100" s="10" t="str">
        <f t="shared" si="3"/>
        <v>8 completed tickets</v>
      </c>
    </row>
    <row r="101" ht="15.0" hidden="1" customHeight="1">
      <c r="A101" s="6" t="s">
        <v>38</v>
      </c>
      <c r="B101" s="35" t="s">
        <v>178</v>
      </c>
      <c r="C101" s="38" t="s">
        <v>179</v>
      </c>
      <c r="D101" s="39">
        <v>8.0</v>
      </c>
      <c r="E101" s="10">
        <f t="shared" si="2"/>
        <v>400</v>
      </c>
      <c r="F101" s="10" t="str">
        <f t="shared" si="3"/>
        <v>8 completed tickets</v>
      </c>
    </row>
    <row r="102" ht="15.0" hidden="1" customHeight="1">
      <c r="A102" s="6" t="s">
        <v>38</v>
      </c>
      <c r="B102" s="35" t="s">
        <v>180</v>
      </c>
      <c r="C102" s="38" t="s">
        <v>181</v>
      </c>
      <c r="D102" s="39">
        <v>55.0</v>
      </c>
      <c r="E102" s="10">
        <f t="shared" si="2"/>
        <v>2750</v>
      </c>
      <c r="F102" s="10" t="str">
        <f t="shared" si="3"/>
        <v>55 completed tickets</v>
      </c>
    </row>
    <row r="103" ht="15.0" hidden="1" customHeight="1">
      <c r="A103" s="6" t="s">
        <v>38</v>
      </c>
      <c r="B103" s="35" t="s">
        <v>182</v>
      </c>
      <c r="C103" s="38" t="s">
        <v>183</v>
      </c>
      <c r="D103" s="39">
        <v>14.0</v>
      </c>
      <c r="E103" s="10">
        <f t="shared" si="2"/>
        <v>700</v>
      </c>
      <c r="F103" s="10" t="str">
        <f t="shared" si="3"/>
        <v>14 completed tickets</v>
      </c>
    </row>
    <row r="104" ht="15.0" hidden="1" customHeight="1">
      <c r="A104" s="6" t="s">
        <v>38</v>
      </c>
      <c r="B104" s="35" t="s">
        <v>184</v>
      </c>
      <c r="C104" s="38" t="s">
        <v>185</v>
      </c>
      <c r="D104" s="39">
        <v>29.0</v>
      </c>
      <c r="E104" s="10">
        <f t="shared" si="2"/>
        <v>1450</v>
      </c>
      <c r="F104" s="10" t="str">
        <f t="shared" si="3"/>
        <v>29 completed tickets</v>
      </c>
    </row>
    <row r="105" ht="15.0" hidden="1" customHeight="1">
      <c r="A105" s="6" t="s">
        <v>38</v>
      </c>
      <c r="B105" s="38" t="s">
        <v>186</v>
      </c>
      <c r="C105" s="38" t="s">
        <v>187</v>
      </c>
      <c r="D105" s="39">
        <v>41.0</v>
      </c>
      <c r="E105" s="10">
        <f t="shared" si="2"/>
        <v>2050</v>
      </c>
      <c r="F105" s="10" t="str">
        <f t="shared" si="3"/>
        <v>41 completed tickets</v>
      </c>
    </row>
    <row r="106" ht="15.0" hidden="1" customHeight="1">
      <c r="A106" s="6" t="s">
        <v>38</v>
      </c>
      <c r="B106" s="38" t="s">
        <v>188</v>
      </c>
      <c r="C106" s="38" t="s">
        <v>189</v>
      </c>
      <c r="D106" s="15">
        <v>33.0</v>
      </c>
      <c r="E106" s="10">
        <f t="shared" si="2"/>
        <v>1650</v>
      </c>
      <c r="F106" s="10" t="str">
        <f t="shared" si="3"/>
        <v>33 completed tickets</v>
      </c>
    </row>
    <row r="107" ht="15.0" hidden="1" customHeight="1">
      <c r="A107" s="6" t="s">
        <v>38</v>
      </c>
      <c r="B107" s="33" t="s">
        <v>190</v>
      </c>
      <c r="C107" s="38" t="s">
        <v>191</v>
      </c>
      <c r="D107" s="15">
        <v>10.0</v>
      </c>
      <c r="E107" s="10">
        <f t="shared" si="2"/>
        <v>500</v>
      </c>
      <c r="F107" s="10" t="str">
        <f t="shared" si="3"/>
        <v>10 completed tickets</v>
      </c>
    </row>
    <row r="108" ht="15.0" hidden="1" customHeight="1">
      <c r="A108" s="6" t="s">
        <v>38</v>
      </c>
      <c r="B108" s="33" t="s">
        <v>192</v>
      </c>
      <c r="C108" s="38" t="s">
        <v>193</v>
      </c>
      <c r="D108" s="15">
        <v>12.0</v>
      </c>
      <c r="E108" s="10">
        <f t="shared" si="2"/>
        <v>600</v>
      </c>
      <c r="F108" s="10" t="str">
        <f t="shared" si="3"/>
        <v>12 completed tickets</v>
      </c>
    </row>
    <row r="109" ht="15.0" hidden="1" customHeight="1">
      <c r="A109" s="6" t="s">
        <v>38</v>
      </c>
      <c r="B109" s="33" t="s">
        <v>194</v>
      </c>
      <c r="C109" s="38" t="s">
        <v>195</v>
      </c>
      <c r="D109" s="15">
        <v>25.0</v>
      </c>
      <c r="E109" s="10">
        <f t="shared" si="2"/>
        <v>1250</v>
      </c>
      <c r="F109" s="10" t="str">
        <f t="shared" si="3"/>
        <v>25 completed tickets</v>
      </c>
    </row>
    <row r="110" ht="15.0" hidden="1" customHeight="1">
      <c r="A110" s="6" t="s">
        <v>38</v>
      </c>
      <c r="B110" s="38" t="s">
        <v>196</v>
      </c>
      <c r="C110" s="38" t="s">
        <v>197</v>
      </c>
      <c r="D110" s="15">
        <v>18.0</v>
      </c>
      <c r="E110" s="10">
        <f t="shared" si="2"/>
        <v>900</v>
      </c>
      <c r="F110" s="10" t="str">
        <f t="shared" si="3"/>
        <v>18 completed tickets</v>
      </c>
    </row>
    <row r="111" ht="15.0" hidden="1" customHeight="1">
      <c r="A111" s="6" t="s">
        <v>38</v>
      </c>
      <c r="B111" s="38" t="s">
        <v>198</v>
      </c>
      <c r="C111" s="38" t="s">
        <v>199</v>
      </c>
      <c r="D111" s="15">
        <v>49.0</v>
      </c>
      <c r="E111" s="10">
        <f t="shared" si="2"/>
        <v>2450</v>
      </c>
      <c r="F111" s="10" t="str">
        <f t="shared" si="3"/>
        <v>49 completed tickets</v>
      </c>
    </row>
    <row r="112" ht="15.0" hidden="1" customHeight="1">
      <c r="A112" s="6" t="s">
        <v>38</v>
      </c>
      <c r="B112" s="38" t="s">
        <v>200</v>
      </c>
      <c r="C112" s="38" t="s">
        <v>201</v>
      </c>
      <c r="D112" s="15">
        <v>19.0</v>
      </c>
      <c r="E112" s="10">
        <f t="shared" si="2"/>
        <v>950</v>
      </c>
      <c r="F112" s="10" t="str">
        <f t="shared" si="3"/>
        <v>19 completed tickets</v>
      </c>
    </row>
    <row r="113" ht="15.0" hidden="1" customHeight="1">
      <c r="A113" s="6" t="s">
        <v>38</v>
      </c>
      <c r="B113" s="38" t="s">
        <v>202</v>
      </c>
      <c r="C113" s="38" t="s">
        <v>203</v>
      </c>
      <c r="D113" s="15">
        <v>6.0</v>
      </c>
      <c r="E113" s="10">
        <f t="shared" si="2"/>
        <v>300</v>
      </c>
      <c r="F113" s="10" t="str">
        <f t="shared" si="3"/>
        <v>6 completed tickets</v>
      </c>
    </row>
    <row r="114" ht="15.0" hidden="1" customHeight="1">
      <c r="A114" s="6" t="s">
        <v>38</v>
      </c>
      <c r="B114" s="38" t="s">
        <v>204</v>
      </c>
      <c r="C114" s="38" t="s">
        <v>205</v>
      </c>
      <c r="D114" s="15">
        <v>30.0</v>
      </c>
      <c r="E114" s="10">
        <f t="shared" si="2"/>
        <v>1500</v>
      </c>
      <c r="F114" s="10" t="str">
        <f t="shared" si="3"/>
        <v>30 completed tickets</v>
      </c>
    </row>
    <row r="115" ht="15.0" hidden="1" customHeight="1">
      <c r="A115" s="6" t="s">
        <v>38</v>
      </c>
      <c r="B115" s="38" t="s">
        <v>206</v>
      </c>
      <c r="C115" s="38" t="s">
        <v>207</v>
      </c>
      <c r="D115" s="15">
        <v>46.0</v>
      </c>
      <c r="E115" s="10">
        <f t="shared" si="2"/>
        <v>2300</v>
      </c>
      <c r="F115" s="10" t="str">
        <f t="shared" si="3"/>
        <v>46 completed tickets</v>
      </c>
    </row>
    <row r="116" ht="15.0" hidden="1" customHeight="1">
      <c r="A116" s="6" t="s">
        <v>38</v>
      </c>
      <c r="B116" s="36" t="s">
        <v>208</v>
      </c>
      <c r="C116" s="38" t="s">
        <v>209</v>
      </c>
      <c r="D116" s="15">
        <v>18.0</v>
      </c>
      <c r="E116" s="10">
        <f t="shared" si="2"/>
        <v>900</v>
      </c>
      <c r="F116" s="10" t="str">
        <f t="shared" si="3"/>
        <v>18 completed tickets</v>
      </c>
    </row>
    <row r="117" ht="15.0" hidden="1" customHeight="1">
      <c r="A117" s="6" t="s">
        <v>38</v>
      </c>
      <c r="B117" s="38" t="s">
        <v>210</v>
      </c>
      <c r="C117" s="38" t="s">
        <v>211</v>
      </c>
      <c r="D117" s="15">
        <v>15.0</v>
      </c>
      <c r="E117" s="10">
        <f t="shared" si="2"/>
        <v>750</v>
      </c>
      <c r="F117" s="10" t="str">
        <f t="shared" si="3"/>
        <v>15 completed tickets</v>
      </c>
    </row>
    <row r="118" ht="15.0" hidden="1" customHeight="1">
      <c r="A118" s="6" t="s">
        <v>38</v>
      </c>
      <c r="B118" s="38" t="s">
        <v>212</v>
      </c>
      <c r="C118" s="38" t="s">
        <v>213</v>
      </c>
      <c r="D118" s="15">
        <v>21.0</v>
      </c>
      <c r="E118" s="10">
        <f t="shared" si="2"/>
        <v>1050</v>
      </c>
      <c r="F118" s="10" t="str">
        <f t="shared" si="3"/>
        <v>21 completed tickets</v>
      </c>
    </row>
    <row r="119" ht="15.0" hidden="1" customHeight="1">
      <c r="A119" s="6" t="s">
        <v>38</v>
      </c>
      <c r="B119" s="38" t="s">
        <v>214</v>
      </c>
      <c r="C119" s="38" t="s">
        <v>215</v>
      </c>
      <c r="D119" s="15">
        <v>6.0</v>
      </c>
      <c r="E119" s="10">
        <f t="shared" si="2"/>
        <v>300</v>
      </c>
      <c r="F119" s="10" t="str">
        <f t="shared" si="3"/>
        <v>6 completed tickets</v>
      </c>
    </row>
    <row r="120" ht="15.0" hidden="1" customHeight="1">
      <c r="A120" s="6" t="s">
        <v>38</v>
      </c>
      <c r="B120" s="38" t="s">
        <v>216</v>
      </c>
      <c r="C120" s="38" t="s">
        <v>217</v>
      </c>
      <c r="D120" s="15">
        <v>8.0</v>
      </c>
      <c r="E120" s="10">
        <f t="shared" si="2"/>
        <v>400</v>
      </c>
      <c r="F120" s="10" t="str">
        <f t="shared" si="3"/>
        <v>8 completed tickets</v>
      </c>
    </row>
    <row r="121" ht="15.0" hidden="1" customHeight="1">
      <c r="A121" s="6" t="s">
        <v>38</v>
      </c>
      <c r="B121" s="13" t="s">
        <v>218</v>
      </c>
      <c r="C121" s="38" t="s">
        <v>219</v>
      </c>
      <c r="D121" s="15">
        <v>14.0</v>
      </c>
      <c r="E121" s="10">
        <f t="shared" si="2"/>
        <v>700</v>
      </c>
      <c r="F121" s="10" t="str">
        <f t="shared" si="3"/>
        <v>14 completed tickets</v>
      </c>
    </row>
    <row r="122" ht="15.0" hidden="1" customHeight="1">
      <c r="A122" s="6" t="s">
        <v>38</v>
      </c>
      <c r="B122" s="38" t="s">
        <v>220</v>
      </c>
      <c r="C122" s="38" t="s">
        <v>221</v>
      </c>
      <c r="D122" s="15">
        <v>23.0</v>
      </c>
      <c r="E122" s="10">
        <f t="shared" si="2"/>
        <v>1150</v>
      </c>
      <c r="F122" s="10" t="str">
        <f t="shared" si="3"/>
        <v>23 completed tickets</v>
      </c>
    </row>
    <row r="123" ht="15.0" hidden="1" customHeight="1">
      <c r="A123" s="6" t="s">
        <v>38</v>
      </c>
      <c r="B123" s="13" t="s">
        <v>222</v>
      </c>
      <c r="C123" s="38" t="s">
        <v>223</v>
      </c>
      <c r="D123" s="15">
        <v>17.0</v>
      </c>
      <c r="E123" s="10">
        <f t="shared" si="2"/>
        <v>850</v>
      </c>
      <c r="F123" s="10" t="str">
        <f t="shared" si="3"/>
        <v>17 completed tickets</v>
      </c>
    </row>
    <row r="124" ht="15.0" hidden="1" customHeight="1">
      <c r="A124" s="6" t="s">
        <v>38</v>
      </c>
      <c r="B124" s="13" t="s">
        <v>224</v>
      </c>
      <c r="C124" s="38" t="s">
        <v>225</v>
      </c>
      <c r="D124" s="15">
        <v>16.0</v>
      </c>
      <c r="E124" s="10">
        <f t="shared" si="2"/>
        <v>800</v>
      </c>
      <c r="F124" s="10" t="str">
        <f t="shared" si="3"/>
        <v>16 completed tickets</v>
      </c>
    </row>
    <row r="125" ht="15.0" hidden="1" customHeight="1">
      <c r="A125" s="6" t="s">
        <v>38</v>
      </c>
      <c r="B125" s="38" t="s">
        <v>226</v>
      </c>
      <c r="C125" s="38" t="s">
        <v>227</v>
      </c>
      <c r="D125" s="15">
        <v>14.0</v>
      </c>
      <c r="E125" s="10">
        <f t="shared" si="2"/>
        <v>700</v>
      </c>
      <c r="F125" s="10" t="str">
        <f t="shared" si="3"/>
        <v>14 completed tickets</v>
      </c>
    </row>
    <row r="126" ht="15.0" hidden="1" customHeight="1">
      <c r="A126" s="6" t="s">
        <v>38</v>
      </c>
      <c r="B126" s="38" t="s">
        <v>228</v>
      </c>
      <c r="C126" s="38" t="s">
        <v>229</v>
      </c>
      <c r="D126" s="15">
        <v>8.0</v>
      </c>
      <c r="E126" s="10">
        <f t="shared" si="2"/>
        <v>400</v>
      </c>
      <c r="F126" s="10" t="str">
        <f t="shared" si="3"/>
        <v>8 completed tickets</v>
      </c>
    </row>
    <row r="127" ht="15.0" hidden="1" customHeight="1">
      <c r="A127" s="6" t="s">
        <v>38</v>
      </c>
      <c r="B127" s="38" t="s">
        <v>230</v>
      </c>
      <c r="C127" s="38" t="s">
        <v>231</v>
      </c>
      <c r="D127" s="15">
        <v>17.0</v>
      </c>
      <c r="E127" s="10">
        <f t="shared" si="2"/>
        <v>850</v>
      </c>
      <c r="F127" s="10" t="str">
        <f t="shared" si="3"/>
        <v>17 completed tickets</v>
      </c>
    </row>
    <row r="128" ht="15.0" hidden="1" customHeight="1">
      <c r="A128" s="6" t="s">
        <v>38</v>
      </c>
      <c r="B128" s="38" t="s">
        <v>253</v>
      </c>
      <c r="C128" s="38" t="s">
        <v>254</v>
      </c>
      <c r="D128" s="15">
        <v>8.0</v>
      </c>
      <c r="E128" s="10">
        <f t="shared" si="2"/>
        <v>400</v>
      </c>
      <c r="F128" s="10" t="str">
        <f t="shared" si="3"/>
        <v>8 completed tickets</v>
      </c>
    </row>
    <row r="129" ht="15.0" hidden="1" customHeight="1">
      <c r="A129" s="6" t="s">
        <v>38</v>
      </c>
      <c r="B129" s="38" t="s">
        <v>250</v>
      </c>
      <c r="C129" s="38" t="s">
        <v>137</v>
      </c>
      <c r="D129" s="15">
        <v>4.0</v>
      </c>
      <c r="E129" s="10">
        <f t="shared" si="2"/>
        <v>200</v>
      </c>
      <c r="F129" s="10" t="str">
        <f t="shared" si="3"/>
        <v>4 completed tickets</v>
      </c>
    </row>
    <row r="130" ht="15.0" hidden="1" customHeight="1">
      <c r="A130" s="6" t="s">
        <v>38</v>
      </c>
      <c r="B130" s="38" t="s">
        <v>236</v>
      </c>
      <c r="C130" s="38" t="s">
        <v>251</v>
      </c>
      <c r="D130" s="15">
        <v>2.0</v>
      </c>
      <c r="E130" s="10">
        <f t="shared" si="2"/>
        <v>100</v>
      </c>
      <c r="F130" s="10" t="str">
        <f t="shared" si="3"/>
        <v>2 completed tickets</v>
      </c>
    </row>
    <row r="131" ht="15.0" hidden="1" customHeight="1">
      <c r="A131" s="6" t="s">
        <v>255</v>
      </c>
      <c r="B131" s="7" t="s">
        <v>160</v>
      </c>
      <c r="C131" s="13" t="s">
        <v>140</v>
      </c>
      <c r="D131" s="30">
        <v>39.0</v>
      </c>
      <c r="E131" s="10">
        <f t="shared" si="2"/>
        <v>1950</v>
      </c>
      <c r="F131" s="10" t="str">
        <f t="shared" si="3"/>
        <v>39 completed tickets</v>
      </c>
    </row>
    <row r="132" ht="15.0" hidden="1" customHeight="1">
      <c r="A132" s="6" t="s">
        <v>255</v>
      </c>
      <c r="B132" s="35" t="s">
        <v>161</v>
      </c>
      <c r="C132" s="13" t="s">
        <v>152</v>
      </c>
      <c r="D132" s="30">
        <v>12.0</v>
      </c>
      <c r="E132" s="10">
        <f t="shared" si="2"/>
        <v>600</v>
      </c>
      <c r="F132" s="10" t="str">
        <f t="shared" si="3"/>
        <v>12 completed tickets</v>
      </c>
    </row>
    <row r="133" ht="15.0" hidden="1" customHeight="1">
      <c r="A133" s="6" t="s">
        <v>255</v>
      </c>
      <c r="B133" s="7" t="s">
        <v>162</v>
      </c>
      <c r="C133" s="13" t="s">
        <v>163</v>
      </c>
      <c r="D133" s="30">
        <v>38.0</v>
      </c>
      <c r="E133" s="10">
        <f t="shared" si="2"/>
        <v>1900</v>
      </c>
      <c r="F133" s="10" t="str">
        <f t="shared" si="3"/>
        <v>38 completed tickets</v>
      </c>
    </row>
    <row r="134" ht="15.0" hidden="1" customHeight="1">
      <c r="A134" s="6" t="s">
        <v>255</v>
      </c>
      <c r="B134" s="7" t="s">
        <v>164</v>
      </c>
      <c r="C134" s="13" t="s">
        <v>158</v>
      </c>
      <c r="D134" s="30">
        <v>41.0</v>
      </c>
      <c r="E134" s="10">
        <f t="shared" si="2"/>
        <v>2050</v>
      </c>
      <c r="F134" s="10" t="str">
        <f t="shared" si="3"/>
        <v>41 completed tickets</v>
      </c>
    </row>
    <row r="135" ht="15.0" hidden="1" customHeight="1">
      <c r="A135" s="6" t="s">
        <v>255</v>
      </c>
      <c r="B135" s="7" t="s">
        <v>165</v>
      </c>
      <c r="C135" s="13" t="s">
        <v>166</v>
      </c>
      <c r="D135" s="30">
        <v>92.0</v>
      </c>
      <c r="E135" s="10">
        <f t="shared" si="2"/>
        <v>4600</v>
      </c>
      <c r="F135" s="10" t="str">
        <f t="shared" si="3"/>
        <v>92 completed tickets</v>
      </c>
    </row>
    <row r="136" ht="15.0" hidden="1" customHeight="1">
      <c r="A136" s="6" t="s">
        <v>255</v>
      </c>
      <c r="B136" s="7" t="s">
        <v>167</v>
      </c>
      <c r="C136" s="13" t="s">
        <v>157</v>
      </c>
      <c r="D136" s="30">
        <v>41.0</v>
      </c>
      <c r="E136" s="10">
        <f t="shared" si="2"/>
        <v>2050</v>
      </c>
      <c r="F136" s="10" t="str">
        <f t="shared" si="3"/>
        <v>41 completed tickets</v>
      </c>
    </row>
    <row r="137" ht="15.0" hidden="1" customHeight="1">
      <c r="A137" s="6" t="s">
        <v>255</v>
      </c>
      <c r="B137" s="7" t="s">
        <v>168</v>
      </c>
      <c r="C137" s="13" t="s">
        <v>169</v>
      </c>
      <c r="D137" s="30">
        <v>25.0</v>
      </c>
      <c r="E137" s="10">
        <f t="shared" si="2"/>
        <v>1250</v>
      </c>
      <c r="F137" s="10" t="str">
        <f t="shared" si="3"/>
        <v>25 completed tickets</v>
      </c>
    </row>
    <row r="138" ht="15.0" hidden="1" customHeight="1">
      <c r="A138" s="6" t="s">
        <v>255</v>
      </c>
      <c r="B138" s="33" t="s">
        <v>170</v>
      </c>
      <c r="C138" s="13" t="s">
        <v>171</v>
      </c>
      <c r="D138" s="30">
        <v>20.0</v>
      </c>
      <c r="E138" s="10">
        <f t="shared" si="2"/>
        <v>1000</v>
      </c>
      <c r="F138" s="10" t="str">
        <f t="shared" si="3"/>
        <v>20 completed tickets</v>
      </c>
    </row>
    <row r="139" ht="15.0" hidden="1" customHeight="1">
      <c r="A139" s="6" t="s">
        <v>255</v>
      </c>
      <c r="B139" s="35" t="s">
        <v>172</v>
      </c>
      <c r="C139" s="13" t="s">
        <v>173</v>
      </c>
      <c r="D139" s="30">
        <v>45.0</v>
      </c>
      <c r="E139" s="10">
        <f t="shared" si="2"/>
        <v>2250</v>
      </c>
      <c r="F139" s="10" t="str">
        <f t="shared" si="3"/>
        <v>45 completed tickets</v>
      </c>
    </row>
    <row r="140" ht="15.0" hidden="1" customHeight="1">
      <c r="A140" s="6" t="s">
        <v>255</v>
      </c>
      <c r="B140" s="33" t="s">
        <v>174</v>
      </c>
      <c r="C140" s="13" t="s">
        <v>175</v>
      </c>
      <c r="D140" s="30">
        <v>32.0</v>
      </c>
      <c r="E140" s="10">
        <f t="shared" si="2"/>
        <v>1600</v>
      </c>
      <c r="F140" s="10" t="str">
        <f t="shared" si="3"/>
        <v>32 completed tickets</v>
      </c>
    </row>
    <row r="141" ht="15.0" hidden="1" customHeight="1">
      <c r="A141" s="6" t="s">
        <v>255</v>
      </c>
      <c r="B141" s="33" t="s">
        <v>176</v>
      </c>
      <c r="C141" s="13" t="s">
        <v>130</v>
      </c>
      <c r="D141" s="30">
        <v>34.0</v>
      </c>
      <c r="E141" s="10">
        <f t="shared" si="2"/>
        <v>1700</v>
      </c>
      <c r="F141" s="10" t="str">
        <f t="shared" si="3"/>
        <v>34 completed tickets</v>
      </c>
    </row>
    <row r="142" ht="15.0" hidden="1" customHeight="1">
      <c r="A142" s="6" t="s">
        <v>255</v>
      </c>
      <c r="B142" s="33" t="s">
        <v>252</v>
      </c>
      <c r="C142" s="13" t="s">
        <v>139</v>
      </c>
      <c r="D142" s="30">
        <v>34.0</v>
      </c>
      <c r="E142" s="10">
        <f t="shared" si="2"/>
        <v>1700</v>
      </c>
      <c r="F142" s="10" t="str">
        <f t="shared" si="3"/>
        <v>34 completed tickets</v>
      </c>
    </row>
    <row r="143" ht="15.0" hidden="1" customHeight="1">
      <c r="A143" s="6" t="s">
        <v>255</v>
      </c>
      <c r="B143" s="35" t="s">
        <v>177</v>
      </c>
      <c r="C143" s="30" t="s">
        <v>144</v>
      </c>
      <c r="D143" s="30">
        <v>19.0</v>
      </c>
      <c r="E143" s="10">
        <f t="shared" si="2"/>
        <v>950</v>
      </c>
      <c r="F143" s="10" t="str">
        <f t="shared" si="3"/>
        <v>19 completed tickets</v>
      </c>
    </row>
    <row r="144" ht="15.0" hidden="1" customHeight="1">
      <c r="A144" s="6" t="s">
        <v>255</v>
      </c>
      <c r="B144" s="35" t="s">
        <v>178</v>
      </c>
      <c r="C144" s="30" t="s">
        <v>179</v>
      </c>
      <c r="D144" s="30">
        <v>14.0</v>
      </c>
      <c r="E144" s="10">
        <f t="shared" si="2"/>
        <v>700</v>
      </c>
      <c r="F144" s="10" t="str">
        <f t="shared" si="3"/>
        <v>14 completed tickets</v>
      </c>
    </row>
    <row r="145" hidden="1">
      <c r="A145" s="6" t="s">
        <v>255</v>
      </c>
      <c r="B145" s="35" t="s">
        <v>180</v>
      </c>
      <c r="C145" s="30" t="s">
        <v>181</v>
      </c>
      <c r="D145" s="30">
        <v>67.0</v>
      </c>
      <c r="E145" s="10">
        <f t="shared" si="2"/>
        <v>3350</v>
      </c>
      <c r="F145" s="10" t="str">
        <f t="shared" si="3"/>
        <v>67 completed tickets</v>
      </c>
    </row>
    <row r="146" hidden="1">
      <c r="A146" s="6" t="s">
        <v>255</v>
      </c>
      <c r="B146" s="35" t="s">
        <v>182</v>
      </c>
      <c r="C146" s="30" t="s">
        <v>183</v>
      </c>
      <c r="D146" s="30">
        <v>16.0</v>
      </c>
      <c r="E146" s="10">
        <f t="shared" si="2"/>
        <v>800</v>
      </c>
      <c r="F146" s="10" t="str">
        <f t="shared" si="3"/>
        <v>16 completed tickets</v>
      </c>
    </row>
    <row r="147" hidden="1">
      <c r="A147" s="6" t="s">
        <v>255</v>
      </c>
      <c r="B147" s="37" t="s">
        <v>184</v>
      </c>
      <c r="C147" s="30" t="s">
        <v>185</v>
      </c>
      <c r="D147" s="30">
        <v>27.0</v>
      </c>
      <c r="E147" s="10">
        <f t="shared" si="2"/>
        <v>1350</v>
      </c>
      <c r="F147" s="10" t="str">
        <f t="shared" si="3"/>
        <v>27 completed tickets</v>
      </c>
    </row>
    <row r="148" hidden="1">
      <c r="A148" s="6" t="s">
        <v>255</v>
      </c>
      <c r="B148" s="30" t="s">
        <v>186</v>
      </c>
      <c r="C148" s="30" t="s">
        <v>187</v>
      </c>
      <c r="D148" s="25">
        <v>50.0</v>
      </c>
      <c r="E148" s="10">
        <f t="shared" si="2"/>
        <v>2500</v>
      </c>
      <c r="F148" s="10" t="str">
        <f t="shared" si="3"/>
        <v>50 completed tickets</v>
      </c>
    </row>
    <row r="149" hidden="1">
      <c r="A149" s="6" t="s">
        <v>255</v>
      </c>
      <c r="B149" s="38" t="s">
        <v>188</v>
      </c>
      <c r="C149" s="30" t="s">
        <v>189</v>
      </c>
      <c r="D149" s="25">
        <v>38.0</v>
      </c>
      <c r="E149" s="10">
        <f t="shared" si="2"/>
        <v>1900</v>
      </c>
      <c r="F149" s="10" t="str">
        <f t="shared" si="3"/>
        <v>38 completed tickets</v>
      </c>
    </row>
    <row r="150" hidden="1">
      <c r="A150" s="6" t="s">
        <v>255</v>
      </c>
      <c r="B150" s="37" t="s">
        <v>190</v>
      </c>
      <c r="C150" s="30" t="s">
        <v>191</v>
      </c>
      <c r="D150" s="25">
        <v>10.0</v>
      </c>
      <c r="E150" s="10">
        <f t="shared" si="2"/>
        <v>500</v>
      </c>
      <c r="F150" s="10" t="str">
        <f t="shared" si="3"/>
        <v>10 completed tickets</v>
      </c>
    </row>
    <row r="151" hidden="1">
      <c r="A151" s="6" t="s">
        <v>255</v>
      </c>
      <c r="B151" s="37" t="s">
        <v>192</v>
      </c>
      <c r="C151" s="30" t="s">
        <v>193</v>
      </c>
      <c r="D151" s="25">
        <v>14.0</v>
      </c>
      <c r="E151" s="10">
        <f t="shared" si="2"/>
        <v>700</v>
      </c>
      <c r="F151" s="10" t="str">
        <f t="shared" si="3"/>
        <v>14 completed tickets</v>
      </c>
    </row>
    <row r="152" hidden="1">
      <c r="A152" s="6" t="s">
        <v>255</v>
      </c>
      <c r="B152" s="37" t="s">
        <v>194</v>
      </c>
      <c r="C152" s="30" t="s">
        <v>195</v>
      </c>
      <c r="D152" s="25">
        <v>17.0</v>
      </c>
      <c r="E152" s="10">
        <f t="shared" si="2"/>
        <v>850</v>
      </c>
      <c r="F152" s="10" t="str">
        <f t="shared" si="3"/>
        <v>17 completed tickets</v>
      </c>
    </row>
    <row r="153" hidden="1">
      <c r="A153" s="6" t="s">
        <v>255</v>
      </c>
      <c r="B153" s="30" t="s">
        <v>196</v>
      </c>
      <c r="C153" s="30" t="s">
        <v>197</v>
      </c>
      <c r="D153" s="25">
        <v>29.0</v>
      </c>
      <c r="E153" s="10">
        <f t="shared" si="2"/>
        <v>1450</v>
      </c>
      <c r="F153" s="10" t="str">
        <f t="shared" si="3"/>
        <v>29 completed tickets</v>
      </c>
    </row>
    <row r="154" hidden="1">
      <c r="A154" s="6" t="s">
        <v>255</v>
      </c>
      <c r="B154" s="30" t="s">
        <v>198</v>
      </c>
      <c r="C154" s="30" t="s">
        <v>199</v>
      </c>
      <c r="D154" s="25">
        <v>56.0</v>
      </c>
      <c r="E154" s="10">
        <f t="shared" si="2"/>
        <v>2800</v>
      </c>
      <c r="F154" s="10" t="str">
        <f t="shared" si="3"/>
        <v>56 completed tickets</v>
      </c>
    </row>
    <row r="155" hidden="1">
      <c r="A155" s="6" t="s">
        <v>255</v>
      </c>
      <c r="B155" s="30" t="s">
        <v>200</v>
      </c>
      <c r="C155" s="30" t="s">
        <v>201</v>
      </c>
      <c r="D155" s="25">
        <v>26.0</v>
      </c>
      <c r="E155" s="10">
        <f t="shared" si="2"/>
        <v>1300</v>
      </c>
      <c r="F155" s="10" t="str">
        <f t="shared" si="3"/>
        <v>26 completed tickets</v>
      </c>
    </row>
    <row r="156" hidden="1">
      <c r="A156" s="6" t="s">
        <v>255</v>
      </c>
      <c r="B156" s="38" t="s">
        <v>202</v>
      </c>
      <c r="C156" s="30" t="s">
        <v>203</v>
      </c>
      <c r="D156" s="25">
        <v>16.0</v>
      </c>
      <c r="E156" s="10">
        <f t="shared" si="2"/>
        <v>800</v>
      </c>
      <c r="F156" s="10" t="str">
        <f t="shared" si="3"/>
        <v>16 completed tickets</v>
      </c>
    </row>
    <row r="157" hidden="1">
      <c r="A157" s="6" t="s">
        <v>255</v>
      </c>
      <c r="B157" s="30" t="s">
        <v>204</v>
      </c>
      <c r="C157" s="30" t="s">
        <v>205</v>
      </c>
      <c r="D157" s="25">
        <v>28.0</v>
      </c>
      <c r="E157" s="10">
        <f t="shared" si="2"/>
        <v>1400</v>
      </c>
      <c r="F157" s="10" t="str">
        <f t="shared" si="3"/>
        <v>28 completed tickets</v>
      </c>
    </row>
    <row r="158" hidden="1">
      <c r="A158" s="6" t="s">
        <v>255</v>
      </c>
      <c r="B158" s="36" t="s">
        <v>206</v>
      </c>
      <c r="C158" s="30" t="s">
        <v>207</v>
      </c>
      <c r="D158" s="25">
        <v>31.0</v>
      </c>
      <c r="E158" s="10">
        <f t="shared" si="2"/>
        <v>1550</v>
      </c>
      <c r="F158" s="10" t="str">
        <f t="shared" si="3"/>
        <v>31 completed tickets</v>
      </c>
    </row>
    <row r="159" hidden="1">
      <c r="A159" s="6" t="s">
        <v>255</v>
      </c>
      <c r="B159" s="30" t="s">
        <v>208</v>
      </c>
      <c r="C159" s="30" t="s">
        <v>209</v>
      </c>
      <c r="D159" s="25">
        <v>22.0</v>
      </c>
      <c r="E159" s="10">
        <f t="shared" si="2"/>
        <v>1100</v>
      </c>
      <c r="F159" s="10" t="str">
        <f t="shared" si="3"/>
        <v>22 completed tickets</v>
      </c>
    </row>
    <row r="160" hidden="1">
      <c r="A160" s="6" t="s">
        <v>255</v>
      </c>
      <c r="B160" s="30" t="s">
        <v>210</v>
      </c>
      <c r="C160" s="30" t="s">
        <v>211</v>
      </c>
      <c r="D160" s="25">
        <v>13.0</v>
      </c>
      <c r="E160" s="10">
        <f t="shared" si="2"/>
        <v>650</v>
      </c>
      <c r="F160" s="10" t="str">
        <f t="shared" si="3"/>
        <v>13 completed tickets</v>
      </c>
    </row>
    <row r="161" hidden="1">
      <c r="A161" s="6" t="s">
        <v>255</v>
      </c>
      <c r="B161" s="30" t="s">
        <v>212</v>
      </c>
      <c r="C161" s="30" t="s">
        <v>213</v>
      </c>
      <c r="D161" s="25">
        <v>16.0</v>
      </c>
      <c r="E161" s="10">
        <f t="shared" si="2"/>
        <v>800</v>
      </c>
      <c r="F161" s="10" t="str">
        <f t="shared" si="3"/>
        <v>16 completed tickets</v>
      </c>
    </row>
    <row r="162" hidden="1">
      <c r="A162" s="6" t="s">
        <v>255</v>
      </c>
      <c r="B162" s="30" t="s">
        <v>214</v>
      </c>
      <c r="C162" s="30" t="s">
        <v>215</v>
      </c>
      <c r="D162" s="25">
        <v>8.0</v>
      </c>
      <c r="E162" s="10">
        <f t="shared" si="2"/>
        <v>400</v>
      </c>
      <c r="F162" s="10" t="str">
        <f t="shared" si="3"/>
        <v>8 completed tickets</v>
      </c>
    </row>
    <row r="163" hidden="1">
      <c r="A163" s="6" t="s">
        <v>255</v>
      </c>
      <c r="B163" s="25" t="s">
        <v>216</v>
      </c>
      <c r="C163" s="30" t="s">
        <v>217</v>
      </c>
      <c r="D163" s="25">
        <v>4.0</v>
      </c>
      <c r="E163" s="10">
        <f t="shared" si="2"/>
        <v>200</v>
      </c>
      <c r="F163" s="10" t="str">
        <f t="shared" si="3"/>
        <v>4 completed tickets</v>
      </c>
    </row>
    <row r="164" hidden="1">
      <c r="A164" s="6" t="s">
        <v>255</v>
      </c>
      <c r="B164" s="30" t="s">
        <v>218</v>
      </c>
      <c r="C164" s="30" t="s">
        <v>219</v>
      </c>
      <c r="D164" s="25">
        <v>14.0</v>
      </c>
      <c r="E164" s="10">
        <f t="shared" si="2"/>
        <v>700</v>
      </c>
      <c r="F164" s="10" t="str">
        <f t="shared" si="3"/>
        <v>14 completed tickets</v>
      </c>
    </row>
    <row r="165" hidden="1">
      <c r="A165" s="6" t="s">
        <v>255</v>
      </c>
      <c r="B165" s="25" t="s">
        <v>220</v>
      </c>
      <c r="C165" s="30" t="s">
        <v>221</v>
      </c>
      <c r="D165" s="25">
        <v>11.0</v>
      </c>
      <c r="E165" s="10">
        <f t="shared" si="2"/>
        <v>550</v>
      </c>
      <c r="F165" s="10" t="str">
        <f t="shared" si="3"/>
        <v>11 completed tickets</v>
      </c>
    </row>
    <row r="166" hidden="1">
      <c r="A166" s="6" t="s">
        <v>255</v>
      </c>
      <c r="B166" s="25" t="s">
        <v>222</v>
      </c>
      <c r="C166" s="30" t="s">
        <v>223</v>
      </c>
      <c r="D166" s="25">
        <v>8.0</v>
      </c>
      <c r="E166" s="10">
        <f t="shared" si="2"/>
        <v>400</v>
      </c>
      <c r="F166" s="10" t="str">
        <f t="shared" si="3"/>
        <v>8 completed tickets</v>
      </c>
    </row>
    <row r="167" hidden="1">
      <c r="A167" s="6" t="s">
        <v>255</v>
      </c>
      <c r="B167" s="30" t="s">
        <v>224</v>
      </c>
      <c r="C167" s="30" t="s">
        <v>225</v>
      </c>
      <c r="D167" s="25">
        <v>6.0</v>
      </c>
      <c r="E167" s="10">
        <f t="shared" si="2"/>
        <v>300</v>
      </c>
      <c r="F167" s="10" t="str">
        <f t="shared" si="3"/>
        <v>6 completed tickets</v>
      </c>
    </row>
    <row r="168" hidden="1">
      <c r="A168" s="6" t="s">
        <v>255</v>
      </c>
      <c r="B168" s="30" t="s">
        <v>226</v>
      </c>
      <c r="C168" s="30" t="s">
        <v>227</v>
      </c>
      <c r="D168" s="25">
        <v>4.0</v>
      </c>
      <c r="E168" s="10">
        <f t="shared" si="2"/>
        <v>200</v>
      </c>
      <c r="F168" s="10" t="str">
        <f t="shared" si="3"/>
        <v>4 completed tickets</v>
      </c>
    </row>
    <row r="169" hidden="1">
      <c r="A169" s="6" t="s">
        <v>255</v>
      </c>
      <c r="B169" s="30" t="s">
        <v>228</v>
      </c>
      <c r="C169" s="30" t="s">
        <v>229</v>
      </c>
      <c r="D169" s="25">
        <v>10.0</v>
      </c>
      <c r="E169" s="10">
        <f t="shared" si="2"/>
        <v>500</v>
      </c>
      <c r="F169" s="10" t="str">
        <f t="shared" si="3"/>
        <v>10 completed tickets</v>
      </c>
    </row>
    <row r="170" hidden="1">
      <c r="A170" s="6" t="s">
        <v>255</v>
      </c>
      <c r="B170" s="30" t="s">
        <v>230</v>
      </c>
      <c r="C170" s="30" t="s">
        <v>231</v>
      </c>
      <c r="D170" s="25">
        <v>13.0</v>
      </c>
      <c r="E170" s="10">
        <f t="shared" si="2"/>
        <v>650</v>
      </c>
      <c r="F170" s="10" t="str">
        <f t="shared" si="3"/>
        <v>13 completed tickets</v>
      </c>
    </row>
    <row r="171" hidden="1">
      <c r="A171" s="6" t="s">
        <v>255</v>
      </c>
      <c r="B171" s="30" t="s">
        <v>253</v>
      </c>
      <c r="C171" s="30" t="s">
        <v>254</v>
      </c>
      <c r="D171" s="25">
        <v>8.0</v>
      </c>
      <c r="E171" s="10">
        <f t="shared" si="2"/>
        <v>400</v>
      </c>
      <c r="F171" s="10" t="str">
        <f t="shared" si="3"/>
        <v>8 completed tickets</v>
      </c>
    </row>
    <row r="172" hidden="1">
      <c r="A172" s="6" t="s">
        <v>255</v>
      </c>
      <c r="B172" s="30" t="s">
        <v>250</v>
      </c>
      <c r="C172" s="30" t="s">
        <v>137</v>
      </c>
      <c r="D172" s="25">
        <v>2.0</v>
      </c>
      <c r="E172" s="10">
        <f t="shared" si="2"/>
        <v>100</v>
      </c>
      <c r="F172" s="10" t="str">
        <f t="shared" si="3"/>
        <v>2 completed tickets</v>
      </c>
    </row>
    <row r="173" hidden="1">
      <c r="A173" s="6" t="s">
        <v>255</v>
      </c>
      <c r="B173" s="30" t="s">
        <v>236</v>
      </c>
      <c r="C173" s="30" t="s">
        <v>251</v>
      </c>
      <c r="D173" s="25">
        <v>8.0</v>
      </c>
      <c r="E173" s="10">
        <f t="shared" si="2"/>
        <v>400</v>
      </c>
      <c r="F173" s="10" t="str">
        <f t="shared" si="3"/>
        <v>8 completed tickets</v>
      </c>
    </row>
    <row r="174" hidden="1">
      <c r="A174" s="6" t="s">
        <v>42</v>
      </c>
      <c r="B174" s="7" t="s">
        <v>160</v>
      </c>
      <c r="C174" s="38" t="s">
        <v>140</v>
      </c>
      <c r="D174" s="15">
        <v>33.0</v>
      </c>
      <c r="E174" s="10">
        <f t="shared" si="2"/>
        <v>1650</v>
      </c>
      <c r="F174" s="10" t="str">
        <f t="shared" si="3"/>
        <v>33 completed tickets</v>
      </c>
    </row>
    <row r="175" hidden="1">
      <c r="A175" s="6" t="s">
        <v>42</v>
      </c>
      <c r="B175" s="7" t="s">
        <v>161</v>
      </c>
      <c r="C175" s="38" t="s">
        <v>152</v>
      </c>
      <c r="D175" s="15">
        <v>30.0</v>
      </c>
      <c r="E175" s="10">
        <f t="shared" si="2"/>
        <v>1500</v>
      </c>
      <c r="F175" s="10" t="str">
        <f t="shared" si="3"/>
        <v>30 completed tickets</v>
      </c>
    </row>
    <row r="176" hidden="1">
      <c r="A176" s="6" t="s">
        <v>42</v>
      </c>
      <c r="B176" s="7" t="s">
        <v>162</v>
      </c>
      <c r="C176" s="38" t="s">
        <v>163</v>
      </c>
      <c r="D176" s="15">
        <v>28.0</v>
      </c>
      <c r="E176" s="10">
        <f t="shared" si="2"/>
        <v>1400</v>
      </c>
      <c r="F176" s="10" t="str">
        <f t="shared" si="3"/>
        <v>28 completed tickets</v>
      </c>
    </row>
    <row r="177" hidden="1">
      <c r="A177" s="6" t="s">
        <v>42</v>
      </c>
      <c r="B177" s="7" t="s">
        <v>164</v>
      </c>
      <c r="C177" s="38" t="s">
        <v>158</v>
      </c>
      <c r="D177" s="15">
        <v>52.0</v>
      </c>
      <c r="E177" s="10">
        <f t="shared" si="2"/>
        <v>2600</v>
      </c>
      <c r="F177" s="10" t="str">
        <f t="shared" si="3"/>
        <v>52 completed tickets</v>
      </c>
    </row>
    <row r="178" hidden="1">
      <c r="A178" s="6" t="s">
        <v>42</v>
      </c>
      <c r="B178" s="7" t="s">
        <v>165</v>
      </c>
      <c r="C178" s="38" t="s">
        <v>166</v>
      </c>
      <c r="D178" s="15">
        <v>92.0</v>
      </c>
      <c r="E178" s="10">
        <f t="shared" si="2"/>
        <v>4600</v>
      </c>
      <c r="F178" s="10" t="str">
        <f t="shared" si="3"/>
        <v>92 completed tickets</v>
      </c>
    </row>
    <row r="179" hidden="1">
      <c r="A179" s="6" t="s">
        <v>42</v>
      </c>
      <c r="B179" s="7" t="s">
        <v>167</v>
      </c>
      <c r="C179" s="38" t="s">
        <v>157</v>
      </c>
      <c r="D179" s="15">
        <v>28.0</v>
      </c>
      <c r="E179" s="10">
        <f t="shared" si="2"/>
        <v>1400</v>
      </c>
      <c r="F179" s="10" t="str">
        <f t="shared" si="3"/>
        <v>28 completed tickets</v>
      </c>
    </row>
    <row r="180" hidden="1">
      <c r="A180" s="6" t="s">
        <v>42</v>
      </c>
      <c r="B180" s="7" t="s">
        <v>168</v>
      </c>
      <c r="C180" s="38" t="s">
        <v>169</v>
      </c>
      <c r="D180" s="15">
        <v>23.0</v>
      </c>
      <c r="E180" s="10">
        <f t="shared" si="2"/>
        <v>1150</v>
      </c>
      <c r="F180" s="10" t="str">
        <f t="shared" si="3"/>
        <v>23 completed tickets</v>
      </c>
    </row>
    <row r="181" hidden="1">
      <c r="A181" s="6" t="s">
        <v>42</v>
      </c>
      <c r="B181" s="7" t="s">
        <v>170</v>
      </c>
      <c r="C181" s="38" t="s">
        <v>171</v>
      </c>
      <c r="D181" s="15">
        <v>20.0</v>
      </c>
      <c r="E181" s="10">
        <f t="shared" si="2"/>
        <v>1000</v>
      </c>
      <c r="F181" s="10" t="str">
        <f t="shared" si="3"/>
        <v>20 completed tickets</v>
      </c>
    </row>
    <row r="182" hidden="1">
      <c r="A182" s="6" t="s">
        <v>42</v>
      </c>
      <c r="B182" s="7" t="s">
        <v>172</v>
      </c>
      <c r="C182" s="38" t="s">
        <v>173</v>
      </c>
      <c r="D182" s="15">
        <v>55.0</v>
      </c>
      <c r="E182" s="10">
        <f t="shared" si="2"/>
        <v>2750</v>
      </c>
      <c r="F182" s="10" t="str">
        <f t="shared" si="3"/>
        <v>55 completed tickets</v>
      </c>
    </row>
    <row r="183" hidden="1">
      <c r="A183" s="6" t="s">
        <v>42</v>
      </c>
      <c r="B183" s="7" t="s">
        <v>174</v>
      </c>
      <c r="C183" s="38" t="s">
        <v>175</v>
      </c>
      <c r="D183" s="15">
        <v>27.0</v>
      </c>
      <c r="E183" s="10">
        <f t="shared" si="2"/>
        <v>1350</v>
      </c>
      <c r="F183" s="10" t="str">
        <f t="shared" si="3"/>
        <v>27 completed tickets</v>
      </c>
    </row>
    <row r="184" hidden="1">
      <c r="A184" s="6" t="s">
        <v>42</v>
      </c>
      <c r="B184" s="7" t="s">
        <v>176</v>
      </c>
      <c r="C184" s="38" t="s">
        <v>130</v>
      </c>
      <c r="D184" s="15">
        <v>29.0</v>
      </c>
      <c r="E184" s="10">
        <f t="shared" si="2"/>
        <v>1450</v>
      </c>
      <c r="F184" s="10" t="str">
        <f t="shared" si="3"/>
        <v>29 completed tickets</v>
      </c>
    </row>
    <row r="185" hidden="1">
      <c r="A185" s="6" t="s">
        <v>42</v>
      </c>
      <c r="B185" s="7" t="s">
        <v>252</v>
      </c>
      <c r="C185" s="38" t="s">
        <v>139</v>
      </c>
      <c r="D185" s="15">
        <v>46.0</v>
      </c>
      <c r="E185" s="10">
        <f t="shared" si="2"/>
        <v>2300</v>
      </c>
      <c r="F185" s="10" t="str">
        <f t="shared" si="3"/>
        <v>46 completed tickets</v>
      </c>
    </row>
    <row r="186" hidden="1">
      <c r="A186" s="6" t="s">
        <v>42</v>
      </c>
      <c r="B186" s="7" t="s">
        <v>177</v>
      </c>
      <c r="C186" s="38" t="s">
        <v>144</v>
      </c>
      <c r="D186" s="15">
        <v>40.0</v>
      </c>
      <c r="E186" s="10">
        <f t="shared" si="2"/>
        <v>2000</v>
      </c>
      <c r="F186" s="10" t="str">
        <f t="shared" si="3"/>
        <v>40 completed tickets</v>
      </c>
    </row>
    <row r="187" hidden="1">
      <c r="A187" s="6" t="s">
        <v>42</v>
      </c>
      <c r="B187" s="7" t="s">
        <v>178</v>
      </c>
      <c r="C187" s="38" t="s">
        <v>179</v>
      </c>
      <c r="D187" s="15">
        <v>19.0</v>
      </c>
      <c r="E187" s="10">
        <f t="shared" si="2"/>
        <v>950</v>
      </c>
      <c r="F187" s="10" t="str">
        <f t="shared" si="3"/>
        <v>19 completed tickets</v>
      </c>
    </row>
    <row r="188" hidden="1">
      <c r="A188" s="6" t="s">
        <v>42</v>
      </c>
      <c r="B188" s="7" t="s">
        <v>180</v>
      </c>
      <c r="C188" s="38" t="s">
        <v>181</v>
      </c>
      <c r="D188" s="15">
        <v>54.0</v>
      </c>
      <c r="E188" s="10">
        <f t="shared" si="2"/>
        <v>2700</v>
      </c>
      <c r="F188" s="10" t="str">
        <f t="shared" si="3"/>
        <v>54 completed tickets</v>
      </c>
    </row>
    <row r="189" hidden="1">
      <c r="A189" s="6" t="s">
        <v>42</v>
      </c>
      <c r="B189" s="7" t="s">
        <v>182</v>
      </c>
      <c r="C189" s="38" t="s">
        <v>183</v>
      </c>
      <c r="D189" s="15">
        <v>22.0</v>
      </c>
      <c r="E189" s="10">
        <f t="shared" si="2"/>
        <v>1100</v>
      </c>
      <c r="F189" s="10" t="str">
        <f t="shared" si="3"/>
        <v>22 completed tickets</v>
      </c>
    </row>
    <row r="190" hidden="1">
      <c r="A190" s="6" t="s">
        <v>42</v>
      </c>
      <c r="B190" s="7" t="s">
        <v>184</v>
      </c>
      <c r="C190" s="38" t="s">
        <v>185</v>
      </c>
      <c r="D190" s="15">
        <v>22.0</v>
      </c>
      <c r="E190" s="10">
        <f t="shared" si="2"/>
        <v>1100</v>
      </c>
      <c r="F190" s="10" t="str">
        <f t="shared" si="3"/>
        <v>22 completed tickets</v>
      </c>
    </row>
    <row r="191" hidden="1">
      <c r="A191" s="6" t="s">
        <v>42</v>
      </c>
      <c r="B191" s="13" t="s">
        <v>186</v>
      </c>
      <c r="C191" s="38" t="s">
        <v>187</v>
      </c>
      <c r="D191" s="15">
        <v>63.0</v>
      </c>
      <c r="E191" s="10">
        <f t="shared" si="2"/>
        <v>3150</v>
      </c>
      <c r="F191" s="10" t="str">
        <f t="shared" si="3"/>
        <v>63 completed tickets</v>
      </c>
    </row>
    <row r="192" hidden="1">
      <c r="A192" s="6" t="s">
        <v>42</v>
      </c>
      <c r="B192" s="13" t="s">
        <v>188</v>
      </c>
      <c r="C192" s="38" t="s">
        <v>189</v>
      </c>
      <c r="D192" s="15">
        <v>33.0</v>
      </c>
      <c r="E192" s="10">
        <f t="shared" si="2"/>
        <v>1650</v>
      </c>
      <c r="F192" s="10" t="str">
        <f t="shared" si="3"/>
        <v>33 completed tickets</v>
      </c>
    </row>
    <row r="193" hidden="1">
      <c r="A193" s="6" t="s">
        <v>42</v>
      </c>
      <c r="B193" s="7" t="s">
        <v>190</v>
      </c>
      <c r="C193" s="38" t="s">
        <v>191</v>
      </c>
      <c r="D193" s="15">
        <v>8.0</v>
      </c>
      <c r="E193" s="10">
        <f t="shared" si="2"/>
        <v>400</v>
      </c>
      <c r="F193" s="10" t="str">
        <f t="shared" si="3"/>
        <v>8 completed tickets</v>
      </c>
    </row>
    <row r="194" hidden="1">
      <c r="A194" s="6" t="s">
        <v>42</v>
      </c>
      <c r="B194" s="7" t="s">
        <v>192</v>
      </c>
      <c r="C194" s="38" t="s">
        <v>193</v>
      </c>
      <c r="D194" s="15">
        <v>18.0</v>
      </c>
      <c r="E194" s="10">
        <f t="shared" si="2"/>
        <v>900</v>
      </c>
      <c r="F194" s="10" t="str">
        <f t="shared" si="3"/>
        <v>18 completed tickets</v>
      </c>
    </row>
    <row r="195" hidden="1">
      <c r="A195" s="6" t="s">
        <v>42</v>
      </c>
      <c r="B195" s="7" t="s">
        <v>194</v>
      </c>
      <c r="C195" s="38" t="s">
        <v>195</v>
      </c>
      <c r="D195" s="15">
        <v>12.0</v>
      </c>
      <c r="E195" s="10">
        <f t="shared" si="2"/>
        <v>600</v>
      </c>
      <c r="F195" s="10" t="str">
        <f t="shared" si="3"/>
        <v>12 completed tickets</v>
      </c>
    </row>
    <row r="196" hidden="1">
      <c r="A196" s="6" t="s">
        <v>42</v>
      </c>
      <c r="B196" s="13" t="s">
        <v>196</v>
      </c>
      <c r="C196" s="38" t="s">
        <v>197</v>
      </c>
      <c r="D196" s="15">
        <v>20.0</v>
      </c>
      <c r="E196" s="10">
        <f t="shared" si="2"/>
        <v>1000</v>
      </c>
      <c r="F196" s="10" t="str">
        <f t="shared" si="3"/>
        <v>20 completed tickets</v>
      </c>
    </row>
    <row r="197" hidden="1">
      <c r="A197" s="6" t="s">
        <v>42</v>
      </c>
      <c r="B197" s="13" t="s">
        <v>198</v>
      </c>
      <c r="C197" s="38" t="s">
        <v>199</v>
      </c>
      <c r="D197" s="15">
        <v>46.0</v>
      </c>
      <c r="E197" s="10">
        <f t="shared" si="2"/>
        <v>2300</v>
      </c>
      <c r="F197" s="10" t="str">
        <f t="shared" si="3"/>
        <v>46 completed tickets</v>
      </c>
    </row>
    <row r="198" hidden="1">
      <c r="A198" s="6" t="s">
        <v>42</v>
      </c>
      <c r="B198" s="13" t="s">
        <v>200</v>
      </c>
      <c r="C198" s="38" t="s">
        <v>201</v>
      </c>
      <c r="D198" s="15">
        <v>24.0</v>
      </c>
      <c r="E198" s="10">
        <f t="shared" si="2"/>
        <v>1200</v>
      </c>
      <c r="F198" s="10" t="str">
        <f t="shared" si="3"/>
        <v>24 completed tickets</v>
      </c>
    </row>
    <row r="199" hidden="1">
      <c r="A199" s="6" t="s">
        <v>42</v>
      </c>
      <c r="B199" s="13" t="s">
        <v>202</v>
      </c>
      <c r="C199" s="38" t="s">
        <v>203</v>
      </c>
      <c r="D199" s="15">
        <v>24.0</v>
      </c>
      <c r="E199" s="10">
        <f t="shared" si="2"/>
        <v>1200</v>
      </c>
      <c r="F199" s="10" t="str">
        <f t="shared" si="3"/>
        <v>24 completed tickets</v>
      </c>
    </row>
    <row r="200" hidden="1">
      <c r="A200" s="6" t="s">
        <v>42</v>
      </c>
      <c r="B200" s="13" t="s">
        <v>204</v>
      </c>
      <c r="C200" s="38" t="s">
        <v>205</v>
      </c>
      <c r="D200" s="15">
        <v>34.0</v>
      </c>
      <c r="E200" s="10">
        <f t="shared" si="2"/>
        <v>1700</v>
      </c>
      <c r="F200" s="10" t="str">
        <f t="shared" si="3"/>
        <v>34 completed tickets</v>
      </c>
    </row>
    <row r="201" hidden="1">
      <c r="A201" s="6" t="s">
        <v>42</v>
      </c>
      <c r="B201" s="13" t="s">
        <v>206</v>
      </c>
      <c r="C201" s="38" t="s">
        <v>207</v>
      </c>
      <c r="D201" s="15">
        <v>53.0</v>
      </c>
      <c r="E201" s="10">
        <f t="shared" si="2"/>
        <v>2650</v>
      </c>
      <c r="F201" s="10" t="str">
        <f t="shared" si="3"/>
        <v>53 completed tickets</v>
      </c>
    </row>
    <row r="202" hidden="1">
      <c r="A202" s="6" t="s">
        <v>42</v>
      </c>
      <c r="B202" s="13" t="s">
        <v>208</v>
      </c>
      <c r="C202" s="38" t="s">
        <v>209</v>
      </c>
      <c r="D202" s="15">
        <v>20.0</v>
      </c>
      <c r="E202" s="10">
        <f t="shared" si="2"/>
        <v>1000</v>
      </c>
      <c r="F202" s="10" t="str">
        <f t="shared" si="3"/>
        <v>20 completed tickets</v>
      </c>
    </row>
    <row r="203" hidden="1">
      <c r="A203" s="6" t="s">
        <v>42</v>
      </c>
      <c r="B203" s="13" t="s">
        <v>210</v>
      </c>
      <c r="C203" s="38" t="s">
        <v>211</v>
      </c>
      <c r="D203" s="15">
        <v>22.0</v>
      </c>
      <c r="E203" s="10">
        <f t="shared" si="2"/>
        <v>1100</v>
      </c>
      <c r="F203" s="10" t="str">
        <f t="shared" si="3"/>
        <v>22 completed tickets</v>
      </c>
    </row>
    <row r="204" hidden="1">
      <c r="A204" s="6" t="s">
        <v>42</v>
      </c>
      <c r="B204" s="13" t="s">
        <v>212</v>
      </c>
      <c r="C204" s="38" t="s">
        <v>213</v>
      </c>
      <c r="D204" s="15">
        <v>12.0</v>
      </c>
      <c r="E204" s="10">
        <f t="shared" si="2"/>
        <v>600</v>
      </c>
      <c r="F204" s="10" t="str">
        <f t="shared" si="3"/>
        <v>12 completed tickets</v>
      </c>
    </row>
    <row r="205" hidden="1">
      <c r="A205" s="6" t="s">
        <v>42</v>
      </c>
      <c r="B205" s="13" t="s">
        <v>214</v>
      </c>
      <c r="C205" s="38" t="s">
        <v>215</v>
      </c>
      <c r="D205" s="15">
        <v>8.0</v>
      </c>
      <c r="E205" s="10">
        <f t="shared" si="2"/>
        <v>400</v>
      </c>
      <c r="F205" s="10" t="str">
        <f t="shared" si="3"/>
        <v>8 completed tickets</v>
      </c>
    </row>
    <row r="206" hidden="1">
      <c r="A206" s="6" t="s">
        <v>42</v>
      </c>
      <c r="B206" s="13" t="s">
        <v>253</v>
      </c>
      <c r="C206" s="38" t="s">
        <v>254</v>
      </c>
      <c r="D206" s="15">
        <v>16.0</v>
      </c>
      <c r="E206" s="10">
        <f t="shared" si="2"/>
        <v>800</v>
      </c>
      <c r="F206" s="10" t="str">
        <f t="shared" si="3"/>
        <v>16 completed tickets</v>
      </c>
    </row>
    <row r="207" hidden="1">
      <c r="A207" s="6" t="s">
        <v>42</v>
      </c>
      <c r="B207" s="13" t="s">
        <v>256</v>
      </c>
      <c r="C207" s="38" t="s">
        <v>257</v>
      </c>
      <c r="D207" s="15">
        <v>2.0</v>
      </c>
      <c r="E207" s="10">
        <f t="shared" si="2"/>
        <v>100</v>
      </c>
      <c r="F207" s="10" t="str">
        <f t="shared" si="3"/>
        <v>2 completed tickets</v>
      </c>
    </row>
    <row r="208" hidden="1">
      <c r="A208" s="6" t="s">
        <v>42</v>
      </c>
      <c r="B208" s="13" t="s">
        <v>250</v>
      </c>
      <c r="C208" s="38" t="s">
        <v>137</v>
      </c>
      <c r="D208" s="15">
        <v>4.0</v>
      </c>
      <c r="E208" s="10">
        <f t="shared" si="2"/>
        <v>200</v>
      </c>
      <c r="F208" s="10" t="str">
        <f t="shared" si="3"/>
        <v>4 completed tickets</v>
      </c>
    </row>
    <row r="209" hidden="1">
      <c r="A209" s="6" t="s">
        <v>42</v>
      </c>
      <c r="B209" s="13" t="s">
        <v>236</v>
      </c>
      <c r="C209" s="38" t="s">
        <v>251</v>
      </c>
      <c r="D209" s="15">
        <v>10.0</v>
      </c>
      <c r="E209" s="10">
        <f t="shared" si="2"/>
        <v>500</v>
      </c>
      <c r="F209" s="10" t="str">
        <f t="shared" si="3"/>
        <v>10 completed tickets</v>
      </c>
    </row>
    <row r="210" hidden="1">
      <c r="A210" s="6" t="s">
        <v>44</v>
      </c>
      <c r="B210" s="7" t="s">
        <v>160</v>
      </c>
      <c r="C210" s="38" t="s">
        <v>140</v>
      </c>
      <c r="D210" s="15">
        <v>42.0</v>
      </c>
      <c r="E210" s="10">
        <f t="shared" si="2"/>
        <v>2100</v>
      </c>
      <c r="F210" s="10" t="str">
        <f t="shared" si="3"/>
        <v>42 completed tickets</v>
      </c>
    </row>
    <row r="211" hidden="1">
      <c r="A211" s="6" t="s">
        <v>44</v>
      </c>
      <c r="B211" s="7" t="s">
        <v>161</v>
      </c>
      <c r="C211" s="38" t="s">
        <v>152</v>
      </c>
      <c r="D211" s="15">
        <v>23.0</v>
      </c>
      <c r="E211" s="10">
        <f t="shared" si="2"/>
        <v>1150</v>
      </c>
      <c r="F211" s="10" t="str">
        <f t="shared" si="3"/>
        <v>23 completed tickets</v>
      </c>
    </row>
    <row r="212" hidden="1">
      <c r="A212" s="6" t="s">
        <v>44</v>
      </c>
      <c r="B212" s="7" t="s">
        <v>162</v>
      </c>
      <c r="C212" s="38" t="s">
        <v>163</v>
      </c>
      <c r="D212" s="15">
        <v>32.0</v>
      </c>
      <c r="E212" s="10">
        <f t="shared" si="2"/>
        <v>1600</v>
      </c>
      <c r="F212" s="10" t="str">
        <f t="shared" si="3"/>
        <v>32 completed tickets</v>
      </c>
    </row>
    <row r="213" hidden="1">
      <c r="A213" s="6" t="s">
        <v>44</v>
      </c>
      <c r="B213" s="7" t="s">
        <v>164</v>
      </c>
      <c r="C213" s="38" t="s">
        <v>158</v>
      </c>
      <c r="D213" s="15">
        <v>48.0</v>
      </c>
      <c r="E213" s="10">
        <f t="shared" si="2"/>
        <v>2400</v>
      </c>
      <c r="F213" s="10" t="str">
        <f t="shared" si="3"/>
        <v>48 completed tickets</v>
      </c>
    </row>
    <row r="214" hidden="1">
      <c r="A214" s="6" t="s">
        <v>44</v>
      </c>
      <c r="B214" s="7" t="s">
        <v>165</v>
      </c>
      <c r="C214" s="38" t="s">
        <v>166</v>
      </c>
      <c r="D214" s="15">
        <v>93.0</v>
      </c>
      <c r="E214" s="10">
        <f t="shared" si="2"/>
        <v>4650</v>
      </c>
      <c r="F214" s="10" t="str">
        <f t="shared" si="3"/>
        <v>93 completed tickets</v>
      </c>
    </row>
    <row r="215" hidden="1">
      <c r="A215" s="6" t="s">
        <v>44</v>
      </c>
      <c r="B215" s="7" t="s">
        <v>167</v>
      </c>
      <c r="C215" s="38" t="s">
        <v>157</v>
      </c>
      <c r="D215" s="15">
        <v>40.0</v>
      </c>
      <c r="E215" s="10">
        <f t="shared" si="2"/>
        <v>2000</v>
      </c>
      <c r="F215" s="10" t="str">
        <f t="shared" si="3"/>
        <v>40 completed tickets</v>
      </c>
    </row>
    <row r="216" hidden="1">
      <c r="A216" s="6" t="s">
        <v>44</v>
      </c>
      <c r="B216" s="7" t="s">
        <v>168</v>
      </c>
      <c r="C216" s="38" t="s">
        <v>169</v>
      </c>
      <c r="D216" s="15">
        <v>36.0</v>
      </c>
      <c r="E216" s="10">
        <f t="shared" si="2"/>
        <v>1800</v>
      </c>
      <c r="F216" s="10" t="str">
        <f t="shared" si="3"/>
        <v>36 completed tickets</v>
      </c>
    </row>
    <row r="217" hidden="1">
      <c r="A217" s="6" t="s">
        <v>44</v>
      </c>
      <c r="B217" s="7" t="s">
        <v>170</v>
      </c>
      <c r="C217" s="38" t="s">
        <v>171</v>
      </c>
      <c r="D217" s="15">
        <v>20.0</v>
      </c>
      <c r="E217" s="10">
        <f t="shared" si="2"/>
        <v>1000</v>
      </c>
      <c r="F217" s="10" t="str">
        <f t="shared" si="3"/>
        <v>20 completed tickets</v>
      </c>
    </row>
    <row r="218" hidden="1">
      <c r="A218" s="6" t="s">
        <v>44</v>
      </c>
      <c r="B218" s="7" t="s">
        <v>172</v>
      </c>
      <c r="C218" s="38" t="s">
        <v>173</v>
      </c>
      <c r="D218" s="15">
        <v>49.0</v>
      </c>
      <c r="E218" s="10">
        <f t="shared" si="2"/>
        <v>2450</v>
      </c>
      <c r="F218" s="10" t="str">
        <f t="shared" si="3"/>
        <v>49 completed tickets</v>
      </c>
    </row>
    <row r="219" hidden="1">
      <c r="A219" s="6" t="s">
        <v>44</v>
      </c>
      <c r="B219" s="7" t="s">
        <v>174</v>
      </c>
      <c r="C219" s="38" t="s">
        <v>175</v>
      </c>
      <c r="D219" s="15">
        <v>27.0</v>
      </c>
      <c r="E219" s="10">
        <f t="shared" si="2"/>
        <v>1350</v>
      </c>
      <c r="F219" s="10" t="str">
        <f t="shared" si="3"/>
        <v>27 completed tickets</v>
      </c>
    </row>
    <row r="220" hidden="1">
      <c r="A220" s="6" t="s">
        <v>44</v>
      </c>
      <c r="B220" s="7" t="s">
        <v>176</v>
      </c>
      <c r="C220" s="38" t="s">
        <v>130</v>
      </c>
      <c r="D220" s="15">
        <v>26.0</v>
      </c>
      <c r="E220" s="10">
        <f t="shared" si="2"/>
        <v>1300</v>
      </c>
      <c r="F220" s="10" t="str">
        <f t="shared" si="3"/>
        <v>26 completed tickets</v>
      </c>
    </row>
    <row r="221" hidden="1">
      <c r="A221" s="6" t="s">
        <v>44</v>
      </c>
      <c r="B221" s="7" t="s">
        <v>252</v>
      </c>
      <c r="C221" s="38" t="s">
        <v>139</v>
      </c>
      <c r="D221" s="15">
        <v>28.0</v>
      </c>
      <c r="E221" s="10">
        <f t="shared" si="2"/>
        <v>1400</v>
      </c>
      <c r="F221" s="10" t="str">
        <f t="shared" si="3"/>
        <v>28 completed tickets</v>
      </c>
    </row>
    <row r="222" hidden="1">
      <c r="A222" s="6" t="s">
        <v>44</v>
      </c>
      <c r="B222" s="7" t="s">
        <v>177</v>
      </c>
      <c r="C222" s="38" t="s">
        <v>144</v>
      </c>
      <c r="D222" s="15">
        <v>23.0</v>
      </c>
      <c r="E222" s="10">
        <f t="shared" si="2"/>
        <v>1150</v>
      </c>
      <c r="F222" s="10" t="str">
        <f t="shared" si="3"/>
        <v>23 completed tickets</v>
      </c>
    </row>
    <row r="223" hidden="1">
      <c r="A223" s="6" t="s">
        <v>44</v>
      </c>
      <c r="B223" s="7" t="s">
        <v>178</v>
      </c>
      <c r="C223" s="38" t="s">
        <v>179</v>
      </c>
      <c r="D223" s="15">
        <v>12.0</v>
      </c>
      <c r="E223" s="10">
        <f t="shared" si="2"/>
        <v>600</v>
      </c>
      <c r="F223" s="10" t="str">
        <f t="shared" si="3"/>
        <v>12 completed tickets</v>
      </c>
    </row>
    <row r="224" hidden="1">
      <c r="A224" s="6" t="s">
        <v>44</v>
      </c>
      <c r="B224" s="7" t="s">
        <v>180</v>
      </c>
      <c r="C224" s="38" t="s">
        <v>181</v>
      </c>
      <c r="D224" s="15">
        <v>60.0</v>
      </c>
      <c r="E224" s="10">
        <f t="shared" si="2"/>
        <v>3000</v>
      </c>
      <c r="F224" s="10" t="str">
        <f t="shared" si="3"/>
        <v>60 completed tickets</v>
      </c>
    </row>
    <row r="225" hidden="1">
      <c r="A225" s="6" t="s">
        <v>44</v>
      </c>
      <c r="B225" s="7" t="s">
        <v>182</v>
      </c>
      <c r="C225" s="38" t="s">
        <v>183</v>
      </c>
      <c r="D225" s="15">
        <v>23.0</v>
      </c>
      <c r="E225" s="10">
        <f t="shared" si="2"/>
        <v>1150</v>
      </c>
      <c r="F225" s="10" t="str">
        <f t="shared" si="3"/>
        <v>23 completed tickets</v>
      </c>
    </row>
    <row r="226" hidden="1">
      <c r="A226" s="6" t="s">
        <v>44</v>
      </c>
      <c r="B226" s="7" t="s">
        <v>184</v>
      </c>
      <c r="C226" s="38" t="s">
        <v>185</v>
      </c>
      <c r="D226" s="15">
        <v>20.0</v>
      </c>
      <c r="E226" s="10">
        <f t="shared" si="2"/>
        <v>1000</v>
      </c>
      <c r="F226" s="10" t="str">
        <f t="shared" si="3"/>
        <v>20 completed tickets</v>
      </c>
    </row>
    <row r="227" hidden="1">
      <c r="A227" s="6" t="s">
        <v>44</v>
      </c>
      <c r="B227" s="13" t="s">
        <v>186</v>
      </c>
      <c r="C227" s="38" t="s">
        <v>187</v>
      </c>
      <c r="D227" s="15">
        <v>48.0</v>
      </c>
      <c r="E227" s="10">
        <f t="shared" si="2"/>
        <v>2400</v>
      </c>
      <c r="F227" s="10" t="str">
        <f t="shared" si="3"/>
        <v>48 completed tickets</v>
      </c>
    </row>
    <row r="228" hidden="1">
      <c r="A228" s="6" t="s">
        <v>44</v>
      </c>
      <c r="B228" s="13" t="s">
        <v>188</v>
      </c>
      <c r="C228" s="38" t="s">
        <v>189</v>
      </c>
      <c r="D228" s="15">
        <v>35.0</v>
      </c>
      <c r="E228" s="10">
        <f t="shared" si="2"/>
        <v>1750</v>
      </c>
      <c r="F228" s="10" t="str">
        <f t="shared" si="3"/>
        <v>35 completed tickets</v>
      </c>
    </row>
    <row r="229" hidden="1">
      <c r="A229" s="6" t="s">
        <v>44</v>
      </c>
      <c r="B229" s="7" t="s">
        <v>190</v>
      </c>
      <c r="C229" s="38" t="s">
        <v>191</v>
      </c>
      <c r="D229" s="15">
        <v>12.0</v>
      </c>
      <c r="E229" s="10">
        <f t="shared" si="2"/>
        <v>600</v>
      </c>
      <c r="F229" s="10" t="str">
        <f t="shared" si="3"/>
        <v>12 completed tickets</v>
      </c>
    </row>
    <row r="230" hidden="1">
      <c r="A230" s="6" t="s">
        <v>44</v>
      </c>
      <c r="B230" s="7" t="s">
        <v>192</v>
      </c>
      <c r="C230" s="38" t="s">
        <v>193</v>
      </c>
      <c r="D230" s="15">
        <v>20.0</v>
      </c>
      <c r="E230" s="10">
        <f t="shared" si="2"/>
        <v>1000</v>
      </c>
      <c r="F230" s="10" t="str">
        <f t="shared" si="3"/>
        <v>20 completed tickets</v>
      </c>
    </row>
    <row r="231" hidden="1">
      <c r="A231" s="6" t="s">
        <v>44</v>
      </c>
      <c r="B231" s="7" t="s">
        <v>194</v>
      </c>
      <c r="C231" s="38" t="s">
        <v>195</v>
      </c>
      <c r="D231" s="15">
        <v>17.0</v>
      </c>
      <c r="E231" s="10">
        <f t="shared" si="2"/>
        <v>850</v>
      </c>
      <c r="F231" s="10" t="str">
        <f t="shared" si="3"/>
        <v>17 completed tickets</v>
      </c>
    </row>
    <row r="232" hidden="1">
      <c r="A232" s="6" t="s">
        <v>44</v>
      </c>
      <c r="B232" s="13" t="s">
        <v>196</v>
      </c>
      <c r="C232" s="38" t="s">
        <v>197</v>
      </c>
      <c r="D232" s="15">
        <v>32.0</v>
      </c>
      <c r="E232" s="10">
        <f t="shared" si="2"/>
        <v>1600</v>
      </c>
      <c r="F232" s="10" t="str">
        <f t="shared" si="3"/>
        <v>32 completed tickets</v>
      </c>
    </row>
    <row r="233" hidden="1">
      <c r="A233" s="6" t="s">
        <v>44</v>
      </c>
      <c r="B233" s="13" t="s">
        <v>198</v>
      </c>
      <c r="C233" s="38" t="s">
        <v>199</v>
      </c>
      <c r="D233" s="15">
        <v>35.0</v>
      </c>
      <c r="E233" s="10">
        <f t="shared" si="2"/>
        <v>1750</v>
      </c>
      <c r="F233" s="10" t="str">
        <f t="shared" si="3"/>
        <v>35 completed tickets</v>
      </c>
    </row>
    <row r="234" hidden="1">
      <c r="A234" s="6" t="s">
        <v>44</v>
      </c>
      <c r="B234" s="13" t="s">
        <v>200</v>
      </c>
      <c r="C234" s="38" t="s">
        <v>201</v>
      </c>
      <c r="D234" s="15">
        <v>22.0</v>
      </c>
      <c r="E234" s="10">
        <f t="shared" si="2"/>
        <v>1100</v>
      </c>
      <c r="F234" s="10" t="str">
        <f t="shared" si="3"/>
        <v>22 completed tickets</v>
      </c>
    </row>
    <row r="235" hidden="1">
      <c r="A235" s="6" t="s">
        <v>44</v>
      </c>
      <c r="B235" s="13" t="s">
        <v>202</v>
      </c>
      <c r="C235" s="38" t="s">
        <v>203</v>
      </c>
      <c r="D235" s="15">
        <v>27.0</v>
      </c>
      <c r="E235" s="10">
        <f t="shared" si="2"/>
        <v>1350</v>
      </c>
      <c r="F235" s="10" t="str">
        <f t="shared" si="3"/>
        <v>27 completed tickets</v>
      </c>
    </row>
    <row r="236" hidden="1">
      <c r="A236" s="6" t="s">
        <v>44</v>
      </c>
      <c r="B236" s="13" t="s">
        <v>204</v>
      </c>
      <c r="C236" s="38" t="s">
        <v>205</v>
      </c>
      <c r="D236" s="15">
        <v>38.0</v>
      </c>
      <c r="E236" s="10">
        <f t="shared" si="2"/>
        <v>1900</v>
      </c>
      <c r="F236" s="10" t="str">
        <f t="shared" si="3"/>
        <v>38 completed tickets</v>
      </c>
    </row>
    <row r="237" hidden="1">
      <c r="A237" s="6" t="s">
        <v>44</v>
      </c>
      <c r="B237" s="13" t="s">
        <v>206</v>
      </c>
      <c r="C237" s="38" t="s">
        <v>207</v>
      </c>
      <c r="D237" s="15">
        <v>34.0</v>
      </c>
      <c r="E237" s="10">
        <f t="shared" si="2"/>
        <v>1700</v>
      </c>
      <c r="F237" s="10" t="str">
        <f t="shared" si="3"/>
        <v>34 completed tickets</v>
      </c>
    </row>
    <row r="238" hidden="1">
      <c r="A238" s="6" t="s">
        <v>44</v>
      </c>
      <c r="B238" s="13" t="s">
        <v>208</v>
      </c>
      <c r="C238" s="38" t="s">
        <v>209</v>
      </c>
      <c r="D238" s="15">
        <v>24.0</v>
      </c>
      <c r="E238" s="10">
        <f t="shared" si="2"/>
        <v>1200</v>
      </c>
      <c r="F238" s="10" t="str">
        <f t="shared" si="3"/>
        <v>24 completed tickets</v>
      </c>
    </row>
    <row r="239" hidden="1">
      <c r="A239" s="6" t="s">
        <v>44</v>
      </c>
      <c r="B239" s="13" t="s">
        <v>210</v>
      </c>
      <c r="C239" s="38" t="s">
        <v>211</v>
      </c>
      <c r="D239" s="15">
        <v>24.0</v>
      </c>
      <c r="E239" s="10">
        <f t="shared" si="2"/>
        <v>1200</v>
      </c>
      <c r="F239" s="10" t="str">
        <f t="shared" si="3"/>
        <v>24 completed tickets</v>
      </c>
    </row>
    <row r="240" hidden="1">
      <c r="A240" s="6" t="s">
        <v>44</v>
      </c>
      <c r="B240" s="13" t="s">
        <v>212</v>
      </c>
      <c r="C240" s="38" t="s">
        <v>213</v>
      </c>
      <c r="D240" s="15">
        <v>18.0</v>
      </c>
      <c r="E240" s="10">
        <f t="shared" si="2"/>
        <v>900</v>
      </c>
      <c r="F240" s="10" t="str">
        <f t="shared" si="3"/>
        <v>18 completed tickets</v>
      </c>
    </row>
    <row r="241" hidden="1">
      <c r="A241" s="6" t="s">
        <v>44</v>
      </c>
      <c r="B241" s="13" t="s">
        <v>214</v>
      </c>
      <c r="C241" s="38" t="s">
        <v>215</v>
      </c>
      <c r="D241" s="15">
        <v>7.0</v>
      </c>
      <c r="E241" s="10">
        <f t="shared" si="2"/>
        <v>350</v>
      </c>
      <c r="F241" s="10" t="str">
        <f t="shared" si="3"/>
        <v>7 completed tickets</v>
      </c>
    </row>
    <row r="242" hidden="1">
      <c r="A242" s="6" t="s">
        <v>44</v>
      </c>
      <c r="B242" s="13" t="s">
        <v>253</v>
      </c>
      <c r="C242" s="38" t="s">
        <v>254</v>
      </c>
      <c r="D242" s="15">
        <v>4.0</v>
      </c>
      <c r="E242" s="10">
        <f t="shared" si="2"/>
        <v>200</v>
      </c>
      <c r="F242" s="10" t="str">
        <f t="shared" si="3"/>
        <v>4 completed tickets</v>
      </c>
    </row>
    <row r="243" hidden="1">
      <c r="A243" s="6" t="s">
        <v>44</v>
      </c>
      <c r="B243" s="13" t="s">
        <v>256</v>
      </c>
      <c r="C243" s="38" t="s">
        <v>257</v>
      </c>
      <c r="D243" s="15">
        <v>2.0</v>
      </c>
      <c r="E243" s="10">
        <f t="shared" si="2"/>
        <v>100</v>
      </c>
      <c r="F243" s="10" t="str">
        <f t="shared" si="3"/>
        <v>2 completed tickets</v>
      </c>
    </row>
    <row r="244" hidden="1">
      <c r="A244" s="6" t="s">
        <v>44</v>
      </c>
      <c r="B244" s="13" t="s">
        <v>258</v>
      </c>
      <c r="C244" s="38" t="s">
        <v>259</v>
      </c>
      <c r="D244" s="15">
        <v>2.0</v>
      </c>
      <c r="E244" s="10">
        <f t="shared" si="2"/>
        <v>100</v>
      </c>
      <c r="F244" s="10" t="str">
        <f t="shared" si="3"/>
        <v>2 completed tickets</v>
      </c>
    </row>
    <row r="245" hidden="1">
      <c r="A245" s="6" t="s">
        <v>44</v>
      </c>
      <c r="B245" s="13" t="s">
        <v>260</v>
      </c>
      <c r="C245" s="38" t="s">
        <v>261</v>
      </c>
      <c r="D245" s="15">
        <v>12.0</v>
      </c>
      <c r="E245" s="10">
        <f t="shared" si="2"/>
        <v>600</v>
      </c>
      <c r="F245" s="10" t="str">
        <f t="shared" si="3"/>
        <v>12 completed tickets</v>
      </c>
    </row>
    <row r="246" hidden="1">
      <c r="A246" s="6" t="s">
        <v>46</v>
      </c>
      <c r="B246" s="7" t="s">
        <v>160</v>
      </c>
      <c r="C246" s="38" t="s">
        <v>140</v>
      </c>
      <c r="D246" s="15">
        <v>44.0</v>
      </c>
      <c r="E246" s="10">
        <f t="shared" si="2"/>
        <v>2200</v>
      </c>
      <c r="F246" s="10" t="str">
        <f t="shared" si="3"/>
        <v>44 completed tickets</v>
      </c>
    </row>
    <row r="247" hidden="1">
      <c r="A247" s="6" t="s">
        <v>46</v>
      </c>
      <c r="B247" s="7" t="s">
        <v>161</v>
      </c>
      <c r="C247" s="38" t="s">
        <v>152</v>
      </c>
      <c r="D247" s="15">
        <v>30.0</v>
      </c>
      <c r="E247" s="10">
        <f t="shared" si="2"/>
        <v>1500</v>
      </c>
      <c r="F247" s="10" t="str">
        <f t="shared" si="3"/>
        <v>30 completed tickets</v>
      </c>
    </row>
    <row r="248" hidden="1">
      <c r="A248" s="6" t="s">
        <v>46</v>
      </c>
      <c r="B248" s="7" t="s">
        <v>162</v>
      </c>
      <c r="C248" s="38" t="s">
        <v>163</v>
      </c>
      <c r="D248" s="15">
        <v>48.0</v>
      </c>
      <c r="E248" s="10">
        <f t="shared" si="2"/>
        <v>2400</v>
      </c>
      <c r="F248" s="10" t="str">
        <f t="shared" si="3"/>
        <v>48 completed tickets</v>
      </c>
    </row>
    <row r="249" hidden="1">
      <c r="A249" s="6" t="s">
        <v>46</v>
      </c>
      <c r="B249" s="7" t="s">
        <v>164</v>
      </c>
      <c r="C249" s="38" t="s">
        <v>158</v>
      </c>
      <c r="D249" s="15">
        <v>46.0</v>
      </c>
      <c r="E249" s="10">
        <f t="shared" si="2"/>
        <v>2300</v>
      </c>
      <c r="F249" s="10" t="str">
        <f t="shared" si="3"/>
        <v>46 completed tickets</v>
      </c>
    </row>
    <row r="250" hidden="1">
      <c r="A250" s="6" t="s">
        <v>46</v>
      </c>
      <c r="B250" s="7" t="s">
        <v>165</v>
      </c>
      <c r="C250" s="38" t="s">
        <v>166</v>
      </c>
      <c r="D250" s="15">
        <v>76.0</v>
      </c>
      <c r="E250" s="10">
        <f t="shared" si="2"/>
        <v>3800</v>
      </c>
      <c r="F250" s="10" t="str">
        <f t="shared" si="3"/>
        <v>76 completed tickets</v>
      </c>
    </row>
    <row r="251" hidden="1">
      <c r="A251" s="6" t="s">
        <v>46</v>
      </c>
      <c r="B251" s="7" t="s">
        <v>167</v>
      </c>
      <c r="C251" s="38" t="s">
        <v>157</v>
      </c>
      <c r="D251" s="15">
        <v>48.0</v>
      </c>
      <c r="E251" s="10">
        <f t="shared" si="2"/>
        <v>2400</v>
      </c>
      <c r="F251" s="10" t="str">
        <f t="shared" si="3"/>
        <v>48 completed tickets</v>
      </c>
    </row>
    <row r="252" hidden="1">
      <c r="A252" s="6" t="s">
        <v>46</v>
      </c>
      <c r="B252" s="7" t="s">
        <v>168</v>
      </c>
      <c r="C252" s="38" t="s">
        <v>169</v>
      </c>
      <c r="D252" s="15">
        <v>52.0</v>
      </c>
      <c r="E252" s="10">
        <f t="shared" si="2"/>
        <v>2600</v>
      </c>
      <c r="F252" s="10" t="str">
        <f t="shared" si="3"/>
        <v>52 completed tickets</v>
      </c>
    </row>
    <row r="253" hidden="1">
      <c r="A253" s="6" t="s">
        <v>46</v>
      </c>
      <c r="B253" s="7" t="s">
        <v>170</v>
      </c>
      <c r="C253" s="38" t="s">
        <v>171</v>
      </c>
      <c r="D253" s="15">
        <v>32.0</v>
      </c>
      <c r="E253" s="10">
        <f t="shared" si="2"/>
        <v>1600</v>
      </c>
      <c r="F253" s="10" t="str">
        <f t="shared" si="3"/>
        <v>32 completed tickets</v>
      </c>
    </row>
    <row r="254" hidden="1">
      <c r="A254" s="6" t="s">
        <v>46</v>
      </c>
      <c r="B254" s="7" t="s">
        <v>172</v>
      </c>
      <c r="C254" s="38" t="s">
        <v>173</v>
      </c>
      <c r="D254" s="15">
        <v>49.0</v>
      </c>
      <c r="E254" s="10">
        <f t="shared" si="2"/>
        <v>2450</v>
      </c>
      <c r="F254" s="10" t="str">
        <f t="shared" si="3"/>
        <v>49 completed tickets</v>
      </c>
    </row>
    <row r="255" hidden="1">
      <c r="A255" s="6" t="s">
        <v>46</v>
      </c>
      <c r="B255" s="7" t="s">
        <v>174</v>
      </c>
      <c r="C255" s="38" t="s">
        <v>175</v>
      </c>
      <c r="D255" s="15">
        <v>28.0</v>
      </c>
      <c r="E255" s="10">
        <f t="shared" si="2"/>
        <v>1400</v>
      </c>
      <c r="F255" s="10" t="str">
        <f t="shared" si="3"/>
        <v>28 completed tickets</v>
      </c>
    </row>
    <row r="256" hidden="1">
      <c r="A256" s="6" t="s">
        <v>46</v>
      </c>
      <c r="B256" s="7" t="s">
        <v>176</v>
      </c>
      <c r="C256" s="38" t="s">
        <v>130</v>
      </c>
      <c r="D256" s="15">
        <v>37.0</v>
      </c>
      <c r="E256" s="10">
        <f t="shared" si="2"/>
        <v>1850</v>
      </c>
      <c r="F256" s="10" t="str">
        <f t="shared" si="3"/>
        <v>37 completed tickets</v>
      </c>
    </row>
    <row r="257" hidden="1">
      <c r="A257" s="6" t="s">
        <v>46</v>
      </c>
      <c r="B257" s="7" t="s">
        <v>252</v>
      </c>
      <c r="C257" s="38" t="s">
        <v>139</v>
      </c>
      <c r="D257" s="15">
        <v>38.0</v>
      </c>
      <c r="E257" s="10">
        <f t="shared" si="2"/>
        <v>1900</v>
      </c>
      <c r="F257" s="10" t="str">
        <f t="shared" si="3"/>
        <v>38 completed tickets</v>
      </c>
    </row>
    <row r="258" hidden="1">
      <c r="A258" s="6" t="s">
        <v>46</v>
      </c>
      <c r="B258" s="7" t="s">
        <v>177</v>
      </c>
      <c r="C258" s="38" t="s">
        <v>144</v>
      </c>
      <c r="D258" s="15">
        <v>45.0</v>
      </c>
      <c r="E258" s="10">
        <f t="shared" si="2"/>
        <v>2250</v>
      </c>
      <c r="F258" s="10" t="str">
        <f t="shared" si="3"/>
        <v>45 completed tickets</v>
      </c>
    </row>
    <row r="259" hidden="1">
      <c r="A259" s="6" t="s">
        <v>46</v>
      </c>
      <c r="B259" s="7" t="s">
        <v>178</v>
      </c>
      <c r="C259" s="38" t="s">
        <v>179</v>
      </c>
      <c r="D259" s="15">
        <v>18.0</v>
      </c>
      <c r="E259" s="10">
        <f t="shared" si="2"/>
        <v>900</v>
      </c>
      <c r="F259" s="10" t="str">
        <f t="shared" si="3"/>
        <v>18 completed tickets</v>
      </c>
    </row>
    <row r="260" hidden="1">
      <c r="A260" s="6" t="s">
        <v>46</v>
      </c>
      <c r="B260" s="7" t="s">
        <v>180</v>
      </c>
      <c r="C260" s="38" t="s">
        <v>181</v>
      </c>
      <c r="D260" s="15">
        <v>61.0</v>
      </c>
      <c r="E260" s="10">
        <f t="shared" si="2"/>
        <v>3050</v>
      </c>
      <c r="F260" s="10" t="str">
        <f t="shared" si="3"/>
        <v>61 completed tickets</v>
      </c>
    </row>
    <row r="261" hidden="1">
      <c r="A261" s="6" t="s">
        <v>46</v>
      </c>
      <c r="B261" s="7" t="s">
        <v>182</v>
      </c>
      <c r="C261" s="38" t="s">
        <v>183</v>
      </c>
      <c r="D261" s="15">
        <v>23.0</v>
      </c>
      <c r="E261" s="10">
        <f t="shared" si="2"/>
        <v>1150</v>
      </c>
      <c r="F261" s="10" t="str">
        <f t="shared" si="3"/>
        <v>23 completed tickets</v>
      </c>
    </row>
    <row r="262" hidden="1">
      <c r="A262" s="6" t="s">
        <v>46</v>
      </c>
      <c r="B262" s="7" t="s">
        <v>184</v>
      </c>
      <c r="C262" s="38" t="s">
        <v>185</v>
      </c>
      <c r="D262" s="15">
        <v>25.0</v>
      </c>
      <c r="E262" s="10">
        <f t="shared" si="2"/>
        <v>1250</v>
      </c>
      <c r="F262" s="10" t="str">
        <f t="shared" si="3"/>
        <v>25 completed tickets</v>
      </c>
    </row>
    <row r="263" hidden="1">
      <c r="A263" s="6" t="s">
        <v>46</v>
      </c>
      <c r="B263" s="13" t="s">
        <v>186</v>
      </c>
      <c r="C263" s="38" t="s">
        <v>187</v>
      </c>
      <c r="D263" s="15">
        <v>23.0</v>
      </c>
      <c r="E263" s="10">
        <f t="shared" si="2"/>
        <v>1150</v>
      </c>
      <c r="F263" s="10" t="str">
        <f t="shared" si="3"/>
        <v>23 completed tickets</v>
      </c>
    </row>
    <row r="264" hidden="1">
      <c r="A264" s="6" t="s">
        <v>46</v>
      </c>
      <c r="B264" s="13" t="s">
        <v>188</v>
      </c>
      <c r="C264" s="38" t="s">
        <v>189</v>
      </c>
      <c r="D264" s="15">
        <v>37.0</v>
      </c>
      <c r="E264" s="10">
        <f t="shared" si="2"/>
        <v>1850</v>
      </c>
      <c r="F264" s="10" t="str">
        <f t="shared" si="3"/>
        <v>37 completed tickets</v>
      </c>
    </row>
    <row r="265" hidden="1">
      <c r="A265" s="6" t="s">
        <v>46</v>
      </c>
      <c r="B265" s="7" t="s">
        <v>190</v>
      </c>
      <c r="C265" s="38" t="s">
        <v>191</v>
      </c>
      <c r="D265" s="15">
        <v>28.0</v>
      </c>
      <c r="E265" s="10">
        <f t="shared" si="2"/>
        <v>1400</v>
      </c>
      <c r="F265" s="10" t="str">
        <f t="shared" si="3"/>
        <v>28 completed tickets</v>
      </c>
    </row>
    <row r="266" hidden="1">
      <c r="A266" s="6" t="s">
        <v>46</v>
      </c>
      <c r="B266" s="7" t="s">
        <v>192</v>
      </c>
      <c r="C266" s="38" t="s">
        <v>193</v>
      </c>
      <c r="D266" s="15">
        <v>23.0</v>
      </c>
      <c r="E266" s="10">
        <f t="shared" si="2"/>
        <v>1150</v>
      </c>
      <c r="F266" s="10" t="str">
        <f t="shared" si="3"/>
        <v>23 completed tickets</v>
      </c>
    </row>
    <row r="267" hidden="1">
      <c r="A267" s="6" t="s">
        <v>46</v>
      </c>
      <c r="B267" s="7" t="s">
        <v>194</v>
      </c>
      <c r="C267" s="38" t="s">
        <v>195</v>
      </c>
      <c r="D267" s="15">
        <v>15.0</v>
      </c>
      <c r="E267" s="10">
        <f t="shared" si="2"/>
        <v>750</v>
      </c>
      <c r="F267" s="10" t="str">
        <f t="shared" si="3"/>
        <v>15 completed tickets</v>
      </c>
    </row>
    <row r="268" hidden="1">
      <c r="A268" s="6" t="s">
        <v>46</v>
      </c>
      <c r="B268" s="13" t="s">
        <v>196</v>
      </c>
      <c r="C268" s="38" t="s">
        <v>197</v>
      </c>
      <c r="D268" s="15">
        <v>30.0</v>
      </c>
      <c r="E268" s="10">
        <f t="shared" si="2"/>
        <v>1500</v>
      </c>
      <c r="F268" s="10" t="str">
        <f t="shared" si="3"/>
        <v>30 completed tickets</v>
      </c>
    </row>
    <row r="269" hidden="1">
      <c r="A269" s="6" t="s">
        <v>46</v>
      </c>
      <c r="B269" s="13" t="s">
        <v>198</v>
      </c>
      <c r="C269" s="38" t="s">
        <v>199</v>
      </c>
      <c r="D269" s="15">
        <v>52.0</v>
      </c>
      <c r="E269" s="10">
        <f t="shared" si="2"/>
        <v>2600</v>
      </c>
      <c r="F269" s="10" t="str">
        <f t="shared" si="3"/>
        <v>52 completed tickets</v>
      </c>
    </row>
    <row r="270" hidden="1">
      <c r="A270" s="6" t="s">
        <v>46</v>
      </c>
      <c r="B270" s="13" t="s">
        <v>200</v>
      </c>
      <c r="C270" s="38" t="s">
        <v>201</v>
      </c>
      <c r="D270" s="15">
        <v>34.0</v>
      </c>
      <c r="E270" s="10">
        <f t="shared" si="2"/>
        <v>1700</v>
      </c>
      <c r="F270" s="10" t="str">
        <f t="shared" si="3"/>
        <v>34 completed tickets</v>
      </c>
    </row>
    <row r="271" hidden="1">
      <c r="A271" s="6" t="s">
        <v>46</v>
      </c>
      <c r="B271" s="13" t="s">
        <v>202</v>
      </c>
      <c r="C271" s="38" t="s">
        <v>203</v>
      </c>
      <c r="D271" s="15">
        <v>20.0</v>
      </c>
      <c r="E271" s="10">
        <f t="shared" si="2"/>
        <v>1000</v>
      </c>
      <c r="F271" s="10" t="str">
        <f t="shared" si="3"/>
        <v>20 completed tickets</v>
      </c>
    </row>
    <row r="272" hidden="1">
      <c r="A272" s="6" t="s">
        <v>46</v>
      </c>
      <c r="B272" s="13" t="s">
        <v>204</v>
      </c>
      <c r="C272" s="38" t="s">
        <v>205</v>
      </c>
      <c r="D272" s="15">
        <v>34.0</v>
      </c>
      <c r="E272" s="10">
        <f t="shared" si="2"/>
        <v>1700</v>
      </c>
      <c r="F272" s="10" t="str">
        <f t="shared" si="3"/>
        <v>34 completed tickets</v>
      </c>
    </row>
    <row r="273" hidden="1">
      <c r="A273" s="6" t="s">
        <v>46</v>
      </c>
      <c r="B273" s="13" t="s">
        <v>206</v>
      </c>
      <c r="C273" s="38" t="s">
        <v>207</v>
      </c>
      <c r="D273" s="15">
        <v>47.0</v>
      </c>
      <c r="E273" s="10">
        <f t="shared" si="2"/>
        <v>2350</v>
      </c>
      <c r="F273" s="10" t="str">
        <f t="shared" si="3"/>
        <v>47 completed tickets</v>
      </c>
    </row>
    <row r="274" hidden="1">
      <c r="A274" s="6" t="s">
        <v>46</v>
      </c>
      <c r="B274" s="13" t="s">
        <v>208</v>
      </c>
      <c r="C274" s="38" t="s">
        <v>209</v>
      </c>
      <c r="D274" s="15">
        <v>19.0</v>
      </c>
      <c r="E274" s="10">
        <f t="shared" si="2"/>
        <v>950</v>
      </c>
      <c r="F274" s="10" t="str">
        <f t="shared" si="3"/>
        <v>19 completed tickets</v>
      </c>
    </row>
    <row r="275" hidden="1">
      <c r="A275" s="6" t="s">
        <v>46</v>
      </c>
      <c r="B275" s="13" t="s">
        <v>210</v>
      </c>
      <c r="C275" s="38" t="s">
        <v>211</v>
      </c>
      <c r="D275" s="15">
        <v>20.0</v>
      </c>
      <c r="E275" s="10">
        <f t="shared" si="2"/>
        <v>1000</v>
      </c>
      <c r="F275" s="10" t="str">
        <f t="shared" si="3"/>
        <v>20 completed tickets</v>
      </c>
    </row>
    <row r="276" hidden="1">
      <c r="A276" s="6" t="s">
        <v>46</v>
      </c>
      <c r="B276" s="13" t="s">
        <v>212</v>
      </c>
      <c r="C276" s="38" t="s">
        <v>213</v>
      </c>
      <c r="D276" s="15">
        <v>21.0</v>
      </c>
      <c r="E276" s="10">
        <f t="shared" si="2"/>
        <v>1050</v>
      </c>
      <c r="F276" s="10" t="str">
        <f t="shared" si="3"/>
        <v>21 completed tickets</v>
      </c>
    </row>
    <row r="277" hidden="1">
      <c r="A277" s="6" t="s">
        <v>46</v>
      </c>
      <c r="B277" s="13" t="s">
        <v>214</v>
      </c>
      <c r="C277" s="38" t="s">
        <v>215</v>
      </c>
      <c r="D277" s="15">
        <v>6.0</v>
      </c>
      <c r="E277" s="10">
        <f t="shared" si="2"/>
        <v>300</v>
      </c>
      <c r="F277" s="10" t="str">
        <f t="shared" si="3"/>
        <v>6 completed tickets</v>
      </c>
    </row>
    <row r="278" hidden="1">
      <c r="A278" s="6" t="s">
        <v>46</v>
      </c>
      <c r="B278" s="13" t="s">
        <v>253</v>
      </c>
      <c r="C278" s="38" t="s">
        <v>254</v>
      </c>
      <c r="D278" s="15">
        <v>6.0</v>
      </c>
      <c r="E278" s="10">
        <f t="shared" si="2"/>
        <v>300</v>
      </c>
      <c r="F278" s="10" t="str">
        <f t="shared" si="3"/>
        <v>6 completed tickets</v>
      </c>
    </row>
    <row r="279" hidden="1">
      <c r="A279" s="6" t="s">
        <v>46</v>
      </c>
      <c r="B279" s="7" t="s">
        <v>258</v>
      </c>
      <c r="C279" s="38" t="s">
        <v>259</v>
      </c>
      <c r="D279" s="15">
        <v>12.0</v>
      </c>
      <c r="E279" s="10">
        <f t="shared" si="2"/>
        <v>600</v>
      </c>
      <c r="F279" s="10" t="str">
        <f t="shared" si="3"/>
        <v>12 completed tickets</v>
      </c>
    </row>
    <row r="280" hidden="1">
      <c r="A280" s="6" t="s">
        <v>46</v>
      </c>
      <c r="B280" s="13" t="s">
        <v>262</v>
      </c>
      <c r="C280" s="38" t="s">
        <v>263</v>
      </c>
      <c r="D280" s="15">
        <v>2.0</v>
      </c>
      <c r="E280" s="10">
        <f t="shared" si="2"/>
        <v>100</v>
      </c>
      <c r="F280" s="10" t="str">
        <f t="shared" si="3"/>
        <v>2 completed tickets</v>
      </c>
    </row>
    <row r="281" hidden="1">
      <c r="A281" s="6" t="s">
        <v>46</v>
      </c>
      <c r="B281" s="13" t="s">
        <v>264</v>
      </c>
      <c r="C281" s="38" t="s">
        <v>265</v>
      </c>
      <c r="D281" s="15">
        <v>2.0</v>
      </c>
      <c r="E281" s="10">
        <f t="shared" si="2"/>
        <v>100</v>
      </c>
      <c r="F281" s="10" t="str">
        <f t="shared" si="3"/>
        <v>2 completed tickets</v>
      </c>
    </row>
    <row r="282" hidden="1">
      <c r="A282" s="6" t="s">
        <v>46</v>
      </c>
      <c r="B282" s="13" t="s">
        <v>250</v>
      </c>
      <c r="C282" s="38" t="s">
        <v>137</v>
      </c>
      <c r="D282" s="15">
        <v>4.0</v>
      </c>
      <c r="E282" s="10">
        <f t="shared" si="2"/>
        <v>200</v>
      </c>
      <c r="F282" s="10" t="str">
        <f t="shared" si="3"/>
        <v>4 completed tickets</v>
      </c>
    </row>
    <row r="283" hidden="1">
      <c r="A283" s="6" t="s">
        <v>46</v>
      </c>
      <c r="B283" s="13" t="s">
        <v>260</v>
      </c>
      <c r="C283" s="38" t="s">
        <v>261</v>
      </c>
      <c r="D283" s="15">
        <v>10.0</v>
      </c>
      <c r="E283" s="10">
        <f t="shared" si="2"/>
        <v>500</v>
      </c>
      <c r="F283" s="10" t="str">
        <f t="shared" si="3"/>
        <v>10 completed tickets</v>
      </c>
    </row>
    <row r="284" hidden="1">
      <c r="A284" s="6" t="s">
        <v>46</v>
      </c>
      <c r="B284" s="13" t="s">
        <v>236</v>
      </c>
      <c r="C284" s="38" t="s">
        <v>251</v>
      </c>
      <c r="D284" s="15">
        <v>4.0</v>
      </c>
      <c r="E284" s="10">
        <f t="shared" si="2"/>
        <v>200</v>
      </c>
      <c r="F284" s="10" t="str">
        <f t="shared" si="3"/>
        <v>4 completed tickets</v>
      </c>
    </row>
    <row r="285" hidden="1">
      <c r="A285" s="6" t="s">
        <v>46</v>
      </c>
      <c r="B285" s="13" t="s">
        <v>266</v>
      </c>
      <c r="C285" s="38" t="s">
        <v>267</v>
      </c>
      <c r="D285" s="15">
        <v>2.0</v>
      </c>
      <c r="E285" s="10">
        <f t="shared" si="2"/>
        <v>100</v>
      </c>
      <c r="F285" s="10" t="str">
        <f t="shared" si="3"/>
        <v>2 completed tickets</v>
      </c>
    </row>
    <row r="286" hidden="1">
      <c r="A286" s="6" t="s">
        <v>48</v>
      </c>
      <c r="B286" s="7" t="s">
        <v>160</v>
      </c>
      <c r="C286" s="38" t="s">
        <v>140</v>
      </c>
      <c r="D286" s="15">
        <v>59.0</v>
      </c>
      <c r="E286" s="10">
        <f t="shared" si="2"/>
        <v>2950</v>
      </c>
      <c r="F286" s="10" t="str">
        <f t="shared" si="3"/>
        <v>59 completed tickets</v>
      </c>
    </row>
    <row r="287" hidden="1">
      <c r="A287" s="6" t="s">
        <v>48</v>
      </c>
      <c r="B287" s="7" t="s">
        <v>161</v>
      </c>
      <c r="C287" s="38" t="s">
        <v>152</v>
      </c>
      <c r="D287" s="15">
        <v>28.0</v>
      </c>
      <c r="E287" s="10">
        <f t="shared" si="2"/>
        <v>1400</v>
      </c>
      <c r="F287" s="10" t="str">
        <f t="shared" si="3"/>
        <v>28 completed tickets</v>
      </c>
    </row>
    <row r="288" hidden="1">
      <c r="A288" s="6" t="s">
        <v>48</v>
      </c>
      <c r="B288" s="7" t="s">
        <v>162</v>
      </c>
      <c r="C288" s="38" t="s">
        <v>163</v>
      </c>
      <c r="D288" s="15">
        <v>62.0</v>
      </c>
      <c r="E288" s="10">
        <f t="shared" si="2"/>
        <v>3100</v>
      </c>
      <c r="F288" s="10" t="str">
        <f t="shared" si="3"/>
        <v>62 completed tickets</v>
      </c>
    </row>
    <row r="289" hidden="1">
      <c r="A289" s="6" t="s">
        <v>48</v>
      </c>
      <c r="B289" s="7" t="s">
        <v>164</v>
      </c>
      <c r="C289" s="38" t="s">
        <v>158</v>
      </c>
      <c r="D289" s="15">
        <v>58.0</v>
      </c>
      <c r="E289" s="10">
        <f t="shared" si="2"/>
        <v>2900</v>
      </c>
      <c r="F289" s="10" t="str">
        <f t="shared" si="3"/>
        <v>58 completed tickets</v>
      </c>
    </row>
    <row r="290" hidden="1">
      <c r="A290" s="6" t="s">
        <v>48</v>
      </c>
      <c r="B290" s="7" t="s">
        <v>165</v>
      </c>
      <c r="C290" s="38" t="s">
        <v>166</v>
      </c>
      <c r="D290" s="15">
        <v>66.0</v>
      </c>
      <c r="E290" s="10">
        <f t="shared" si="2"/>
        <v>3300</v>
      </c>
      <c r="F290" s="10" t="str">
        <f t="shared" si="3"/>
        <v>66 completed tickets</v>
      </c>
    </row>
    <row r="291" hidden="1">
      <c r="A291" s="6" t="s">
        <v>48</v>
      </c>
      <c r="B291" s="7" t="s">
        <v>167</v>
      </c>
      <c r="C291" s="38" t="s">
        <v>157</v>
      </c>
      <c r="D291" s="15">
        <v>43.0</v>
      </c>
      <c r="E291" s="10">
        <f t="shared" si="2"/>
        <v>2150</v>
      </c>
      <c r="F291" s="10" t="str">
        <f t="shared" si="3"/>
        <v>43 completed tickets</v>
      </c>
    </row>
    <row r="292" hidden="1">
      <c r="A292" s="6" t="s">
        <v>48</v>
      </c>
      <c r="B292" s="7" t="s">
        <v>168</v>
      </c>
      <c r="C292" s="38" t="s">
        <v>169</v>
      </c>
      <c r="D292" s="15">
        <v>44.0</v>
      </c>
      <c r="E292" s="10">
        <f t="shared" si="2"/>
        <v>2200</v>
      </c>
      <c r="F292" s="10" t="str">
        <f t="shared" si="3"/>
        <v>44 completed tickets</v>
      </c>
    </row>
    <row r="293" hidden="1">
      <c r="A293" s="6" t="s">
        <v>48</v>
      </c>
      <c r="B293" s="7" t="s">
        <v>170</v>
      </c>
      <c r="C293" s="38" t="s">
        <v>171</v>
      </c>
      <c r="D293" s="15">
        <v>24.0</v>
      </c>
      <c r="E293" s="10">
        <f t="shared" si="2"/>
        <v>1200</v>
      </c>
      <c r="F293" s="10" t="str">
        <f t="shared" si="3"/>
        <v>24 completed tickets</v>
      </c>
    </row>
    <row r="294" hidden="1">
      <c r="A294" s="6" t="s">
        <v>48</v>
      </c>
      <c r="B294" s="7" t="s">
        <v>172</v>
      </c>
      <c r="C294" s="38" t="s">
        <v>173</v>
      </c>
      <c r="D294" s="15">
        <v>86.0</v>
      </c>
      <c r="E294" s="10">
        <f t="shared" si="2"/>
        <v>4300</v>
      </c>
      <c r="F294" s="10" t="str">
        <f t="shared" si="3"/>
        <v>86 completed tickets</v>
      </c>
    </row>
    <row r="295" hidden="1">
      <c r="A295" s="6" t="s">
        <v>48</v>
      </c>
      <c r="B295" s="7" t="s">
        <v>174</v>
      </c>
      <c r="C295" s="38" t="s">
        <v>175</v>
      </c>
      <c r="D295" s="15">
        <v>16.0</v>
      </c>
      <c r="E295" s="10">
        <f t="shared" si="2"/>
        <v>800</v>
      </c>
      <c r="F295" s="10" t="str">
        <f t="shared" si="3"/>
        <v>16 completed tickets</v>
      </c>
    </row>
    <row r="296" hidden="1">
      <c r="A296" s="6" t="s">
        <v>48</v>
      </c>
      <c r="B296" s="7" t="s">
        <v>176</v>
      </c>
      <c r="C296" s="38" t="s">
        <v>130</v>
      </c>
      <c r="D296" s="15">
        <v>37.0</v>
      </c>
      <c r="E296" s="10">
        <f t="shared" si="2"/>
        <v>1850</v>
      </c>
      <c r="F296" s="10" t="str">
        <f t="shared" si="3"/>
        <v>37 completed tickets</v>
      </c>
    </row>
    <row r="297" hidden="1">
      <c r="A297" s="6" t="s">
        <v>48</v>
      </c>
      <c r="B297" s="7" t="s">
        <v>252</v>
      </c>
      <c r="C297" s="38" t="s">
        <v>139</v>
      </c>
      <c r="D297" s="15">
        <v>43.0</v>
      </c>
      <c r="E297" s="10">
        <f t="shared" si="2"/>
        <v>2150</v>
      </c>
      <c r="F297" s="10" t="str">
        <f t="shared" si="3"/>
        <v>43 completed tickets</v>
      </c>
    </row>
    <row r="298" hidden="1">
      <c r="A298" s="6" t="s">
        <v>48</v>
      </c>
      <c r="B298" s="7" t="s">
        <v>177</v>
      </c>
      <c r="C298" s="38" t="s">
        <v>144</v>
      </c>
      <c r="D298" s="15">
        <v>51.0</v>
      </c>
      <c r="E298" s="10">
        <f t="shared" si="2"/>
        <v>2550</v>
      </c>
      <c r="F298" s="10" t="str">
        <f t="shared" si="3"/>
        <v>51 completed tickets</v>
      </c>
    </row>
    <row r="299" hidden="1">
      <c r="A299" s="6" t="s">
        <v>48</v>
      </c>
      <c r="B299" s="7" t="s">
        <v>178</v>
      </c>
      <c r="C299" s="38" t="s">
        <v>179</v>
      </c>
      <c r="D299" s="15">
        <v>23.0</v>
      </c>
      <c r="E299" s="10">
        <f t="shared" si="2"/>
        <v>1150</v>
      </c>
      <c r="F299" s="10" t="str">
        <f t="shared" si="3"/>
        <v>23 completed tickets</v>
      </c>
    </row>
    <row r="300" hidden="1">
      <c r="A300" s="6" t="s">
        <v>48</v>
      </c>
      <c r="B300" s="7" t="s">
        <v>180</v>
      </c>
      <c r="C300" s="38" t="s">
        <v>181</v>
      </c>
      <c r="D300" s="15">
        <v>69.0</v>
      </c>
      <c r="E300" s="10">
        <f t="shared" si="2"/>
        <v>3450</v>
      </c>
      <c r="F300" s="10" t="str">
        <f t="shared" si="3"/>
        <v>69 completed tickets</v>
      </c>
    </row>
    <row r="301" hidden="1">
      <c r="A301" s="6" t="s">
        <v>48</v>
      </c>
      <c r="B301" s="7" t="s">
        <v>182</v>
      </c>
      <c r="C301" s="38" t="s">
        <v>183</v>
      </c>
      <c r="D301" s="15">
        <v>23.0</v>
      </c>
      <c r="E301" s="10">
        <f t="shared" si="2"/>
        <v>1150</v>
      </c>
      <c r="F301" s="10" t="str">
        <f t="shared" si="3"/>
        <v>23 completed tickets</v>
      </c>
    </row>
    <row r="302" hidden="1">
      <c r="A302" s="6" t="s">
        <v>48</v>
      </c>
      <c r="B302" s="7" t="s">
        <v>184</v>
      </c>
      <c r="C302" s="38" t="s">
        <v>185</v>
      </c>
      <c r="D302" s="15">
        <v>23.0</v>
      </c>
      <c r="E302" s="10">
        <f t="shared" si="2"/>
        <v>1150</v>
      </c>
      <c r="F302" s="10" t="str">
        <f t="shared" si="3"/>
        <v>23 completed tickets</v>
      </c>
    </row>
    <row r="303" hidden="1">
      <c r="A303" s="6" t="s">
        <v>48</v>
      </c>
      <c r="B303" s="13" t="s">
        <v>186</v>
      </c>
      <c r="C303" s="38" t="s">
        <v>187</v>
      </c>
      <c r="D303" s="15">
        <v>40.0</v>
      </c>
      <c r="E303" s="10">
        <f t="shared" si="2"/>
        <v>2000</v>
      </c>
      <c r="F303" s="10" t="str">
        <f t="shared" si="3"/>
        <v>40 completed tickets</v>
      </c>
    </row>
    <row r="304" hidden="1">
      <c r="A304" s="6" t="s">
        <v>48</v>
      </c>
      <c r="B304" s="13" t="s">
        <v>188</v>
      </c>
      <c r="C304" s="38" t="s">
        <v>189</v>
      </c>
      <c r="D304" s="15">
        <v>26.0</v>
      </c>
      <c r="E304" s="10">
        <f t="shared" si="2"/>
        <v>1300</v>
      </c>
      <c r="F304" s="10" t="str">
        <f t="shared" si="3"/>
        <v>26 completed tickets</v>
      </c>
    </row>
    <row r="305" hidden="1">
      <c r="A305" s="6" t="s">
        <v>48</v>
      </c>
      <c r="B305" s="7" t="s">
        <v>190</v>
      </c>
      <c r="C305" s="38" t="s">
        <v>191</v>
      </c>
      <c r="D305" s="15">
        <v>16.0</v>
      </c>
      <c r="E305" s="10">
        <f t="shared" si="2"/>
        <v>800</v>
      </c>
      <c r="F305" s="10" t="str">
        <f t="shared" si="3"/>
        <v>16 completed tickets</v>
      </c>
    </row>
    <row r="306" hidden="1">
      <c r="A306" s="6" t="s">
        <v>48</v>
      </c>
      <c r="B306" s="7" t="s">
        <v>192</v>
      </c>
      <c r="C306" s="38" t="s">
        <v>193</v>
      </c>
      <c r="D306" s="15">
        <v>16.0</v>
      </c>
      <c r="E306" s="10">
        <f t="shared" si="2"/>
        <v>800</v>
      </c>
      <c r="F306" s="10" t="str">
        <f t="shared" si="3"/>
        <v>16 completed tickets</v>
      </c>
    </row>
    <row r="307" hidden="1">
      <c r="A307" s="6" t="s">
        <v>48</v>
      </c>
      <c r="B307" s="7" t="s">
        <v>194</v>
      </c>
      <c r="C307" s="38" t="s">
        <v>195</v>
      </c>
      <c r="D307" s="15">
        <v>14.0</v>
      </c>
      <c r="E307" s="10">
        <f t="shared" si="2"/>
        <v>700</v>
      </c>
      <c r="F307" s="10" t="str">
        <f t="shared" si="3"/>
        <v>14 completed tickets</v>
      </c>
    </row>
    <row r="308" hidden="1">
      <c r="A308" s="6" t="s">
        <v>48</v>
      </c>
      <c r="B308" s="13" t="s">
        <v>196</v>
      </c>
      <c r="C308" s="38" t="s">
        <v>197</v>
      </c>
      <c r="D308" s="15">
        <v>28.0</v>
      </c>
      <c r="E308" s="10">
        <f t="shared" si="2"/>
        <v>1400</v>
      </c>
      <c r="F308" s="10" t="str">
        <f t="shared" si="3"/>
        <v>28 completed tickets</v>
      </c>
    </row>
    <row r="309" hidden="1">
      <c r="A309" s="6" t="s">
        <v>48</v>
      </c>
      <c r="B309" s="13" t="s">
        <v>198</v>
      </c>
      <c r="C309" s="38" t="s">
        <v>199</v>
      </c>
      <c r="D309" s="15">
        <v>27.0</v>
      </c>
      <c r="E309" s="10">
        <f t="shared" si="2"/>
        <v>1350</v>
      </c>
      <c r="F309" s="10" t="str">
        <f t="shared" si="3"/>
        <v>27 completed tickets</v>
      </c>
    </row>
    <row r="310" hidden="1">
      <c r="A310" s="6" t="s">
        <v>48</v>
      </c>
      <c r="B310" s="13" t="s">
        <v>200</v>
      </c>
      <c r="C310" s="38" t="s">
        <v>201</v>
      </c>
      <c r="D310" s="15">
        <v>19.0</v>
      </c>
      <c r="E310" s="10">
        <f t="shared" si="2"/>
        <v>950</v>
      </c>
      <c r="F310" s="10" t="str">
        <f t="shared" si="3"/>
        <v>19 completed tickets</v>
      </c>
    </row>
    <row r="311" hidden="1">
      <c r="A311" s="6" t="s">
        <v>48</v>
      </c>
      <c r="B311" s="13" t="s">
        <v>202</v>
      </c>
      <c r="C311" s="38" t="s">
        <v>203</v>
      </c>
      <c r="D311" s="15">
        <v>10.0</v>
      </c>
      <c r="E311" s="10">
        <f t="shared" si="2"/>
        <v>500</v>
      </c>
      <c r="F311" s="10" t="str">
        <f t="shared" si="3"/>
        <v>10 completed tickets</v>
      </c>
    </row>
    <row r="312" hidden="1">
      <c r="A312" s="6" t="s">
        <v>48</v>
      </c>
      <c r="B312" s="13" t="s">
        <v>204</v>
      </c>
      <c r="C312" s="38" t="s">
        <v>205</v>
      </c>
      <c r="D312" s="15">
        <v>27.0</v>
      </c>
      <c r="E312" s="10">
        <f t="shared" si="2"/>
        <v>1350</v>
      </c>
      <c r="F312" s="10" t="str">
        <f t="shared" si="3"/>
        <v>27 completed tickets</v>
      </c>
    </row>
    <row r="313" hidden="1">
      <c r="A313" s="6" t="s">
        <v>48</v>
      </c>
      <c r="B313" s="13" t="s">
        <v>206</v>
      </c>
      <c r="C313" s="38" t="s">
        <v>207</v>
      </c>
      <c r="D313" s="15">
        <v>35.0</v>
      </c>
      <c r="E313" s="10">
        <f t="shared" si="2"/>
        <v>1750</v>
      </c>
      <c r="F313" s="10" t="str">
        <f t="shared" si="3"/>
        <v>35 completed tickets</v>
      </c>
    </row>
    <row r="314" hidden="1">
      <c r="A314" s="6" t="s">
        <v>48</v>
      </c>
      <c r="B314" s="13" t="s">
        <v>208</v>
      </c>
      <c r="C314" s="38" t="s">
        <v>209</v>
      </c>
      <c r="D314" s="15">
        <v>16.0</v>
      </c>
      <c r="E314" s="10">
        <f t="shared" si="2"/>
        <v>800</v>
      </c>
      <c r="F314" s="10" t="str">
        <f t="shared" si="3"/>
        <v>16 completed tickets</v>
      </c>
    </row>
    <row r="315" hidden="1">
      <c r="A315" s="6" t="s">
        <v>48</v>
      </c>
      <c r="B315" s="13" t="s">
        <v>210</v>
      </c>
      <c r="C315" s="38" t="s">
        <v>211</v>
      </c>
      <c r="D315" s="15">
        <v>16.0</v>
      </c>
      <c r="E315" s="10">
        <f t="shared" si="2"/>
        <v>800</v>
      </c>
      <c r="F315" s="10" t="str">
        <f t="shared" si="3"/>
        <v>16 completed tickets</v>
      </c>
    </row>
    <row r="316" hidden="1">
      <c r="A316" s="6" t="s">
        <v>48</v>
      </c>
      <c r="B316" s="13" t="s">
        <v>212</v>
      </c>
      <c r="C316" s="38" t="s">
        <v>213</v>
      </c>
      <c r="D316" s="15">
        <v>28.0</v>
      </c>
      <c r="E316" s="10">
        <f t="shared" si="2"/>
        <v>1400</v>
      </c>
      <c r="F316" s="10" t="str">
        <f t="shared" si="3"/>
        <v>28 completed tickets</v>
      </c>
    </row>
    <row r="317" hidden="1">
      <c r="A317" s="6" t="s">
        <v>48</v>
      </c>
      <c r="B317" s="13" t="s">
        <v>214</v>
      </c>
      <c r="C317" s="38" t="s">
        <v>215</v>
      </c>
      <c r="D317" s="15">
        <v>4.0</v>
      </c>
      <c r="E317" s="10">
        <f t="shared" si="2"/>
        <v>200</v>
      </c>
      <c r="F317" s="10" t="str">
        <f t="shared" si="3"/>
        <v>4 completed tickets</v>
      </c>
    </row>
    <row r="318" hidden="1">
      <c r="A318" s="6" t="s">
        <v>48</v>
      </c>
      <c r="B318" s="13" t="s">
        <v>253</v>
      </c>
      <c r="C318" s="38" t="s">
        <v>254</v>
      </c>
      <c r="D318" s="15">
        <v>18.0</v>
      </c>
      <c r="E318" s="10">
        <f t="shared" si="2"/>
        <v>900</v>
      </c>
      <c r="F318" s="10" t="str">
        <f t="shared" si="3"/>
        <v>18 completed tickets</v>
      </c>
    </row>
    <row r="319" hidden="1">
      <c r="A319" s="6" t="s">
        <v>48</v>
      </c>
      <c r="B319" s="13" t="s">
        <v>256</v>
      </c>
      <c r="C319" s="38" t="s">
        <v>257</v>
      </c>
      <c r="D319" s="15">
        <v>2.0</v>
      </c>
      <c r="E319" s="10">
        <f t="shared" si="2"/>
        <v>100</v>
      </c>
      <c r="F319" s="10" t="str">
        <f t="shared" si="3"/>
        <v>2 completed tickets</v>
      </c>
    </row>
    <row r="320" hidden="1">
      <c r="A320" s="6" t="s">
        <v>48</v>
      </c>
      <c r="B320" s="7" t="s">
        <v>258</v>
      </c>
      <c r="C320" s="38" t="s">
        <v>259</v>
      </c>
      <c r="D320" s="15">
        <v>6.0</v>
      </c>
      <c r="E320" s="10">
        <f t="shared" si="2"/>
        <v>300</v>
      </c>
      <c r="F320" s="10" t="str">
        <f t="shared" si="3"/>
        <v>6 completed tickets</v>
      </c>
    </row>
    <row r="321" hidden="1">
      <c r="A321" s="6" t="s">
        <v>48</v>
      </c>
      <c r="B321" s="13" t="s">
        <v>262</v>
      </c>
      <c r="C321" s="38" t="s">
        <v>263</v>
      </c>
      <c r="D321" s="15">
        <v>8.0</v>
      </c>
      <c r="E321" s="10">
        <f t="shared" si="2"/>
        <v>400</v>
      </c>
      <c r="F321" s="10" t="str">
        <f t="shared" si="3"/>
        <v>8 completed tickets</v>
      </c>
    </row>
    <row r="322" hidden="1">
      <c r="A322" s="6" t="s">
        <v>48</v>
      </c>
      <c r="B322" s="13" t="s">
        <v>250</v>
      </c>
      <c r="C322" s="38" t="s">
        <v>137</v>
      </c>
      <c r="D322" s="15">
        <v>2.0</v>
      </c>
      <c r="E322" s="10">
        <f t="shared" si="2"/>
        <v>100</v>
      </c>
      <c r="F322" s="10" t="str">
        <f t="shared" si="3"/>
        <v>2 completed tickets</v>
      </c>
    </row>
    <row r="323" hidden="1">
      <c r="A323" s="6" t="s">
        <v>48</v>
      </c>
      <c r="B323" s="13" t="s">
        <v>260</v>
      </c>
      <c r="C323" s="38" t="s">
        <v>261</v>
      </c>
      <c r="D323" s="15">
        <v>10.0</v>
      </c>
      <c r="E323" s="10">
        <f t="shared" si="2"/>
        <v>500</v>
      </c>
      <c r="F323" s="10" t="str">
        <f t="shared" si="3"/>
        <v>10 completed tickets</v>
      </c>
    </row>
    <row r="324" hidden="1">
      <c r="A324" s="6" t="s">
        <v>48</v>
      </c>
      <c r="B324" s="13" t="s">
        <v>236</v>
      </c>
      <c r="C324" s="38" t="s">
        <v>251</v>
      </c>
      <c r="D324" s="15">
        <v>4.0</v>
      </c>
      <c r="E324" s="10">
        <f t="shared" si="2"/>
        <v>200</v>
      </c>
      <c r="F324" s="10" t="str">
        <f t="shared" si="3"/>
        <v>4 completed tickets</v>
      </c>
    </row>
    <row r="325" hidden="1">
      <c r="A325" s="6" t="s">
        <v>48</v>
      </c>
      <c r="B325" s="13" t="s">
        <v>268</v>
      </c>
      <c r="C325" s="38" t="s">
        <v>269</v>
      </c>
      <c r="D325" s="15">
        <v>2.0</v>
      </c>
      <c r="E325" s="10">
        <f t="shared" si="2"/>
        <v>100</v>
      </c>
      <c r="F325" s="10" t="str">
        <f t="shared" si="3"/>
        <v>2 completed tickets</v>
      </c>
    </row>
    <row r="326" hidden="1">
      <c r="A326" s="6" t="s">
        <v>50</v>
      </c>
      <c r="B326" s="7" t="s">
        <v>160</v>
      </c>
      <c r="C326" s="38" t="s">
        <v>140</v>
      </c>
      <c r="D326" s="15">
        <v>45.0</v>
      </c>
      <c r="E326" s="10">
        <f t="shared" si="2"/>
        <v>2250</v>
      </c>
      <c r="F326" s="10" t="str">
        <f t="shared" si="3"/>
        <v>45 completed tickets</v>
      </c>
    </row>
    <row r="327" hidden="1">
      <c r="A327" s="6" t="s">
        <v>50</v>
      </c>
      <c r="B327" s="7" t="s">
        <v>161</v>
      </c>
      <c r="C327" s="38" t="s">
        <v>152</v>
      </c>
      <c r="D327" s="15">
        <v>25.0</v>
      </c>
      <c r="E327" s="10">
        <f t="shared" si="2"/>
        <v>1250</v>
      </c>
      <c r="F327" s="10" t="str">
        <f t="shared" si="3"/>
        <v>25 completed tickets</v>
      </c>
    </row>
    <row r="328" hidden="1">
      <c r="A328" s="6" t="s">
        <v>50</v>
      </c>
      <c r="B328" s="7" t="s">
        <v>162</v>
      </c>
      <c r="C328" s="38" t="s">
        <v>163</v>
      </c>
      <c r="D328" s="15">
        <v>24.0</v>
      </c>
      <c r="E328" s="10">
        <f t="shared" si="2"/>
        <v>1200</v>
      </c>
      <c r="F328" s="10" t="str">
        <f t="shared" si="3"/>
        <v>24 completed tickets</v>
      </c>
    </row>
    <row r="329" hidden="1">
      <c r="A329" s="6" t="s">
        <v>50</v>
      </c>
      <c r="B329" s="7" t="s">
        <v>164</v>
      </c>
      <c r="C329" s="38" t="s">
        <v>158</v>
      </c>
      <c r="D329" s="15">
        <v>41.0</v>
      </c>
      <c r="E329" s="10">
        <f t="shared" si="2"/>
        <v>2050</v>
      </c>
      <c r="F329" s="10" t="str">
        <f t="shared" si="3"/>
        <v>41 completed tickets</v>
      </c>
    </row>
    <row r="330" hidden="1">
      <c r="A330" s="6" t="s">
        <v>50</v>
      </c>
      <c r="B330" s="7" t="s">
        <v>165</v>
      </c>
      <c r="C330" s="38" t="s">
        <v>166</v>
      </c>
      <c r="D330" s="15">
        <v>89.0</v>
      </c>
      <c r="E330" s="10">
        <f t="shared" si="2"/>
        <v>4450</v>
      </c>
      <c r="F330" s="10" t="str">
        <f t="shared" si="3"/>
        <v>89 completed tickets</v>
      </c>
    </row>
    <row r="331" hidden="1">
      <c r="A331" s="6" t="s">
        <v>50</v>
      </c>
      <c r="B331" s="7" t="s">
        <v>167</v>
      </c>
      <c r="C331" s="38" t="s">
        <v>157</v>
      </c>
      <c r="D331" s="15">
        <v>30.0</v>
      </c>
      <c r="E331" s="10">
        <f t="shared" si="2"/>
        <v>1500</v>
      </c>
      <c r="F331" s="10" t="str">
        <f t="shared" si="3"/>
        <v>30 completed tickets</v>
      </c>
    </row>
    <row r="332" hidden="1">
      <c r="A332" s="6" t="s">
        <v>50</v>
      </c>
      <c r="B332" s="7" t="s">
        <v>168</v>
      </c>
      <c r="C332" s="38" t="s">
        <v>169</v>
      </c>
      <c r="D332" s="15">
        <v>27.0</v>
      </c>
      <c r="E332" s="10">
        <f t="shared" si="2"/>
        <v>1350</v>
      </c>
      <c r="F332" s="10" t="str">
        <f t="shared" si="3"/>
        <v>27 completed tickets</v>
      </c>
    </row>
    <row r="333" hidden="1">
      <c r="A333" s="6" t="s">
        <v>50</v>
      </c>
      <c r="B333" s="7" t="s">
        <v>170</v>
      </c>
      <c r="C333" s="38" t="s">
        <v>171</v>
      </c>
      <c r="D333" s="15">
        <v>24.0</v>
      </c>
      <c r="E333" s="10">
        <f t="shared" si="2"/>
        <v>1200</v>
      </c>
      <c r="F333" s="10" t="str">
        <f t="shared" si="3"/>
        <v>24 completed tickets</v>
      </c>
    </row>
    <row r="334" hidden="1">
      <c r="A334" s="6" t="s">
        <v>50</v>
      </c>
      <c r="B334" s="7" t="s">
        <v>172</v>
      </c>
      <c r="C334" s="38" t="s">
        <v>173</v>
      </c>
      <c r="D334" s="15">
        <v>66.0</v>
      </c>
      <c r="E334" s="10">
        <f t="shared" si="2"/>
        <v>3300</v>
      </c>
      <c r="F334" s="10" t="str">
        <f t="shared" si="3"/>
        <v>66 completed tickets</v>
      </c>
    </row>
    <row r="335" hidden="1">
      <c r="A335" s="6" t="s">
        <v>50</v>
      </c>
      <c r="B335" s="7" t="s">
        <v>174</v>
      </c>
      <c r="C335" s="38" t="s">
        <v>175</v>
      </c>
      <c r="D335" s="15">
        <v>20.0</v>
      </c>
      <c r="E335" s="10">
        <f t="shared" si="2"/>
        <v>1000</v>
      </c>
      <c r="F335" s="10" t="str">
        <f t="shared" si="3"/>
        <v>20 completed tickets</v>
      </c>
    </row>
    <row r="336" hidden="1">
      <c r="A336" s="6" t="s">
        <v>50</v>
      </c>
      <c r="B336" s="7" t="s">
        <v>176</v>
      </c>
      <c r="C336" s="38" t="s">
        <v>130</v>
      </c>
      <c r="D336" s="15">
        <v>32.0</v>
      </c>
      <c r="E336" s="10">
        <f t="shared" si="2"/>
        <v>1600</v>
      </c>
      <c r="F336" s="10" t="str">
        <f t="shared" si="3"/>
        <v>32 completed tickets</v>
      </c>
    </row>
    <row r="337" hidden="1">
      <c r="A337" s="6" t="s">
        <v>50</v>
      </c>
      <c r="B337" s="7" t="s">
        <v>252</v>
      </c>
      <c r="C337" s="38" t="s">
        <v>139</v>
      </c>
      <c r="D337" s="15">
        <v>35.0</v>
      </c>
      <c r="E337" s="10">
        <f t="shared" si="2"/>
        <v>1750</v>
      </c>
      <c r="F337" s="10" t="str">
        <f t="shared" si="3"/>
        <v>35 completed tickets</v>
      </c>
    </row>
    <row r="338" hidden="1">
      <c r="A338" s="6" t="s">
        <v>50</v>
      </c>
      <c r="B338" s="7" t="s">
        <v>177</v>
      </c>
      <c r="C338" s="38" t="s">
        <v>144</v>
      </c>
      <c r="D338" s="15">
        <v>47.0</v>
      </c>
      <c r="E338" s="10">
        <f t="shared" si="2"/>
        <v>2350</v>
      </c>
      <c r="F338" s="10" t="str">
        <f t="shared" si="3"/>
        <v>47 completed tickets</v>
      </c>
    </row>
    <row r="339" hidden="1">
      <c r="A339" s="6" t="s">
        <v>50</v>
      </c>
      <c r="B339" s="7" t="s">
        <v>270</v>
      </c>
      <c r="C339" s="38" t="s">
        <v>126</v>
      </c>
      <c r="D339" s="15">
        <v>10.0</v>
      </c>
      <c r="E339" s="10">
        <f t="shared" si="2"/>
        <v>500</v>
      </c>
      <c r="F339" s="10" t="str">
        <f t="shared" si="3"/>
        <v>10 completed tickets</v>
      </c>
    </row>
    <row r="340" hidden="1">
      <c r="A340" s="6" t="s">
        <v>50</v>
      </c>
      <c r="B340" s="7" t="s">
        <v>178</v>
      </c>
      <c r="C340" s="38" t="s">
        <v>179</v>
      </c>
      <c r="D340" s="15">
        <v>21.0</v>
      </c>
      <c r="E340" s="10">
        <f t="shared" si="2"/>
        <v>1050</v>
      </c>
      <c r="F340" s="10" t="str">
        <f t="shared" si="3"/>
        <v>21 completed tickets</v>
      </c>
    </row>
    <row r="341" hidden="1">
      <c r="A341" s="6" t="s">
        <v>50</v>
      </c>
      <c r="B341" s="7" t="s">
        <v>180</v>
      </c>
      <c r="C341" s="38" t="s">
        <v>181</v>
      </c>
      <c r="D341" s="15">
        <v>71.0</v>
      </c>
      <c r="E341" s="10">
        <f t="shared" si="2"/>
        <v>3550</v>
      </c>
      <c r="F341" s="10" t="str">
        <f t="shared" si="3"/>
        <v>71 completed tickets</v>
      </c>
    </row>
    <row r="342" hidden="1">
      <c r="A342" s="6" t="s">
        <v>50</v>
      </c>
      <c r="B342" s="7" t="s">
        <v>182</v>
      </c>
      <c r="C342" s="38" t="s">
        <v>183</v>
      </c>
      <c r="D342" s="15">
        <v>19.0</v>
      </c>
      <c r="E342" s="10">
        <f t="shared" si="2"/>
        <v>950</v>
      </c>
      <c r="F342" s="10" t="str">
        <f t="shared" si="3"/>
        <v>19 completed tickets</v>
      </c>
    </row>
    <row r="343" hidden="1">
      <c r="A343" s="6" t="s">
        <v>50</v>
      </c>
      <c r="B343" s="7" t="s">
        <v>184</v>
      </c>
      <c r="C343" s="38" t="s">
        <v>185</v>
      </c>
      <c r="D343" s="15">
        <v>32.0</v>
      </c>
      <c r="E343" s="10">
        <f t="shared" si="2"/>
        <v>1600</v>
      </c>
      <c r="F343" s="10" t="str">
        <f t="shared" si="3"/>
        <v>32 completed tickets</v>
      </c>
    </row>
    <row r="344" hidden="1">
      <c r="A344" s="6" t="s">
        <v>50</v>
      </c>
      <c r="B344" s="13" t="s">
        <v>186</v>
      </c>
      <c r="C344" s="38" t="s">
        <v>187</v>
      </c>
      <c r="D344" s="15">
        <v>48.0</v>
      </c>
      <c r="E344" s="10">
        <f t="shared" si="2"/>
        <v>2400</v>
      </c>
      <c r="F344" s="10" t="str">
        <f t="shared" si="3"/>
        <v>48 completed tickets</v>
      </c>
    </row>
    <row r="345" hidden="1">
      <c r="A345" s="6" t="s">
        <v>50</v>
      </c>
      <c r="B345" s="13" t="s">
        <v>188</v>
      </c>
      <c r="C345" s="38" t="s">
        <v>189</v>
      </c>
      <c r="D345" s="15">
        <v>33.0</v>
      </c>
      <c r="E345" s="10">
        <f t="shared" si="2"/>
        <v>1650</v>
      </c>
      <c r="F345" s="10" t="str">
        <f t="shared" si="3"/>
        <v>33 completed tickets</v>
      </c>
    </row>
    <row r="346" hidden="1">
      <c r="A346" s="6" t="s">
        <v>50</v>
      </c>
      <c r="B346" s="7" t="s">
        <v>190</v>
      </c>
      <c r="C346" s="38" t="s">
        <v>191</v>
      </c>
      <c r="D346" s="15">
        <v>17.0</v>
      </c>
      <c r="E346" s="10">
        <f t="shared" si="2"/>
        <v>850</v>
      </c>
      <c r="F346" s="10" t="str">
        <f t="shared" si="3"/>
        <v>17 completed tickets</v>
      </c>
    </row>
    <row r="347" hidden="1">
      <c r="A347" s="6" t="s">
        <v>50</v>
      </c>
      <c r="B347" s="7" t="s">
        <v>192</v>
      </c>
      <c r="C347" s="38" t="s">
        <v>193</v>
      </c>
      <c r="D347" s="15">
        <v>20.0</v>
      </c>
      <c r="E347" s="10">
        <f t="shared" si="2"/>
        <v>1000</v>
      </c>
      <c r="F347" s="10" t="str">
        <f t="shared" si="3"/>
        <v>20 completed tickets</v>
      </c>
    </row>
    <row r="348" hidden="1">
      <c r="A348" s="6" t="s">
        <v>50</v>
      </c>
      <c r="B348" s="7" t="s">
        <v>194</v>
      </c>
      <c r="C348" s="38" t="s">
        <v>195</v>
      </c>
      <c r="D348" s="15">
        <v>18.0</v>
      </c>
      <c r="E348" s="10">
        <f t="shared" si="2"/>
        <v>900</v>
      </c>
      <c r="F348" s="10" t="str">
        <f t="shared" si="3"/>
        <v>18 completed tickets</v>
      </c>
    </row>
    <row r="349" hidden="1">
      <c r="A349" s="6" t="s">
        <v>50</v>
      </c>
      <c r="B349" s="13" t="s">
        <v>196</v>
      </c>
      <c r="C349" s="38" t="s">
        <v>197</v>
      </c>
      <c r="D349" s="15">
        <v>30.0</v>
      </c>
      <c r="E349" s="10">
        <f t="shared" si="2"/>
        <v>1500</v>
      </c>
      <c r="F349" s="10" t="str">
        <f t="shared" si="3"/>
        <v>30 completed tickets</v>
      </c>
    </row>
    <row r="350" hidden="1">
      <c r="A350" s="6" t="s">
        <v>50</v>
      </c>
      <c r="B350" s="13" t="s">
        <v>198</v>
      </c>
      <c r="C350" s="38" t="s">
        <v>199</v>
      </c>
      <c r="D350" s="15">
        <v>57.0</v>
      </c>
      <c r="E350" s="10">
        <f t="shared" si="2"/>
        <v>2850</v>
      </c>
      <c r="F350" s="10" t="str">
        <f t="shared" si="3"/>
        <v>57 completed tickets</v>
      </c>
    </row>
    <row r="351" hidden="1">
      <c r="A351" s="6" t="s">
        <v>50</v>
      </c>
      <c r="B351" s="13" t="s">
        <v>200</v>
      </c>
      <c r="C351" s="38" t="s">
        <v>201</v>
      </c>
      <c r="D351" s="15">
        <v>30.0</v>
      </c>
      <c r="E351" s="10">
        <f t="shared" si="2"/>
        <v>1500</v>
      </c>
      <c r="F351" s="10" t="str">
        <f t="shared" si="3"/>
        <v>30 completed tickets</v>
      </c>
    </row>
    <row r="352" hidden="1">
      <c r="A352" s="6" t="s">
        <v>50</v>
      </c>
      <c r="B352" s="13" t="s">
        <v>202</v>
      </c>
      <c r="C352" s="38" t="s">
        <v>203</v>
      </c>
      <c r="D352" s="15">
        <v>23.0</v>
      </c>
      <c r="E352" s="10">
        <f t="shared" si="2"/>
        <v>1150</v>
      </c>
      <c r="F352" s="10" t="str">
        <f t="shared" si="3"/>
        <v>23 completed tickets</v>
      </c>
    </row>
    <row r="353" hidden="1">
      <c r="A353" s="6" t="s">
        <v>50</v>
      </c>
      <c r="B353" s="13" t="s">
        <v>204</v>
      </c>
      <c r="C353" s="38" t="s">
        <v>205</v>
      </c>
      <c r="D353" s="15">
        <v>28.0</v>
      </c>
      <c r="E353" s="10">
        <f t="shared" si="2"/>
        <v>1400</v>
      </c>
      <c r="F353" s="10" t="str">
        <f t="shared" si="3"/>
        <v>28 completed tickets</v>
      </c>
    </row>
    <row r="354" hidden="1">
      <c r="A354" s="6" t="s">
        <v>50</v>
      </c>
      <c r="B354" s="13" t="s">
        <v>206</v>
      </c>
      <c r="C354" s="38" t="s">
        <v>207</v>
      </c>
      <c r="D354" s="15">
        <v>8.0</v>
      </c>
      <c r="E354" s="10">
        <f t="shared" si="2"/>
        <v>400</v>
      </c>
      <c r="F354" s="10" t="str">
        <f t="shared" si="3"/>
        <v>8 completed tickets</v>
      </c>
    </row>
    <row r="355" hidden="1">
      <c r="A355" s="6" t="s">
        <v>50</v>
      </c>
      <c r="B355" s="13" t="s">
        <v>208</v>
      </c>
      <c r="C355" s="38" t="s">
        <v>209</v>
      </c>
      <c r="D355" s="15">
        <v>11.0</v>
      </c>
      <c r="E355" s="10">
        <f t="shared" si="2"/>
        <v>550</v>
      </c>
      <c r="F355" s="10" t="str">
        <f t="shared" si="3"/>
        <v>11 completed tickets</v>
      </c>
    </row>
    <row r="356" hidden="1">
      <c r="A356" s="6" t="s">
        <v>50</v>
      </c>
      <c r="B356" s="13" t="s">
        <v>210</v>
      </c>
      <c r="C356" s="38" t="s">
        <v>211</v>
      </c>
      <c r="D356" s="15">
        <v>9.0</v>
      </c>
      <c r="E356" s="10">
        <f t="shared" si="2"/>
        <v>450</v>
      </c>
      <c r="F356" s="10" t="str">
        <f t="shared" si="3"/>
        <v>9 completed tickets</v>
      </c>
    </row>
    <row r="357" hidden="1">
      <c r="A357" s="6" t="s">
        <v>50</v>
      </c>
      <c r="B357" s="13" t="s">
        <v>212</v>
      </c>
      <c r="C357" s="38" t="s">
        <v>213</v>
      </c>
      <c r="D357" s="15">
        <v>26.0</v>
      </c>
      <c r="E357" s="10">
        <f t="shared" si="2"/>
        <v>1300</v>
      </c>
      <c r="F357" s="10" t="str">
        <f t="shared" si="3"/>
        <v>26 completed tickets</v>
      </c>
    </row>
    <row r="358" hidden="1">
      <c r="A358" s="6" t="s">
        <v>50</v>
      </c>
      <c r="B358" s="13" t="s">
        <v>214</v>
      </c>
      <c r="C358" s="38" t="s">
        <v>215</v>
      </c>
      <c r="D358" s="15">
        <v>6.0</v>
      </c>
      <c r="E358" s="10">
        <f t="shared" si="2"/>
        <v>300</v>
      </c>
      <c r="F358" s="10" t="str">
        <f t="shared" si="3"/>
        <v>6 completed tickets</v>
      </c>
    </row>
    <row r="359" hidden="1">
      <c r="A359" s="6" t="s">
        <v>50</v>
      </c>
      <c r="B359" s="13" t="s">
        <v>253</v>
      </c>
      <c r="C359" s="38" t="s">
        <v>254</v>
      </c>
      <c r="D359" s="15">
        <v>14.0</v>
      </c>
      <c r="E359" s="10">
        <f t="shared" si="2"/>
        <v>700</v>
      </c>
      <c r="F359" s="10" t="str">
        <f t="shared" si="3"/>
        <v>14 completed tickets</v>
      </c>
    </row>
    <row r="360" hidden="1">
      <c r="A360" s="6" t="s">
        <v>50</v>
      </c>
      <c r="B360" s="13" t="s">
        <v>271</v>
      </c>
      <c r="C360" s="38" t="s">
        <v>272</v>
      </c>
      <c r="D360" s="15">
        <v>4.0</v>
      </c>
      <c r="E360" s="10">
        <f t="shared" si="2"/>
        <v>200</v>
      </c>
      <c r="F360" s="10" t="str">
        <f t="shared" si="3"/>
        <v>4 completed tickets</v>
      </c>
    </row>
    <row r="361" hidden="1">
      <c r="A361" s="6" t="s">
        <v>50</v>
      </c>
      <c r="B361" s="13" t="s">
        <v>273</v>
      </c>
      <c r="C361" s="38" t="s">
        <v>274</v>
      </c>
      <c r="D361" s="15">
        <v>7.0</v>
      </c>
      <c r="E361" s="10">
        <f t="shared" si="2"/>
        <v>350</v>
      </c>
      <c r="F361" s="10" t="str">
        <f t="shared" si="3"/>
        <v>7 completed tickets</v>
      </c>
    </row>
    <row r="362" hidden="1">
      <c r="A362" s="6" t="s">
        <v>50</v>
      </c>
      <c r="B362" s="13" t="s">
        <v>256</v>
      </c>
      <c r="C362" s="38" t="s">
        <v>257</v>
      </c>
      <c r="D362" s="15">
        <v>4.0</v>
      </c>
      <c r="E362" s="10">
        <f t="shared" si="2"/>
        <v>200</v>
      </c>
      <c r="F362" s="10" t="str">
        <f t="shared" si="3"/>
        <v>4 completed tickets</v>
      </c>
    </row>
    <row r="363" hidden="1">
      <c r="A363" s="6" t="s">
        <v>50</v>
      </c>
      <c r="B363" s="7" t="s">
        <v>258</v>
      </c>
      <c r="C363" s="38" t="s">
        <v>259</v>
      </c>
      <c r="D363" s="15">
        <v>2.0</v>
      </c>
      <c r="E363" s="10">
        <f t="shared" si="2"/>
        <v>100</v>
      </c>
      <c r="F363" s="10" t="str">
        <f t="shared" si="3"/>
        <v>2 completed tickets</v>
      </c>
    </row>
    <row r="364" hidden="1">
      <c r="A364" s="6" t="s">
        <v>50</v>
      </c>
      <c r="B364" s="13" t="s">
        <v>262</v>
      </c>
      <c r="C364" s="38" t="s">
        <v>263</v>
      </c>
      <c r="D364" s="15">
        <v>2.0</v>
      </c>
      <c r="E364" s="10">
        <f t="shared" si="2"/>
        <v>100</v>
      </c>
      <c r="F364" s="10" t="str">
        <f t="shared" si="3"/>
        <v>2 completed tickets</v>
      </c>
    </row>
    <row r="365" hidden="1">
      <c r="A365" s="6" t="s">
        <v>50</v>
      </c>
      <c r="B365" s="13" t="s">
        <v>264</v>
      </c>
      <c r="C365" s="38" t="s">
        <v>265</v>
      </c>
      <c r="D365" s="15">
        <v>2.0</v>
      </c>
      <c r="E365" s="10">
        <f t="shared" si="2"/>
        <v>100</v>
      </c>
      <c r="F365" s="10" t="str">
        <f t="shared" si="3"/>
        <v>2 completed tickets</v>
      </c>
    </row>
    <row r="366" hidden="1">
      <c r="A366" s="6" t="s">
        <v>50</v>
      </c>
      <c r="B366" s="13" t="s">
        <v>250</v>
      </c>
      <c r="C366" s="38" t="s">
        <v>137</v>
      </c>
      <c r="D366" s="15">
        <v>8.0</v>
      </c>
      <c r="E366" s="10">
        <f t="shared" si="2"/>
        <v>400</v>
      </c>
      <c r="F366" s="10" t="str">
        <f t="shared" si="3"/>
        <v>8 completed tickets</v>
      </c>
    </row>
    <row r="367" hidden="1">
      <c r="A367" s="6" t="s">
        <v>50</v>
      </c>
      <c r="B367" s="13" t="s">
        <v>260</v>
      </c>
      <c r="C367" s="38" t="s">
        <v>261</v>
      </c>
      <c r="D367" s="15">
        <v>10.0</v>
      </c>
      <c r="E367" s="10">
        <f t="shared" si="2"/>
        <v>500</v>
      </c>
      <c r="F367" s="10" t="str">
        <f t="shared" si="3"/>
        <v>10 completed tickets</v>
      </c>
    </row>
    <row r="368" hidden="1">
      <c r="A368" s="6" t="s">
        <v>50</v>
      </c>
      <c r="B368" s="13" t="s">
        <v>275</v>
      </c>
      <c r="C368" s="38" t="s">
        <v>276</v>
      </c>
      <c r="D368" s="15">
        <v>2.0</v>
      </c>
      <c r="E368" s="10">
        <f t="shared" si="2"/>
        <v>100</v>
      </c>
      <c r="F368" s="10" t="str">
        <f t="shared" si="3"/>
        <v>2 completed tickets</v>
      </c>
    </row>
    <row r="369" hidden="1">
      <c r="A369" s="6" t="s">
        <v>50</v>
      </c>
      <c r="B369" s="13" t="s">
        <v>277</v>
      </c>
      <c r="C369" s="38" t="s">
        <v>278</v>
      </c>
      <c r="D369" s="15">
        <v>2.0</v>
      </c>
      <c r="E369" s="10">
        <f t="shared" si="2"/>
        <v>100</v>
      </c>
      <c r="F369" s="10" t="str">
        <f t="shared" si="3"/>
        <v>2 completed tickets</v>
      </c>
    </row>
    <row r="370" hidden="1">
      <c r="A370" s="6" t="s">
        <v>50</v>
      </c>
      <c r="B370" s="13" t="s">
        <v>279</v>
      </c>
      <c r="C370" s="38" t="s">
        <v>280</v>
      </c>
      <c r="D370" s="15">
        <v>4.0</v>
      </c>
      <c r="E370" s="10">
        <f t="shared" si="2"/>
        <v>200</v>
      </c>
      <c r="F370" s="10" t="str">
        <f t="shared" si="3"/>
        <v>4 completed tickets</v>
      </c>
    </row>
    <row r="371" hidden="1">
      <c r="A371" s="6" t="s">
        <v>50</v>
      </c>
      <c r="B371" s="13" t="s">
        <v>268</v>
      </c>
      <c r="C371" s="38" t="s">
        <v>269</v>
      </c>
      <c r="D371" s="15">
        <v>4.0</v>
      </c>
      <c r="E371" s="10">
        <f t="shared" si="2"/>
        <v>200</v>
      </c>
      <c r="F371" s="10" t="str">
        <f t="shared" si="3"/>
        <v>4 completed tickets</v>
      </c>
    </row>
    <row r="372" hidden="1">
      <c r="A372" s="6" t="s">
        <v>52</v>
      </c>
      <c r="B372" s="7" t="s">
        <v>160</v>
      </c>
      <c r="C372" s="38" t="s">
        <v>140</v>
      </c>
      <c r="D372" s="15">
        <v>41.0</v>
      </c>
      <c r="E372" s="10">
        <f t="shared" si="2"/>
        <v>2050</v>
      </c>
      <c r="F372" s="10" t="str">
        <f t="shared" si="3"/>
        <v>41 completed tickets</v>
      </c>
    </row>
    <row r="373" hidden="1">
      <c r="A373" s="6" t="s">
        <v>52</v>
      </c>
      <c r="B373" s="7" t="s">
        <v>161</v>
      </c>
      <c r="C373" s="38" t="s">
        <v>152</v>
      </c>
      <c r="D373" s="15">
        <v>36.0</v>
      </c>
      <c r="E373" s="10">
        <f t="shared" si="2"/>
        <v>1800</v>
      </c>
      <c r="F373" s="10" t="str">
        <f t="shared" si="3"/>
        <v>36 completed tickets</v>
      </c>
    </row>
    <row r="374" hidden="1">
      <c r="A374" s="6" t="s">
        <v>52</v>
      </c>
      <c r="B374" s="7" t="s">
        <v>162</v>
      </c>
      <c r="C374" s="38" t="s">
        <v>163</v>
      </c>
      <c r="D374" s="15">
        <v>47.0</v>
      </c>
      <c r="E374" s="10">
        <f t="shared" si="2"/>
        <v>2350</v>
      </c>
      <c r="F374" s="10" t="str">
        <f t="shared" si="3"/>
        <v>47 completed tickets</v>
      </c>
    </row>
    <row r="375" hidden="1">
      <c r="A375" s="6" t="s">
        <v>52</v>
      </c>
      <c r="B375" s="7" t="s">
        <v>164</v>
      </c>
      <c r="C375" s="38" t="s">
        <v>158</v>
      </c>
      <c r="D375" s="15">
        <v>32.0</v>
      </c>
      <c r="E375" s="10">
        <f t="shared" si="2"/>
        <v>1600</v>
      </c>
      <c r="F375" s="10" t="str">
        <f t="shared" si="3"/>
        <v>32 completed tickets</v>
      </c>
    </row>
    <row r="376" hidden="1">
      <c r="A376" s="6" t="s">
        <v>52</v>
      </c>
      <c r="B376" s="7" t="s">
        <v>165</v>
      </c>
      <c r="C376" s="38" t="s">
        <v>166</v>
      </c>
      <c r="D376" s="15">
        <v>97.0</v>
      </c>
      <c r="E376" s="10">
        <f t="shared" si="2"/>
        <v>4850</v>
      </c>
      <c r="F376" s="10" t="str">
        <f t="shared" si="3"/>
        <v>97 completed tickets</v>
      </c>
    </row>
    <row r="377" hidden="1">
      <c r="A377" s="6" t="s">
        <v>52</v>
      </c>
      <c r="B377" s="7" t="s">
        <v>167</v>
      </c>
      <c r="C377" s="38" t="s">
        <v>157</v>
      </c>
      <c r="D377" s="15">
        <v>35.0</v>
      </c>
      <c r="E377" s="10">
        <f t="shared" si="2"/>
        <v>1750</v>
      </c>
      <c r="F377" s="10" t="str">
        <f t="shared" si="3"/>
        <v>35 completed tickets</v>
      </c>
    </row>
    <row r="378" hidden="1">
      <c r="A378" s="6" t="s">
        <v>52</v>
      </c>
      <c r="B378" s="7" t="s">
        <v>168</v>
      </c>
      <c r="C378" s="38" t="s">
        <v>169</v>
      </c>
      <c r="D378" s="15">
        <v>24.0</v>
      </c>
      <c r="E378" s="10">
        <f t="shared" si="2"/>
        <v>1200</v>
      </c>
      <c r="F378" s="10" t="str">
        <f t="shared" si="3"/>
        <v>24 completed tickets</v>
      </c>
    </row>
    <row r="379" hidden="1">
      <c r="A379" s="6" t="s">
        <v>52</v>
      </c>
      <c r="B379" s="7" t="s">
        <v>170</v>
      </c>
      <c r="C379" s="38" t="s">
        <v>171</v>
      </c>
      <c r="D379" s="15">
        <v>62.0</v>
      </c>
      <c r="E379" s="10">
        <f t="shared" si="2"/>
        <v>3100</v>
      </c>
      <c r="F379" s="10" t="str">
        <f t="shared" si="3"/>
        <v>62 completed tickets</v>
      </c>
    </row>
    <row r="380" hidden="1">
      <c r="A380" s="6" t="s">
        <v>52</v>
      </c>
      <c r="B380" s="7" t="s">
        <v>172</v>
      </c>
      <c r="C380" s="38" t="s">
        <v>173</v>
      </c>
      <c r="D380" s="15">
        <v>36.0</v>
      </c>
      <c r="E380" s="10">
        <f t="shared" si="2"/>
        <v>1800</v>
      </c>
      <c r="F380" s="10" t="str">
        <f t="shared" si="3"/>
        <v>36 completed tickets</v>
      </c>
    </row>
    <row r="381" hidden="1">
      <c r="A381" s="6" t="s">
        <v>52</v>
      </c>
      <c r="B381" s="7" t="s">
        <v>174</v>
      </c>
      <c r="C381" s="38" t="s">
        <v>175</v>
      </c>
      <c r="D381" s="15">
        <v>18.0</v>
      </c>
      <c r="E381" s="10">
        <f t="shared" si="2"/>
        <v>900</v>
      </c>
      <c r="F381" s="10" t="str">
        <f t="shared" si="3"/>
        <v>18 completed tickets</v>
      </c>
    </row>
    <row r="382" hidden="1">
      <c r="A382" s="6" t="s">
        <v>52</v>
      </c>
      <c r="B382" s="7" t="s">
        <v>176</v>
      </c>
      <c r="C382" s="38" t="s">
        <v>130</v>
      </c>
      <c r="D382" s="15">
        <v>24.0</v>
      </c>
      <c r="E382" s="10">
        <f t="shared" si="2"/>
        <v>1200</v>
      </c>
      <c r="F382" s="10" t="str">
        <f t="shared" si="3"/>
        <v>24 completed tickets</v>
      </c>
    </row>
    <row r="383" hidden="1">
      <c r="A383" s="6" t="s">
        <v>52</v>
      </c>
      <c r="B383" s="7" t="s">
        <v>252</v>
      </c>
      <c r="C383" s="38" t="s">
        <v>139</v>
      </c>
      <c r="D383" s="15">
        <v>50.0</v>
      </c>
      <c r="E383" s="10">
        <f t="shared" si="2"/>
        <v>2500</v>
      </c>
      <c r="F383" s="10" t="str">
        <f t="shared" si="3"/>
        <v>50 completed tickets</v>
      </c>
    </row>
    <row r="384" hidden="1">
      <c r="A384" s="6" t="s">
        <v>52</v>
      </c>
      <c r="B384" s="7" t="s">
        <v>177</v>
      </c>
      <c r="C384" s="38" t="s">
        <v>144</v>
      </c>
      <c r="D384" s="15">
        <v>39.0</v>
      </c>
      <c r="E384" s="10">
        <f t="shared" si="2"/>
        <v>1950</v>
      </c>
      <c r="F384" s="10" t="str">
        <f t="shared" si="3"/>
        <v>39 completed tickets</v>
      </c>
    </row>
    <row r="385" hidden="1">
      <c r="A385" s="6" t="s">
        <v>52</v>
      </c>
      <c r="B385" s="7" t="s">
        <v>270</v>
      </c>
      <c r="C385" s="38" t="s">
        <v>126</v>
      </c>
      <c r="D385" s="15">
        <v>17.0</v>
      </c>
      <c r="E385" s="10">
        <f t="shared" si="2"/>
        <v>850</v>
      </c>
      <c r="F385" s="10" t="str">
        <f t="shared" si="3"/>
        <v>17 completed tickets</v>
      </c>
    </row>
    <row r="386" hidden="1">
      <c r="A386" s="6" t="s">
        <v>52</v>
      </c>
      <c r="B386" s="7" t="s">
        <v>178</v>
      </c>
      <c r="C386" s="38" t="s">
        <v>179</v>
      </c>
      <c r="D386" s="15">
        <v>29.0</v>
      </c>
      <c r="E386" s="10">
        <f t="shared" si="2"/>
        <v>1450</v>
      </c>
      <c r="F386" s="10" t="str">
        <f t="shared" si="3"/>
        <v>29 completed tickets</v>
      </c>
    </row>
    <row r="387" hidden="1">
      <c r="A387" s="6" t="s">
        <v>52</v>
      </c>
      <c r="B387" s="7" t="s">
        <v>180</v>
      </c>
      <c r="C387" s="38" t="s">
        <v>181</v>
      </c>
      <c r="D387" s="15">
        <v>72.0</v>
      </c>
      <c r="E387" s="10">
        <f t="shared" si="2"/>
        <v>3600</v>
      </c>
      <c r="F387" s="10" t="str">
        <f t="shared" si="3"/>
        <v>72 completed tickets</v>
      </c>
    </row>
    <row r="388" hidden="1">
      <c r="A388" s="6" t="s">
        <v>52</v>
      </c>
      <c r="B388" s="7" t="s">
        <v>182</v>
      </c>
      <c r="C388" s="38" t="s">
        <v>183</v>
      </c>
      <c r="D388" s="15">
        <v>18.0</v>
      </c>
      <c r="E388" s="10">
        <f t="shared" si="2"/>
        <v>900</v>
      </c>
      <c r="F388" s="10" t="str">
        <f t="shared" si="3"/>
        <v>18 completed tickets</v>
      </c>
    </row>
    <row r="389" hidden="1">
      <c r="A389" s="6" t="s">
        <v>52</v>
      </c>
      <c r="B389" s="7" t="s">
        <v>184</v>
      </c>
      <c r="C389" s="38" t="s">
        <v>185</v>
      </c>
      <c r="D389" s="15">
        <v>27.0</v>
      </c>
      <c r="E389" s="10">
        <f t="shared" si="2"/>
        <v>1350</v>
      </c>
      <c r="F389" s="10" t="str">
        <f t="shared" si="3"/>
        <v>27 completed tickets</v>
      </c>
    </row>
    <row r="390" hidden="1">
      <c r="A390" s="6" t="s">
        <v>52</v>
      </c>
      <c r="B390" s="13" t="s">
        <v>186</v>
      </c>
      <c r="C390" s="38" t="s">
        <v>187</v>
      </c>
      <c r="D390" s="15">
        <v>56.0</v>
      </c>
      <c r="E390" s="10">
        <f t="shared" si="2"/>
        <v>2800</v>
      </c>
      <c r="F390" s="10" t="str">
        <f t="shared" si="3"/>
        <v>56 completed tickets</v>
      </c>
    </row>
    <row r="391" hidden="1">
      <c r="A391" s="6" t="s">
        <v>52</v>
      </c>
      <c r="B391" s="13" t="s">
        <v>188</v>
      </c>
      <c r="C391" s="38" t="s">
        <v>189</v>
      </c>
      <c r="D391" s="15">
        <v>23.0</v>
      </c>
      <c r="E391" s="10">
        <f t="shared" si="2"/>
        <v>1150</v>
      </c>
      <c r="F391" s="10" t="str">
        <f t="shared" si="3"/>
        <v>23 completed tickets</v>
      </c>
    </row>
    <row r="392" hidden="1">
      <c r="A392" s="6" t="s">
        <v>52</v>
      </c>
      <c r="B392" s="7" t="s">
        <v>190</v>
      </c>
      <c r="C392" s="38" t="s">
        <v>191</v>
      </c>
      <c r="D392" s="15">
        <v>26.0</v>
      </c>
      <c r="E392" s="10">
        <f t="shared" si="2"/>
        <v>1300</v>
      </c>
      <c r="F392" s="10" t="str">
        <f t="shared" si="3"/>
        <v>26 completed tickets</v>
      </c>
    </row>
    <row r="393" hidden="1">
      <c r="A393" s="6" t="s">
        <v>52</v>
      </c>
      <c r="B393" s="7" t="s">
        <v>192</v>
      </c>
      <c r="C393" s="38" t="s">
        <v>193</v>
      </c>
      <c r="D393" s="15">
        <v>22.0</v>
      </c>
      <c r="E393" s="10">
        <f t="shared" si="2"/>
        <v>1100</v>
      </c>
      <c r="F393" s="10" t="str">
        <f t="shared" si="3"/>
        <v>22 completed tickets</v>
      </c>
    </row>
    <row r="394" hidden="1">
      <c r="A394" s="6" t="s">
        <v>52</v>
      </c>
      <c r="B394" s="7" t="s">
        <v>194</v>
      </c>
      <c r="C394" s="38" t="s">
        <v>195</v>
      </c>
      <c r="D394" s="15">
        <v>32.0</v>
      </c>
      <c r="E394" s="10">
        <f t="shared" si="2"/>
        <v>1600</v>
      </c>
      <c r="F394" s="10" t="str">
        <f t="shared" si="3"/>
        <v>32 completed tickets</v>
      </c>
    </row>
    <row r="395" hidden="1">
      <c r="A395" s="6" t="s">
        <v>52</v>
      </c>
      <c r="B395" s="13" t="s">
        <v>196</v>
      </c>
      <c r="C395" s="38" t="s">
        <v>197</v>
      </c>
      <c r="D395" s="15">
        <v>24.0</v>
      </c>
      <c r="E395" s="10">
        <f t="shared" si="2"/>
        <v>1200</v>
      </c>
      <c r="F395" s="10" t="str">
        <f t="shared" si="3"/>
        <v>24 completed tickets</v>
      </c>
    </row>
    <row r="396" hidden="1">
      <c r="A396" s="6" t="s">
        <v>52</v>
      </c>
      <c r="B396" s="13" t="s">
        <v>198</v>
      </c>
      <c r="C396" s="38" t="s">
        <v>199</v>
      </c>
      <c r="D396" s="15">
        <v>47.0</v>
      </c>
      <c r="E396" s="10">
        <f t="shared" si="2"/>
        <v>2350</v>
      </c>
      <c r="F396" s="10" t="str">
        <f t="shared" si="3"/>
        <v>47 completed tickets</v>
      </c>
    </row>
    <row r="397" hidden="1">
      <c r="A397" s="6" t="s">
        <v>52</v>
      </c>
      <c r="B397" s="13" t="s">
        <v>200</v>
      </c>
      <c r="C397" s="38" t="s">
        <v>201</v>
      </c>
      <c r="D397" s="15">
        <v>20.0</v>
      </c>
      <c r="E397" s="10">
        <f t="shared" si="2"/>
        <v>1000</v>
      </c>
      <c r="F397" s="10" t="str">
        <f t="shared" si="3"/>
        <v>20 completed tickets</v>
      </c>
    </row>
    <row r="398" hidden="1">
      <c r="A398" s="6" t="s">
        <v>52</v>
      </c>
      <c r="B398" s="13" t="s">
        <v>202</v>
      </c>
      <c r="C398" s="38" t="s">
        <v>203</v>
      </c>
      <c r="D398" s="15">
        <v>17.0</v>
      </c>
      <c r="E398" s="10">
        <f t="shared" si="2"/>
        <v>850</v>
      </c>
      <c r="F398" s="10" t="str">
        <f t="shared" si="3"/>
        <v>17 completed tickets</v>
      </c>
    </row>
    <row r="399" hidden="1">
      <c r="A399" s="6" t="s">
        <v>52</v>
      </c>
      <c r="B399" s="13" t="s">
        <v>204</v>
      </c>
      <c r="C399" s="38" t="s">
        <v>205</v>
      </c>
      <c r="D399" s="15">
        <v>21.0</v>
      </c>
      <c r="E399" s="10">
        <f t="shared" si="2"/>
        <v>1050</v>
      </c>
      <c r="F399" s="10" t="str">
        <f t="shared" si="3"/>
        <v>21 completed tickets</v>
      </c>
    </row>
    <row r="400" hidden="1">
      <c r="A400" s="6" t="s">
        <v>52</v>
      </c>
      <c r="B400" s="13" t="s">
        <v>206</v>
      </c>
      <c r="C400" s="38" t="s">
        <v>207</v>
      </c>
      <c r="D400" s="15">
        <v>20.0</v>
      </c>
      <c r="E400" s="10">
        <f t="shared" si="2"/>
        <v>1000</v>
      </c>
      <c r="F400" s="10" t="str">
        <f t="shared" si="3"/>
        <v>20 completed tickets</v>
      </c>
    </row>
    <row r="401" hidden="1">
      <c r="A401" s="6" t="s">
        <v>52</v>
      </c>
      <c r="B401" s="13" t="s">
        <v>208</v>
      </c>
      <c r="C401" s="38" t="s">
        <v>209</v>
      </c>
      <c r="D401" s="15">
        <v>10.0</v>
      </c>
      <c r="E401" s="10">
        <f t="shared" si="2"/>
        <v>500</v>
      </c>
      <c r="F401" s="10" t="str">
        <f t="shared" si="3"/>
        <v>10 completed tickets</v>
      </c>
    </row>
    <row r="402" hidden="1">
      <c r="A402" s="6" t="s">
        <v>52</v>
      </c>
      <c r="B402" s="13" t="s">
        <v>210</v>
      </c>
      <c r="C402" s="38" t="s">
        <v>211</v>
      </c>
      <c r="D402" s="15">
        <v>11.0</v>
      </c>
      <c r="E402" s="10">
        <f t="shared" si="2"/>
        <v>550</v>
      </c>
      <c r="F402" s="10" t="str">
        <f t="shared" si="3"/>
        <v>11 completed tickets</v>
      </c>
    </row>
    <row r="403" hidden="1">
      <c r="A403" s="6" t="s">
        <v>52</v>
      </c>
      <c r="B403" s="13" t="s">
        <v>212</v>
      </c>
      <c r="C403" s="38" t="s">
        <v>213</v>
      </c>
      <c r="D403" s="15">
        <v>26.0</v>
      </c>
      <c r="E403" s="10">
        <f t="shared" si="2"/>
        <v>1300</v>
      </c>
      <c r="F403" s="10" t="str">
        <f t="shared" si="3"/>
        <v>26 completed tickets</v>
      </c>
    </row>
    <row r="404" hidden="1">
      <c r="A404" s="6" t="s">
        <v>52</v>
      </c>
      <c r="B404" s="13" t="s">
        <v>214</v>
      </c>
      <c r="C404" s="38" t="s">
        <v>215</v>
      </c>
      <c r="D404" s="15">
        <v>6.0</v>
      </c>
      <c r="E404" s="10">
        <f t="shared" si="2"/>
        <v>300</v>
      </c>
      <c r="F404" s="10" t="str">
        <f t="shared" si="3"/>
        <v>6 completed tickets</v>
      </c>
    </row>
    <row r="405" hidden="1">
      <c r="A405" s="6" t="s">
        <v>52</v>
      </c>
      <c r="B405" s="13" t="s">
        <v>253</v>
      </c>
      <c r="C405" s="38" t="s">
        <v>254</v>
      </c>
      <c r="D405" s="15">
        <v>34.0</v>
      </c>
      <c r="E405" s="10">
        <f t="shared" si="2"/>
        <v>1700</v>
      </c>
      <c r="F405" s="10" t="str">
        <f t="shared" si="3"/>
        <v>34 completed tickets</v>
      </c>
    </row>
    <row r="406" hidden="1">
      <c r="A406" s="6" t="s">
        <v>52</v>
      </c>
      <c r="B406" s="13" t="s">
        <v>271</v>
      </c>
      <c r="C406" s="38" t="s">
        <v>272</v>
      </c>
      <c r="D406" s="15">
        <v>6.0</v>
      </c>
      <c r="E406" s="10">
        <f t="shared" si="2"/>
        <v>300</v>
      </c>
      <c r="F406" s="10" t="str">
        <f t="shared" si="3"/>
        <v>6 completed tickets</v>
      </c>
    </row>
    <row r="407" hidden="1">
      <c r="A407" s="6" t="s">
        <v>52</v>
      </c>
      <c r="B407" s="13" t="s">
        <v>273</v>
      </c>
      <c r="C407" s="38" t="s">
        <v>274</v>
      </c>
      <c r="D407" s="15">
        <v>6.0</v>
      </c>
      <c r="E407" s="10">
        <f t="shared" si="2"/>
        <v>300</v>
      </c>
      <c r="F407" s="10" t="str">
        <f t="shared" si="3"/>
        <v>6 completed tickets</v>
      </c>
    </row>
    <row r="408" hidden="1">
      <c r="A408" s="6" t="s">
        <v>52</v>
      </c>
      <c r="B408" s="13" t="s">
        <v>256</v>
      </c>
      <c r="C408" s="38" t="s">
        <v>257</v>
      </c>
      <c r="D408" s="15">
        <v>2.0</v>
      </c>
      <c r="E408" s="10">
        <f t="shared" si="2"/>
        <v>100</v>
      </c>
      <c r="F408" s="10" t="str">
        <f t="shared" si="3"/>
        <v>2 completed tickets</v>
      </c>
    </row>
    <row r="409" hidden="1">
      <c r="A409" s="6" t="s">
        <v>52</v>
      </c>
      <c r="B409" s="13" t="s">
        <v>250</v>
      </c>
      <c r="C409" s="38" t="s">
        <v>137</v>
      </c>
      <c r="D409" s="15">
        <v>4.0</v>
      </c>
      <c r="E409" s="10">
        <f t="shared" si="2"/>
        <v>200</v>
      </c>
      <c r="F409" s="10" t="str">
        <f t="shared" si="3"/>
        <v>4 completed tickets</v>
      </c>
    </row>
    <row r="410" hidden="1">
      <c r="A410" s="6" t="s">
        <v>52</v>
      </c>
      <c r="B410" s="13" t="s">
        <v>260</v>
      </c>
      <c r="C410" s="38" t="s">
        <v>261</v>
      </c>
      <c r="D410" s="15">
        <v>14.0</v>
      </c>
      <c r="E410" s="10">
        <f t="shared" si="2"/>
        <v>700</v>
      </c>
      <c r="F410" s="10" t="str">
        <f t="shared" si="3"/>
        <v>14 completed tickets</v>
      </c>
    </row>
    <row r="411" hidden="1">
      <c r="A411" s="6" t="s">
        <v>52</v>
      </c>
      <c r="B411" s="13" t="s">
        <v>236</v>
      </c>
      <c r="C411" s="38" t="s">
        <v>251</v>
      </c>
      <c r="D411" s="15">
        <v>4.0</v>
      </c>
      <c r="E411" s="10">
        <f t="shared" si="2"/>
        <v>200</v>
      </c>
      <c r="F411" s="10" t="str">
        <f t="shared" si="3"/>
        <v>4 completed tickets</v>
      </c>
    </row>
    <row r="412" hidden="1">
      <c r="A412" s="6" t="s">
        <v>52</v>
      </c>
      <c r="B412" s="13" t="s">
        <v>281</v>
      </c>
      <c r="C412" s="38" t="s">
        <v>282</v>
      </c>
      <c r="D412" s="15">
        <v>6.0</v>
      </c>
      <c r="E412" s="10">
        <f t="shared" si="2"/>
        <v>300</v>
      </c>
      <c r="F412" s="10" t="str">
        <f t="shared" si="3"/>
        <v>6 completed tickets</v>
      </c>
    </row>
    <row r="413" hidden="1">
      <c r="A413" s="6" t="s">
        <v>52</v>
      </c>
      <c r="B413" s="13" t="s">
        <v>277</v>
      </c>
      <c r="C413" s="38" t="s">
        <v>278</v>
      </c>
      <c r="D413" s="15">
        <v>2.0</v>
      </c>
      <c r="E413" s="10">
        <f t="shared" si="2"/>
        <v>100</v>
      </c>
      <c r="F413" s="10" t="str">
        <f t="shared" si="3"/>
        <v>2 completed tickets</v>
      </c>
    </row>
    <row r="414" hidden="1">
      <c r="A414" s="6" t="s">
        <v>52</v>
      </c>
      <c r="B414" s="13" t="s">
        <v>283</v>
      </c>
      <c r="C414" s="38" t="s">
        <v>284</v>
      </c>
      <c r="D414" s="15">
        <v>2.0</v>
      </c>
      <c r="E414" s="10">
        <f t="shared" si="2"/>
        <v>100</v>
      </c>
      <c r="F414" s="10" t="str">
        <f t="shared" si="3"/>
        <v>2 completed tickets</v>
      </c>
    </row>
    <row r="415" hidden="1">
      <c r="A415" s="6" t="s">
        <v>55</v>
      </c>
      <c r="B415" s="7" t="s">
        <v>160</v>
      </c>
      <c r="C415" s="38" t="s">
        <v>140</v>
      </c>
      <c r="D415" s="15">
        <v>65.0</v>
      </c>
      <c r="E415" s="10">
        <f t="shared" si="2"/>
        <v>3250</v>
      </c>
      <c r="F415" s="10" t="str">
        <f t="shared" si="3"/>
        <v>65 completed tickets</v>
      </c>
    </row>
    <row r="416" hidden="1">
      <c r="A416" s="6" t="s">
        <v>55</v>
      </c>
      <c r="B416" s="7" t="s">
        <v>161</v>
      </c>
      <c r="C416" s="38" t="s">
        <v>152</v>
      </c>
      <c r="D416" s="15">
        <v>27.0</v>
      </c>
      <c r="E416" s="10">
        <f t="shared" si="2"/>
        <v>1350</v>
      </c>
      <c r="F416" s="10" t="str">
        <f t="shared" si="3"/>
        <v>27 completed tickets</v>
      </c>
    </row>
    <row r="417" hidden="1">
      <c r="A417" s="6" t="s">
        <v>55</v>
      </c>
      <c r="B417" s="7" t="s">
        <v>162</v>
      </c>
      <c r="C417" s="38" t="s">
        <v>163</v>
      </c>
      <c r="D417" s="15">
        <v>36.0</v>
      </c>
      <c r="E417" s="10">
        <f t="shared" si="2"/>
        <v>1800</v>
      </c>
      <c r="F417" s="10" t="str">
        <f t="shared" si="3"/>
        <v>36 completed tickets</v>
      </c>
    </row>
    <row r="418" hidden="1">
      <c r="A418" s="6" t="s">
        <v>55</v>
      </c>
      <c r="B418" s="7" t="s">
        <v>164</v>
      </c>
      <c r="C418" s="38" t="s">
        <v>158</v>
      </c>
      <c r="D418" s="15">
        <v>41.0</v>
      </c>
      <c r="E418" s="10">
        <f t="shared" si="2"/>
        <v>2050</v>
      </c>
      <c r="F418" s="10" t="str">
        <f t="shared" si="3"/>
        <v>41 completed tickets</v>
      </c>
    </row>
    <row r="419" hidden="1">
      <c r="A419" s="6" t="s">
        <v>55</v>
      </c>
      <c r="B419" s="7" t="s">
        <v>165</v>
      </c>
      <c r="C419" s="38" t="s">
        <v>166</v>
      </c>
      <c r="D419" s="15">
        <v>53.0</v>
      </c>
      <c r="E419" s="10">
        <f t="shared" si="2"/>
        <v>2650</v>
      </c>
      <c r="F419" s="10" t="str">
        <f t="shared" si="3"/>
        <v>53 completed tickets</v>
      </c>
    </row>
    <row r="420" hidden="1">
      <c r="A420" s="6" t="s">
        <v>55</v>
      </c>
      <c r="B420" s="7" t="s">
        <v>167</v>
      </c>
      <c r="C420" s="38" t="s">
        <v>157</v>
      </c>
      <c r="D420" s="15">
        <v>16.0</v>
      </c>
      <c r="E420" s="10">
        <f t="shared" si="2"/>
        <v>800</v>
      </c>
      <c r="F420" s="10" t="str">
        <f t="shared" si="3"/>
        <v>16 completed tickets</v>
      </c>
    </row>
    <row r="421" hidden="1">
      <c r="A421" s="6" t="s">
        <v>55</v>
      </c>
      <c r="B421" s="7" t="s">
        <v>168</v>
      </c>
      <c r="C421" s="38" t="s">
        <v>169</v>
      </c>
      <c r="D421" s="15">
        <v>42.0</v>
      </c>
      <c r="E421" s="10">
        <f t="shared" si="2"/>
        <v>2100</v>
      </c>
      <c r="F421" s="10" t="str">
        <f t="shared" si="3"/>
        <v>42 completed tickets</v>
      </c>
    </row>
    <row r="422" hidden="1">
      <c r="A422" s="6" t="s">
        <v>55</v>
      </c>
      <c r="B422" s="7" t="s">
        <v>170</v>
      </c>
      <c r="C422" s="38" t="s">
        <v>171</v>
      </c>
      <c r="D422" s="15">
        <v>35.0</v>
      </c>
      <c r="E422" s="10">
        <f t="shared" si="2"/>
        <v>1750</v>
      </c>
      <c r="F422" s="10" t="str">
        <f t="shared" si="3"/>
        <v>35 completed tickets</v>
      </c>
    </row>
    <row r="423" hidden="1">
      <c r="A423" s="6" t="s">
        <v>55</v>
      </c>
      <c r="B423" s="7" t="s">
        <v>172</v>
      </c>
      <c r="C423" s="38" t="s">
        <v>173</v>
      </c>
      <c r="D423" s="15">
        <v>45.0</v>
      </c>
      <c r="E423" s="10">
        <f t="shared" si="2"/>
        <v>2250</v>
      </c>
      <c r="F423" s="10" t="str">
        <f t="shared" si="3"/>
        <v>45 completed tickets</v>
      </c>
    </row>
    <row r="424" hidden="1">
      <c r="A424" s="6" t="s">
        <v>55</v>
      </c>
      <c r="B424" s="7" t="s">
        <v>174</v>
      </c>
      <c r="C424" s="38" t="s">
        <v>175</v>
      </c>
      <c r="D424" s="15">
        <v>20.0</v>
      </c>
      <c r="E424" s="10">
        <f t="shared" si="2"/>
        <v>1000</v>
      </c>
      <c r="F424" s="10" t="str">
        <f t="shared" si="3"/>
        <v>20 completed tickets</v>
      </c>
    </row>
    <row r="425" hidden="1">
      <c r="A425" s="6" t="s">
        <v>55</v>
      </c>
      <c r="B425" s="7" t="s">
        <v>176</v>
      </c>
      <c r="C425" s="38" t="s">
        <v>130</v>
      </c>
      <c r="D425" s="15">
        <v>28.0</v>
      </c>
      <c r="E425" s="10">
        <f t="shared" si="2"/>
        <v>1400</v>
      </c>
      <c r="F425" s="10" t="str">
        <f t="shared" si="3"/>
        <v>28 completed tickets</v>
      </c>
    </row>
    <row r="426" hidden="1">
      <c r="A426" s="6" t="s">
        <v>55</v>
      </c>
      <c r="B426" s="7" t="s">
        <v>252</v>
      </c>
      <c r="C426" s="38" t="s">
        <v>139</v>
      </c>
      <c r="D426" s="15">
        <v>41.0</v>
      </c>
      <c r="E426" s="10">
        <f t="shared" si="2"/>
        <v>2050</v>
      </c>
      <c r="F426" s="10" t="str">
        <f t="shared" si="3"/>
        <v>41 completed tickets</v>
      </c>
    </row>
    <row r="427" hidden="1">
      <c r="A427" s="6" t="s">
        <v>55</v>
      </c>
      <c r="B427" s="7" t="s">
        <v>177</v>
      </c>
      <c r="C427" s="38" t="s">
        <v>144</v>
      </c>
      <c r="D427" s="15">
        <v>42.0</v>
      </c>
      <c r="E427" s="10">
        <f t="shared" si="2"/>
        <v>2100</v>
      </c>
      <c r="F427" s="10" t="str">
        <f t="shared" si="3"/>
        <v>42 completed tickets</v>
      </c>
    </row>
    <row r="428" hidden="1">
      <c r="A428" s="6" t="s">
        <v>55</v>
      </c>
      <c r="B428" s="7" t="s">
        <v>270</v>
      </c>
      <c r="C428" s="38" t="s">
        <v>126</v>
      </c>
      <c r="D428" s="15">
        <v>24.0</v>
      </c>
      <c r="E428" s="10">
        <f t="shared" si="2"/>
        <v>1200</v>
      </c>
      <c r="F428" s="10" t="str">
        <f t="shared" si="3"/>
        <v>24 completed tickets</v>
      </c>
    </row>
    <row r="429" hidden="1">
      <c r="A429" s="6" t="s">
        <v>55</v>
      </c>
      <c r="B429" s="7" t="s">
        <v>178</v>
      </c>
      <c r="C429" s="38" t="s">
        <v>179</v>
      </c>
      <c r="D429" s="15">
        <v>42.0</v>
      </c>
      <c r="E429" s="10">
        <f t="shared" si="2"/>
        <v>2100</v>
      </c>
      <c r="F429" s="10" t="str">
        <f t="shared" si="3"/>
        <v>42 completed tickets</v>
      </c>
    </row>
    <row r="430" hidden="1">
      <c r="A430" s="6" t="s">
        <v>55</v>
      </c>
      <c r="B430" s="7" t="s">
        <v>180</v>
      </c>
      <c r="C430" s="38" t="s">
        <v>181</v>
      </c>
      <c r="D430" s="15">
        <v>74.0</v>
      </c>
      <c r="E430" s="10">
        <f t="shared" si="2"/>
        <v>3700</v>
      </c>
      <c r="F430" s="10" t="str">
        <f t="shared" si="3"/>
        <v>74 completed tickets</v>
      </c>
    </row>
    <row r="431" hidden="1">
      <c r="A431" s="6" t="s">
        <v>55</v>
      </c>
      <c r="B431" s="7" t="s">
        <v>182</v>
      </c>
      <c r="C431" s="38" t="s">
        <v>183</v>
      </c>
      <c r="D431" s="15">
        <v>17.0</v>
      </c>
      <c r="E431" s="10">
        <f t="shared" si="2"/>
        <v>850</v>
      </c>
      <c r="F431" s="10" t="str">
        <f t="shared" si="3"/>
        <v>17 completed tickets</v>
      </c>
    </row>
    <row r="432" hidden="1">
      <c r="A432" s="6" t="s">
        <v>55</v>
      </c>
      <c r="B432" s="7" t="s">
        <v>184</v>
      </c>
      <c r="C432" s="38" t="s">
        <v>185</v>
      </c>
      <c r="D432" s="15">
        <v>31.0</v>
      </c>
      <c r="E432" s="10">
        <f t="shared" si="2"/>
        <v>1550</v>
      </c>
      <c r="F432" s="10" t="str">
        <f t="shared" si="3"/>
        <v>31 completed tickets</v>
      </c>
    </row>
    <row r="433" hidden="1">
      <c r="A433" s="6" t="s">
        <v>55</v>
      </c>
      <c r="B433" s="13" t="s">
        <v>186</v>
      </c>
      <c r="C433" s="38" t="s">
        <v>187</v>
      </c>
      <c r="D433" s="15">
        <v>49.0</v>
      </c>
      <c r="E433" s="10">
        <f t="shared" si="2"/>
        <v>2450</v>
      </c>
      <c r="F433" s="10" t="str">
        <f t="shared" si="3"/>
        <v>49 completed tickets</v>
      </c>
    </row>
    <row r="434" hidden="1">
      <c r="A434" s="6" t="s">
        <v>55</v>
      </c>
      <c r="B434" s="13" t="s">
        <v>188</v>
      </c>
      <c r="C434" s="38" t="s">
        <v>189</v>
      </c>
      <c r="D434" s="15">
        <v>26.0</v>
      </c>
      <c r="E434" s="10">
        <f t="shared" si="2"/>
        <v>1300</v>
      </c>
      <c r="F434" s="10" t="str">
        <f t="shared" si="3"/>
        <v>26 completed tickets</v>
      </c>
    </row>
    <row r="435" hidden="1">
      <c r="A435" s="6" t="s">
        <v>55</v>
      </c>
      <c r="B435" s="7" t="s">
        <v>190</v>
      </c>
      <c r="C435" s="38" t="s">
        <v>191</v>
      </c>
      <c r="D435" s="15">
        <v>22.0</v>
      </c>
      <c r="E435" s="10">
        <f t="shared" si="2"/>
        <v>1100</v>
      </c>
      <c r="F435" s="10" t="str">
        <f t="shared" si="3"/>
        <v>22 completed tickets</v>
      </c>
    </row>
    <row r="436" hidden="1">
      <c r="A436" s="6" t="s">
        <v>55</v>
      </c>
      <c r="B436" s="7" t="s">
        <v>192</v>
      </c>
      <c r="C436" s="38" t="s">
        <v>193</v>
      </c>
      <c r="D436" s="15">
        <v>15.0</v>
      </c>
      <c r="E436" s="10">
        <f t="shared" si="2"/>
        <v>750</v>
      </c>
      <c r="F436" s="10" t="str">
        <f t="shared" si="3"/>
        <v>15 completed tickets</v>
      </c>
    </row>
    <row r="437" hidden="1">
      <c r="A437" s="6" t="s">
        <v>55</v>
      </c>
      <c r="B437" s="7" t="s">
        <v>194</v>
      </c>
      <c r="C437" s="38" t="s">
        <v>195</v>
      </c>
      <c r="D437" s="15">
        <v>18.0</v>
      </c>
      <c r="E437" s="10">
        <f t="shared" si="2"/>
        <v>900</v>
      </c>
      <c r="F437" s="10" t="str">
        <f t="shared" si="3"/>
        <v>18 completed tickets</v>
      </c>
    </row>
    <row r="438" hidden="1">
      <c r="A438" s="6" t="s">
        <v>55</v>
      </c>
      <c r="B438" s="13" t="s">
        <v>196</v>
      </c>
      <c r="C438" s="38" t="s">
        <v>197</v>
      </c>
      <c r="D438" s="15">
        <v>48.0</v>
      </c>
      <c r="E438" s="10">
        <f t="shared" si="2"/>
        <v>2400</v>
      </c>
      <c r="F438" s="10" t="str">
        <f t="shared" si="3"/>
        <v>48 completed tickets</v>
      </c>
    </row>
    <row r="439" hidden="1">
      <c r="A439" s="6" t="s">
        <v>55</v>
      </c>
      <c r="B439" s="13" t="s">
        <v>198</v>
      </c>
      <c r="C439" s="38" t="s">
        <v>199</v>
      </c>
      <c r="D439" s="15">
        <v>39.0</v>
      </c>
      <c r="E439" s="10">
        <f t="shared" si="2"/>
        <v>1950</v>
      </c>
      <c r="F439" s="10" t="str">
        <f t="shared" si="3"/>
        <v>39 completed tickets</v>
      </c>
    </row>
    <row r="440" hidden="1">
      <c r="A440" s="6" t="s">
        <v>55</v>
      </c>
      <c r="B440" s="13" t="s">
        <v>200</v>
      </c>
      <c r="C440" s="38" t="s">
        <v>201</v>
      </c>
      <c r="D440" s="15">
        <v>31.0</v>
      </c>
      <c r="E440" s="10">
        <f t="shared" si="2"/>
        <v>1550</v>
      </c>
      <c r="F440" s="10" t="str">
        <f t="shared" si="3"/>
        <v>31 completed tickets</v>
      </c>
    </row>
    <row r="441" hidden="1">
      <c r="A441" s="6" t="s">
        <v>55</v>
      </c>
      <c r="B441" s="13" t="s">
        <v>202</v>
      </c>
      <c r="C441" s="38" t="s">
        <v>203</v>
      </c>
      <c r="D441" s="15">
        <v>23.0</v>
      </c>
      <c r="E441" s="10">
        <f t="shared" si="2"/>
        <v>1150</v>
      </c>
      <c r="F441" s="10" t="str">
        <f t="shared" si="3"/>
        <v>23 completed tickets</v>
      </c>
    </row>
    <row r="442" hidden="1">
      <c r="A442" s="6" t="s">
        <v>55</v>
      </c>
      <c r="B442" s="13" t="s">
        <v>204</v>
      </c>
      <c r="C442" s="38" t="s">
        <v>205</v>
      </c>
      <c r="D442" s="15">
        <v>3.0</v>
      </c>
      <c r="E442" s="10">
        <f t="shared" si="2"/>
        <v>150</v>
      </c>
      <c r="F442" s="10" t="str">
        <f t="shared" si="3"/>
        <v>3 completed tickets</v>
      </c>
    </row>
    <row r="443" hidden="1">
      <c r="A443" s="6" t="s">
        <v>55</v>
      </c>
      <c r="B443" s="13" t="s">
        <v>206</v>
      </c>
      <c r="C443" s="38" t="s">
        <v>207</v>
      </c>
      <c r="D443" s="15">
        <v>8.0</v>
      </c>
      <c r="E443" s="10">
        <f t="shared" si="2"/>
        <v>400</v>
      </c>
      <c r="F443" s="10" t="str">
        <f t="shared" si="3"/>
        <v>8 completed tickets</v>
      </c>
    </row>
    <row r="444" hidden="1">
      <c r="A444" s="6" t="s">
        <v>55</v>
      </c>
      <c r="B444" s="13" t="s">
        <v>208</v>
      </c>
      <c r="C444" s="38" t="s">
        <v>209</v>
      </c>
      <c r="D444" s="15">
        <v>8.0</v>
      </c>
      <c r="E444" s="10">
        <f t="shared" si="2"/>
        <v>400</v>
      </c>
      <c r="F444" s="10" t="str">
        <f t="shared" si="3"/>
        <v>8 completed tickets</v>
      </c>
    </row>
    <row r="445" hidden="1">
      <c r="A445" s="6" t="s">
        <v>55</v>
      </c>
      <c r="B445" s="13" t="s">
        <v>210</v>
      </c>
      <c r="C445" s="38" t="s">
        <v>211</v>
      </c>
      <c r="D445" s="15">
        <v>2.0</v>
      </c>
      <c r="E445" s="10">
        <f t="shared" si="2"/>
        <v>100</v>
      </c>
      <c r="F445" s="10" t="str">
        <f t="shared" si="3"/>
        <v>2 completed tickets</v>
      </c>
    </row>
    <row r="446" hidden="1">
      <c r="A446" s="6" t="s">
        <v>55</v>
      </c>
      <c r="B446" s="13" t="s">
        <v>212</v>
      </c>
      <c r="C446" s="38" t="s">
        <v>213</v>
      </c>
      <c r="D446" s="15">
        <v>21.0</v>
      </c>
      <c r="E446" s="10">
        <f t="shared" si="2"/>
        <v>1050</v>
      </c>
      <c r="F446" s="10" t="str">
        <f t="shared" si="3"/>
        <v>21 completed tickets</v>
      </c>
    </row>
    <row r="447" hidden="1">
      <c r="A447" s="6" t="s">
        <v>55</v>
      </c>
      <c r="B447" s="13" t="s">
        <v>253</v>
      </c>
      <c r="C447" s="38" t="s">
        <v>254</v>
      </c>
      <c r="D447" s="15">
        <v>12.0</v>
      </c>
      <c r="E447" s="10">
        <f t="shared" si="2"/>
        <v>600</v>
      </c>
      <c r="F447" s="10" t="str">
        <f t="shared" si="3"/>
        <v>12 completed tickets</v>
      </c>
    </row>
    <row r="448" hidden="1">
      <c r="A448" s="6" t="s">
        <v>55</v>
      </c>
      <c r="B448" s="13" t="s">
        <v>271</v>
      </c>
      <c r="C448" s="38" t="s">
        <v>272</v>
      </c>
      <c r="D448" s="15">
        <v>2.0</v>
      </c>
      <c r="E448" s="10">
        <f t="shared" si="2"/>
        <v>100</v>
      </c>
      <c r="F448" s="10" t="str">
        <f t="shared" si="3"/>
        <v>2 completed tickets</v>
      </c>
    </row>
    <row r="449" hidden="1">
      <c r="A449" s="6" t="s">
        <v>55</v>
      </c>
      <c r="B449" s="13" t="s">
        <v>273</v>
      </c>
      <c r="C449" s="38" t="s">
        <v>274</v>
      </c>
      <c r="D449" s="15">
        <v>4.0</v>
      </c>
      <c r="E449" s="10">
        <f t="shared" si="2"/>
        <v>200</v>
      </c>
      <c r="F449" s="10" t="str">
        <f t="shared" si="3"/>
        <v>4 completed tickets</v>
      </c>
    </row>
    <row r="450" hidden="1">
      <c r="A450" s="6" t="s">
        <v>55</v>
      </c>
      <c r="B450" s="13" t="s">
        <v>268</v>
      </c>
      <c r="C450" s="38" t="s">
        <v>285</v>
      </c>
      <c r="D450" s="15">
        <v>2.0</v>
      </c>
      <c r="E450" s="10">
        <f t="shared" si="2"/>
        <v>100</v>
      </c>
      <c r="F450" s="10" t="str">
        <f t="shared" si="3"/>
        <v>2 completed tickets</v>
      </c>
    </row>
    <row r="451" hidden="1">
      <c r="A451" s="6" t="s">
        <v>55</v>
      </c>
      <c r="B451" s="13" t="s">
        <v>256</v>
      </c>
      <c r="C451" s="38" t="s">
        <v>257</v>
      </c>
      <c r="D451" s="15">
        <v>2.0</v>
      </c>
      <c r="E451" s="10">
        <f t="shared" si="2"/>
        <v>100</v>
      </c>
      <c r="F451" s="10" t="str">
        <f t="shared" si="3"/>
        <v>2 completed tickets</v>
      </c>
    </row>
    <row r="452" hidden="1">
      <c r="A452" s="6" t="s">
        <v>55</v>
      </c>
      <c r="B452" s="13" t="s">
        <v>250</v>
      </c>
      <c r="C452" s="38" t="s">
        <v>137</v>
      </c>
      <c r="D452" s="15">
        <v>6.0</v>
      </c>
      <c r="E452" s="10">
        <f t="shared" si="2"/>
        <v>300</v>
      </c>
      <c r="F452" s="10" t="str">
        <f t="shared" si="3"/>
        <v>6 completed tickets</v>
      </c>
    </row>
    <row r="453" hidden="1">
      <c r="A453" s="6" t="s">
        <v>55</v>
      </c>
      <c r="B453" s="13" t="s">
        <v>260</v>
      </c>
      <c r="C453" s="38" t="s">
        <v>261</v>
      </c>
      <c r="D453" s="15">
        <v>13.0</v>
      </c>
      <c r="E453" s="10">
        <f t="shared" si="2"/>
        <v>650</v>
      </c>
      <c r="F453" s="10" t="str">
        <f t="shared" si="3"/>
        <v>13 completed tickets</v>
      </c>
    </row>
    <row r="454" hidden="1">
      <c r="A454" s="6" t="s">
        <v>55</v>
      </c>
      <c r="B454" s="13" t="s">
        <v>236</v>
      </c>
      <c r="C454" s="38" t="s">
        <v>251</v>
      </c>
      <c r="D454" s="15">
        <v>8.0</v>
      </c>
      <c r="E454" s="10">
        <f t="shared" si="2"/>
        <v>400</v>
      </c>
      <c r="F454" s="10" t="str">
        <f t="shared" si="3"/>
        <v>8 completed tickets</v>
      </c>
    </row>
    <row r="455" hidden="1">
      <c r="A455" s="6" t="s">
        <v>55</v>
      </c>
      <c r="B455" s="13" t="s">
        <v>286</v>
      </c>
      <c r="C455" s="38" t="s">
        <v>287</v>
      </c>
      <c r="D455" s="15">
        <v>2.0</v>
      </c>
      <c r="E455" s="10">
        <f t="shared" si="2"/>
        <v>100</v>
      </c>
      <c r="F455" s="10" t="str">
        <f t="shared" si="3"/>
        <v>2 completed tickets</v>
      </c>
    </row>
    <row r="456" hidden="1">
      <c r="A456" s="6" t="s">
        <v>55</v>
      </c>
      <c r="B456" s="13" t="s">
        <v>281</v>
      </c>
      <c r="C456" s="38" t="s">
        <v>282</v>
      </c>
      <c r="D456" s="15">
        <v>2.0</v>
      </c>
      <c r="E456" s="10">
        <f t="shared" si="2"/>
        <v>100</v>
      </c>
      <c r="F456" s="10" t="str">
        <f t="shared" si="3"/>
        <v>2 completed tickets</v>
      </c>
    </row>
    <row r="457" hidden="1">
      <c r="A457" s="6" t="s">
        <v>55</v>
      </c>
      <c r="B457" s="13" t="s">
        <v>277</v>
      </c>
      <c r="C457" s="38" t="s">
        <v>278</v>
      </c>
      <c r="D457" s="15">
        <v>2.0</v>
      </c>
      <c r="E457" s="10">
        <f t="shared" si="2"/>
        <v>100</v>
      </c>
      <c r="F457" s="10" t="str">
        <f t="shared" si="3"/>
        <v>2 completed tickets</v>
      </c>
    </row>
    <row r="458" hidden="1">
      <c r="A458" s="6" t="s">
        <v>55</v>
      </c>
      <c r="B458" s="13" t="s">
        <v>283</v>
      </c>
      <c r="C458" s="38" t="s">
        <v>284</v>
      </c>
      <c r="D458" s="15">
        <v>2.0</v>
      </c>
      <c r="E458" s="10">
        <f t="shared" si="2"/>
        <v>100</v>
      </c>
      <c r="F458" s="10" t="str">
        <f t="shared" si="3"/>
        <v>2 completed tickets</v>
      </c>
    </row>
    <row r="459" hidden="1">
      <c r="A459" s="6" t="s">
        <v>57</v>
      </c>
      <c r="B459" s="7" t="s">
        <v>160</v>
      </c>
      <c r="C459" s="38" t="s">
        <v>140</v>
      </c>
      <c r="D459" s="15">
        <v>114.0</v>
      </c>
      <c r="E459" s="10">
        <f t="shared" si="2"/>
        <v>5700</v>
      </c>
      <c r="F459" s="10" t="str">
        <f t="shared" si="3"/>
        <v>114 completed tickets</v>
      </c>
    </row>
    <row r="460" hidden="1">
      <c r="A460" s="6" t="s">
        <v>57</v>
      </c>
      <c r="B460" s="7" t="s">
        <v>161</v>
      </c>
      <c r="C460" s="38" t="s">
        <v>152</v>
      </c>
      <c r="D460" s="15">
        <v>27.0</v>
      </c>
      <c r="E460" s="10">
        <f t="shared" si="2"/>
        <v>1350</v>
      </c>
      <c r="F460" s="10" t="str">
        <f t="shared" si="3"/>
        <v>27 completed tickets</v>
      </c>
    </row>
    <row r="461" hidden="1">
      <c r="A461" s="6" t="s">
        <v>57</v>
      </c>
      <c r="B461" s="7" t="s">
        <v>162</v>
      </c>
      <c r="C461" s="38" t="s">
        <v>163</v>
      </c>
      <c r="D461" s="15">
        <v>38.0</v>
      </c>
      <c r="E461" s="10">
        <f t="shared" si="2"/>
        <v>1900</v>
      </c>
      <c r="F461" s="10" t="str">
        <f t="shared" si="3"/>
        <v>38 completed tickets</v>
      </c>
    </row>
    <row r="462" hidden="1">
      <c r="A462" s="6" t="s">
        <v>57</v>
      </c>
      <c r="B462" s="7" t="s">
        <v>164</v>
      </c>
      <c r="C462" s="38" t="s">
        <v>158</v>
      </c>
      <c r="D462" s="15">
        <v>64.0</v>
      </c>
      <c r="E462" s="10">
        <f t="shared" si="2"/>
        <v>3200</v>
      </c>
      <c r="F462" s="10" t="str">
        <f t="shared" si="3"/>
        <v>64 completed tickets</v>
      </c>
    </row>
    <row r="463" hidden="1">
      <c r="A463" s="6" t="s">
        <v>57</v>
      </c>
      <c r="B463" s="7" t="s">
        <v>165</v>
      </c>
      <c r="C463" s="38" t="s">
        <v>166</v>
      </c>
      <c r="D463" s="15">
        <v>67.0</v>
      </c>
      <c r="E463" s="10">
        <f t="shared" si="2"/>
        <v>3350</v>
      </c>
      <c r="F463" s="10" t="str">
        <f t="shared" si="3"/>
        <v>67 completed tickets</v>
      </c>
    </row>
    <row r="464" hidden="1">
      <c r="A464" s="6" t="s">
        <v>57</v>
      </c>
      <c r="B464" s="7" t="s">
        <v>167</v>
      </c>
      <c r="C464" s="38" t="s">
        <v>157</v>
      </c>
      <c r="D464" s="15">
        <v>40.0</v>
      </c>
      <c r="E464" s="10">
        <f t="shared" si="2"/>
        <v>2000</v>
      </c>
      <c r="F464" s="10" t="str">
        <f t="shared" si="3"/>
        <v>40 completed tickets</v>
      </c>
    </row>
    <row r="465" hidden="1">
      <c r="A465" s="6" t="s">
        <v>57</v>
      </c>
      <c r="B465" s="7" t="s">
        <v>168</v>
      </c>
      <c r="C465" s="38" t="s">
        <v>169</v>
      </c>
      <c r="D465" s="15">
        <v>30.0</v>
      </c>
      <c r="E465" s="10">
        <f t="shared" si="2"/>
        <v>1500</v>
      </c>
      <c r="F465" s="10" t="str">
        <f t="shared" si="3"/>
        <v>30 completed tickets</v>
      </c>
    </row>
    <row r="466" hidden="1">
      <c r="A466" s="6" t="s">
        <v>57</v>
      </c>
      <c r="B466" s="7" t="s">
        <v>170</v>
      </c>
      <c r="C466" s="38" t="s">
        <v>171</v>
      </c>
      <c r="D466" s="15">
        <v>30.0</v>
      </c>
      <c r="E466" s="10">
        <f t="shared" si="2"/>
        <v>1500</v>
      </c>
      <c r="F466" s="10" t="str">
        <f t="shared" si="3"/>
        <v>30 completed tickets</v>
      </c>
    </row>
    <row r="467" hidden="1">
      <c r="A467" s="6" t="s">
        <v>57</v>
      </c>
      <c r="B467" s="7" t="s">
        <v>172</v>
      </c>
      <c r="C467" s="38" t="s">
        <v>173</v>
      </c>
      <c r="D467" s="15">
        <v>49.0</v>
      </c>
      <c r="E467" s="10">
        <f t="shared" si="2"/>
        <v>2450</v>
      </c>
      <c r="F467" s="10" t="str">
        <f t="shared" si="3"/>
        <v>49 completed tickets</v>
      </c>
    </row>
    <row r="468" hidden="1">
      <c r="A468" s="6" t="s">
        <v>57</v>
      </c>
      <c r="B468" s="7" t="s">
        <v>174</v>
      </c>
      <c r="C468" s="38" t="s">
        <v>175</v>
      </c>
      <c r="D468" s="15">
        <v>26.0</v>
      </c>
      <c r="E468" s="10">
        <f t="shared" si="2"/>
        <v>1300</v>
      </c>
      <c r="F468" s="10" t="str">
        <f t="shared" si="3"/>
        <v>26 completed tickets</v>
      </c>
    </row>
    <row r="469" hidden="1">
      <c r="A469" s="6" t="s">
        <v>57</v>
      </c>
      <c r="B469" s="7" t="s">
        <v>176</v>
      </c>
      <c r="C469" s="38" t="s">
        <v>130</v>
      </c>
      <c r="D469" s="15">
        <v>45.0</v>
      </c>
      <c r="E469" s="10">
        <f t="shared" si="2"/>
        <v>2250</v>
      </c>
      <c r="F469" s="10" t="str">
        <f t="shared" si="3"/>
        <v>45 completed tickets</v>
      </c>
    </row>
    <row r="470" hidden="1">
      <c r="A470" s="6" t="s">
        <v>57</v>
      </c>
      <c r="B470" s="7" t="s">
        <v>252</v>
      </c>
      <c r="C470" s="38" t="s">
        <v>139</v>
      </c>
      <c r="D470" s="15">
        <v>58.0</v>
      </c>
      <c r="E470" s="10">
        <f t="shared" si="2"/>
        <v>2900</v>
      </c>
      <c r="F470" s="10" t="str">
        <f t="shared" si="3"/>
        <v>58 completed tickets</v>
      </c>
    </row>
    <row r="471" hidden="1">
      <c r="A471" s="6" t="s">
        <v>57</v>
      </c>
      <c r="B471" s="7" t="s">
        <v>177</v>
      </c>
      <c r="C471" s="38" t="s">
        <v>144</v>
      </c>
      <c r="D471" s="15">
        <v>68.0</v>
      </c>
      <c r="E471" s="10">
        <f t="shared" si="2"/>
        <v>3400</v>
      </c>
      <c r="F471" s="10" t="str">
        <f t="shared" si="3"/>
        <v>68 completed tickets</v>
      </c>
    </row>
    <row r="472" hidden="1">
      <c r="A472" s="6" t="s">
        <v>57</v>
      </c>
      <c r="B472" s="7" t="s">
        <v>270</v>
      </c>
      <c r="C472" s="38" t="s">
        <v>126</v>
      </c>
      <c r="D472" s="15">
        <v>24.0</v>
      </c>
      <c r="E472" s="10">
        <f t="shared" si="2"/>
        <v>1200</v>
      </c>
      <c r="F472" s="10" t="str">
        <f t="shared" si="3"/>
        <v>24 completed tickets</v>
      </c>
    </row>
    <row r="473" hidden="1">
      <c r="A473" s="6" t="s">
        <v>57</v>
      </c>
      <c r="B473" s="7" t="s">
        <v>178</v>
      </c>
      <c r="C473" s="38" t="s">
        <v>179</v>
      </c>
      <c r="D473" s="15">
        <v>24.0</v>
      </c>
      <c r="E473" s="10">
        <f t="shared" si="2"/>
        <v>1200</v>
      </c>
      <c r="F473" s="10" t="str">
        <f t="shared" si="3"/>
        <v>24 completed tickets</v>
      </c>
    </row>
    <row r="474" hidden="1">
      <c r="A474" s="6" t="s">
        <v>57</v>
      </c>
      <c r="B474" s="7" t="s">
        <v>180</v>
      </c>
      <c r="C474" s="38" t="s">
        <v>181</v>
      </c>
      <c r="D474" s="15">
        <v>87.0</v>
      </c>
      <c r="E474" s="10">
        <f t="shared" si="2"/>
        <v>4350</v>
      </c>
      <c r="F474" s="10" t="str">
        <f t="shared" si="3"/>
        <v>87 completed tickets</v>
      </c>
    </row>
    <row r="475" hidden="1">
      <c r="A475" s="6" t="s">
        <v>57</v>
      </c>
      <c r="B475" s="7" t="s">
        <v>182</v>
      </c>
      <c r="C475" s="38" t="s">
        <v>183</v>
      </c>
      <c r="D475" s="15">
        <v>26.0</v>
      </c>
      <c r="E475" s="10">
        <f t="shared" si="2"/>
        <v>1300</v>
      </c>
      <c r="F475" s="10" t="str">
        <f t="shared" si="3"/>
        <v>26 completed tickets</v>
      </c>
    </row>
    <row r="476" hidden="1">
      <c r="A476" s="6" t="s">
        <v>57</v>
      </c>
      <c r="B476" s="7" t="s">
        <v>184</v>
      </c>
      <c r="C476" s="38" t="s">
        <v>185</v>
      </c>
      <c r="D476" s="15">
        <v>29.0</v>
      </c>
      <c r="E476" s="10">
        <f t="shared" si="2"/>
        <v>1450</v>
      </c>
      <c r="F476" s="10" t="str">
        <f t="shared" si="3"/>
        <v>29 completed tickets</v>
      </c>
    </row>
    <row r="477" hidden="1">
      <c r="A477" s="6" t="s">
        <v>57</v>
      </c>
      <c r="B477" s="13" t="s">
        <v>186</v>
      </c>
      <c r="C477" s="38" t="s">
        <v>187</v>
      </c>
      <c r="D477" s="15">
        <v>58.0</v>
      </c>
      <c r="E477" s="10">
        <f t="shared" si="2"/>
        <v>2900</v>
      </c>
      <c r="F477" s="10" t="str">
        <f t="shared" si="3"/>
        <v>58 completed tickets</v>
      </c>
    </row>
    <row r="478" hidden="1">
      <c r="A478" s="6" t="s">
        <v>57</v>
      </c>
      <c r="B478" s="13" t="s">
        <v>188</v>
      </c>
      <c r="C478" s="38" t="s">
        <v>189</v>
      </c>
      <c r="D478" s="15">
        <v>22.0</v>
      </c>
      <c r="E478" s="10">
        <f t="shared" si="2"/>
        <v>1100</v>
      </c>
      <c r="F478" s="10" t="str">
        <f t="shared" si="3"/>
        <v>22 completed tickets</v>
      </c>
    </row>
    <row r="479" hidden="1">
      <c r="A479" s="6" t="s">
        <v>57</v>
      </c>
      <c r="B479" s="7" t="s">
        <v>190</v>
      </c>
      <c r="C479" s="38" t="s">
        <v>191</v>
      </c>
      <c r="D479" s="15">
        <v>14.0</v>
      </c>
      <c r="E479" s="10">
        <f t="shared" si="2"/>
        <v>700</v>
      </c>
      <c r="F479" s="10" t="str">
        <f t="shared" si="3"/>
        <v>14 completed tickets</v>
      </c>
    </row>
    <row r="480" hidden="1">
      <c r="A480" s="6" t="s">
        <v>57</v>
      </c>
      <c r="B480" s="7" t="s">
        <v>192</v>
      </c>
      <c r="C480" s="38" t="s">
        <v>193</v>
      </c>
      <c r="D480" s="15">
        <v>25.0</v>
      </c>
      <c r="E480" s="10">
        <f t="shared" si="2"/>
        <v>1250</v>
      </c>
      <c r="F480" s="10" t="str">
        <f t="shared" si="3"/>
        <v>25 completed tickets</v>
      </c>
    </row>
    <row r="481" hidden="1">
      <c r="A481" s="6" t="s">
        <v>57</v>
      </c>
      <c r="B481" s="7" t="s">
        <v>194</v>
      </c>
      <c r="C481" s="38" t="s">
        <v>195</v>
      </c>
      <c r="D481" s="15">
        <v>26.0</v>
      </c>
      <c r="E481" s="10">
        <f t="shared" si="2"/>
        <v>1300</v>
      </c>
      <c r="F481" s="10" t="str">
        <f t="shared" si="3"/>
        <v>26 completed tickets</v>
      </c>
    </row>
    <row r="482" hidden="1">
      <c r="A482" s="6" t="s">
        <v>57</v>
      </c>
      <c r="B482" s="13" t="s">
        <v>196</v>
      </c>
      <c r="C482" s="38" t="s">
        <v>197</v>
      </c>
      <c r="D482" s="15">
        <v>44.0</v>
      </c>
      <c r="E482" s="10">
        <f t="shared" si="2"/>
        <v>2200</v>
      </c>
      <c r="F482" s="10" t="str">
        <f t="shared" si="3"/>
        <v>44 completed tickets</v>
      </c>
    </row>
    <row r="483" hidden="1">
      <c r="A483" s="6" t="s">
        <v>57</v>
      </c>
      <c r="B483" s="13" t="s">
        <v>198</v>
      </c>
      <c r="C483" s="38" t="s">
        <v>199</v>
      </c>
      <c r="D483" s="15">
        <v>47.0</v>
      </c>
      <c r="E483" s="10">
        <f t="shared" si="2"/>
        <v>2350</v>
      </c>
      <c r="F483" s="10" t="str">
        <f t="shared" si="3"/>
        <v>47 completed tickets</v>
      </c>
    </row>
    <row r="484" hidden="1">
      <c r="A484" s="6" t="s">
        <v>57</v>
      </c>
      <c r="B484" s="13" t="s">
        <v>200</v>
      </c>
      <c r="C484" s="38" t="s">
        <v>201</v>
      </c>
      <c r="D484" s="15">
        <v>20.0</v>
      </c>
      <c r="E484" s="10">
        <f t="shared" si="2"/>
        <v>1000</v>
      </c>
      <c r="F484" s="10" t="str">
        <f t="shared" si="3"/>
        <v>20 completed tickets</v>
      </c>
    </row>
    <row r="485" hidden="1">
      <c r="A485" s="6" t="s">
        <v>57</v>
      </c>
      <c r="B485" s="13" t="s">
        <v>202</v>
      </c>
      <c r="C485" s="38" t="s">
        <v>203</v>
      </c>
      <c r="D485" s="15">
        <v>20.0</v>
      </c>
      <c r="E485" s="10">
        <f t="shared" si="2"/>
        <v>1000</v>
      </c>
      <c r="F485" s="10" t="str">
        <f t="shared" si="3"/>
        <v>20 completed tickets</v>
      </c>
    </row>
    <row r="486" hidden="1">
      <c r="A486" s="6" t="s">
        <v>57</v>
      </c>
      <c r="B486" s="13" t="s">
        <v>253</v>
      </c>
      <c r="C486" s="38" t="s">
        <v>254</v>
      </c>
      <c r="D486" s="15">
        <v>33.0</v>
      </c>
      <c r="E486" s="10">
        <f t="shared" si="2"/>
        <v>1650</v>
      </c>
      <c r="F486" s="10" t="str">
        <f t="shared" si="3"/>
        <v>33 completed tickets</v>
      </c>
    </row>
    <row r="487" hidden="1">
      <c r="A487" s="6" t="s">
        <v>57</v>
      </c>
      <c r="B487" s="13" t="s">
        <v>268</v>
      </c>
      <c r="C487" s="38" t="s">
        <v>285</v>
      </c>
      <c r="D487" s="15">
        <v>6.0</v>
      </c>
      <c r="E487" s="10">
        <f t="shared" si="2"/>
        <v>300</v>
      </c>
      <c r="F487" s="10" t="str">
        <f t="shared" si="3"/>
        <v>6 completed tickets</v>
      </c>
    </row>
    <row r="488" hidden="1">
      <c r="A488" s="6" t="s">
        <v>57</v>
      </c>
      <c r="B488" s="13" t="s">
        <v>256</v>
      </c>
      <c r="C488" s="38" t="s">
        <v>257</v>
      </c>
      <c r="D488" s="15">
        <v>6.0</v>
      </c>
      <c r="E488" s="10">
        <f t="shared" si="2"/>
        <v>300</v>
      </c>
      <c r="F488" s="10" t="str">
        <f t="shared" si="3"/>
        <v>6 completed tickets</v>
      </c>
    </row>
    <row r="489" hidden="1">
      <c r="A489" s="6" t="s">
        <v>57</v>
      </c>
      <c r="B489" s="13" t="s">
        <v>258</v>
      </c>
      <c r="C489" s="38" t="s">
        <v>259</v>
      </c>
      <c r="D489" s="15">
        <v>2.0</v>
      </c>
      <c r="E489" s="10">
        <f t="shared" si="2"/>
        <v>100</v>
      </c>
      <c r="F489" s="10" t="str">
        <f t="shared" si="3"/>
        <v>2 completed tickets</v>
      </c>
    </row>
    <row r="490" hidden="1">
      <c r="A490" s="6" t="s">
        <v>57</v>
      </c>
      <c r="B490" s="13" t="s">
        <v>288</v>
      </c>
      <c r="C490" s="38" t="s">
        <v>289</v>
      </c>
      <c r="D490" s="15">
        <v>4.0</v>
      </c>
      <c r="E490" s="10">
        <f t="shared" si="2"/>
        <v>200</v>
      </c>
      <c r="F490" s="10" t="str">
        <f t="shared" si="3"/>
        <v>4 completed tickets</v>
      </c>
    </row>
    <row r="491" hidden="1">
      <c r="A491" s="6" t="s">
        <v>57</v>
      </c>
      <c r="B491" s="13" t="s">
        <v>262</v>
      </c>
      <c r="C491" s="38" t="s">
        <v>290</v>
      </c>
      <c r="D491" s="15">
        <v>4.0</v>
      </c>
      <c r="E491" s="10">
        <f t="shared" si="2"/>
        <v>200</v>
      </c>
      <c r="F491" s="10" t="str">
        <f t="shared" si="3"/>
        <v>4 completed tickets</v>
      </c>
    </row>
    <row r="492" hidden="1">
      <c r="A492" s="6" t="s">
        <v>57</v>
      </c>
      <c r="B492" s="13" t="s">
        <v>250</v>
      </c>
      <c r="C492" s="38" t="s">
        <v>137</v>
      </c>
      <c r="D492" s="15">
        <v>10.0</v>
      </c>
      <c r="E492" s="10">
        <f t="shared" si="2"/>
        <v>500</v>
      </c>
      <c r="F492" s="10" t="str">
        <f t="shared" si="3"/>
        <v>10 completed tickets</v>
      </c>
    </row>
    <row r="493" hidden="1">
      <c r="A493" s="6" t="s">
        <v>57</v>
      </c>
      <c r="B493" s="13" t="s">
        <v>260</v>
      </c>
      <c r="C493" s="38" t="s">
        <v>261</v>
      </c>
      <c r="D493" s="15">
        <v>13.0</v>
      </c>
      <c r="E493" s="10">
        <f t="shared" si="2"/>
        <v>650</v>
      </c>
      <c r="F493" s="10" t="str">
        <f t="shared" si="3"/>
        <v>13 completed tickets</v>
      </c>
    </row>
    <row r="494" hidden="1">
      <c r="A494" s="6" t="s">
        <v>57</v>
      </c>
      <c r="B494" s="13" t="s">
        <v>236</v>
      </c>
      <c r="C494" s="38" t="s">
        <v>251</v>
      </c>
      <c r="D494" s="15">
        <v>9.0</v>
      </c>
      <c r="E494" s="10">
        <f t="shared" si="2"/>
        <v>450</v>
      </c>
      <c r="F494" s="10" t="str">
        <f t="shared" si="3"/>
        <v>9 completed tickets</v>
      </c>
    </row>
    <row r="495" hidden="1">
      <c r="A495" s="6" t="s">
        <v>57</v>
      </c>
      <c r="B495" s="13" t="s">
        <v>212</v>
      </c>
      <c r="C495" s="38" t="s">
        <v>213</v>
      </c>
      <c r="D495" s="15">
        <v>18.0</v>
      </c>
      <c r="E495" s="10">
        <f t="shared" si="2"/>
        <v>900</v>
      </c>
      <c r="F495" s="10" t="str">
        <f t="shared" si="3"/>
        <v>18 completed tickets</v>
      </c>
    </row>
    <row r="496" hidden="1">
      <c r="A496" s="6" t="s">
        <v>57</v>
      </c>
      <c r="B496" s="13" t="s">
        <v>281</v>
      </c>
      <c r="C496" s="38" t="s">
        <v>282</v>
      </c>
      <c r="D496" s="15">
        <v>2.0</v>
      </c>
      <c r="E496" s="10">
        <f t="shared" si="2"/>
        <v>100</v>
      </c>
      <c r="F496" s="10" t="str">
        <f t="shared" si="3"/>
        <v>2 completed tickets</v>
      </c>
    </row>
    <row r="497" hidden="1">
      <c r="A497" s="6" t="s">
        <v>57</v>
      </c>
      <c r="B497" s="13" t="s">
        <v>277</v>
      </c>
      <c r="C497" s="38" t="s">
        <v>278</v>
      </c>
      <c r="D497" s="15">
        <v>2.0</v>
      </c>
      <c r="E497" s="10">
        <f t="shared" si="2"/>
        <v>100</v>
      </c>
      <c r="F497" s="10" t="str">
        <f t="shared" si="3"/>
        <v>2 completed tickets</v>
      </c>
    </row>
    <row r="498" hidden="1">
      <c r="A498" s="6" t="s">
        <v>57</v>
      </c>
      <c r="B498" s="13" t="s">
        <v>283</v>
      </c>
      <c r="C498" s="38" t="s">
        <v>284</v>
      </c>
      <c r="D498" s="15">
        <v>4.0</v>
      </c>
      <c r="E498" s="10">
        <f t="shared" si="2"/>
        <v>200</v>
      </c>
      <c r="F498" s="10" t="str">
        <f t="shared" si="3"/>
        <v>4 completed tickets</v>
      </c>
    </row>
    <row r="499" hidden="1">
      <c r="A499" s="6" t="s">
        <v>57</v>
      </c>
      <c r="B499" s="13" t="s">
        <v>291</v>
      </c>
      <c r="C499" s="38" t="s">
        <v>292</v>
      </c>
      <c r="D499" s="15">
        <v>2.0</v>
      </c>
      <c r="E499" s="10">
        <f t="shared" si="2"/>
        <v>100</v>
      </c>
      <c r="F499" s="10" t="str">
        <f t="shared" si="3"/>
        <v>2 completed tickets</v>
      </c>
    </row>
    <row r="500" hidden="1">
      <c r="A500" s="6" t="s">
        <v>59</v>
      </c>
      <c r="B500" s="7" t="s">
        <v>160</v>
      </c>
      <c r="C500" s="38" t="s">
        <v>140</v>
      </c>
      <c r="D500" s="15">
        <v>73.0</v>
      </c>
      <c r="E500" s="10">
        <f t="shared" si="2"/>
        <v>3650</v>
      </c>
      <c r="F500" s="10" t="str">
        <f t="shared" si="3"/>
        <v>73 completed tickets</v>
      </c>
    </row>
    <row r="501" hidden="1">
      <c r="A501" s="6" t="s">
        <v>59</v>
      </c>
      <c r="B501" s="7" t="s">
        <v>161</v>
      </c>
      <c r="C501" s="38" t="s">
        <v>152</v>
      </c>
      <c r="D501" s="15">
        <v>46.0</v>
      </c>
      <c r="E501" s="10">
        <f t="shared" si="2"/>
        <v>2300</v>
      </c>
      <c r="F501" s="10" t="str">
        <f t="shared" si="3"/>
        <v>46 completed tickets</v>
      </c>
    </row>
    <row r="502" hidden="1">
      <c r="A502" s="6" t="s">
        <v>59</v>
      </c>
      <c r="B502" s="7" t="s">
        <v>162</v>
      </c>
      <c r="C502" s="38" t="s">
        <v>163</v>
      </c>
      <c r="D502" s="15">
        <v>59.0</v>
      </c>
      <c r="E502" s="10">
        <f t="shared" si="2"/>
        <v>2950</v>
      </c>
      <c r="F502" s="10" t="str">
        <f t="shared" si="3"/>
        <v>59 completed tickets</v>
      </c>
    </row>
    <row r="503" hidden="1">
      <c r="A503" s="6" t="s">
        <v>59</v>
      </c>
      <c r="B503" s="7" t="s">
        <v>164</v>
      </c>
      <c r="C503" s="38" t="s">
        <v>158</v>
      </c>
      <c r="D503" s="15">
        <v>54.0</v>
      </c>
      <c r="E503" s="10">
        <f t="shared" si="2"/>
        <v>2700</v>
      </c>
      <c r="F503" s="10" t="str">
        <f t="shared" si="3"/>
        <v>54 completed tickets</v>
      </c>
    </row>
    <row r="504" hidden="1">
      <c r="A504" s="6" t="s">
        <v>59</v>
      </c>
      <c r="B504" s="7" t="s">
        <v>165</v>
      </c>
      <c r="C504" s="38" t="s">
        <v>166</v>
      </c>
      <c r="D504" s="15">
        <v>82.0</v>
      </c>
      <c r="E504" s="10">
        <f t="shared" si="2"/>
        <v>4100</v>
      </c>
      <c r="F504" s="10" t="str">
        <f t="shared" si="3"/>
        <v>82 completed tickets</v>
      </c>
    </row>
    <row r="505" hidden="1">
      <c r="A505" s="6" t="s">
        <v>59</v>
      </c>
      <c r="B505" s="7" t="s">
        <v>167</v>
      </c>
      <c r="C505" s="38" t="s">
        <v>157</v>
      </c>
      <c r="D505" s="15">
        <v>30.0</v>
      </c>
      <c r="E505" s="10">
        <f t="shared" si="2"/>
        <v>1500</v>
      </c>
      <c r="F505" s="10" t="str">
        <f t="shared" si="3"/>
        <v>30 completed tickets</v>
      </c>
    </row>
    <row r="506" hidden="1">
      <c r="A506" s="6" t="s">
        <v>59</v>
      </c>
      <c r="B506" s="7" t="s">
        <v>168</v>
      </c>
      <c r="C506" s="38" t="s">
        <v>169</v>
      </c>
      <c r="D506" s="15">
        <v>41.0</v>
      </c>
      <c r="E506" s="10">
        <f t="shared" si="2"/>
        <v>2050</v>
      </c>
      <c r="F506" s="10" t="str">
        <f t="shared" si="3"/>
        <v>41 completed tickets</v>
      </c>
    </row>
    <row r="507" hidden="1">
      <c r="A507" s="6" t="s">
        <v>59</v>
      </c>
      <c r="B507" s="7" t="s">
        <v>170</v>
      </c>
      <c r="C507" s="38" t="s">
        <v>171</v>
      </c>
      <c r="D507" s="15">
        <v>12.0</v>
      </c>
      <c r="E507" s="10">
        <f t="shared" si="2"/>
        <v>600</v>
      </c>
      <c r="F507" s="10" t="str">
        <f t="shared" si="3"/>
        <v>12 completed tickets</v>
      </c>
    </row>
    <row r="508" hidden="1">
      <c r="A508" s="6" t="s">
        <v>59</v>
      </c>
      <c r="B508" s="7" t="s">
        <v>172</v>
      </c>
      <c r="C508" s="38" t="s">
        <v>173</v>
      </c>
      <c r="D508" s="15">
        <v>15.0</v>
      </c>
      <c r="E508" s="10">
        <f t="shared" si="2"/>
        <v>750</v>
      </c>
      <c r="F508" s="10" t="str">
        <f t="shared" si="3"/>
        <v>15 completed tickets</v>
      </c>
    </row>
    <row r="509" hidden="1">
      <c r="A509" s="6" t="s">
        <v>59</v>
      </c>
      <c r="B509" s="7" t="s">
        <v>174</v>
      </c>
      <c r="C509" s="38" t="s">
        <v>175</v>
      </c>
      <c r="D509" s="15">
        <v>23.0</v>
      </c>
      <c r="E509" s="10">
        <f t="shared" si="2"/>
        <v>1150</v>
      </c>
      <c r="F509" s="10" t="str">
        <f t="shared" si="3"/>
        <v>23 completed tickets</v>
      </c>
    </row>
    <row r="510" hidden="1">
      <c r="A510" s="6" t="s">
        <v>59</v>
      </c>
      <c r="B510" s="7" t="s">
        <v>176</v>
      </c>
      <c r="C510" s="38" t="s">
        <v>130</v>
      </c>
      <c r="D510" s="15">
        <v>27.0</v>
      </c>
      <c r="E510" s="10">
        <f t="shared" si="2"/>
        <v>1350</v>
      </c>
      <c r="F510" s="10" t="str">
        <f t="shared" si="3"/>
        <v>27 completed tickets</v>
      </c>
    </row>
    <row r="511" hidden="1">
      <c r="A511" s="6" t="s">
        <v>59</v>
      </c>
      <c r="B511" s="7" t="s">
        <v>252</v>
      </c>
      <c r="C511" s="38" t="s">
        <v>139</v>
      </c>
      <c r="D511" s="15">
        <v>50.0</v>
      </c>
      <c r="E511" s="10">
        <f t="shared" si="2"/>
        <v>2500</v>
      </c>
      <c r="F511" s="10" t="str">
        <f t="shared" si="3"/>
        <v>50 completed tickets</v>
      </c>
    </row>
    <row r="512" hidden="1">
      <c r="A512" s="6" t="s">
        <v>59</v>
      </c>
      <c r="B512" s="7" t="s">
        <v>177</v>
      </c>
      <c r="C512" s="38" t="s">
        <v>144</v>
      </c>
      <c r="D512" s="15">
        <v>11.0</v>
      </c>
      <c r="E512" s="10">
        <f t="shared" si="2"/>
        <v>550</v>
      </c>
      <c r="F512" s="10" t="str">
        <f t="shared" si="3"/>
        <v>11 completed tickets</v>
      </c>
    </row>
    <row r="513" hidden="1">
      <c r="A513" s="6" t="s">
        <v>59</v>
      </c>
      <c r="B513" s="7" t="s">
        <v>270</v>
      </c>
      <c r="C513" s="38" t="s">
        <v>126</v>
      </c>
      <c r="D513" s="15">
        <v>19.0</v>
      </c>
      <c r="E513" s="10">
        <f t="shared" si="2"/>
        <v>950</v>
      </c>
      <c r="F513" s="10" t="str">
        <f t="shared" si="3"/>
        <v>19 completed tickets</v>
      </c>
    </row>
    <row r="514" hidden="1">
      <c r="A514" s="6" t="s">
        <v>59</v>
      </c>
      <c r="B514" s="7" t="s">
        <v>178</v>
      </c>
      <c r="C514" s="38" t="s">
        <v>179</v>
      </c>
      <c r="D514" s="15">
        <v>38.0</v>
      </c>
      <c r="E514" s="10">
        <f t="shared" si="2"/>
        <v>1900</v>
      </c>
      <c r="F514" s="10" t="str">
        <f t="shared" si="3"/>
        <v>38 completed tickets</v>
      </c>
    </row>
    <row r="515" hidden="1">
      <c r="A515" s="6" t="s">
        <v>59</v>
      </c>
      <c r="B515" s="7" t="s">
        <v>180</v>
      </c>
      <c r="C515" s="38" t="s">
        <v>181</v>
      </c>
      <c r="D515" s="15">
        <v>117.0</v>
      </c>
      <c r="E515" s="10">
        <f t="shared" si="2"/>
        <v>5850</v>
      </c>
      <c r="F515" s="10" t="str">
        <f t="shared" si="3"/>
        <v>117 completed tickets</v>
      </c>
    </row>
    <row r="516" hidden="1">
      <c r="A516" s="6" t="s">
        <v>59</v>
      </c>
      <c r="B516" s="7" t="s">
        <v>182</v>
      </c>
      <c r="C516" s="38" t="s">
        <v>183</v>
      </c>
      <c r="D516" s="15">
        <v>20.0</v>
      </c>
      <c r="E516" s="10">
        <f t="shared" si="2"/>
        <v>1000</v>
      </c>
      <c r="F516" s="10" t="str">
        <f t="shared" si="3"/>
        <v>20 completed tickets</v>
      </c>
    </row>
    <row r="517" hidden="1">
      <c r="A517" s="6" t="s">
        <v>59</v>
      </c>
      <c r="B517" s="7" t="s">
        <v>184</v>
      </c>
      <c r="C517" s="38" t="s">
        <v>185</v>
      </c>
      <c r="D517" s="15">
        <v>26.0</v>
      </c>
      <c r="E517" s="10">
        <f t="shared" si="2"/>
        <v>1300</v>
      </c>
      <c r="F517" s="10" t="str">
        <f t="shared" si="3"/>
        <v>26 completed tickets</v>
      </c>
    </row>
    <row r="518" hidden="1">
      <c r="A518" s="6" t="s">
        <v>59</v>
      </c>
      <c r="B518" s="13" t="s">
        <v>186</v>
      </c>
      <c r="C518" s="38" t="s">
        <v>187</v>
      </c>
      <c r="D518" s="15">
        <v>47.0</v>
      </c>
      <c r="E518" s="10">
        <f t="shared" si="2"/>
        <v>2350</v>
      </c>
      <c r="F518" s="10" t="str">
        <f t="shared" si="3"/>
        <v>47 completed tickets</v>
      </c>
    </row>
    <row r="519" hidden="1">
      <c r="A519" s="6" t="s">
        <v>59</v>
      </c>
      <c r="B519" s="13" t="s">
        <v>188</v>
      </c>
      <c r="C519" s="38" t="s">
        <v>189</v>
      </c>
      <c r="D519" s="15">
        <v>23.0</v>
      </c>
      <c r="E519" s="10">
        <f t="shared" si="2"/>
        <v>1150</v>
      </c>
      <c r="F519" s="10" t="str">
        <f t="shared" si="3"/>
        <v>23 completed tickets</v>
      </c>
    </row>
    <row r="520" hidden="1">
      <c r="A520" s="6" t="s">
        <v>59</v>
      </c>
      <c r="B520" s="7" t="s">
        <v>190</v>
      </c>
      <c r="C520" s="38" t="s">
        <v>191</v>
      </c>
      <c r="D520" s="15">
        <v>40.0</v>
      </c>
      <c r="E520" s="10">
        <f t="shared" si="2"/>
        <v>2000</v>
      </c>
      <c r="F520" s="10" t="str">
        <f t="shared" si="3"/>
        <v>40 completed tickets</v>
      </c>
    </row>
    <row r="521" hidden="1">
      <c r="A521" s="6" t="s">
        <v>59</v>
      </c>
      <c r="B521" s="7" t="s">
        <v>192</v>
      </c>
      <c r="C521" s="38" t="s">
        <v>193</v>
      </c>
      <c r="D521" s="15">
        <v>20.0</v>
      </c>
      <c r="E521" s="10">
        <f t="shared" si="2"/>
        <v>1000</v>
      </c>
      <c r="F521" s="10" t="str">
        <f t="shared" si="3"/>
        <v>20 completed tickets</v>
      </c>
    </row>
    <row r="522" hidden="1">
      <c r="A522" s="6" t="s">
        <v>59</v>
      </c>
      <c r="B522" s="7" t="s">
        <v>194</v>
      </c>
      <c r="C522" s="38" t="s">
        <v>195</v>
      </c>
      <c r="D522" s="15">
        <v>18.0</v>
      </c>
      <c r="E522" s="10">
        <f t="shared" si="2"/>
        <v>900</v>
      </c>
      <c r="F522" s="10" t="str">
        <f t="shared" si="3"/>
        <v>18 completed tickets</v>
      </c>
    </row>
    <row r="523" hidden="1">
      <c r="A523" s="6" t="s">
        <v>59</v>
      </c>
      <c r="B523" s="13" t="s">
        <v>196</v>
      </c>
      <c r="C523" s="38" t="s">
        <v>197</v>
      </c>
      <c r="D523" s="15">
        <v>23.0</v>
      </c>
      <c r="E523" s="10">
        <f t="shared" si="2"/>
        <v>1150</v>
      </c>
      <c r="F523" s="10" t="str">
        <f t="shared" si="3"/>
        <v>23 completed tickets</v>
      </c>
    </row>
    <row r="524" hidden="1">
      <c r="A524" s="6" t="s">
        <v>59</v>
      </c>
      <c r="B524" s="13" t="s">
        <v>198</v>
      </c>
      <c r="C524" s="38" t="s">
        <v>199</v>
      </c>
      <c r="D524" s="15">
        <v>43.0</v>
      </c>
      <c r="E524" s="10">
        <f t="shared" si="2"/>
        <v>2150</v>
      </c>
      <c r="F524" s="10" t="str">
        <f t="shared" si="3"/>
        <v>43 completed tickets</v>
      </c>
    </row>
    <row r="525" hidden="1">
      <c r="A525" s="6" t="s">
        <v>59</v>
      </c>
      <c r="B525" s="13" t="s">
        <v>200</v>
      </c>
      <c r="C525" s="38" t="s">
        <v>201</v>
      </c>
      <c r="D525" s="15">
        <v>26.0</v>
      </c>
      <c r="E525" s="10">
        <f t="shared" si="2"/>
        <v>1300</v>
      </c>
      <c r="F525" s="10" t="str">
        <f t="shared" si="3"/>
        <v>26 completed tickets</v>
      </c>
    </row>
    <row r="526" hidden="1">
      <c r="A526" s="6" t="s">
        <v>59</v>
      </c>
      <c r="B526" s="13" t="s">
        <v>202</v>
      </c>
      <c r="C526" s="38" t="s">
        <v>203</v>
      </c>
      <c r="D526" s="15">
        <v>20.0</v>
      </c>
      <c r="E526" s="10">
        <f t="shared" si="2"/>
        <v>1000</v>
      </c>
      <c r="F526" s="10" t="str">
        <f t="shared" si="3"/>
        <v>20 completed tickets</v>
      </c>
    </row>
    <row r="527" hidden="1">
      <c r="A527" s="6" t="s">
        <v>59</v>
      </c>
      <c r="B527" s="13" t="s">
        <v>253</v>
      </c>
      <c r="C527" s="38" t="s">
        <v>254</v>
      </c>
      <c r="D527" s="15">
        <v>21.0</v>
      </c>
      <c r="E527" s="10">
        <f t="shared" si="2"/>
        <v>1050</v>
      </c>
      <c r="F527" s="10" t="str">
        <f t="shared" si="3"/>
        <v>21 completed tickets</v>
      </c>
    </row>
    <row r="528" hidden="1">
      <c r="A528" s="6" t="s">
        <v>59</v>
      </c>
      <c r="B528" s="13" t="s">
        <v>268</v>
      </c>
      <c r="C528" s="38" t="s">
        <v>285</v>
      </c>
      <c r="D528" s="15">
        <v>2.0</v>
      </c>
      <c r="E528" s="10">
        <f t="shared" si="2"/>
        <v>100</v>
      </c>
      <c r="F528" s="10" t="str">
        <f t="shared" si="3"/>
        <v>2 completed tickets</v>
      </c>
    </row>
    <row r="529" hidden="1">
      <c r="A529" s="6" t="s">
        <v>59</v>
      </c>
      <c r="B529" s="13" t="s">
        <v>256</v>
      </c>
      <c r="C529" s="38" t="s">
        <v>257</v>
      </c>
      <c r="D529" s="15">
        <v>16.0</v>
      </c>
      <c r="E529" s="10">
        <f t="shared" si="2"/>
        <v>800</v>
      </c>
      <c r="F529" s="10" t="str">
        <f t="shared" si="3"/>
        <v>16 completed tickets</v>
      </c>
    </row>
    <row r="530" hidden="1">
      <c r="A530" s="6" t="s">
        <v>59</v>
      </c>
      <c r="B530" s="13" t="s">
        <v>258</v>
      </c>
      <c r="C530" s="38" t="s">
        <v>259</v>
      </c>
      <c r="D530" s="15">
        <v>16.0</v>
      </c>
      <c r="E530" s="10">
        <f t="shared" si="2"/>
        <v>800</v>
      </c>
      <c r="F530" s="10" t="str">
        <f t="shared" si="3"/>
        <v>16 completed tickets</v>
      </c>
    </row>
    <row r="531" hidden="1">
      <c r="A531" s="6" t="s">
        <v>59</v>
      </c>
      <c r="B531" s="13" t="s">
        <v>288</v>
      </c>
      <c r="C531" s="38" t="s">
        <v>289</v>
      </c>
      <c r="D531" s="15">
        <v>16.0</v>
      </c>
      <c r="E531" s="10">
        <f t="shared" si="2"/>
        <v>800</v>
      </c>
      <c r="F531" s="10" t="str">
        <f t="shared" si="3"/>
        <v>16 completed tickets</v>
      </c>
    </row>
    <row r="532" hidden="1">
      <c r="A532" s="6" t="s">
        <v>59</v>
      </c>
      <c r="B532" s="13" t="s">
        <v>262</v>
      </c>
      <c r="C532" s="38" t="s">
        <v>290</v>
      </c>
      <c r="D532" s="15">
        <v>6.0</v>
      </c>
      <c r="E532" s="10">
        <f t="shared" si="2"/>
        <v>300</v>
      </c>
      <c r="F532" s="10" t="str">
        <f t="shared" si="3"/>
        <v>6 completed tickets</v>
      </c>
    </row>
    <row r="533" hidden="1">
      <c r="A533" s="6" t="s">
        <v>59</v>
      </c>
      <c r="B533" s="13" t="s">
        <v>250</v>
      </c>
      <c r="C533" s="38" t="s">
        <v>137</v>
      </c>
      <c r="D533" s="15">
        <v>6.0</v>
      </c>
      <c r="E533" s="10">
        <f t="shared" si="2"/>
        <v>300</v>
      </c>
      <c r="F533" s="10" t="str">
        <f t="shared" si="3"/>
        <v>6 completed tickets</v>
      </c>
    </row>
    <row r="534" hidden="1">
      <c r="A534" s="6" t="s">
        <v>59</v>
      </c>
      <c r="B534" s="13" t="s">
        <v>260</v>
      </c>
      <c r="C534" s="38" t="s">
        <v>261</v>
      </c>
      <c r="D534" s="15">
        <v>12.0</v>
      </c>
      <c r="E534" s="10">
        <f t="shared" si="2"/>
        <v>600</v>
      </c>
      <c r="F534" s="10" t="str">
        <f t="shared" si="3"/>
        <v>12 completed tickets</v>
      </c>
    </row>
    <row r="535" hidden="1">
      <c r="A535" s="6" t="s">
        <v>59</v>
      </c>
      <c r="B535" s="13" t="s">
        <v>236</v>
      </c>
      <c r="C535" s="38" t="s">
        <v>251</v>
      </c>
      <c r="D535" s="15">
        <v>2.0</v>
      </c>
      <c r="E535" s="10">
        <f t="shared" si="2"/>
        <v>100</v>
      </c>
      <c r="F535" s="10" t="str">
        <f t="shared" si="3"/>
        <v>2 completed tickets</v>
      </c>
    </row>
    <row r="536" hidden="1">
      <c r="A536" s="6" t="s">
        <v>59</v>
      </c>
      <c r="B536" s="13" t="s">
        <v>212</v>
      </c>
      <c r="C536" s="38" t="s">
        <v>213</v>
      </c>
      <c r="D536" s="15">
        <v>26.0</v>
      </c>
      <c r="E536" s="10">
        <f t="shared" si="2"/>
        <v>1300</v>
      </c>
      <c r="F536" s="10" t="str">
        <f t="shared" si="3"/>
        <v>26 completed tickets</v>
      </c>
    </row>
    <row r="537" hidden="1">
      <c r="A537" s="6" t="s">
        <v>59</v>
      </c>
      <c r="B537" s="13" t="s">
        <v>281</v>
      </c>
      <c r="C537" s="38" t="s">
        <v>282</v>
      </c>
      <c r="D537" s="15">
        <v>2.0</v>
      </c>
      <c r="E537" s="10">
        <f t="shared" si="2"/>
        <v>100</v>
      </c>
      <c r="F537" s="10" t="str">
        <f t="shared" si="3"/>
        <v>2 completed tickets</v>
      </c>
    </row>
    <row r="538" hidden="1">
      <c r="A538" s="6" t="s">
        <v>59</v>
      </c>
      <c r="B538" s="13" t="s">
        <v>266</v>
      </c>
      <c r="C538" s="38" t="s">
        <v>267</v>
      </c>
      <c r="D538" s="15">
        <v>2.0</v>
      </c>
      <c r="E538" s="10">
        <f t="shared" si="2"/>
        <v>100</v>
      </c>
      <c r="F538" s="10" t="str">
        <f t="shared" si="3"/>
        <v>2 completed tickets</v>
      </c>
    </row>
    <row r="539" hidden="1">
      <c r="A539" s="6" t="s">
        <v>59</v>
      </c>
      <c r="B539" s="13" t="s">
        <v>277</v>
      </c>
      <c r="C539" s="38" t="s">
        <v>278</v>
      </c>
      <c r="D539" s="15">
        <v>2.0</v>
      </c>
      <c r="E539" s="10">
        <f t="shared" si="2"/>
        <v>100</v>
      </c>
      <c r="F539" s="10" t="str">
        <f t="shared" si="3"/>
        <v>2 completed tickets</v>
      </c>
    </row>
    <row r="540" hidden="1">
      <c r="A540" s="6" t="s">
        <v>59</v>
      </c>
      <c r="B540" s="13" t="s">
        <v>283</v>
      </c>
      <c r="C540" s="38" t="s">
        <v>284</v>
      </c>
      <c r="D540" s="15">
        <v>2.0</v>
      </c>
      <c r="E540" s="10">
        <f t="shared" si="2"/>
        <v>100</v>
      </c>
      <c r="F540" s="10" t="str">
        <f t="shared" si="3"/>
        <v>2 completed tickets</v>
      </c>
    </row>
    <row r="541" hidden="1">
      <c r="A541" s="6" t="s">
        <v>59</v>
      </c>
      <c r="B541" s="13" t="s">
        <v>291</v>
      </c>
      <c r="C541" s="38" t="s">
        <v>292</v>
      </c>
      <c r="D541" s="15">
        <v>2.0</v>
      </c>
      <c r="E541" s="10">
        <f t="shared" si="2"/>
        <v>100</v>
      </c>
      <c r="F541" s="10" t="str">
        <f t="shared" si="3"/>
        <v>2 completed tickets</v>
      </c>
    </row>
    <row r="542" hidden="1">
      <c r="A542" s="6" t="s">
        <v>59</v>
      </c>
      <c r="B542" s="13" t="s">
        <v>279</v>
      </c>
      <c r="C542" s="38" t="s">
        <v>280</v>
      </c>
      <c r="D542" s="15">
        <v>2.0</v>
      </c>
      <c r="E542" s="10">
        <f t="shared" si="2"/>
        <v>100</v>
      </c>
      <c r="F542" s="10" t="str">
        <f t="shared" si="3"/>
        <v>2 completed tickets</v>
      </c>
    </row>
    <row r="543" hidden="1">
      <c r="A543" s="6" t="s">
        <v>59</v>
      </c>
      <c r="B543" s="13" t="s">
        <v>293</v>
      </c>
      <c r="C543" s="38" t="s">
        <v>294</v>
      </c>
      <c r="D543" s="15">
        <v>6.0</v>
      </c>
      <c r="E543" s="10">
        <f t="shared" si="2"/>
        <v>300</v>
      </c>
      <c r="F543" s="10" t="str">
        <f t="shared" si="3"/>
        <v>6 completed tickets</v>
      </c>
    </row>
    <row r="544" hidden="1">
      <c r="A544" s="6" t="s">
        <v>62</v>
      </c>
      <c r="B544" s="7" t="s">
        <v>160</v>
      </c>
      <c r="C544" s="38" t="s">
        <v>140</v>
      </c>
      <c r="D544" s="15">
        <v>96.0</v>
      </c>
      <c r="E544" s="10">
        <f t="shared" si="2"/>
        <v>4800</v>
      </c>
      <c r="F544" s="10" t="str">
        <f t="shared" si="3"/>
        <v>96 completed tickets</v>
      </c>
    </row>
    <row r="545" hidden="1">
      <c r="A545" s="6" t="s">
        <v>62</v>
      </c>
      <c r="B545" s="7" t="s">
        <v>161</v>
      </c>
      <c r="C545" s="38" t="s">
        <v>152</v>
      </c>
      <c r="D545" s="15">
        <v>17.0</v>
      </c>
      <c r="E545" s="10">
        <f t="shared" si="2"/>
        <v>850</v>
      </c>
      <c r="F545" s="10" t="str">
        <f t="shared" si="3"/>
        <v>17 completed tickets</v>
      </c>
    </row>
    <row r="546" hidden="1">
      <c r="A546" s="6" t="s">
        <v>62</v>
      </c>
      <c r="B546" s="7" t="s">
        <v>162</v>
      </c>
      <c r="C546" s="38" t="s">
        <v>163</v>
      </c>
      <c r="D546" s="15">
        <v>39.0</v>
      </c>
      <c r="E546" s="10">
        <f t="shared" si="2"/>
        <v>1950</v>
      </c>
      <c r="F546" s="10" t="str">
        <f t="shared" si="3"/>
        <v>39 completed tickets</v>
      </c>
    </row>
    <row r="547" hidden="1">
      <c r="A547" s="6" t="s">
        <v>62</v>
      </c>
      <c r="B547" s="7" t="s">
        <v>164</v>
      </c>
      <c r="C547" s="38" t="s">
        <v>158</v>
      </c>
      <c r="D547" s="15">
        <v>29.0</v>
      </c>
      <c r="E547" s="10">
        <f t="shared" si="2"/>
        <v>1450</v>
      </c>
      <c r="F547" s="10" t="str">
        <f t="shared" si="3"/>
        <v>29 completed tickets</v>
      </c>
    </row>
    <row r="548" hidden="1">
      <c r="A548" s="6" t="s">
        <v>62</v>
      </c>
      <c r="B548" s="7" t="s">
        <v>165</v>
      </c>
      <c r="C548" s="38" t="s">
        <v>166</v>
      </c>
      <c r="D548" s="15">
        <v>43.0</v>
      </c>
      <c r="E548" s="10">
        <f t="shared" si="2"/>
        <v>2150</v>
      </c>
      <c r="F548" s="10" t="str">
        <f t="shared" si="3"/>
        <v>43 completed tickets</v>
      </c>
    </row>
    <row r="549" hidden="1">
      <c r="A549" s="6" t="s">
        <v>62</v>
      </c>
      <c r="B549" s="7" t="s">
        <v>167</v>
      </c>
      <c r="C549" s="38" t="s">
        <v>157</v>
      </c>
      <c r="D549" s="15">
        <v>48.0</v>
      </c>
      <c r="E549" s="10">
        <f t="shared" si="2"/>
        <v>2400</v>
      </c>
      <c r="F549" s="10" t="str">
        <f t="shared" si="3"/>
        <v>48 completed tickets</v>
      </c>
    </row>
    <row r="550" hidden="1">
      <c r="A550" s="6" t="s">
        <v>62</v>
      </c>
      <c r="B550" s="7" t="s">
        <v>168</v>
      </c>
      <c r="C550" s="38" t="s">
        <v>169</v>
      </c>
      <c r="D550" s="15">
        <v>53.0</v>
      </c>
      <c r="E550" s="10">
        <f t="shared" si="2"/>
        <v>2650</v>
      </c>
      <c r="F550" s="10" t="str">
        <f t="shared" si="3"/>
        <v>53 completed tickets</v>
      </c>
    </row>
    <row r="551" hidden="1">
      <c r="A551" s="6" t="s">
        <v>62</v>
      </c>
      <c r="B551" s="7" t="s">
        <v>170</v>
      </c>
      <c r="C551" s="38" t="s">
        <v>171</v>
      </c>
      <c r="D551" s="15">
        <v>22.0</v>
      </c>
      <c r="E551" s="10">
        <f t="shared" si="2"/>
        <v>1100</v>
      </c>
      <c r="F551" s="10" t="str">
        <f t="shared" si="3"/>
        <v>22 completed tickets</v>
      </c>
    </row>
    <row r="552" hidden="1">
      <c r="A552" s="6" t="s">
        <v>62</v>
      </c>
      <c r="B552" s="7" t="s">
        <v>295</v>
      </c>
      <c r="C552" s="38" t="s">
        <v>296</v>
      </c>
      <c r="D552" s="15">
        <v>36.0</v>
      </c>
      <c r="E552" s="10">
        <f t="shared" si="2"/>
        <v>1800</v>
      </c>
      <c r="F552" s="10" t="str">
        <f t="shared" si="3"/>
        <v>36 completed tickets</v>
      </c>
    </row>
    <row r="553" hidden="1">
      <c r="A553" s="6" t="s">
        <v>62</v>
      </c>
      <c r="B553" s="7" t="s">
        <v>172</v>
      </c>
      <c r="C553" s="38" t="s">
        <v>173</v>
      </c>
      <c r="D553" s="15">
        <v>13.0</v>
      </c>
      <c r="E553" s="10">
        <f t="shared" si="2"/>
        <v>650</v>
      </c>
      <c r="F553" s="10" t="str">
        <f t="shared" si="3"/>
        <v>13 completed tickets</v>
      </c>
    </row>
    <row r="554" hidden="1">
      <c r="A554" s="6" t="s">
        <v>62</v>
      </c>
      <c r="B554" s="7" t="s">
        <v>297</v>
      </c>
      <c r="C554" s="38" t="s">
        <v>153</v>
      </c>
      <c r="D554" s="15">
        <v>14.0</v>
      </c>
      <c r="E554" s="10">
        <f t="shared" si="2"/>
        <v>700</v>
      </c>
      <c r="F554" s="10" t="str">
        <f t="shared" si="3"/>
        <v>14 completed tickets</v>
      </c>
    </row>
    <row r="555" hidden="1">
      <c r="A555" s="6" t="s">
        <v>62</v>
      </c>
      <c r="B555" s="7" t="s">
        <v>174</v>
      </c>
      <c r="C555" s="38" t="s">
        <v>175</v>
      </c>
      <c r="D555" s="15">
        <v>30.0</v>
      </c>
      <c r="E555" s="10">
        <f t="shared" si="2"/>
        <v>1500</v>
      </c>
      <c r="F555" s="10" t="str">
        <f t="shared" si="3"/>
        <v>30 completed tickets</v>
      </c>
    </row>
    <row r="556" hidden="1">
      <c r="A556" s="6" t="s">
        <v>62</v>
      </c>
      <c r="B556" s="7" t="s">
        <v>176</v>
      </c>
      <c r="C556" s="38" t="s">
        <v>130</v>
      </c>
      <c r="D556" s="15">
        <v>17.0</v>
      </c>
      <c r="E556" s="10">
        <f t="shared" si="2"/>
        <v>850</v>
      </c>
      <c r="F556" s="10" t="str">
        <f t="shared" si="3"/>
        <v>17 completed tickets</v>
      </c>
    </row>
    <row r="557" hidden="1">
      <c r="A557" s="6" t="s">
        <v>62</v>
      </c>
      <c r="B557" s="7" t="s">
        <v>252</v>
      </c>
      <c r="C557" s="38" t="s">
        <v>139</v>
      </c>
      <c r="D557" s="15">
        <v>70.0</v>
      </c>
      <c r="E557" s="10">
        <f t="shared" si="2"/>
        <v>3500</v>
      </c>
      <c r="F557" s="10" t="str">
        <f t="shared" si="3"/>
        <v>70 completed tickets</v>
      </c>
    </row>
    <row r="558" hidden="1">
      <c r="A558" s="6" t="s">
        <v>62</v>
      </c>
      <c r="B558" s="7" t="s">
        <v>177</v>
      </c>
      <c r="C558" s="38" t="s">
        <v>144</v>
      </c>
      <c r="D558" s="15">
        <v>18.0</v>
      </c>
      <c r="E558" s="10">
        <f t="shared" si="2"/>
        <v>900</v>
      </c>
      <c r="F558" s="10" t="str">
        <f t="shared" si="3"/>
        <v>18 completed tickets</v>
      </c>
    </row>
    <row r="559" hidden="1">
      <c r="A559" s="6" t="s">
        <v>62</v>
      </c>
      <c r="B559" s="7" t="s">
        <v>270</v>
      </c>
      <c r="C559" s="38" t="s">
        <v>126</v>
      </c>
      <c r="D559" s="15">
        <v>21.0</v>
      </c>
      <c r="E559" s="10">
        <f t="shared" si="2"/>
        <v>1050</v>
      </c>
      <c r="F559" s="10" t="str">
        <f t="shared" si="3"/>
        <v>21 completed tickets</v>
      </c>
    </row>
    <row r="560" hidden="1">
      <c r="A560" s="6" t="s">
        <v>62</v>
      </c>
      <c r="B560" s="7" t="s">
        <v>178</v>
      </c>
      <c r="C560" s="38" t="s">
        <v>179</v>
      </c>
      <c r="D560" s="15">
        <v>30.0</v>
      </c>
      <c r="E560" s="10">
        <f t="shared" si="2"/>
        <v>1500</v>
      </c>
      <c r="F560" s="10" t="str">
        <f t="shared" si="3"/>
        <v>30 completed tickets</v>
      </c>
    </row>
    <row r="561" hidden="1">
      <c r="A561" s="6" t="s">
        <v>62</v>
      </c>
      <c r="B561" s="7" t="s">
        <v>180</v>
      </c>
      <c r="C561" s="38" t="s">
        <v>181</v>
      </c>
      <c r="D561" s="15">
        <v>97.0</v>
      </c>
      <c r="E561" s="10">
        <f t="shared" si="2"/>
        <v>4850</v>
      </c>
      <c r="F561" s="10" t="str">
        <f t="shared" si="3"/>
        <v>97 completed tickets</v>
      </c>
    </row>
    <row r="562" hidden="1">
      <c r="A562" s="6" t="s">
        <v>62</v>
      </c>
      <c r="B562" s="7" t="s">
        <v>182</v>
      </c>
      <c r="C562" s="38" t="s">
        <v>183</v>
      </c>
      <c r="D562" s="15">
        <v>19.0</v>
      </c>
      <c r="E562" s="10">
        <f t="shared" si="2"/>
        <v>950</v>
      </c>
      <c r="F562" s="10" t="str">
        <f t="shared" si="3"/>
        <v>19 completed tickets</v>
      </c>
    </row>
    <row r="563" hidden="1">
      <c r="A563" s="6" t="s">
        <v>62</v>
      </c>
      <c r="B563" s="7" t="s">
        <v>184</v>
      </c>
      <c r="C563" s="38" t="s">
        <v>185</v>
      </c>
      <c r="D563" s="15">
        <v>36.0</v>
      </c>
      <c r="E563" s="10">
        <f t="shared" si="2"/>
        <v>1800</v>
      </c>
      <c r="F563" s="10" t="str">
        <f t="shared" si="3"/>
        <v>36 completed tickets</v>
      </c>
    </row>
    <row r="564" hidden="1">
      <c r="A564" s="6" t="s">
        <v>62</v>
      </c>
      <c r="B564" s="13" t="s">
        <v>186</v>
      </c>
      <c r="C564" s="38" t="s">
        <v>187</v>
      </c>
      <c r="D564" s="15">
        <v>43.0</v>
      </c>
      <c r="E564" s="10">
        <f t="shared" si="2"/>
        <v>2150</v>
      </c>
      <c r="F564" s="10" t="str">
        <f t="shared" si="3"/>
        <v>43 completed tickets</v>
      </c>
    </row>
    <row r="565" hidden="1">
      <c r="A565" s="6" t="s">
        <v>62</v>
      </c>
      <c r="B565" s="13" t="s">
        <v>188</v>
      </c>
      <c r="C565" s="38" t="s">
        <v>189</v>
      </c>
      <c r="D565" s="15">
        <v>21.0</v>
      </c>
      <c r="E565" s="10">
        <f t="shared" si="2"/>
        <v>1050</v>
      </c>
      <c r="F565" s="10" t="str">
        <f t="shared" si="3"/>
        <v>21 completed tickets</v>
      </c>
    </row>
    <row r="566" hidden="1">
      <c r="A566" s="6" t="s">
        <v>62</v>
      </c>
      <c r="B566" s="7" t="s">
        <v>190</v>
      </c>
      <c r="C566" s="38" t="s">
        <v>191</v>
      </c>
      <c r="D566" s="15">
        <v>13.0</v>
      </c>
      <c r="E566" s="10">
        <f t="shared" si="2"/>
        <v>650</v>
      </c>
      <c r="F566" s="10" t="str">
        <f t="shared" si="3"/>
        <v>13 completed tickets</v>
      </c>
    </row>
    <row r="567" hidden="1">
      <c r="A567" s="6" t="s">
        <v>62</v>
      </c>
      <c r="B567" s="7" t="s">
        <v>192</v>
      </c>
      <c r="C567" s="38" t="s">
        <v>193</v>
      </c>
      <c r="D567" s="15">
        <v>14.0</v>
      </c>
      <c r="E567" s="10">
        <f t="shared" si="2"/>
        <v>700</v>
      </c>
      <c r="F567" s="10" t="str">
        <f t="shared" si="3"/>
        <v>14 completed tickets</v>
      </c>
    </row>
    <row r="568" hidden="1">
      <c r="A568" s="6" t="s">
        <v>62</v>
      </c>
      <c r="B568" s="7" t="s">
        <v>194</v>
      </c>
      <c r="C568" s="38" t="s">
        <v>195</v>
      </c>
      <c r="D568" s="15">
        <v>21.0</v>
      </c>
      <c r="E568" s="10">
        <f t="shared" si="2"/>
        <v>1050</v>
      </c>
      <c r="F568" s="10" t="str">
        <f t="shared" si="3"/>
        <v>21 completed tickets</v>
      </c>
    </row>
    <row r="569" hidden="1">
      <c r="A569" s="6" t="s">
        <v>62</v>
      </c>
      <c r="B569" s="13" t="s">
        <v>196</v>
      </c>
      <c r="C569" s="38" t="s">
        <v>197</v>
      </c>
      <c r="D569" s="15">
        <v>20.0</v>
      </c>
      <c r="E569" s="10">
        <f t="shared" si="2"/>
        <v>1000</v>
      </c>
      <c r="F569" s="10" t="str">
        <f t="shared" si="3"/>
        <v>20 completed tickets</v>
      </c>
    </row>
    <row r="570" hidden="1">
      <c r="A570" s="6" t="s">
        <v>62</v>
      </c>
      <c r="B570" s="13" t="s">
        <v>198</v>
      </c>
      <c r="C570" s="38" t="s">
        <v>199</v>
      </c>
      <c r="D570" s="15">
        <v>45.0</v>
      </c>
      <c r="E570" s="10">
        <f t="shared" si="2"/>
        <v>2250</v>
      </c>
      <c r="F570" s="10" t="str">
        <f t="shared" si="3"/>
        <v>45 completed tickets</v>
      </c>
    </row>
    <row r="571" hidden="1">
      <c r="A571" s="6" t="s">
        <v>62</v>
      </c>
      <c r="B571" s="13" t="s">
        <v>200</v>
      </c>
      <c r="C571" s="38" t="s">
        <v>201</v>
      </c>
      <c r="D571" s="15">
        <v>18.0</v>
      </c>
      <c r="E571" s="10">
        <f t="shared" si="2"/>
        <v>900</v>
      </c>
      <c r="F571" s="10" t="str">
        <f t="shared" si="3"/>
        <v>18 completed tickets</v>
      </c>
    </row>
    <row r="572" hidden="1">
      <c r="A572" s="6" t="s">
        <v>62</v>
      </c>
      <c r="B572" s="13" t="s">
        <v>202</v>
      </c>
      <c r="C572" s="38" t="s">
        <v>203</v>
      </c>
      <c r="D572" s="15">
        <v>8.0</v>
      </c>
      <c r="E572" s="10">
        <f t="shared" si="2"/>
        <v>400</v>
      </c>
      <c r="F572" s="10" t="str">
        <f t="shared" si="3"/>
        <v>8 completed tickets</v>
      </c>
    </row>
    <row r="573" hidden="1">
      <c r="A573" s="6" t="s">
        <v>62</v>
      </c>
      <c r="B573" s="13" t="s">
        <v>253</v>
      </c>
      <c r="C573" s="38" t="s">
        <v>254</v>
      </c>
      <c r="D573" s="15">
        <v>26.0</v>
      </c>
      <c r="E573" s="10">
        <f t="shared" si="2"/>
        <v>1300</v>
      </c>
      <c r="F573" s="10" t="str">
        <f t="shared" si="3"/>
        <v>26 completed tickets</v>
      </c>
    </row>
    <row r="574" hidden="1">
      <c r="A574" s="6" t="s">
        <v>62</v>
      </c>
      <c r="B574" s="13" t="s">
        <v>273</v>
      </c>
      <c r="C574" s="38" t="s">
        <v>274</v>
      </c>
      <c r="D574" s="15">
        <v>4.0</v>
      </c>
      <c r="E574" s="10">
        <f t="shared" si="2"/>
        <v>200</v>
      </c>
      <c r="F574" s="10" t="str">
        <f t="shared" si="3"/>
        <v>4 completed tickets</v>
      </c>
    </row>
    <row r="575" hidden="1">
      <c r="A575" s="6" t="s">
        <v>62</v>
      </c>
      <c r="B575" s="13" t="s">
        <v>268</v>
      </c>
      <c r="C575" s="38" t="s">
        <v>285</v>
      </c>
      <c r="D575" s="15">
        <v>6.0</v>
      </c>
      <c r="E575" s="10">
        <f t="shared" si="2"/>
        <v>300</v>
      </c>
      <c r="F575" s="10" t="str">
        <f t="shared" si="3"/>
        <v>6 completed tickets</v>
      </c>
    </row>
    <row r="576" hidden="1">
      <c r="A576" s="6" t="s">
        <v>62</v>
      </c>
      <c r="B576" s="13" t="s">
        <v>256</v>
      </c>
      <c r="C576" s="38" t="s">
        <v>257</v>
      </c>
      <c r="D576" s="15">
        <v>12.0</v>
      </c>
      <c r="E576" s="10">
        <f t="shared" si="2"/>
        <v>600</v>
      </c>
      <c r="F576" s="10" t="str">
        <f t="shared" si="3"/>
        <v>12 completed tickets</v>
      </c>
    </row>
    <row r="577" hidden="1">
      <c r="A577" s="6" t="s">
        <v>62</v>
      </c>
      <c r="B577" s="13" t="s">
        <v>258</v>
      </c>
      <c r="C577" s="38" t="s">
        <v>259</v>
      </c>
      <c r="D577" s="15">
        <v>8.0</v>
      </c>
      <c r="E577" s="10">
        <f t="shared" si="2"/>
        <v>400</v>
      </c>
      <c r="F577" s="10" t="str">
        <f t="shared" si="3"/>
        <v>8 completed tickets</v>
      </c>
    </row>
    <row r="578" hidden="1">
      <c r="A578" s="6" t="s">
        <v>62</v>
      </c>
      <c r="B578" s="13" t="s">
        <v>264</v>
      </c>
      <c r="C578" s="38" t="s">
        <v>265</v>
      </c>
      <c r="D578" s="15">
        <v>13.0</v>
      </c>
      <c r="E578" s="10">
        <f t="shared" si="2"/>
        <v>650</v>
      </c>
      <c r="F578" s="10" t="str">
        <f t="shared" si="3"/>
        <v>13 completed tickets</v>
      </c>
    </row>
    <row r="579" hidden="1">
      <c r="A579" s="6" t="s">
        <v>62</v>
      </c>
      <c r="B579" s="13" t="s">
        <v>250</v>
      </c>
      <c r="C579" s="38" t="s">
        <v>137</v>
      </c>
      <c r="D579" s="15">
        <v>6.0</v>
      </c>
      <c r="E579" s="10">
        <f t="shared" si="2"/>
        <v>300</v>
      </c>
      <c r="F579" s="10" t="str">
        <f t="shared" si="3"/>
        <v>6 completed tickets</v>
      </c>
    </row>
    <row r="580" hidden="1">
      <c r="A580" s="6" t="s">
        <v>62</v>
      </c>
      <c r="B580" s="13" t="s">
        <v>260</v>
      </c>
      <c r="C580" s="38" t="s">
        <v>261</v>
      </c>
      <c r="D580" s="15">
        <v>22.0</v>
      </c>
      <c r="E580" s="10">
        <f t="shared" si="2"/>
        <v>1100</v>
      </c>
      <c r="F580" s="10" t="str">
        <f t="shared" si="3"/>
        <v>22 completed tickets</v>
      </c>
    </row>
    <row r="581" hidden="1">
      <c r="A581" s="6" t="s">
        <v>62</v>
      </c>
      <c r="B581" s="13" t="s">
        <v>236</v>
      </c>
      <c r="C581" s="38" t="s">
        <v>251</v>
      </c>
      <c r="D581" s="15">
        <v>6.0</v>
      </c>
      <c r="E581" s="10">
        <f t="shared" si="2"/>
        <v>300</v>
      </c>
      <c r="F581" s="10" t="str">
        <f t="shared" si="3"/>
        <v>6 completed tickets</v>
      </c>
    </row>
    <row r="582" hidden="1">
      <c r="A582" s="6" t="s">
        <v>62</v>
      </c>
      <c r="B582" s="13" t="s">
        <v>212</v>
      </c>
      <c r="C582" s="38" t="s">
        <v>213</v>
      </c>
      <c r="D582" s="15">
        <v>26.0</v>
      </c>
      <c r="E582" s="10">
        <f t="shared" si="2"/>
        <v>1300</v>
      </c>
      <c r="F582" s="10" t="str">
        <f t="shared" si="3"/>
        <v>26 completed tickets</v>
      </c>
    </row>
    <row r="583" hidden="1">
      <c r="A583" s="6" t="s">
        <v>62</v>
      </c>
      <c r="B583" s="13" t="s">
        <v>266</v>
      </c>
      <c r="C583" s="38" t="s">
        <v>267</v>
      </c>
      <c r="D583" s="15">
        <v>2.0</v>
      </c>
      <c r="E583" s="10">
        <f t="shared" si="2"/>
        <v>100</v>
      </c>
      <c r="F583" s="10" t="str">
        <f t="shared" si="3"/>
        <v>2 completed tickets</v>
      </c>
    </row>
    <row r="584" hidden="1">
      <c r="A584" s="6" t="s">
        <v>62</v>
      </c>
      <c r="B584" s="13" t="s">
        <v>277</v>
      </c>
      <c r="C584" s="38" t="s">
        <v>278</v>
      </c>
      <c r="D584" s="15">
        <v>2.0</v>
      </c>
      <c r="E584" s="10">
        <f t="shared" si="2"/>
        <v>100</v>
      </c>
      <c r="F584" s="10" t="str">
        <f t="shared" si="3"/>
        <v>2 completed tickets</v>
      </c>
    </row>
    <row r="585" hidden="1">
      <c r="A585" s="6" t="s">
        <v>62</v>
      </c>
      <c r="B585" s="13" t="s">
        <v>283</v>
      </c>
      <c r="C585" s="38" t="s">
        <v>284</v>
      </c>
      <c r="D585" s="15">
        <v>2.0</v>
      </c>
      <c r="E585" s="10">
        <f t="shared" si="2"/>
        <v>100</v>
      </c>
      <c r="F585" s="10" t="str">
        <f t="shared" si="3"/>
        <v>2 completed tickets</v>
      </c>
    </row>
    <row r="586" hidden="1">
      <c r="A586" s="6" t="s">
        <v>63</v>
      </c>
      <c r="B586" s="7" t="s">
        <v>160</v>
      </c>
      <c r="C586" s="38" t="s">
        <v>140</v>
      </c>
      <c r="D586" s="15">
        <v>23.0</v>
      </c>
      <c r="E586" s="10">
        <f t="shared" si="2"/>
        <v>1150</v>
      </c>
      <c r="F586" s="10" t="str">
        <f t="shared" si="3"/>
        <v>23 completed tickets</v>
      </c>
    </row>
    <row r="587" hidden="1">
      <c r="A587" s="6" t="s">
        <v>63</v>
      </c>
      <c r="B587" s="7" t="s">
        <v>161</v>
      </c>
      <c r="C587" s="38" t="s">
        <v>152</v>
      </c>
      <c r="D587" s="15">
        <v>21.0</v>
      </c>
      <c r="E587" s="10">
        <f t="shared" si="2"/>
        <v>1050</v>
      </c>
      <c r="F587" s="10" t="str">
        <f t="shared" si="3"/>
        <v>21 completed tickets</v>
      </c>
    </row>
    <row r="588" hidden="1">
      <c r="A588" s="6" t="s">
        <v>63</v>
      </c>
      <c r="B588" s="7" t="s">
        <v>162</v>
      </c>
      <c r="C588" s="38" t="s">
        <v>163</v>
      </c>
      <c r="D588" s="15">
        <v>15.0</v>
      </c>
      <c r="E588" s="10">
        <f t="shared" si="2"/>
        <v>750</v>
      </c>
      <c r="F588" s="10" t="str">
        <f t="shared" si="3"/>
        <v>15 completed tickets</v>
      </c>
    </row>
    <row r="589" hidden="1">
      <c r="A589" s="6" t="s">
        <v>63</v>
      </c>
      <c r="B589" s="7" t="s">
        <v>164</v>
      </c>
      <c r="C589" s="38" t="s">
        <v>158</v>
      </c>
      <c r="D589" s="15">
        <v>19.0</v>
      </c>
      <c r="E589" s="10">
        <f t="shared" si="2"/>
        <v>950</v>
      </c>
      <c r="F589" s="10" t="str">
        <f t="shared" si="3"/>
        <v>19 completed tickets</v>
      </c>
    </row>
    <row r="590" hidden="1">
      <c r="A590" s="6" t="s">
        <v>63</v>
      </c>
      <c r="B590" s="7" t="s">
        <v>165</v>
      </c>
      <c r="C590" s="38" t="s">
        <v>166</v>
      </c>
      <c r="D590" s="15">
        <v>33.0</v>
      </c>
      <c r="E590" s="10">
        <f t="shared" si="2"/>
        <v>1650</v>
      </c>
      <c r="F590" s="10" t="str">
        <f t="shared" si="3"/>
        <v>33 completed tickets</v>
      </c>
    </row>
    <row r="591" hidden="1">
      <c r="A591" s="6" t="s">
        <v>63</v>
      </c>
      <c r="B591" s="7" t="s">
        <v>167</v>
      </c>
      <c r="C591" s="38" t="s">
        <v>157</v>
      </c>
      <c r="D591" s="15">
        <v>11.0</v>
      </c>
      <c r="E591" s="10">
        <f t="shared" si="2"/>
        <v>550</v>
      </c>
      <c r="F591" s="10" t="str">
        <f t="shared" si="3"/>
        <v>11 completed tickets</v>
      </c>
    </row>
    <row r="592" hidden="1">
      <c r="A592" s="6" t="s">
        <v>63</v>
      </c>
      <c r="B592" s="7" t="s">
        <v>168</v>
      </c>
      <c r="C592" s="38" t="s">
        <v>169</v>
      </c>
      <c r="D592" s="15">
        <v>21.0</v>
      </c>
      <c r="E592" s="10">
        <f t="shared" si="2"/>
        <v>1050</v>
      </c>
      <c r="F592" s="10" t="str">
        <f t="shared" si="3"/>
        <v>21 completed tickets</v>
      </c>
    </row>
    <row r="593" hidden="1">
      <c r="A593" s="6" t="s">
        <v>63</v>
      </c>
      <c r="B593" s="7" t="s">
        <v>170</v>
      </c>
      <c r="C593" s="38" t="s">
        <v>171</v>
      </c>
      <c r="D593" s="15">
        <v>14.0</v>
      </c>
      <c r="E593" s="10">
        <f t="shared" si="2"/>
        <v>700</v>
      </c>
      <c r="F593" s="10" t="str">
        <f t="shared" si="3"/>
        <v>14 completed tickets</v>
      </c>
    </row>
    <row r="594" hidden="1">
      <c r="A594" s="6" t="s">
        <v>63</v>
      </c>
      <c r="B594" s="7" t="s">
        <v>295</v>
      </c>
      <c r="C594" s="38" t="s">
        <v>296</v>
      </c>
      <c r="D594" s="15">
        <v>22.0</v>
      </c>
      <c r="E594" s="10">
        <f t="shared" si="2"/>
        <v>1100</v>
      </c>
      <c r="F594" s="10" t="str">
        <f t="shared" si="3"/>
        <v>22 completed tickets</v>
      </c>
    </row>
    <row r="595" hidden="1">
      <c r="A595" s="6" t="s">
        <v>63</v>
      </c>
      <c r="B595" s="7" t="s">
        <v>172</v>
      </c>
      <c r="C595" s="38" t="s">
        <v>173</v>
      </c>
      <c r="D595" s="15">
        <v>19.0</v>
      </c>
      <c r="E595" s="10">
        <f t="shared" si="2"/>
        <v>950</v>
      </c>
      <c r="F595" s="10" t="str">
        <f t="shared" si="3"/>
        <v>19 completed tickets</v>
      </c>
    </row>
    <row r="596" hidden="1">
      <c r="A596" s="6" t="s">
        <v>63</v>
      </c>
      <c r="B596" s="7" t="s">
        <v>297</v>
      </c>
      <c r="C596" s="38" t="s">
        <v>153</v>
      </c>
      <c r="D596" s="15">
        <v>7.0</v>
      </c>
      <c r="E596" s="10">
        <f t="shared" si="2"/>
        <v>350</v>
      </c>
      <c r="F596" s="10" t="str">
        <f t="shared" si="3"/>
        <v>7 completed tickets</v>
      </c>
    </row>
    <row r="597" hidden="1">
      <c r="A597" s="6" t="s">
        <v>63</v>
      </c>
      <c r="B597" s="7" t="s">
        <v>174</v>
      </c>
      <c r="C597" s="38" t="s">
        <v>175</v>
      </c>
      <c r="D597" s="15">
        <v>10.0</v>
      </c>
      <c r="E597" s="10">
        <f t="shared" si="2"/>
        <v>500</v>
      </c>
      <c r="F597" s="10" t="str">
        <f t="shared" si="3"/>
        <v>10 completed tickets</v>
      </c>
    </row>
    <row r="598" hidden="1">
      <c r="A598" s="6" t="s">
        <v>63</v>
      </c>
      <c r="B598" s="7" t="s">
        <v>176</v>
      </c>
      <c r="C598" s="38" t="s">
        <v>130</v>
      </c>
      <c r="D598" s="15">
        <v>16.0</v>
      </c>
      <c r="E598" s="10">
        <f t="shared" si="2"/>
        <v>800</v>
      </c>
      <c r="F598" s="10" t="str">
        <f t="shared" si="3"/>
        <v>16 completed tickets</v>
      </c>
    </row>
    <row r="599" hidden="1">
      <c r="A599" s="6" t="s">
        <v>63</v>
      </c>
      <c r="B599" s="7" t="s">
        <v>252</v>
      </c>
      <c r="C599" s="38" t="s">
        <v>139</v>
      </c>
      <c r="D599" s="15">
        <v>10.0</v>
      </c>
      <c r="E599" s="10">
        <f t="shared" si="2"/>
        <v>500</v>
      </c>
      <c r="F599" s="10" t="str">
        <f t="shared" si="3"/>
        <v>10 completed tickets</v>
      </c>
    </row>
    <row r="600" hidden="1">
      <c r="A600" s="6" t="s">
        <v>63</v>
      </c>
      <c r="B600" s="7" t="s">
        <v>177</v>
      </c>
      <c r="C600" s="38" t="s">
        <v>144</v>
      </c>
      <c r="D600" s="15">
        <v>16.0</v>
      </c>
      <c r="E600" s="10">
        <f t="shared" si="2"/>
        <v>800</v>
      </c>
      <c r="F600" s="10" t="str">
        <f t="shared" si="3"/>
        <v>16 completed tickets</v>
      </c>
    </row>
    <row r="601" hidden="1">
      <c r="A601" s="6" t="s">
        <v>63</v>
      </c>
      <c r="B601" s="7" t="s">
        <v>270</v>
      </c>
      <c r="C601" s="38" t="s">
        <v>126</v>
      </c>
      <c r="D601" s="15">
        <v>8.0</v>
      </c>
      <c r="E601" s="10">
        <f t="shared" si="2"/>
        <v>400</v>
      </c>
      <c r="F601" s="10" t="str">
        <f t="shared" si="3"/>
        <v>8 completed tickets</v>
      </c>
    </row>
    <row r="602" hidden="1">
      <c r="A602" s="6" t="s">
        <v>63</v>
      </c>
      <c r="B602" s="7" t="s">
        <v>178</v>
      </c>
      <c r="C602" s="38" t="s">
        <v>179</v>
      </c>
      <c r="D602" s="15">
        <v>14.0</v>
      </c>
      <c r="E602" s="10">
        <f t="shared" si="2"/>
        <v>700</v>
      </c>
      <c r="F602" s="10" t="str">
        <f t="shared" si="3"/>
        <v>14 completed tickets</v>
      </c>
    </row>
    <row r="603" hidden="1">
      <c r="A603" s="6" t="s">
        <v>63</v>
      </c>
      <c r="B603" s="7" t="s">
        <v>180</v>
      </c>
      <c r="C603" s="38" t="s">
        <v>181</v>
      </c>
      <c r="D603" s="15">
        <v>34.0</v>
      </c>
      <c r="E603" s="10">
        <f t="shared" si="2"/>
        <v>1700</v>
      </c>
      <c r="F603" s="10" t="str">
        <f t="shared" si="3"/>
        <v>34 completed tickets</v>
      </c>
    </row>
    <row r="604" hidden="1">
      <c r="A604" s="6" t="s">
        <v>63</v>
      </c>
      <c r="B604" s="7" t="s">
        <v>182</v>
      </c>
      <c r="C604" s="38" t="s">
        <v>183</v>
      </c>
      <c r="D604" s="15">
        <v>12.0</v>
      </c>
      <c r="E604" s="10">
        <f t="shared" si="2"/>
        <v>600</v>
      </c>
      <c r="F604" s="10" t="str">
        <f t="shared" si="3"/>
        <v>12 completed tickets</v>
      </c>
    </row>
    <row r="605" hidden="1">
      <c r="A605" s="6" t="s">
        <v>63</v>
      </c>
      <c r="B605" s="7" t="s">
        <v>184</v>
      </c>
      <c r="C605" s="38" t="s">
        <v>185</v>
      </c>
      <c r="D605" s="15">
        <v>23.0</v>
      </c>
      <c r="E605" s="10">
        <f t="shared" si="2"/>
        <v>1150</v>
      </c>
      <c r="F605" s="10" t="str">
        <f t="shared" si="3"/>
        <v>23 completed tickets</v>
      </c>
    </row>
    <row r="606" hidden="1">
      <c r="A606" s="6" t="s">
        <v>63</v>
      </c>
      <c r="B606" s="13" t="s">
        <v>186</v>
      </c>
      <c r="C606" s="38" t="s">
        <v>187</v>
      </c>
      <c r="D606" s="15">
        <v>22.0</v>
      </c>
      <c r="E606" s="10">
        <f t="shared" si="2"/>
        <v>1100</v>
      </c>
      <c r="F606" s="10" t="str">
        <f t="shared" si="3"/>
        <v>22 completed tickets</v>
      </c>
    </row>
    <row r="607" hidden="1">
      <c r="A607" s="6" t="s">
        <v>63</v>
      </c>
      <c r="B607" s="13" t="s">
        <v>188</v>
      </c>
      <c r="C607" s="38" t="s">
        <v>189</v>
      </c>
      <c r="D607" s="15">
        <v>16.0</v>
      </c>
      <c r="E607" s="10">
        <f t="shared" si="2"/>
        <v>800</v>
      </c>
      <c r="F607" s="10" t="str">
        <f t="shared" si="3"/>
        <v>16 completed tickets</v>
      </c>
    </row>
    <row r="608" hidden="1">
      <c r="A608" s="6" t="s">
        <v>63</v>
      </c>
      <c r="B608" s="7" t="s">
        <v>190</v>
      </c>
      <c r="C608" s="38" t="s">
        <v>191</v>
      </c>
      <c r="D608" s="15">
        <v>13.0</v>
      </c>
      <c r="E608" s="10">
        <f t="shared" si="2"/>
        <v>650</v>
      </c>
      <c r="F608" s="10" t="str">
        <f t="shared" si="3"/>
        <v>13 completed tickets</v>
      </c>
    </row>
    <row r="609" hidden="1">
      <c r="A609" s="6" t="s">
        <v>63</v>
      </c>
      <c r="B609" s="7" t="s">
        <v>192</v>
      </c>
      <c r="C609" s="38" t="s">
        <v>193</v>
      </c>
      <c r="D609" s="15">
        <v>8.0</v>
      </c>
      <c r="E609" s="10">
        <f t="shared" si="2"/>
        <v>400</v>
      </c>
      <c r="F609" s="10" t="str">
        <f t="shared" si="3"/>
        <v>8 completed tickets</v>
      </c>
    </row>
    <row r="610" hidden="1">
      <c r="A610" s="6" t="s">
        <v>63</v>
      </c>
      <c r="B610" s="7" t="s">
        <v>194</v>
      </c>
      <c r="C610" s="38" t="s">
        <v>195</v>
      </c>
      <c r="D610" s="15">
        <v>5.0</v>
      </c>
      <c r="E610" s="10">
        <f t="shared" si="2"/>
        <v>250</v>
      </c>
      <c r="F610" s="10" t="str">
        <f t="shared" si="3"/>
        <v>5 completed tickets</v>
      </c>
    </row>
    <row r="611" hidden="1">
      <c r="A611" s="6" t="s">
        <v>63</v>
      </c>
      <c r="B611" s="13" t="s">
        <v>196</v>
      </c>
      <c r="C611" s="38" t="s">
        <v>197</v>
      </c>
      <c r="D611" s="15">
        <v>14.0</v>
      </c>
      <c r="E611" s="10">
        <f t="shared" si="2"/>
        <v>700</v>
      </c>
      <c r="F611" s="10" t="str">
        <f t="shared" si="3"/>
        <v>14 completed tickets</v>
      </c>
    </row>
    <row r="612" hidden="1">
      <c r="A612" s="6" t="s">
        <v>63</v>
      </c>
      <c r="B612" s="13" t="s">
        <v>198</v>
      </c>
      <c r="C612" s="38" t="s">
        <v>199</v>
      </c>
      <c r="D612" s="15">
        <v>22.0</v>
      </c>
      <c r="E612" s="10">
        <f t="shared" si="2"/>
        <v>1100</v>
      </c>
      <c r="F612" s="10" t="str">
        <f t="shared" si="3"/>
        <v>22 completed tickets</v>
      </c>
    </row>
    <row r="613" hidden="1">
      <c r="A613" s="6" t="s">
        <v>63</v>
      </c>
      <c r="B613" s="13" t="s">
        <v>200</v>
      </c>
      <c r="C613" s="38" t="s">
        <v>201</v>
      </c>
      <c r="D613" s="15">
        <v>8.0</v>
      </c>
      <c r="E613" s="10">
        <f t="shared" si="2"/>
        <v>400</v>
      </c>
      <c r="F613" s="10" t="str">
        <f t="shared" si="3"/>
        <v>8 completed tickets</v>
      </c>
    </row>
    <row r="614" hidden="1">
      <c r="A614" s="6" t="s">
        <v>63</v>
      </c>
      <c r="B614" s="13" t="s">
        <v>202</v>
      </c>
      <c r="C614" s="38" t="s">
        <v>203</v>
      </c>
      <c r="D614" s="15">
        <v>11.0</v>
      </c>
      <c r="E614" s="10">
        <f t="shared" si="2"/>
        <v>550</v>
      </c>
      <c r="F614" s="10" t="str">
        <f t="shared" si="3"/>
        <v>11 completed tickets</v>
      </c>
    </row>
    <row r="615" hidden="1">
      <c r="A615" s="6" t="s">
        <v>63</v>
      </c>
      <c r="B615" s="13" t="s">
        <v>253</v>
      </c>
      <c r="C615" s="38" t="s">
        <v>254</v>
      </c>
      <c r="D615" s="15">
        <v>18.0</v>
      </c>
      <c r="E615" s="10">
        <f t="shared" si="2"/>
        <v>900</v>
      </c>
      <c r="F615" s="10" t="str">
        <f t="shared" si="3"/>
        <v>18 completed tickets</v>
      </c>
    </row>
    <row r="616" hidden="1">
      <c r="A616" s="6" t="s">
        <v>63</v>
      </c>
      <c r="B616" s="13" t="s">
        <v>256</v>
      </c>
      <c r="C616" s="38" t="s">
        <v>298</v>
      </c>
      <c r="D616" s="15">
        <v>2.0</v>
      </c>
      <c r="E616" s="10">
        <f t="shared" si="2"/>
        <v>100</v>
      </c>
      <c r="F616" s="10" t="str">
        <f t="shared" si="3"/>
        <v>2 completed tickets</v>
      </c>
    </row>
    <row r="617" hidden="1">
      <c r="A617" s="6" t="s">
        <v>63</v>
      </c>
      <c r="B617" s="13" t="s">
        <v>264</v>
      </c>
      <c r="C617" s="38" t="s">
        <v>265</v>
      </c>
      <c r="D617" s="15">
        <v>19.0</v>
      </c>
      <c r="E617" s="10">
        <f t="shared" si="2"/>
        <v>950</v>
      </c>
      <c r="F617" s="10" t="str">
        <f t="shared" si="3"/>
        <v>19 completed tickets</v>
      </c>
    </row>
    <row r="618" hidden="1">
      <c r="A618" s="6" t="s">
        <v>63</v>
      </c>
      <c r="B618" s="13" t="s">
        <v>250</v>
      </c>
      <c r="C618" s="38" t="s">
        <v>137</v>
      </c>
      <c r="D618" s="15">
        <v>4.0</v>
      </c>
      <c r="E618" s="10">
        <f t="shared" si="2"/>
        <v>200</v>
      </c>
      <c r="F618" s="10" t="str">
        <f t="shared" si="3"/>
        <v>4 completed tickets</v>
      </c>
    </row>
    <row r="619" hidden="1">
      <c r="A619" s="6" t="s">
        <v>63</v>
      </c>
      <c r="B619" s="13" t="s">
        <v>260</v>
      </c>
      <c r="C619" s="38" t="s">
        <v>261</v>
      </c>
      <c r="D619" s="15">
        <v>8.0</v>
      </c>
      <c r="E619" s="10">
        <f t="shared" si="2"/>
        <v>400</v>
      </c>
      <c r="F619" s="10" t="str">
        <f t="shared" si="3"/>
        <v>8 completed tickets</v>
      </c>
    </row>
    <row r="620" hidden="1">
      <c r="A620" s="6" t="s">
        <v>63</v>
      </c>
      <c r="B620" s="13" t="s">
        <v>212</v>
      </c>
      <c r="C620" s="38" t="s">
        <v>213</v>
      </c>
      <c r="D620" s="15">
        <v>8.0</v>
      </c>
      <c r="E620" s="10">
        <f t="shared" si="2"/>
        <v>400</v>
      </c>
      <c r="F620" s="10" t="str">
        <f t="shared" si="3"/>
        <v>8 completed tickets</v>
      </c>
    </row>
    <row r="621" hidden="1">
      <c r="A621" s="6" t="s">
        <v>63</v>
      </c>
      <c r="B621" s="13" t="s">
        <v>277</v>
      </c>
      <c r="C621" s="38" t="s">
        <v>278</v>
      </c>
      <c r="D621" s="15">
        <v>2.0</v>
      </c>
      <c r="E621" s="10">
        <f t="shared" si="2"/>
        <v>100</v>
      </c>
      <c r="F621" s="10" t="str">
        <f t="shared" si="3"/>
        <v>2 completed tickets</v>
      </c>
    </row>
    <row r="622" hidden="1">
      <c r="A622" s="6" t="s">
        <v>63</v>
      </c>
      <c r="B622" s="13" t="s">
        <v>283</v>
      </c>
      <c r="C622" s="38" t="s">
        <v>284</v>
      </c>
      <c r="D622" s="15">
        <v>2.0</v>
      </c>
      <c r="E622" s="10">
        <f t="shared" si="2"/>
        <v>100</v>
      </c>
      <c r="F622" s="10" t="str">
        <f t="shared" si="3"/>
        <v>2 completed tickets</v>
      </c>
    </row>
    <row r="623" hidden="1">
      <c r="A623" s="6" t="s">
        <v>65</v>
      </c>
      <c r="B623" s="7" t="s">
        <v>160</v>
      </c>
      <c r="C623" s="38" t="s">
        <v>140</v>
      </c>
      <c r="D623" s="15">
        <v>88.0</v>
      </c>
      <c r="E623" s="10">
        <f t="shared" si="2"/>
        <v>4400</v>
      </c>
      <c r="F623" s="10" t="str">
        <f t="shared" si="3"/>
        <v>88 completed tickets</v>
      </c>
    </row>
    <row r="624" hidden="1">
      <c r="A624" s="6" t="s">
        <v>65</v>
      </c>
      <c r="B624" s="7" t="s">
        <v>161</v>
      </c>
      <c r="C624" s="38" t="s">
        <v>152</v>
      </c>
      <c r="D624" s="15">
        <v>32.0</v>
      </c>
      <c r="E624" s="10">
        <f t="shared" si="2"/>
        <v>1600</v>
      </c>
      <c r="F624" s="10" t="str">
        <f t="shared" si="3"/>
        <v>32 completed tickets</v>
      </c>
    </row>
    <row r="625" hidden="1">
      <c r="A625" s="6" t="s">
        <v>65</v>
      </c>
      <c r="B625" s="7" t="s">
        <v>162</v>
      </c>
      <c r="C625" s="38" t="s">
        <v>163</v>
      </c>
      <c r="D625" s="15">
        <v>39.0</v>
      </c>
      <c r="E625" s="10">
        <f t="shared" si="2"/>
        <v>1950</v>
      </c>
      <c r="F625" s="10" t="str">
        <f t="shared" si="3"/>
        <v>39 completed tickets</v>
      </c>
    </row>
    <row r="626" hidden="1">
      <c r="A626" s="6" t="s">
        <v>65</v>
      </c>
      <c r="B626" s="7" t="s">
        <v>164</v>
      </c>
      <c r="C626" s="38" t="s">
        <v>158</v>
      </c>
      <c r="D626" s="15">
        <v>39.0</v>
      </c>
      <c r="E626" s="10">
        <f t="shared" si="2"/>
        <v>1950</v>
      </c>
      <c r="F626" s="10" t="str">
        <f t="shared" si="3"/>
        <v>39 completed tickets</v>
      </c>
    </row>
    <row r="627" hidden="1">
      <c r="A627" s="6" t="s">
        <v>65</v>
      </c>
      <c r="B627" s="7" t="s">
        <v>165</v>
      </c>
      <c r="C627" s="38" t="s">
        <v>166</v>
      </c>
      <c r="D627" s="15">
        <v>49.0</v>
      </c>
      <c r="E627" s="10">
        <f t="shared" si="2"/>
        <v>2450</v>
      </c>
      <c r="F627" s="10" t="str">
        <f t="shared" si="3"/>
        <v>49 completed tickets</v>
      </c>
    </row>
    <row r="628" hidden="1">
      <c r="A628" s="6" t="s">
        <v>65</v>
      </c>
      <c r="B628" s="7" t="s">
        <v>167</v>
      </c>
      <c r="C628" s="38" t="s">
        <v>157</v>
      </c>
      <c r="D628" s="15">
        <v>27.0</v>
      </c>
      <c r="E628" s="10">
        <f t="shared" si="2"/>
        <v>1350</v>
      </c>
      <c r="F628" s="10" t="str">
        <f t="shared" si="3"/>
        <v>27 completed tickets</v>
      </c>
    </row>
    <row r="629" hidden="1">
      <c r="A629" s="6" t="s">
        <v>65</v>
      </c>
      <c r="B629" s="7" t="s">
        <v>168</v>
      </c>
      <c r="C629" s="38" t="s">
        <v>169</v>
      </c>
      <c r="D629" s="15">
        <v>46.0</v>
      </c>
      <c r="E629" s="10">
        <f t="shared" si="2"/>
        <v>2300</v>
      </c>
      <c r="F629" s="10" t="str">
        <f t="shared" si="3"/>
        <v>46 completed tickets</v>
      </c>
    </row>
    <row r="630" hidden="1">
      <c r="A630" s="6" t="s">
        <v>65</v>
      </c>
      <c r="B630" s="7" t="s">
        <v>170</v>
      </c>
      <c r="C630" s="38" t="s">
        <v>171</v>
      </c>
      <c r="D630" s="15">
        <v>6.0</v>
      </c>
      <c r="E630" s="10">
        <f t="shared" si="2"/>
        <v>300</v>
      </c>
      <c r="F630" s="10" t="str">
        <f t="shared" si="3"/>
        <v>6 completed tickets</v>
      </c>
    </row>
    <row r="631" hidden="1">
      <c r="A631" s="6" t="s">
        <v>65</v>
      </c>
      <c r="B631" s="7" t="s">
        <v>295</v>
      </c>
      <c r="C631" s="38" t="s">
        <v>296</v>
      </c>
      <c r="D631" s="15">
        <v>34.0</v>
      </c>
      <c r="E631" s="10">
        <f t="shared" si="2"/>
        <v>1700</v>
      </c>
      <c r="F631" s="10" t="str">
        <f t="shared" si="3"/>
        <v>34 completed tickets</v>
      </c>
    </row>
    <row r="632" hidden="1">
      <c r="A632" s="6" t="s">
        <v>65</v>
      </c>
      <c r="B632" s="7" t="s">
        <v>172</v>
      </c>
      <c r="C632" s="38" t="s">
        <v>173</v>
      </c>
      <c r="D632" s="15">
        <v>33.0</v>
      </c>
      <c r="E632" s="10">
        <f t="shared" si="2"/>
        <v>1650</v>
      </c>
      <c r="F632" s="10" t="str">
        <f t="shared" si="3"/>
        <v>33 completed tickets</v>
      </c>
    </row>
    <row r="633" hidden="1">
      <c r="A633" s="6" t="s">
        <v>65</v>
      </c>
      <c r="B633" s="7" t="s">
        <v>297</v>
      </c>
      <c r="C633" s="38" t="s">
        <v>153</v>
      </c>
      <c r="D633" s="15">
        <v>29.0</v>
      </c>
      <c r="E633" s="10">
        <f t="shared" si="2"/>
        <v>1450</v>
      </c>
      <c r="F633" s="10" t="str">
        <f t="shared" si="3"/>
        <v>29 completed tickets</v>
      </c>
    </row>
    <row r="634" hidden="1">
      <c r="A634" s="6" t="s">
        <v>65</v>
      </c>
      <c r="B634" s="7" t="s">
        <v>174</v>
      </c>
      <c r="C634" s="38" t="s">
        <v>175</v>
      </c>
      <c r="D634" s="15">
        <v>37.0</v>
      </c>
      <c r="E634" s="10">
        <f t="shared" si="2"/>
        <v>1850</v>
      </c>
      <c r="F634" s="10" t="str">
        <f t="shared" si="3"/>
        <v>37 completed tickets</v>
      </c>
    </row>
    <row r="635" hidden="1">
      <c r="A635" s="6" t="s">
        <v>65</v>
      </c>
      <c r="B635" s="7" t="s">
        <v>176</v>
      </c>
      <c r="C635" s="38" t="s">
        <v>130</v>
      </c>
      <c r="D635" s="15">
        <v>27.0</v>
      </c>
      <c r="E635" s="10">
        <f t="shared" si="2"/>
        <v>1350</v>
      </c>
      <c r="F635" s="10" t="str">
        <f t="shared" si="3"/>
        <v>27 completed tickets</v>
      </c>
    </row>
    <row r="636" hidden="1">
      <c r="A636" s="6" t="s">
        <v>65</v>
      </c>
      <c r="B636" s="7" t="s">
        <v>252</v>
      </c>
      <c r="C636" s="38" t="s">
        <v>139</v>
      </c>
      <c r="D636" s="15">
        <v>42.0</v>
      </c>
      <c r="E636" s="10">
        <f t="shared" si="2"/>
        <v>2100</v>
      </c>
      <c r="F636" s="10" t="str">
        <f t="shared" si="3"/>
        <v>42 completed tickets</v>
      </c>
    </row>
    <row r="637" hidden="1">
      <c r="A637" s="6" t="s">
        <v>65</v>
      </c>
      <c r="B637" s="7" t="s">
        <v>177</v>
      </c>
      <c r="C637" s="38" t="s">
        <v>144</v>
      </c>
      <c r="D637" s="15">
        <v>10.0</v>
      </c>
      <c r="E637" s="10">
        <f t="shared" si="2"/>
        <v>500</v>
      </c>
      <c r="F637" s="10" t="str">
        <f t="shared" si="3"/>
        <v>10 completed tickets</v>
      </c>
    </row>
    <row r="638" hidden="1">
      <c r="A638" s="6" t="s">
        <v>65</v>
      </c>
      <c r="B638" s="7" t="s">
        <v>270</v>
      </c>
      <c r="C638" s="38" t="s">
        <v>126</v>
      </c>
      <c r="D638" s="15">
        <v>16.0</v>
      </c>
      <c r="E638" s="10">
        <f t="shared" si="2"/>
        <v>800</v>
      </c>
      <c r="F638" s="10" t="str">
        <f t="shared" si="3"/>
        <v>16 completed tickets</v>
      </c>
    </row>
    <row r="639" hidden="1">
      <c r="A639" s="6" t="s">
        <v>65</v>
      </c>
      <c r="B639" s="7" t="s">
        <v>178</v>
      </c>
      <c r="C639" s="38" t="s">
        <v>179</v>
      </c>
      <c r="D639" s="15">
        <v>38.0</v>
      </c>
      <c r="E639" s="10">
        <f t="shared" si="2"/>
        <v>1900</v>
      </c>
      <c r="F639" s="10" t="str">
        <f t="shared" si="3"/>
        <v>38 completed tickets</v>
      </c>
    </row>
    <row r="640" hidden="1">
      <c r="A640" s="6" t="s">
        <v>65</v>
      </c>
      <c r="B640" s="7" t="s">
        <v>180</v>
      </c>
      <c r="C640" s="38" t="s">
        <v>181</v>
      </c>
      <c r="D640" s="15">
        <v>92.0</v>
      </c>
      <c r="E640" s="10">
        <f t="shared" si="2"/>
        <v>4600</v>
      </c>
      <c r="F640" s="10" t="str">
        <f t="shared" si="3"/>
        <v>92 completed tickets</v>
      </c>
    </row>
    <row r="641" hidden="1">
      <c r="A641" s="6" t="s">
        <v>65</v>
      </c>
      <c r="B641" s="7" t="s">
        <v>182</v>
      </c>
      <c r="C641" s="38" t="s">
        <v>183</v>
      </c>
      <c r="D641" s="15">
        <v>19.0</v>
      </c>
      <c r="E641" s="10">
        <f t="shared" si="2"/>
        <v>950</v>
      </c>
      <c r="F641" s="10" t="str">
        <f t="shared" si="3"/>
        <v>19 completed tickets</v>
      </c>
    </row>
    <row r="642" hidden="1">
      <c r="A642" s="6" t="s">
        <v>65</v>
      </c>
      <c r="B642" s="7" t="s">
        <v>184</v>
      </c>
      <c r="C642" s="38" t="s">
        <v>185</v>
      </c>
      <c r="D642" s="15">
        <v>49.0</v>
      </c>
      <c r="E642" s="10">
        <f t="shared" si="2"/>
        <v>2450</v>
      </c>
      <c r="F642" s="10" t="str">
        <f t="shared" si="3"/>
        <v>49 completed tickets</v>
      </c>
    </row>
    <row r="643" hidden="1">
      <c r="A643" s="6" t="s">
        <v>65</v>
      </c>
      <c r="B643" s="13" t="s">
        <v>186</v>
      </c>
      <c r="C643" s="38" t="s">
        <v>187</v>
      </c>
      <c r="D643" s="15">
        <v>46.0</v>
      </c>
      <c r="E643" s="10">
        <f t="shared" si="2"/>
        <v>2300</v>
      </c>
      <c r="F643" s="10" t="str">
        <f t="shared" si="3"/>
        <v>46 completed tickets</v>
      </c>
    </row>
    <row r="644" hidden="1">
      <c r="A644" s="6" t="s">
        <v>65</v>
      </c>
      <c r="B644" s="13" t="s">
        <v>188</v>
      </c>
      <c r="C644" s="38" t="s">
        <v>189</v>
      </c>
      <c r="D644" s="15">
        <v>25.0</v>
      </c>
      <c r="E644" s="10">
        <f t="shared" si="2"/>
        <v>1250</v>
      </c>
      <c r="F644" s="10" t="str">
        <f t="shared" si="3"/>
        <v>25 completed tickets</v>
      </c>
    </row>
    <row r="645" hidden="1">
      <c r="A645" s="6" t="s">
        <v>65</v>
      </c>
      <c r="B645" s="7" t="s">
        <v>190</v>
      </c>
      <c r="C645" s="38" t="s">
        <v>191</v>
      </c>
      <c r="D645" s="15">
        <v>31.0</v>
      </c>
      <c r="E645" s="10">
        <f t="shared" si="2"/>
        <v>1550</v>
      </c>
      <c r="F645" s="10" t="str">
        <f t="shared" si="3"/>
        <v>31 completed tickets</v>
      </c>
    </row>
    <row r="646" hidden="1">
      <c r="A646" s="6" t="s">
        <v>65</v>
      </c>
      <c r="B646" s="7" t="s">
        <v>192</v>
      </c>
      <c r="C646" s="38" t="s">
        <v>193</v>
      </c>
      <c r="D646" s="15">
        <v>28.0</v>
      </c>
      <c r="E646" s="10">
        <f t="shared" si="2"/>
        <v>1400</v>
      </c>
      <c r="F646" s="10" t="str">
        <f t="shared" si="3"/>
        <v>28 completed tickets</v>
      </c>
    </row>
    <row r="647" hidden="1">
      <c r="A647" s="6" t="s">
        <v>65</v>
      </c>
      <c r="B647" s="7" t="s">
        <v>194</v>
      </c>
      <c r="C647" s="38" t="s">
        <v>195</v>
      </c>
      <c r="D647" s="15">
        <v>17.0</v>
      </c>
      <c r="E647" s="10">
        <f t="shared" si="2"/>
        <v>850</v>
      </c>
      <c r="F647" s="10" t="str">
        <f t="shared" si="3"/>
        <v>17 completed tickets</v>
      </c>
    </row>
    <row r="648" hidden="1">
      <c r="A648" s="6" t="s">
        <v>65</v>
      </c>
      <c r="B648" s="13" t="s">
        <v>196</v>
      </c>
      <c r="C648" s="38" t="s">
        <v>197</v>
      </c>
      <c r="D648" s="15">
        <v>27.0</v>
      </c>
      <c r="E648" s="10">
        <f t="shared" si="2"/>
        <v>1350</v>
      </c>
      <c r="F648" s="10" t="str">
        <f t="shared" si="3"/>
        <v>27 completed tickets</v>
      </c>
    </row>
    <row r="649" hidden="1">
      <c r="A649" s="6" t="s">
        <v>65</v>
      </c>
      <c r="B649" s="13" t="s">
        <v>198</v>
      </c>
      <c r="C649" s="38" t="s">
        <v>199</v>
      </c>
      <c r="D649" s="15">
        <v>44.0</v>
      </c>
      <c r="E649" s="10">
        <f t="shared" si="2"/>
        <v>2200</v>
      </c>
      <c r="F649" s="10" t="str">
        <f t="shared" si="3"/>
        <v>44 completed tickets</v>
      </c>
    </row>
    <row r="650" hidden="1">
      <c r="A650" s="6" t="s">
        <v>65</v>
      </c>
      <c r="B650" s="13" t="s">
        <v>200</v>
      </c>
      <c r="C650" s="38" t="s">
        <v>201</v>
      </c>
      <c r="D650" s="15">
        <v>18.0</v>
      </c>
      <c r="E650" s="10">
        <f t="shared" si="2"/>
        <v>900</v>
      </c>
      <c r="F650" s="10" t="str">
        <f t="shared" si="3"/>
        <v>18 completed tickets</v>
      </c>
    </row>
    <row r="651" hidden="1">
      <c r="A651" s="6" t="s">
        <v>65</v>
      </c>
      <c r="B651" s="13" t="s">
        <v>202</v>
      </c>
      <c r="C651" s="38" t="s">
        <v>203</v>
      </c>
      <c r="D651" s="15">
        <v>11.0</v>
      </c>
      <c r="E651" s="10">
        <f t="shared" si="2"/>
        <v>550</v>
      </c>
      <c r="F651" s="10" t="str">
        <f t="shared" si="3"/>
        <v>11 completed tickets</v>
      </c>
    </row>
    <row r="652" hidden="1">
      <c r="A652" s="6" t="s">
        <v>65</v>
      </c>
      <c r="B652" s="13" t="s">
        <v>253</v>
      </c>
      <c r="C652" s="38" t="s">
        <v>254</v>
      </c>
      <c r="D652" s="15">
        <v>14.0</v>
      </c>
      <c r="E652" s="10">
        <f t="shared" si="2"/>
        <v>700</v>
      </c>
      <c r="F652" s="10" t="str">
        <f t="shared" si="3"/>
        <v>14 completed tickets</v>
      </c>
    </row>
    <row r="653" hidden="1">
      <c r="A653" s="6" t="s">
        <v>65</v>
      </c>
      <c r="B653" s="13" t="s">
        <v>264</v>
      </c>
      <c r="C653" s="38" t="s">
        <v>265</v>
      </c>
      <c r="D653" s="15">
        <v>18.0</v>
      </c>
      <c r="E653" s="10">
        <f t="shared" si="2"/>
        <v>900</v>
      </c>
      <c r="F653" s="10" t="str">
        <f t="shared" si="3"/>
        <v>18 completed tickets</v>
      </c>
    </row>
    <row r="654" hidden="1">
      <c r="A654" s="6" t="s">
        <v>65</v>
      </c>
      <c r="B654" s="13" t="s">
        <v>250</v>
      </c>
      <c r="C654" s="38" t="s">
        <v>137</v>
      </c>
      <c r="D654" s="15">
        <v>2.0</v>
      </c>
      <c r="E654" s="10">
        <f t="shared" si="2"/>
        <v>100</v>
      </c>
      <c r="F654" s="10" t="str">
        <f t="shared" si="3"/>
        <v>2 completed tickets</v>
      </c>
    </row>
    <row r="655" hidden="1">
      <c r="A655" s="6" t="s">
        <v>65</v>
      </c>
      <c r="B655" s="13" t="s">
        <v>260</v>
      </c>
      <c r="C655" s="38" t="s">
        <v>261</v>
      </c>
      <c r="D655" s="15">
        <v>8.0</v>
      </c>
      <c r="E655" s="10">
        <f t="shared" si="2"/>
        <v>400</v>
      </c>
      <c r="F655" s="10" t="str">
        <f t="shared" si="3"/>
        <v>8 completed tickets</v>
      </c>
    </row>
    <row r="656" hidden="1">
      <c r="A656" s="6" t="s">
        <v>65</v>
      </c>
      <c r="B656" s="13" t="s">
        <v>236</v>
      </c>
      <c r="C656" s="38" t="s">
        <v>159</v>
      </c>
      <c r="D656" s="15">
        <v>10.0</v>
      </c>
      <c r="E656" s="10">
        <f t="shared" si="2"/>
        <v>500</v>
      </c>
      <c r="F656" s="10" t="str">
        <f t="shared" si="3"/>
        <v>10 completed tickets</v>
      </c>
    </row>
    <row r="657" hidden="1">
      <c r="A657" s="6" t="s">
        <v>65</v>
      </c>
      <c r="B657" s="13" t="s">
        <v>212</v>
      </c>
      <c r="C657" s="38" t="s">
        <v>213</v>
      </c>
      <c r="D657" s="15">
        <v>8.0</v>
      </c>
      <c r="E657" s="10">
        <f t="shared" si="2"/>
        <v>400</v>
      </c>
      <c r="F657" s="10" t="str">
        <f t="shared" si="3"/>
        <v>8 completed tickets</v>
      </c>
    </row>
    <row r="658" hidden="1">
      <c r="A658" s="6" t="s">
        <v>65</v>
      </c>
      <c r="B658" s="13" t="s">
        <v>266</v>
      </c>
      <c r="C658" s="38" t="s">
        <v>267</v>
      </c>
      <c r="D658" s="15">
        <v>2.0</v>
      </c>
      <c r="E658" s="10">
        <f t="shared" si="2"/>
        <v>100</v>
      </c>
      <c r="F658" s="10" t="str">
        <f t="shared" si="3"/>
        <v>2 completed tickets</v>
      </c>
    </row>
    <row r="659" hidden="1">
      <c r="A659" s="6" t="s">
        <v>65</v>
      </c>
      <c r="B659" s="13" t="s">
        <v>277</v>
      </c>
      <c r="C659" s="38" t="s">
        <v>278</v>
      </c>
      <c r="D659" s="15">
        <v>4.0</v>
      </c>
      <c r="E659" s="10">
        <f t="shared" si="2"/>
        <v>200</v>
      </c>
      <c r="F659" s="10" t="str">
        <f t="shared" si="3"/>
        <v>4 completed tickets</v>
      </c>
    </row>
    <row r="660" hidden="1">
      <c r="A660" s="6" t="s">
        <v>65</v>
      </c>
      <c r="B660" s="13" t="s">
        <v>299</v>
      </c>
      <c r="C660" s="38" t="s">
        <v>300</v>
      </c>
      <c r="D660" s="15">
        <v>2.0</v>
      </c>
      <c r="E660" s="10">
        <f t="shared" si="2"/>
        <v>100</v>
      </c>
      <c r="F660" s="10" t="str">
        <f t="shared" si="3"/>
        <v>2 completed tickets</v>
      </c>
    </row>
    <row r="661" hidden="1">
      <c r="A661" s="6" t="s">
        <v>67</v>
      </c>
      <c r="B661" s="7" t="s">
        <v>160</v>
      </c>
      <c r="C661" s="38" t="s">
        <v>140</v>
      </c>
      <c r="D661" s="15">
        <v>91.0</v>
      </c>
      <c r="E661" s="10">
        <f t="shared" si="2"/>
        <v>4550</v>
      </c>
      <c r="F661" s="10" t="str">
        <f t="shared" si="3"/>
        <v>91 completed tickets</v>
      </c>
    </row>
    <row r="662" hidden="1">
      <c r="A662" s="6" t="s">
        <v>67</v>
      </c>
      <c r="B662" s="7" t="s">
        <v>161</v>
      </c>
      <c r="C662" s="38" t="s">
        <v>152</v>
      </c>
      <c r="D662" s="15">
        <v>41.0</v>
      </c>
      <c r="E662" s="10">
        <f t="shared" si="2"/>
        <v>2050</v>
      </c>
      <c r="F662" s="10" t="str">
        <f t="shared" si="3"/>
        <v>41 completed tickets</v>
      </c>
    </row>
    <row r="663" hidden="1">
      <c r="A663" s="6" t="s">
        <v>67</v>
      </c>
      <c r="B663" s="7" t="s">
        <v>162</v>
      </c>
      <c r="C663" s="38" t="s">
        <v>163</v>
      </c>
      <c r="D663" s="15">
        <v>41.0</v>
      </c>
      <c r="E663" s="10">
        <f t="shared" si="2"/>
        <v>2050</v>
      </c>
      <c r="F663" s="10" t="str">
        <f t="shared" si="3"/>
        <v>41 completed tickets</v>
      </c>
    </row>
    <row r="664" hidden="1">
      <c r="A664" s="6" t="s">
        <v>67</v>
      </c>
      <c r="B664" s="7" t="s">
        <v>164</v>
      </c>
      <c r="C664" s="38" t="s">
        <v>158</v>
      </c>
      <c r="D664" s="15">
        <v>17.0</v>
      </c>
      <c r="E664" s="10">
        <f t="shared" si="2"/>
        <v>850</v>
      </c>
      <c r="F664" s="10" t="str">
        <f t="shared" si="3"/>
        <v>17 completed tickets</v>
      </c>
    </row>
    <row r="665" hidden="1">
      <c r="A665" s="6" t="s">
        <v>67</v>
      </c>
      <c r="B665" s="7" t="s">
        <v>165</v>
      </c>
      <c r="C665" s="38" t="s">
        <v>166</v>
      </c>
      <c r="D665" s="15">
        <v>49.0</v>
      </c>
      <c r="E665" s="10">
        <f t="shared" si="2"/>
        <v>2450</v>
      </c>
      <c r="F665" s="10" t="str">
        <f t="shared" si="3"/>
        <v>49 completed tickets</v>
      </c>
    </row>
    <row r="666" hidden="1">
      <c r="A666" s="6" t="s">
        <v>67</v>
      </c>
      <c r="B666" s="7" t="s">
        <v>167</v>
      </c>
      <c r="C666" s="38" t="s">
        <v>157</v>
      </c>
      <c r="D666" s="15">
        <v>22.0</v>
      </c>
      <c r="E666" s="10">
        <f t="shared" si="2"/>
        <v>1100</v>
      </c>
      <c r="F666" s="10" t="str">
        <f t="shared" si="3"/>
        <v>22 completed tickets</v>
      </c>
    </row>
    <row r="667" hidden="1">
      <c r="A667" s="6" t="s">
        <v>67</v>
      </c>
      <c r="B667" s="7" t="s">
        <v>168</v>
      </c>
      <c r="C667" s="38" t="s">
        <v>169</v>
      </c>
      <c r="D667" s="15">
        <v>65.0</v>
      </c>
      <c r="E667" s="10">
        <f t="shared" si="2"/>
        <v>3250</v>
      </c>
      <c r="F667" s="10" t="str">
        <f t="shared" si="3"/>
        <v>65 completed tickets</v>
      </c>
    </row>
    <row r="668" hidden="1">
      <c r="A668" s="6" t="s">
        <v>67</v>
      </c>
      <c r="B668" s="7" t="s">
        <v>170</v>
      </c>
      <c r="C668" s="38" t="s">
        <v>171</v>
      </c>
      <c r="D668" s="15">
        <v>26.0</v>
      </c>
      <c r="E668" s="10">
        <f t="shared" si="2"/>
        <v>1300</v>
      </c>
      <c r="F668" s="10" t="str">
        <f t="shared" si="3"/>
        <v>26 completed tickets</v>
      </c>
    </row>
    <row r="669" hidden="1">
      <c r="A669" s="6" t="s">
        <v>67</v>
      </c>
      <c r="B669" s="7" t="s">
        <v>295</v>
      </c>
      <c r="C669" s="38" t="s">
        <v>296</v>
      </c>
      <c r="D669" s="15">
        <v>52.0</v>
      </c>
      <c r="E669" s="10">
        <f t="shared" si="2"/>
        <v>2600</v>
      </c>
      <c r="F669" s="10" t="str">
        <f t="shared" si="3"/>
        <v>52 completed tickets</v>
      </c>
    </row>
    <row r="670" hidden="1">
      <c r="A670" s="6" t="s">
        <v>67</v>
      </c>
      <c r="B670" s="7" t="s">
        <v>172</v>
      </c>
      <c r="C670" s="38" t="s">
        <v>173</v>
      </c>
      <c r="D670" s="15">
        <v>42.0</v>
      </c>
      <c r="E670" s="10">
        <f t="shared" si="2"/>
        <v>2100</v>
      </c>
      <c r="F670" s="10" t="str">
        <f t="shared" si="3"/>
        <v>42 completed tickets</v>
      </c>
    </row>
    <row r="671" hidden="1">
      <c r="A671" s="6" t="s">
        <v>67</v>
      </c>
      <c r="B671" s="7" t="s">
        <v>297</v>
      </c>
      <c r="C671" s="38" t="s">
        <v>153</v>
      </c>
      <c r="D671" s="15">
        <v>48.0</v>
      </c>
      <c r="E671" s="10">
        <f t="shared" si="2"/>
        <v>2400</v>
      </c>
      <c r="F671" s="10" t="str">
        <f t="shared" si="3"/>
        <v>48 completed tickets</v>
      </c>
    </row>
    <row r="672" hidden="1">
      <c r="A672" s="6" t="s">
        <v>67</v>
      </c>
      <c r="B672" s="7" t="s">
        <v>174</v>
      </c>
      <c r="C672" s="38" t="s">
        <v>175</v>
      </c>
      <c r="D672" s="15">
        <v>43.0</v>
      </c>
      <c r="E672" s="10">
        <f t="shared" si="2"/>
        <v>2150</v>
      </c>
      <c r="F672" s="10" t="str">
        <f t="shared" si="3"/>
        <v>43 completed tickets</v>
      </c>
    </row>
    <row r="673" hidden="1">
      <c r="A673" s="6" t="s">
        <v>67</v>
      </c>
      <c r="B673" s="7" t="s">
        <v>176</v>
      </c>
      <c r="C673" s="38" t="s">
        <v>130</v>
      </c>
      <c r="D673" s="15">
        <v>37.0</v>
      </c>
      <c r="E673" s="10">
        <f t="shared" si="2"/>
        <v>1850</v>
      </c>
      <c r="F673" s="10" t="str">
        <f t="shared" si="3"/>
        <v>37 completed tickets</v>
      </c>
    </row>
    <row r="674" hidden="1">
      <c r="A674" s="6" t="s">
        <v>67</v>
      </c>
      <c r="B674" s="7" t="s">
        <v>252</v>
      </c>
      <c r="C674" s="38" t="s">
        <v>139</v>
      </c>
      <c r="D674" s="15">
        <v>44.0</v>
      </c>
      <c r="E674" s="10">
        <f t="shared" si="2"/>
        <v>2200</v>
      </c>
      <c r="F674" s="10" t="str">
        <f t="shared" si="3"/>
        <v>44 completed tickets</v>
      </c>
    </row>
    <row r="675" hidden="1">
      <c r="A675" s="6" t="s">
        <v>67</v>
      </c>
      <c r="B675" s="7" t="s">
        <v>177</v>
      </c>
      <c r="C675" s="38" t="s">
        <v>144</v>
      </c>
      <c r="D675" s="15">
        <v>59.0</v>
      </c>
      <c r="E675" s="10">
        <f t="shared" si="2"/>
        <v>2950</v>
      </c>
      <c r="F675" s="10" t="str">
        <f t="shared" si="3"/>
        <v>59 completed tickets</v>
      </c>
    </row>
    <row r="676" hidden="1">
      <c r="A676" s="6" t="s">
        <v>67</v>
      </c>
      <c r="B676" s="7" t="s">
        <v>270</v>
      </c>
      <c r="C676" s="38" t="s">
        <v>126</v>
      </c>
      <c r="D676" s="15">
        <v>28.0</v>
      </c>
      <c r="E676" s="10">
        <f t="shared" si="2"/>
        <v>1400</v>
      </c>
      <c r="F676" s="10" t="str">
        <f t="shared" si="3"/>
        <v>28 completed tickets</v>
      </c>
    </row>
    <row r="677" hidden="1">
      <c r="A677" s="6" t="s">
        <v>67</v>
      </c>
      <c r="B677" s="7" t="s">
        <v>178</v>
      </c>
      <c r="C677" s="38" t="s">
        <v>179</v>
      </c>
      <c r="D677" s="15">
        <v>40.0</v>
      </c>
      <c r="E677" s="10">
        <f t="shared" si="2"/>
        <v>2000</v>
      </c>
      <c r="F677" s="10" t="str">
        <f t="shared" si="3"/>
        <v>40 completed tickets</v>
      </c>
    </row>
    <row r="678" hidden="1">
      <c r="A678" s="6" t="s">
        <v>67</v>
      </c>
      <c r="B678" s="7" t="s">
        <v>180</v>
      </c>
      <c r="C678" s="38" t="s">
        <v>181</v>
      </c>
      <c r="D678" s="15">
        <v>108.0</v>
      </c>
      <c r="E678" s="10">
        <f t="shared" si="2"/>
        <v>5400</v>
      </c>
      <c r="F678" s="10" t="str">
        <f t="shared" si="3"/>
        <v>108 completed tickets</v>
      </c>
    </row>
    <row r="679" hidden="1">
      <c r="A679" s="6" t="s">
        <v>67</v>
      </c>
      <c r="B679" s="7" t="s">
        <v>182</v>
      </c>
      <c r="C679" s="38" t="s">
        <v>183</v>
      </c>
      <c r="D679" s="15">
        <v>21.0</v>
      </c>
      <c r="E679" s="10">
        <f t="shared" si="2"/>
        <v>1050</v>
      </c>
      <c r="F679" s="10" t="str">
        <f t="shared" si="3"/>
        <v>21 completed tickets</v>
      </c>
    </row>
    <row r="680" hidden="1">
      <c r="A680" s="6" t="s">
        <v>67</v>
      </c>
      <c r="B680" s="7" t="s">
        <v>184</v>
      </c>
      <c r="C680" s="38" t="s">
        <v>185</v>
      </c>
      <c r="D680" s="15">
        <v>48.0</v>
      </c>
      <c r="E680" s="10">
        <f t="shared" si="2"/>
        <v>2400</v>
      </c>
      <c r="F680" s="10" t="str">
        <f t="shared" si="3"/>
        <v>48 completed tickets</v>
      </c>
    </row>
    <row r="681" hidden="1">
      <c r="A681" s="6" t="s">
        <v>67</v>
      </c>
      <c r="B681" s="13" t="s">
        <v>186</v>
      </c>
      <c r="C681" s="38" t="s">
        <v>187</v>
      </c>
      <c r="D681" s="15">
        <v>61.0</v>
      </c>
      <c r="E681" s="10">
        <f t="shared" si="2"/>
        <v>3050</v>
      </c>
      <c r="F681" s="10" t="str">
        <f t="shared" si="3"/>
        <v>61 completed tickets</v>
      </c>
    </row>
    <row r="682" hidden="1">
      <c r="A682" s="6" t="s">
        <v>67</v>
      </c>
      <c r="B682" s="13" t="s">
        <v>188</v>
      </c>
      <c r="C682" s="38" t="s">
        <v>189</v>
      </c>
      <c r="D682" s="15">
        <v>46.0</v>
      </c>
      <c r="E682" s="10">
        <f t="shared" si="2"/>
        <v>2300</v>
      </c>
      <c r="F682" s="10" t="str">
        <f t="shared" si="3"/>
        <v>46 completed tickets</v>
      </c>
    </row>
    <row r="683" hidden="1">
      <c r="A683" s="6" t="s">
        <v>67</v>
      </c>
      <c r="B683" s="7" t="s">
        <v>190</v>
      </c>
      <c r="C683" s="38" t="s">
        <v>191</v>
      </c>
      <c r="D683" s="15">
        <v>22.0</v>
      </c>
      <c r="E683" s="10">
        <f t="shared" si="2"/>
        <v>1100</v>
      </c>
      <c r="F683" s="10" t="str">
        <f t="shared" si="3"/>
        <v>22 completed tickets</v>
      </c>
    </row>
    <row r="684" hidden="1">
      <c r="A684" s="6" t="s">
        <v>67</v>
      </c>
      <c r="B684" s="7" t="s">
        <v>192</v>
      </c>
      <c r="C684" s="38" t="s">
        <v>193</v>
      </c>
      <c r="D684" s="15">
        <v>27.0</v>
      </c>
      <c r="E684" s="10">
        <f t="shared" si="2"/>
        <v>1350</v>
      </c>
      <c r="F684" s="10" t="str">
        <f t="shared" si="3"/>
        <v>27 completed tickets</v>
      </c>
    </row>
    <row r="685" hidden="1">
      <c r="A685" s="6" t="s">
        <v>67</v>
      </c>
      <c r="B685" s="7" t="s">
        <v>194</v>
      </c>
      <c r="C685" s="38" t="s">
        <v>195</v>
      </c>
      <c r="D685" s="15">
        <v>23.0</v>
      </c>
      <c r="E685" s="10">
        <f t="shared" si="2"/>
        <v>1150</v>
      </c>
      <c r="F685" s="10" t="str">
        <f t="shared" si="3"/>
        <v>23 completed tickets</v>
      </c>
    </row>
    <row r="686" hidden="1">
      <c r="A686" s="6" t="s">
        <v>67</v>
      </c>
      <c r="B686" s="13" t="s">
        <v>196</v>
      </c>
      <c r="C686" s="38" t="s">
        <v>197</v>
      </c>
      <c r="D686" s="15">
        <v>30.0</v>
      </c>
      <c r="E686" s="10">
        <f t="shared" si="2"/>
        <v>1500</v>
      </c>
      <c r="F686" s="10" t="str">
        <f t="shared" si="3"/>
        <v>30 completed tickets</v>
      </c>
    </row>
    <row r="687" hidden="1">
      <c r="A687" s="6" t="s">
        <v>67</v>
      </c>
      <c r="B687" s="13" t="s">
        <v>198</v>
      </c>
      <c r="C687" s="38" t="s">
        <v>199</v>
      </c>
      <c r="D687" s="15">
        <v>55.0</v>
      </c>
      <c r="E687" s="10">
        <f t="shared" si="2"/>
        <v>2750</v>
      </c>
      <c r="F687" s="10" t="str">
        <f t="shared" si="3"/>
        <v>55 completed tickets</v>
      </c>
    </row>
    <row r="688" hidden="1">
      <c r="A688" s="6" t="s">
        <v>67</v>
      </c>
      <c r="B688" s="13" t="s">
        <v>200</v>
      </c>
      <c r="C688" s="38" t="s">
        <v>201</v>
      </c>
      <c r="D688" s="15">
        <v>8.0</v>
      </c>
      <c r="E688" s="10">
        <f t="shared" si="2"/>
        <v>400</v>
      </c>
      <c r="F688" s="10" t="str">
        <f t="shared" si="3"/>
        <v>8 completed tickets</v>
      </c>
    </row>
    <row r="689" hidden="1">
      <c r="A689" s="6" t="s">
        <v>67</v>
      </c>
      <c r="B689" s="13" t="s">
        <v>202</v>
      </c>
      <c r="C689" s="38" t="s">
        <v>203</v>
      </c>
      <c r="D689" s="15">
        <v>4.0</v>
      </c>
      <c r="E689" s="10">
        <f t="shared" si="2"/>
        <v>200</v>
      </c>
      <c r="F689" s="10" t="str">
        <f t="shared" si="3"/>
        <v>4 completed tickets</v>
      </c>
    </row>
    <row r="690" hidden="1">
      <c r="A690" s="6" t="s">
        <v>67</v>
      </c>
      <c r="B690" s="13" t="s">
        <v>253</v>
      </c>
      <c r="C690" s="38" t="s">
        <v>254</v>
      </c>
      <c r="D690" s="15">
        <v>4.0</v>
      </c>
      <c r="E690" s="10">
        <f t="shared" si="2"/>
        <v>200</v>
      </c>
      <c r="F690" s="10" t="str">
        <f t="shared" si="3"/>
        <v>4 completed tickets</v>
      </c>
    </row>
    <row r="691" hidden="1">
      <c r="A691" s="6" t="s">
        <v>67</v>
      </c>
      <c r="B691" s="13" t="s">
        <v>273</v>
      </c>
      <c r="C691" s="38" t="s">
        <v>274</v>
      </c>
      <c r="D691" s="15">
        <v>2.0</v>
      </c>
      <c r="E691" s="10">
        <f t="shared" si="2"/>
        <v>100</v>
      </c>
      <c r="F691" s="10" t="str">
        <f t="shared" si="3"/>
        <v>2 completed tickets</v>
      </c>
    </row>
    <row r="692" hidden="1">
      <c r="A692" s="6" t="s">
        <v>67</v>
      </c>
      <c r="B692" s="13" t="s">
        <v>264</v>
      </c>
      <c r="C692" s="38" t="s">
        <v>265</v>
      </c>
      <c r="D692" s="15">
        <v>6.0</v>
      </c>
      <c r="E692" s="10">
        <f t="shared" si="2"/>
        <v>300</v>
      </c>
      <c r="F692" s="10" t="str">
        <f t="shared" si="3"/>
        <v>6 completed tickets</v>
      </c>
    </row>
    <row r="693" hidden="1">
      <c r="A693" s="6" t="s">
        <v>67</v>
      </c>
      <c r="B693" s="13" t="s">
        <v>260</v>
      </c>
      <c r="C693" s="38" t="s">
        <v>261</v>
      </c>
      <c r="D693" s="15">
        <v>22.0</v>
      </c>
      <c r="E693" s="10">
        <f t="shared" si="2"/>
        <v>1100</v>
      </c>
      <c r="F693" s="10" t="str">
        <f t="shared" si="3"/>
        <v>22 completed tickets</v>
      </c>
    </row>
    <row r="694" hidden="1">
      <c r="A694" s="6" t="s">
        <v>67</v>
      </c>
      <c r="B694" s="13" t="s">
        <v>236</v>
      </c>
      <c r="C694" s="38" t="s">
        <v>159</v>
      </c>
      <c r="D694" s="15">
        <v>10.0</v>
      </c>
      <c r="E694" s="10">
        <f t="shared" si="2"/>
        <v>500</v>
      </c>
      <c r="F694" s="10" t="str">
        <f t="shared" si="3"/>
        <v>10 completed tickets</v>
      </c>
    </row>
    <row r="695" hidden="1">
      <c r="A695" s="6" t="s">
        <v>67</v>
      </c>
      <c r="B695" s="13" t="s">
        <v>212</v>
      </c>
      <c r="C695" s="38" t="s">
        <v>213</v>
      </c>
      <c r="D695" s="15">
        <v>18.0</v>
      </c>
      <c r="E695" s="10">
        <f t="shared" si="2"/>
        <v>900</v>
      </c>
      <c r="F695" s="10" t="str">
        <f t="shared" si="3"/>
        <v>18 completed tickets</v>
      </c>
    </row>
    <row r="696" hidden="1">
      <c r="A696" s="6" t="s">
        <v>69</v>
      </c>
      <c r="B696" s="7" t="s">
        <v>160</v>
      </c>
      <c r="C696" s="38" t="s">
        <v>140</v>
      </c>
      <c r="D696" s="15">
        <v>91.0</v>
      </c>
      <c r="E696" s="10">
        <f t="shared" si="2"/>
        <v>4550</v>
      </c>
      <c r="F696" s="10" t="str">
        <f t="shared" si="3"/>
        <v>91 completed tickets</v>
      </c>
    </row>
    <row r="697" hidden="1">
      <c r="A697" s="6" t="s">
        <v>69</v>
      </c>
      <c r="B697" s="7" t="s">
        <v>161</v>
      </c>
      <c r="C697" s="38" t="s">
        <v>152</v>
      </c>
      <c r="D697" s="15">
        <v>44.0</v>
      </c>
      <c r="E697" s="10">
        <f t="shared" si="2"/>
        <v>2200</v>
      </c>
      <c r="F697" s="10" t="str">
        <f t="shared" si="3"/>
        <v>44 completed tickets</v>
      </c>
    </row>
    <row r="698" hidden="1">
      <c r="A698" s="6" t="s">
        <v>69</v>
      </c>
      <c r="B698" s="7" t="s">
        <v>162</v>
      </c>
      <c r="C698" s="38" t="s">
        <v>163</v>
      </c>
      <c r="D698" s="15">
        <v>47.0</v>
      </c>
      <c r="E698" s="10">
        <f t="shared" si="2"/>
        <v>2350</v>
      </c>
      <c r="F698" s="10" t="str">
        <f t="shared" si="3"/>
        <v>47 completed tickets</v>
      </c>
    </row>
    <row r="699" hidden="1">
      <c r="A699" s="6" t="s">
        <v>69</v>
      </c>
      <c r="B699" s="7" t="s">
        <v>164</v>
      </c>
      <c r="C699" s="38" t="s">
        <v>158</v>
      </c>
      <c r="D699" s="15">
        <v>18.0</v>
      </c>
      <c r="E699" s="10">
        <f t="shared" si="2"/>
        <v>900</v>
      </c>
      <c r="F699" s="10" t="str">
        <f t="shared" si="3"/>
        <v>18 completed tickets</v>
      </c>
    </row>
    <row r="700" hidden="1">
      <c r="A700" s="6" t="s">
        <v>69</v>
      </c>
      <c r="B700" s="7" t="s">
        <v>165</v>
      </c>
      <c r="C700" s="38" t="s">
        <v>166</v>
      </c>
      <c r="D700" s="15">
        <v>37.0</v>
      </c>
      <c r="E700" s="10">
        <f t="shared" si="2"/>
        <v>1850</v>
      </c>
      <c r="F700" s="10" t="str">
        <f t="shared" si="3"/>
        <v>37 completed tickets</v>
      </c>
    </row>
    <row r="701" hidden="1">
      <c r="A701" s="6" t="s">
        <v>69</v>
      </c>
      <c r="B701" s="7" t="s">
        <v>167</v>
      </c>
      <c r="C701" s="38" t="s">
        <v>157</v>
      </c>
      <c r="D701" s="15">
        <v>47.0</v>
      </c>
      <c r="E701" s="10">
        <f t="shared" si="2"/>
        <v>2350</v>
      </c>
      <c r="F701" s="10" t="str">
        <f t="shared" si="3"/>
        <v>47 completed tickets</v>
      </c>
    </row>
    <row r="702" hidden="1">
      <c r="A702" s="6" t="s">
        <v>69</v>
      </c>
      <c r="B702" s="7" t="s">
        <v>168</v>
      </c>
      <c r="C702" s="38" t="s">
        <v>169</v>
      </c>
      <c r="D702" s="15">
        <v>69.0</v>
      </c>
      <c r="E702" s="10">
        <f t="shared" si="2"/>
        <v>3450</v>
      </c>
      <c r="F702" s="10" t="str">
        <f t="shared" si="3"/>
        <v>69 completed tickets</v>
      </c>
    </row>
    <row r="703" hidden="1">
      <c r="A703" s="6" t="s">
        <v>69</v>
      </c>
      <c r="B703" s="7" t="s">
        <v>170</v>
      </c>
      <c r="C703" s="38" t="s">
        <v>171</v>
      </c>
      <c r="D703" s="15">
        <v>33.0</v>
      </c>
      <c r="E703" s="10">
        <f t="shared" si="2"/>
        <v>1650</v>
      </c>
      <c r="F703" s="10" t="str">
        <f t="shared" si="3"/>
        <v>33 completed tickets</v>
      </c>
    </row>
    <row r="704" hidden="1">
      <c r="A704" s="6" t="s">
        <v>69</v>
      </c>
      <c r="B704" s="7" t="s">
        <v>295</v>
      </c>
      <c r="C704" s="38" t="s">
        <v>296</v>
      </c>
      <c r="D704" s="15">
        <v>58.0</v>
      </c>
      <c r="E704" s="10">
        <f t="shared" si="2"/>
        <v>2900</v>
      </c>
      <c r="F704" s="10" t="str">
        <f t="shared" si="3"/>
        <v>58 completed tickets</v>
      </c>
    </row>
    <row r="705" hidden="1">
      <c r="A705" s="6" t="s">
        <v>69</v>
      </c>
      <c r="B705" s="7" t="s">
        <v>172</v>
      </c>
      <c r="C705" s="38" t="s">
        <v>173</v>
      </c>
      <c r="D705" s="15">
        <v>45.0</v>
      </c>
      <c r="E705" s="10">
        <f t="shared" si="2"/>
        <v>2250</v>
      </c>
      <c r="F705" s="10" t="str">
        <f t="shared" si="3"/>
        <v>45 completed tickets</v>
      </c>
    </row>
    <row r="706" hidden="1">
      <c r="A706" s="6" t="s">
        <v>69</v>
      </c>
      <c r="B706" s="7" t="s">
        <v>297</v>
      </c>
      <c r="C706" s="38" t="s">
        <v>153</v>
      </c>
      <c r="D706" s="15">
        <v>48.0</v>
      </c>
      <c r="E706" s="10">
        <f t="shared" si="2"/>
        <v>2400</v>
      </c>
      <c r="F706" s="10" t="str">
        <f t="shared" si="3"/>
        <v>48 completed tickets</v>
      </c>
    </row>
    <row r="707" hidden="1">
      <c r="A707" s="6" t="s">
        <v>69</v>
      </c>
      <c r="B707" s="7" t="s">
        <v>174</v>
      </c>
      <c r="C707" s="38" t="s">
        <v>175</v>
      </c>
      <c r="D707" s="15">
        <v>44.0</v>
      </c>
      <c r="E707" s="10">
        <f t="shared" si="2"/>
        <v>2200</v>
      </c>
      <c r="F707" s="10" t="str">
        <f t="shared" si="3"/>
        <v>44 completed tickets</v>
      </c>
    </row>
    <row r="708" hidden="1">
      <c r="A708" s="6" t="s">
        <v>69</v>
      </c>
      <c r="B708" s="7" t="s">
        <v>176</v>
      </c>
      <c r="C708" s="38" t="s">
        <v>130</v>
      </c>
      <c r="D708" s="15">
        <v>53.0</v>
      </c>
      <c r="E708" s="10">
        <f t="shared" si="2"/>
        <v>2650</v>
      </c>
      <c r="F708" s="10" t="str">
        <f t="shared" si="3"/>
        <v>53 completed tickets</v>
      </c>
    </row>
    <row r="709" hidden="1">
      <c r="A709" s="6" t="s">
        <v>69</v>
      </c>
      <c r="B709" s="7" t="s">
        <v>252</v>
      </c>
      <c r="C709" s="38" t="s">
        <v>139</v>
      </c>
      <c r="D709" s="15">
        <v>71.0</v>
      </c>
      <c r="E709" s="10">
        <f t="shared" si="2"/>
        <v>3550</v>
      </c>
      <c r="F709" s="10" t="str">
        <f t="shared" si="3"/>
        <v>71 completed tickets</v>
      </c>
    </row>
    <row r="710" hidden="1">
      <c r="A710" s="6" t="s">
        <v>69</v>
      </c>
      <c r="B710" s="7" t="s">
        <v>177</v>
      </c>
      <c r="C710" s="38" t="s">
        <v>144</v>
      </c>
      <c r="D710" s="15">
        <v>38.0</v>
      </c>
      <c r="E710" s="10">
        <f t="shared" si="2"/>
        <v>1900</v>
      </c>
      <c r="F710" s="10" t="str">
        <f t="shared" si="3"/>
        <v>38 completed tickets</v>
      </c>
    </row>
    <row r="711" hidden="1">
      <c r="A711" s="6" t="s">
        <v>69</v>
      </c>
      <c r="B711" s="7" t="s">
        <v>270</v>
      </c>
      <c r="C711" s="38" t="s">
        <v>126</v>
      </c>
      <c r="D711" s="15">
        <v>28.0</v>
      </c>
      <c r="E711" s="10">
        <f t="shared" si="2"/>
        <v>1400</v>
      </c>
      <c r="F711" s="10" t="str">
        <f t="shared" si="3"/>
        <v>28 completed tickets</v>
      </c>
    </row>
    <row r="712" hidden="1">
      <c r="A712" s="6" t="s">
        <v>69</v>
      </c>
      <c r="B712" s="7" t="s">
        <v>178</v>
      </c>
      <c r="C712" s="38" t="s">
        <v>179</v>
      </c>
      <c r="D712" s="15">
        <v>50.0</v>
      </c>
      <c r="E712" s="10">
        <f t="shared" si="2"/>
        <v>2500</v>
      </c>
      <c r="F712" s="10" t="str">
        <f t="shared" si="3"/>
        <v>50 completed tickets</v>
      </c>
    </row>
    <row r="713" hidden="1">
      <c r="A713" s="6" t="s">
        <v>69</v>
      </c>
      <c r="B713" s="7" t="s">
        <v>180</v>
      </c>
      <c r="C713" s="38" t="s">
        <v>181</v>
      </c>
      <c r="D713" s="15">
        <v>109.0</v>
      </c>
      <c r="E713" s="10">
        <f t="shared" si="2"/>
        <v>5450</v>
      </c>
      <c r="F713" s="10" t="str">
        <f t="shared" si="3"/>
        <v>109 completed tickets</v>
      </c>
    </row>
    <row r="714" hidden="1">
      <c r="A714" s="6" t="s">
        <v>69</v>
      </c>
      <c r="B714" s="7" t="s">
        <v>182</v>
      </c>
      <c r="C714" s="38" t="s">
        <v>183</v>
      </c>
      <c r="D714" s="15">
        <v>28.0</v>
      </c>
      <c r="E714" s="10">
        <f t="shared" si="2"/>
        <v>1400</v>
      </c>
      <c r="F714" s="10" t="str">
        <f t="shared" si="3"/>
        <v>28 completed tickets</v>
      </c>
    </row>
    <row r="715" hidden="1">
      <c r="A715" s="6" t="s">
        <v>69</v>
      </c>
      <c r="B715" s="7" t="s">
        <v>184</v>
      </c>
      <c r="C715" s="38" t="s">
        <v>185</v>
      </c>
      <c r="D715" s="15">
        <v>64.0</v>
      </c>
      <c r="E715" s="10">
        <f t="shared" si="2"/>
        <v>3200</v>
      </c>
      <c r="F715" s="10" t="str">
        <f t="shared" si="3"/>
        <v>64 completed tickets</v>
      </c>
    </row>
    <row r="716" hidden="1">
      <c r="A716" s="6" t="s">
        <v>69</v>
      </c>
      <c r="B716" s="13" t="s">
        <v>186</v>
      </c>
      <c r="C716" s="38" t="s">
        <v>187</v>
      </c>
      <c r="D716" s="15">
        <v>82.0</v>
      </c>
      <c r="E716" s="10">
        <f t="shared" si="2"/>
        <v>4100</v>
      </c>
      <c r="F716" s="10" t="str">
        <f t="shared" si="3"/>
        <v>82 completed tickets</v>
      </c>
    </row>
    <row r="717" hidden="1">
      <c r="A717" s="6" t="s">
        <v>69</v>
      </c>
      <c r="B717" s="13" t="s">
        <v>188</v>
      </c>
      <c r="C717" s="38" t="s">
        <v>189</v>
      </c>
      <c r="D717" s="15">
        <v>42.0</v>
      </c>
      <c r="E717" s="10">
        <f t="shared" si="2"/>
        <v>2100</v>
      </c>
      <c r="F717" s="10" t="str">
        <f t="shared" si="3"/>
        <v>42 completed tickets</v>
      </c>
    </row>
    <row r="718" hidden="1">
      <c r="A718" s="6" t="s">
        <v>69</v>
      </c>
      <c r="B718" s="7" t="s">
        <v>190</v>
      </c>
      <c r="C718" s="38" t="s">
        <v>191</v>
      </c>
      <c r="D718" s="15">
        <v>28.0</v>
      </c>
      <c r="E718" s="10">
        <f t="shared" si="2"/>
        <v>1400</v>
      </c>
      <c r="F718" s="10" t="str">
        <f t="shared" si="3"/>
        <v>28 completed tickets</v>
      </c>
    </row>
    <row r="719" hidden="1">
      <c r="A719" s="6" t="s">
        <v>69</v>
      </c>
      <c r="B719" s="7" t="s">
        <v>192</v>
      </c>
      <c r="C719" s="38" t="s">
        <v>193</v>
      </c>
      <c r="D719" s="15">
        <v>24.0</v>
      </c>
      <c r="E719" s="10">
        <f t="shared" si="2"/>
        <v>1200</v>
      </c>
      <c r="F719" s="10" t="str">
        <f t="shared" si="3"/>
        <v>24 completed tickets</v>
      </c>
    </row>
    <row r="720" hidden="1">
      <c r="A720" s="6" t="s">
        <v>69</v>
      </c>
      <c r="B720" s="7" t="s">
        <v>194</v>
      </c>
      <c r="C720" s="38" t="s">
        <v>195</v>
      </c>
      <c r="D720" s="15">
        <v>27.0</v>
      </c>
      <c r="E720" s="10">
        <f t="shared" si="2"/>
        <v>1350</v>
      </c>
      <c r="F720" s="10" t="str">
        <f t="shared" si="3"/>
        <v>27 completed tickets</v>
      </c>
    </row>
    <row r="721" hidden="1">
      <c r="A721" s="6" t="s">
        <v>69</v>
      </c>
      <c r="B721" s="13" t="s">
        <v>196</v>
      </c>
      <c r="C721" s="38" t="s">
        <v>197</v>
      </c>
      <c r="D721" s="15">
        <v>38.0</v>
      </c>
      <c r="E721" s="10">
        <f t="shared" si="2"/>
        <v>1900</v>
      </c>
      <c r="F721" s="10" t="str">
        <f t="shared" si="3"/>
        <v>38 completed tickets</v>
      </c>
    </row>
    <row r="722" hidden="1">
      <c r="A722" s="6" t="s">
        <v>69</v>
      </c>
      <c r="B722" s="13" t="s">
        <v>198</v>
      </c>
      <c r="C722" s="38" t="s">
        <v>199</v>
      </c>
      <c r="D722" s="15">
        <v>57.0</v>
      </c>
      <c r="E722" s="10">
        <f t="shared" si="2"/>
        <v>2850</v>
      </c>
      <c r="F722" s="10" t="str">
        <f t="shared" si="3"/>
        <v>57 completed tickets</v>
      </c>
    </row>
    <row r="723" hidden="1">
      <c r="A723" s="6" t="s">
        <v>69</v>
      </c>
      <c r="B723" s="7" t="s">
        <v>253</v>
      </c>
      <c r="C723" s="38" t="s">
        <v>254</v>
      </c>
      <c r="D723" s="15">
        <v>20.0</v>
      </c>
      <c r="E723" s="10">
        <f t="shared" si="2"/>
        <v>1000</v>
      </c>
      <c r="F723" s="10" t="str">
        <f t="shared" si="3"/>
        <v>20 completed tickets</v>
      </c>
    </row>
    <row r="724" hidden="1">
      <c r="A724" s="6" t="s">
        <v>69</v>
      </c>
      <c r="B724" s="13" t="s">
        <v>271</v>
      </c>
      <c r="C724" s="38" t="s">
        <v>301</v>
      </c>
      <c r="D724" s="15">
        <v>2.0</v>
      </c>
      <c r="E724" s="10">
        <f t="shared" si="2"/>
        <v>100</v>
      </c>
      <c r="F724" s="10" t="str">
        <f t="shared" si="3"/>
        <v>2 completed tickets</v>
      </c>
    </row>
    <row r="725" hidden="1">
      <c r="A725" s="6" t="s">
        <v>69</v>
      </c>
      <c r="B725" s="7" t="s">
        <v>302</v>
      </c>
      <c r="C725" s="38" t="s">
        <v>303</v>
      </c>
      <c r="D725" s="15">
        <v>2.0</v>
      </c>
      <c r="E725" s="10">
        <f t="shared" si="2"/>
        <v>100</v>
      </c>
      <c r="F725" s="10" t="str">
        <f t="shared" si="3"/>
        <v>2 completed tickets</v>
      </c>
    </row>
    <row r="726" hidden="1">
      <c r="A726" s="6" t="s">
        <v>69</v>
      </c>
      <c r="B726" s="13" t="s">
        <v>268</v>
      </c>
      <c r="C726" s="38" t="s">
        <v>304</v>
      </c>
      <c r="D726" s="15">
        <v>2.0</v>
      </c>
      <c r="E726" s="10">
        <f t="shared" si="2"/>
        <v>100</v>
      </c>
      <c r="F726" s="10" t="str">
        <f t="shared" si="3"/>
        <v>2 completed tickets</v>
      </c>
    </row>
    <row r="727" hidden="1">
      <c r="A727" s="6" t="s">
        <v>69</v>
      </c>
      <c r="B727" s="13" t="s">
        <v>250</v>
      </c>
      <c r="C727" s="38" t="s">
        <v>137</v>
      </c>
      <c r="D727" s="15">
        <v>8.0</v>
      </c>
      <c r="E727" s="10">
        <f t="shared" si="2"/>
        <v>400</v>
      </c>
      <c r="F727" s="10" t="str">
        <f t="shared" si="3"/>
        <v>8 completed tickets</v>
      </c>
    </row>
    <row r="728" hidden="1">
      <c r="A728" s="6" t="s">
        <v>69</v>
      </c>
      <c r="B728" s="13" t="s">
        <v>260</v>
      </c>
      <c r="C728" s="38" t="s">
        <v>261</v>
      </c>
      <c r="D728" s="15">
        <v>20.0</v>
      </c>
      <c r="E728" s="10">
        <f t="shared" si="2"/>
        <v>1000</v>
      </c>
      <c r="F728" s="10" t="str">
        <f t="shared" si="3"/>
        <v>20 completed tickets</v>
      </c>
    </row>
    <row r="729" hidden="1">
      <c r="A729" s="6" t="s">
        <v>69</v>
      </c>
      <c r="B729" s="13" t="s">
        <v>236</v>
      </c>
      <c r="C729" s="38" t="s">
        <v>159</v>
      </c>
      <c r="D729" s="15">
        <v>8.0</v>
      </c>
      <c r="E729" s="10">
        <f t="shared" si="2"/>
        <v>400</v>
      </c>
      <c r="F729" s="10" t="str">
        <f t="shared" si="3"/>
        <v>8 completed tickets</v>
      </c>
    </row>
    <row r="730" hidden="1">
      <c r="A730" s="6" t="s">
        <v>69</v>
      </c>
      <c r="B730" s="13" t="s">
        <v>212</v>
      </c>
      <c r="C730" s="38" t="s">
        <v>213</v>
      </c>
      <c r="D730" s="15">
        <v>32.0</v>
      </c>
      <c r="E730" s="10">
        <f t="shared" si="2"/>
        <v>1600</v>
      </c>
      <c r="F730" s="10" t="str">
        <f t="shared" si="3"/>
        <v>32 completed tickets</v>
      </c>
    </row>
    <row r="731" hidden="1">
      <c r="A731" s="6" t="s">
        <v>71</v>
      </c>
      <c r="B731" s="7" t="s">
        <v>160</v>
      </c>
      <c r="C731" s="38" t="s">
        <v>140</v>
      </c>
      <c r="D731" s="15">
        <v>52.0</v>
      </c>
      <c r="E731" s="10">
        <f t="shared" si="2"/>
        <v>2600</v>
      </c>
      <c r="F731" s="10" t="str">
        <f t="shared" si="3"/>
        <v>52 completed tickets</v>
      </c>
    </row>
    <row r="732" hidden="1">
      <c r="A732" s="6" t="s">
        <v>71</v>
      </c>
      <c r="B732" s="7" t="s">
        <v>161</v>
      </c>
      <c r="C732" s="38" t="s">
        <v>152</v>
      </c>
      <c r="D732" s="15">
        <v>24.0</v>
      </c>
      <c r="E732" s="10">
        <f t="shared" si="2"/>
        <v>1200</v>
      </c>
      <c r="F732" s="10" t="str">
        <f t="shared" si="3"/>
        <v>24 completed tickets</v>
      </c>
    </row>
    <row r="733" hidden="1">
      <c r="A733" s="6" t="s">
        <v>71</v>
      </c>
      <c r="B733" s="7" t="s">
        <v>162</v>
      </c>
      <c r="C733" s="38" t="s">
        <v>163</v>
      </c>
      <c r="D733" s="15">
        <v>17.0</v>
      </c>
      <c r="E733" s="10">
        <f t="shared" si="2"/>
        <v>850</v>
      </c>
      <c r="F733" s="10" t="str">
        <f t="shared" si="3"/>
        <v>17 completed tickets</v>
      </c>
    </row>
    <row r="734" hidden="1">
      <c r="A734" s="6" t="s">
        <v>71</v>
      </c>
      <c r="B734" s="7" t="s">
        <v>164</v>
      </c>
      <c r="C734" s="38" t="s">
        <v>158</v>
      </c>
      <c r="D734" s="15">
        <v>20.0</v>
      </c>
      <c r="E734" s="10">
        <f t="shared" si="2"/>
        <v>1000</v>
      </c>
      <c r="F734" s="10" t="str">
        <f t="shared" si="3"/>
        <v>20 completed tickets</v>
      </c>
    </row>
    <row r="735" hidden="1">
      <c r="A735" s="6" t="s">
        <v>71</v>
      </c>
      <c r="B735" s="7" t="s">
        <v>165</v>
      </c>
      <c r="C735" s="38" t="s">
        <v>166</v>
      </c>
      <c r="D735" s="15">
        <v>20.0</v>
      </c>
      <c r="E735" s="10">
        <f t="shared" si="2"/>
        <v>1000</v>
      </c>
      <c r="F735" s="10" t="str">
        <f t="shared" si="3"/>
        <v>20 completed tickets</v>
      </c>
    </row>
    <row r="736" hidden="1">
      <c r="A736" s="6" t="s">
        <v>71</v>
      </c>
      <c r="B736" s="7" t="s">
        <v>167</v>
      </c>
      <c r="C736" s="38" t="s">
        <v>157</v>
      </c>
      <c r="D736" s="15">
        <v>15.0</v>
      </c>
      <c r="E736" s="10">
        <f t="shared" si="2"/>
        <v>750</v>
      </c>
      <c r="F736" s="10" t="str">
        <f t="shared" si="3"/>
        <v>15 completed tickets</v>
      </c>
    </row>
    <row r="737" hidden="1">
      <c r="A737" s="6" t="s">
        <v>71</v>
      </c>
      <c r="B737" s="7" t="s">
        <v>168</v>
      </c>
      <c r="C737" s="38" t="s">
        <v>169</v>
      </c>
      <c r="D737" s="15">
        <v>18.0</v>
      </c>
      <c r="E737" s="10">
        <f t="shared" si="2"/>
        <v>900</v>
      </c>
      <c r="F737" s="10" t="str">
        <f t="shared" si="3"/>
        <v>18 completed tickets</v>
      </c>
    </row>
    <row r="738" hidden="1">
      <c r="A738" s="6" t="s">
        <v>71</v>
      </c>
      <c r="B738" s="7" t="s">
        <v>170</v>
      </c>
      <c r="C738" s="38" t="s">
        <v>171</v>
      </c>
      <c r="D738" s="15">
        <v>14.0</v>
      </c>
      <c r="E738" s="10">
        <f t="shared" si="2"/>
        <v>700</v>
      </c>
      <c r="F738" s="10" t="str">
        <f t="shared" si="3"/>
        <v>14 completed tickets</v>
      </c>
    </row>
    <row r="739" hidden="1">
      <c r="A739" s="6" t="s">
        <v>71</v>
      </c>
      <c r="B739" s="7" t="s">
        <v>295</v>
      </c>
      <c r="C739" s="38" t="s">
        <v>296</v>
      </c>
      <c r="D739" s="15">
        <v>14.0</v>
      </c>
      <c r="E739" s="10">
        <f t="shared" si="2"/>
        <v>700</v>
      </c>
      <c r="F739" s="10" t="str">
        <f t="shared" si="3"/>
        <v>14 completed tickets</v>
      </c>
    </row>
    <row r="740" hidden="1">
      <c r="A740" s="6" t="s">
        <v>71</v>
      </c>
      <c r="B740" s="7" t="s">
        <v>172</v>
      </c>
      <c r="C740" s="38" t="s">
        <v>173</v>
      </c>
      <c r="D740" s="15">
        <v>17.0</v>
      </c>
      <c r="E740" s="10">
        <f t="shared" si="2"/>
        <v>850</v>
      </c>
      <c r="F740" s="10" t="str">
        <f t="shared" si="3"/>
        <v>17 completed tickets</v>
      </c>
    </row>
    <row r="741" hidden="1">
      <c r="A741" s="6" t="s">
        <v>71</v>
      </c>
      <c r="B741" s="7" t="s">
        <v>297</v>
      </c>
      <c r="C741" s="38" t="s">
        <v>153</v>
      </c>
      <c r="D741" s="15">
        <v>26.0</v>
      </c>
      <c r="E741" s="10">
        <f t="shared" si="2"/>
        <v>1300</v>
      </c>
      <c r="F741" s="10" t="str">
        <f t="shared" si="3"/>
        <v>26 completed tickets</v>
      </c>
    </row>
    <row r="742" hidden="1">
      <c r="A742" s="6" t="s">
        <v>71</v>
      </c>
      <c r="B742" s="7" t="s">
        <v>174</v>
      </c>
      <c r="C742" s="38" t="s">
        <v>175</v>
      </c>
      <c r="D742" s="15">
        <v>30.0</v>
      </c>
      <c r="E742" s="10">
        <f t="shared" si="2"/>
        <v>1500</v>
      </c>
      <c r="F742" s="10" t="str">
        <f t="shared" si="3"/>
        <v>30 completed tickets</v>
      </c>
    </row>
    <row r="743" hidden="1">
      <c r="A743" s="6" t="s">
        <v>71</v>
      </c>
      <c r="B743" s="7" t="s">
        <v>176</v>
      </c>
      <c r="C743" s="38" t="s">
        <v>130</v>
      </c>
      <c r="D743" s="15">
        <v>30.0</v>
      </c>
      <c r="E743" s="10">
        <f t="shared" si="2"/>
        <v>1500</v>
      </c>
      <c r="F743" s="10" t="str">
        <f t="shared" si="3"/>
        <v>30 completed tickets</v>
      </c>
    </row>
    <row r="744" hidden="1">
      <c r="A744" s="6" t="s">
        <v>71</v>
      </c>
      <c r="B744" s="7" t="s">
        <v>252</v>
      </c>
      <c r="C744" s="38" t="s">
        <v>139</v>
      </c>
      <c r="D744" s="15">
        <v>27.0</v>
      </c>
      <c r="E744" s="10">
        <f t="shared" si="2"/>
        <v>1350</v>
      </c>
      <c r="F744" s="10" t="str">
        <f t="shared" si="3"/>
        <v>27 completed tickets</v>
      </c>
    </row>
    <row r="745" hidden="1">
      <c r="A745" s="6" t="s">
        <v>71</v>
      </c>
      <c r="B745" s="7" t="s">
        <v>177</v>
      </c>
      <c r="C745" s="38" t="s">
        <v>144</v>
      </c>
      <c r="D745" s="15">
        <v>16.0</v>
      </c>
      <c r="E745" s="10">
        <f t="shared" si="2"/>
        <v>800</v>
      </c>
      <c r="F745" s="10" t="str">
        <f t="shared" si="3"/>
        <v>16 completed tickets</v>
      </c>
    </row>
    <row r="746" hidden="1">
      <c r="A746" s="6" t="s">
        <v>71</v>
      </c>
      <c r="B746" s="7" t="s">
        <v>270</v>
      </c>
      <c r="C746" s="38" t="s">
        <v>126</v>
      </c>
      <c r="D746" s="15">
        <v>15.0</v>
      </c>
      <c r="E746" s="10">
        <f t="shared" si="2"/>
        <v>750</v>
      </c>
      <c r="F746" s="10" t="str">
        <f t="shared" si="3"/>
        <v>15 completed tickets</v>
      </c>
    </row>
    <row r="747" hidden="1">
      <c r="A747" s="6" t="s">
        <v>71</v>
      </c>
      <c r="B747" s="7" t="s">
        <v>178</v>
      </c>
      <c r="C747" s="38" t="s">
        <v>179</v>
      </c>
      <c r="D747" s="15">
        <v>24.0</v>
      </c>
      <c r="E747" s="10">
        <f t="shared" si="2"/>
        <v>1200</v>
      </c>
      <c r="F747" s="10" t="str">
        <f t="shared" si="3"/>
        <v>24 completed tickets</v>
      </c>
    </row>
    <row r="748" hidden="1">
      <c r="A748" s="6" t="s">
        <v>71</v>
      </c>
      <c r="B748" s="7" t="s">
        <v>180</v>
      </c>
      <c r="C748" s="38" t="s">
        <v>181</v>
      </c>
      <c r="D748" s="15">
        <v>72.0</v>
      </c>
      <c r="E748" s="10">
        <f t="shared" si="2"/>
        <v>3600</v>
      </c>
      <c r="F748" s="10" t="str">
        <f t="shared" si="3"/>
        <v>72 completed tickets</v>
      </c>
    </row>
    <row r="749" hidden="1">
      <c r="A749" s="6" t="s">
        <v>71</v>
      </c>
      <c r="B749" s="7" t="s">
        <v>182</v>
      </c>
      <c r="C749" s="38" t="s">
        <v>183</v>
      </c>
      <c r="D749" s="15">
        <v>15.0</v>
      </c>
      <c r="E749" s="10">
        <f t="shared" si="2"/>
        <v>750</v>
      </c>
      <c r="F749" s="10" t="str">
        <f t="shared" si="3"/>
        <v>15 completed tickets</v>
      </c>
    </row>
    <row r="750" hidden="1">
      <c r="A750" s="6" t="s">
        <v>71</v>
      </c>
      <c r="B750" s="7" t="s">
        <v>184</v>
      </c>
      <c r="C750" s="38" t="s">
        <v>185</v>
      </c>
      <c r="D750" s="15">
        <v>22.0</v>
      </c>
      <c r="E750" s="10">
        <f t="shared" si="2"/>
        <v>1100</v>
      </c>
      <c r="F750" s="10" t="str">
        <f t="shared" si="3"/>
        <v>22 completed tickets</v>
      </c>
    </row>
    <row r="751" hidden="1">
      <c r="A751" s="6" t="s">
        <v>71</v>
      </c>
      <c r="B751" s="13" t="s">
        <v>186</v>
      </c>
      <c r="C751" s="38" t="s">
        <v>187</v>
      </c>
      <c r="D751" s="15">
        <v>26.0</v>
      </c>
      <c r="E751" s="10">
        <f t="shared" si="2"/>
        <v>1300</v>
      </c>
      <c r="F751" s="10" t="str">
        <f t="shared" si="3"/>
        <v>26 completed tickets</v>
      </c>
    </row>
    <row r="752" hidden="1">
      <c r="A752" s="6" t="s">
        <v>71</v>
      </c>
      <c r="B752" s="13" t="s">
        <v>188</v>
      </c>
      <c r="C752" s="38" t="s">
        <v>189</v>
      </c>
      <c r="D752" s="15">
        <v>18.0</v>
      </c>
      <c r="E752" s="10">
        <f t="shared" si="2"/>
        <v>900</v>
      </c>
      <c r="F752" s="10" t="str">
        <f t="shared" si="3"/>
        <v>18 completed tickets</v>
      </c>
    </row>
    <row r="753" hidden="1">
      <c r="A753" s="6" t="s">
        <v>71</v>
      </c>
      <c r="B753" s="7" t="s">
        <v>190</v>
      </c>
      <c r="C753" s="38" t="s">
        <v>191</v>
      </c>
      <c r="D753" s="15">
        <v>17.0</v>
      </c>
      <c r="E753" s="10">
        <f t="shared" si="2"/>
        <v>850</v>
      </c>
      <c r="F753" s="10" t="str">
        <f t="shared" si="3"/>
        <v>17 completed tickets</v>
      </c>
    </row>
    <row r="754" hidden="1">
      <c r="A754" s="6" t="s">
        <v>71</v>
      </c>
      <c r="B754" s="7" t="s">
        <v>192</v>
      </c>
      <c r="C754" s="38" t="s">
        <v>193</v>
      </c>
      <c r="D754" s="15">
        <v>16.0</v>
      </c>
      <c r="E754" s="10">
        <f t="shared" si="2"/>
        <v>800</v>
      </c>
      <c r="F754" s="10" t="str">
        <f t="shared" si="3"/>
        <v>16 completed tickets</v>
      </c>
    </row>
    <row r="755" hidden="1">
      <c r="A755" s="6" t="s">
        <v>71</v>
      </c>
      <c r="B755" s="7" t="s">
        <v>194</v>
      </c>
      <c r="C755" s="38" t="s">
        <v>195</v>
      </c>
      <c r="D755" s="15">
        <v>25.0</v>
      </c>
      <c r="E755" s="10">
        <f t="shared" si="2"/>
        <v>1250</v>
      </c>
      <c r="F755" s="10" t="str">
        <f t="shared" si="3"/>
        <v>25 completed tickets</v>
      </c>
    </row>
    <row r="756" hidden="1">
      <c r="A756" s="6" t="s">
        <v>71</v>
      </c>
      <c r="B756" s="13" t="s">
        <v>196</v>
      </c>
      <c r="C756" s="38" t="s">
        <v>197</v>
      </c>
      <c r="D756" s="15">
        <v>22.0</v>
      </c>
      <c r="E756" s="10">
        <f t="shared" si="2"/>
        <v>1100</v>
      </c>
      <c r="F756" s="10" t="str">
        <f t="shared" si="3"/>
        <v>22 completed tickets</v>
      </c>
    </row>
    <row r="757" hidden="1">
      <c r="A757" s="6" t="s">
        <v>71</v>
      </c>
      <c r="B757" s="13" t="s">
        <v>198</v>
      </c>
      <c r="C757" s="38" t="s">
        <v>199</v>
      </c>
      <c r="D757" s="15">
        <v>29.0</v>
      </c>
      <c r="E757" s="10">
        <f t="shared" si="2"/>
        <v>1450</v>
      </c>
      <c r="F757" s="10" t="str">
        <f t="shared" si="3"/>
        <v>29 completed tickets</v>
      </c>
    </row>
    <row r="758" hidden="1">
      <c r="A758" s="6" t="s">
        <v>71</v>
      </c>
      <c r="B758" s="7" t="s">
        <v>253</v>
      </c>
      <c r="C758" s="38" t="s">
        <v>254</v>
      </c>
      <c r="D758" s="15">
        <v>4.0</v>
      </c>
      <c r="E758" s="10">
        <f t="shared" si="2"/>
        <v>200</v>
      </c>
      <c r="F758" s="10" t="str">
        <f t="shared" si="3"/>
        <v>4 completed tickets</v>
      </c>
    </row>
    <row r="759" hidden="1">
      <c r="A759" s="6" t="s">
        <v>71</v>
      </c>
      <c r="B759" s="13" t="s">
        <v>260</v>
      </c>
      <c r="C759" s="38" t="s">
        <v>261</v>
      </c>
      <c r="D759" s="15">
        <v>14.0</v>
      </c>
      <c r="E759" s="10">
        <f t="shared" si="2"/>
        <v>700</v>
      </c>
      <c r="F759" s="10" t="str">
        <f t="shared" si="3"/>
        <v>14 completed tickets</v>
      </c>
    </row>
    <row r="760" hidden="1">
      <c r="A760" s="6" t="s">
        <v>71</v>
      </c>
      <c r="B760" s="13" t="s">
        <v>236</v>
      </c>
      <c r="C760" s="38" t="s">
        <v>159</v>
      </c>
      <c r="D760" s="15">
        <v>2.0</v>
      </c>
      <c r="E760" s="10">
        <f t="shared" si="2"/>
        <v>100</v>
      </c>
      <c r="F760" s="10" t="str">
        <f t="shared" si="3"/>
        <v>2 completed tickets</v>
      </c>
    </row>
    <row r="761" hidden="1">
      <c r="A761" s="6" t="s">
        <v>71</v>
      </c>
      <c r="B761" s="13" t="s">
        <v>212</v>
      </c>
      <c r="C761" s="38" t="s">
        <v>213</v>
      </c>
      <c r="D761" s="15">
        <v>12.0</v>
      </c>
      <c r="E761" s="10">
        <f t="shared" si="2"/>
        <v>600</v>
      </c>
      <c r="F761" s="10" t="str">
        <f t="shared" si="3"/>
        <v>12 completed tickets</v>
      </c>
    </row>
    <row r="762" hidden="1">
      <c r="A762" s="6" t="s">
        <v>73</v>
      </c>
      <c r="B762" s="7" t="s">
        <v>160</v>
      </c>
      <c r="C762" s="38" t="s">
        <v>140</v>
      </c>
      <c r="D762" s="15">
        <v>80.0</v>
      </c>
      <c r="E762" s="10">
        <f t="shared" si="2"/>
        <v>4000</v>
      </c>
      <c r="F762" s="10" t="str">
        <f t="shared" si="3"/>
        <v>80 completed tickets</v>
      </c>
    </row>
    <row r="763" hidden="1">
      <c r="A763" s="6" t="s">
        <v>73</v>
      </c>
      <c r="B763" s="7" t="s">
        <v>161</v>
      </c>
      <c r="C763" s="38" t="s">
        <v>152</v>
      </c>
      <c r="D763" s="15">
        <v>38.0</v>
      </c>
      <c r="E763" s="10">
        <f t="shared" si="2"/>
        <v>1900</v>
      </c>
      <c r="F763" s="10" t="str">
        <f t="shared" si="3"/>
        <v>38 completed tickets</v>
      </c>
    </row>
    <row r="764" hidden="1">
      <c r="A764" s="6" t="s">
        <v>73</v>
      </c>
      <c r="B764" s="7" t="s">
        <v>162</v>
      </c>
      <c r="C764" s="38" t="s">
        <v>163</v>
      </c>
      <c r="D764" s="15">
        <v>35.0</v>
      </c>
      <c r="E764" s="10">
        <f t="shared" si="2"/>
        <v>1750</v>
      </c>
      <c r="F764" s="10" t="str">
        <f t="shared" si="3"/>
        <v>35 completed tickets</v>
      </c>
    </row>
    <row r="765" hidden="1">
      <c r="A765" s="6" t="s">
        <v>73</v>
      </c>
      <c r="B765" s="7" t="s">
        <v>164</v>
      </c>
      <c r="C765" s="38" t="s">
        <v>158</v>
      </c>
      <c r="D765" s="15">
        <v>47.0</v>
      </c>
      <c r="E765" s="10">
        <f t="shared" si="2"/>
        <v>2350</v>
      </c>
      <c r="F765" s="10" t="str">
        <f t="shared" si="3"/>
        <v>47 completed tickets</v>
      </c>
    </row>
    <row r="766" hidden="1">
      <c r="A766" s="6" t="s">
        <v>73</v>
      </c>
      <c r="B766" s="7" t="s">
        <v>165</v>
      </c>
      <c r="C766" s="38" t="s">
        <v>166</v>
      </c>
      <c r="D766" s="15">
        <v>63.0</v>
      </c>
      <c r="E766" s="10">
        <f t="shared" si="2"/>
        <v>3150</v>
      </c>
      <c r="F766" s="10" t="str">
        <f t="shared" si="3"/>
        <v>63 completed tickets</v>
      </c>
    </row>
    <row r="767" hidden="1">
      <c r="A767" s="6" t="s">
        <v>73</v>
      </c>
      <c r="B767" s="7" t="s">
        <v>167</v>
      </c>
      <c r="C767" s="38" t="s">
        <v>157</v>
      </c>
      <c r="D767" s="15">
        <v>21.0</v>
      </c>
      <c r="E767" s="10">
        <f t="shared" si="2"/>
        <v>1050</v>
      </c>
      <c r="F767" s="10" t="str">
        <f t="shared" si="3"/>
        <v>21 completed tickets</v>
      </c>
    </row>
    <row r="768" hidden="1">
      <c r="A768" s="6" t="s">
        <v>73</v>
      </c>
      <c r="B768" s="7" t="s">
        <v>168</v>
      </c>
      <c r="C768" s="38" t="s">
        <v>169</v>
      </c>
      <c r="D768" s="15">
        <v>34.0</v>
      </c>
      <c r="E768" s="10">
        <f t="shared" si="2"/>
        <v>1700</v>
      </c>
      <c r="F768" s="10" t="str">
        <f t="shared" si="3"/>
        <v>34 completed tickets</v>
      </c>
    </row>
    <row r="769" hidden="1">
      <c r="A769" s="6" t="s">
        <v>73</v>
      </c>
      <c r="B769" s="7" t="s">
        <v>170</v>
      </c>
      <c r="C769" s="38" t="s">
        <v>171</v>
      </c>
      <c r="D769" s="15">
        <v>32.0</v>
      </c>
      <c r="E769" s="10">
        <f t="shared" si="2"/>
        <v>1600</v>
      </c>
      <c r="F769" s="10" t="str">
        <f t="shared" si="3"/>
        <v>32 completed tickets</v>
      </c>
    </row>
    <row r="770" hidden="1">
      <c r="A770" s="6" t="s">
        <v>73</v>
      </c>
      <c r="B770" s="7" t="s">
        <v>295</v>
      </c>
      <c r="C770" s="38" t="s">
        <v>296</v>
      </c>
      <c r="D770" s="15">
        <v>42.0</v>
      </c>
      <c r="E770" s="10">
        <f t="shared" si="2"/>
        <v>2100</v>
      </c>
      <c r="F770" s="10" t="str">
        <f t="shared" si="3"/>
        <v>42 completed tickets</v>
      </c>
    </row>
    <row r="771" hidden="1">
      <c r="A771" s="6" t="s">
        <v>73</v>
      </c>
      <c r="B771" s="7" t="s">
        <v>172</v>
      </c>
      <c r="C771" s="38" t="s">
        <v>173</v>
      </c>
      <c r="D771" s="15">
        <v>36.0</v>
      </c>
      <c r="E771" s="10">
        <f t="shared" si="2"/>
        <v>1800</v>
      </c>
      <c r="F771" s="10" t="str">
        <f t="shared" si="3"/>
        <v>36 completed tickets</v>
      </c>
    </row>
    <row r="772" hidden="1">
      <c r="A772" s="6" t="s">
        <v>73</v>
      </c>
      <c r="B772" s="7" t="s">
        <v>297</v>
      </c>
      <c r="C772" s="38" t="s">
        <v>153</v>
      </c>
      <c r="D772" s="15">
        <v>32.0</v>
      </c>
      <c r="E772" s="10">
        <f t="shared" si="2"/>
        <v>1600</v>
      </c>
      <c r="F772" s="10" t="str">
        <f t="shared" si="3"/>
        <v>32 completed tickets</v>
      </c>
    </row>
    <row r="773" hidden="1">
      <c r="A773" s="6" t="s">
        <v>73</v>
      </c>
      <c r="B773" s="7" t="s">
        <v>174</v>
      </c>
      <c r="C773" s="38" t="s">
        <v>175</v>
      </c>
      <c r="D773" s="15">
        <v>32.0</v>
      </c>
      <c r="E773" s="10">
        <f t="shared" si="2"/>
        <v>1600</v>
      </c>
      <c r="F773" s="10" t="str">
        <f t="shared" si="3"/>
        <v>32 completed tickets</v>
      </c>
    </row>
    <row r="774" hidden="1">
      <c r="A774" s="6" t="s">
        <v>73</v>
      </c>
      <c r="B774" s="7" t="s">
        <v>176</v>
      </c>
      <c r="C774" s="38" t="s">
        <v>130</v>
      </c>
      <c r="D774" s="15">
        <v>50.0</v>
      </c>
      <c r="E774" s="10">
        <f t="shared" si="2"/>
        <v>2500</v>
      </c>
      <c r="F774" s="10" t="str">
        <f t="shared" si="3"/>
        <v>50 completed tickets</v>
      </c>
    </row>
    <row r="775" hidden="1">
      <c r="A775" s="6" t="s">
        <v>73</v>
      </c>
      <c r="B775" s="7" t="s">
        <v>252</v>
      </c>
      <c r="C775" s="38" t="s">
        <v>139</v>
      </c>
      <c r="D775" s="15">
        <v>58.0</v>
      </c>
      <c r="E775" s="10">
        <f t="shared" si="2"/>
        <v>2900</v>
      </c>
      <c r="F775" s="10" t="str">
        <f t="shared" si="3"/>
        <v>58 completed tickets</v>
      </c>
    </row>
    <row r="776" hidden="1">
      <c r="A776" s="6" t="s">
        <v>73</v>
      </c>
      <c r="B776" s="7" t="s">
        <v>177</v>
      </c>
      <c r="C776" s="38" t="s">
        <v>144</v>
      </c>
      <c r="D776" s="15">
        <v>31.0</v>
      </c>
      <c r="E776" s="10">
        <f t="shared" si="2"/>
        <v>1550</v>
      </c>
      <c r="F776" s="10" t="str">
        <f t="shared" si="3"/>
        <v>31 completed tickets</v>
      </c>
    </row>
    <row r="777" hidden="1">
      <c r="A777" s="6" t="s">
        <v>73</v>
      </c>
      <c r="B777" s="7" t="s">
        <v>270</v>
      </c>
      <c r="C777" s="38" t="s">
        <v>126</v>
      </c>
      <c r="D777" s="15">
        <v>30.0</v>
      </c>
      <c r="E777" s="10">
        <f t="shared" si="2"/>
        <v>1500</v>
      </c>
      <c r="F777" s="10" t="str">
        <f t="shared" si="3"/>
        <v>30 completed tickets</v>
      </c>
    </row>
    <row r="778" hidden="1">
      <c r="A778" s="6" t="s">
        <v>73</v>
      </c>
      <c r="B778" s="7" t="s">
        <v>178</v>
      </c>
      <c r="C778" s="38" t="s">
        <v>179</v>
      </c>
      <c r="D778" s="15">
        <v>51.0</v>
      </c>
      <c r="E778" s="10">
        <f t="shared" si="2"/>
        <v>2550</v>
      </c>
      <c r="F778" s="10" t="str">
        <f t="shared" si="3"/>
        <v>51 completed tickets</v>
      </c>
    </row>
    <row r="779" hidden="1">
      <c r="A779" s="6" t="s">
        <v>73</v>
      </c>
      <c r="B779" s="7" t="s">
        <v>180</v>
      </c>
      <c r="C779" s="38" t="s">
        <v>181</v>
      </c>
      <c r="D779" s="15">
        <v>100.0</v>
      </c>
      <c r="E779" s="10">
        <f t="shared" si="2"/>
        <v>5000</v>
      </c>
      <c r="F779" s="10" t="str">
        <f t="shared" si="3"/>
        <v>100 completed tickets</v>
      </c>
    </row>
    <row r="780" hidden="1">
      <c r="A780" s="6" t="s">
        <v>73</v>
      </c>
      <c r="B780" s="7" t="s">
        <v>182</v>
      </c>
      <c r="C780" s="38" t="s">
        <v>183</v>
      </c>
      <c r="D780" s="15">
        <v>24.0</v>
      </c>
      <c r="E780" s="10">
        <f t="shared" si="2"/>
        <v>1200</v>
      </c>
      <c r="F780" s="10" t="str">
        <f t="shared" si="3"/>
        <v>24 completed tickets</v>
      </c>
    </row>
    <row r="781" hidden="1">
      <c r="A781" s="6" t="s">
        <v>73</v>
      </c>
      <c r="B781" s="7" t="s">
        <v>184</v>
      </c>
      <c r="C781" s="38" t="s">
        <v>185</v>
      </c>
      <c r="D781" s="15">
        <v>36.0</v>
      </c>
      <c r="E781" s="10">
        <f t="shared" si="2"/>
        <v>1800</v>
      </c>
      <c r="F781" s="10" t="str">
        <f t="shared" si="3"/>
        <v>36 completed tickets</v>
      </c>
    </row>
    <row r="782" hidden="1">
      <c r="A782" s="6" t="s">
        <v>73</v>
      </c>
      <c r="B782" s="13" t="s">
        <v>186</v>
      </c>
      <c r="C782" s="38" t="s">
        <v>187</v>
      </c>
      <c r="D782" s="15">
        <v>61.0</v>
      </c>
      <c r="E782" s="10">
        <f t="shared" si="2"/>
        <v>3050</v>
      </c>
      <c r="F782" s="10" t="str">
        <f t="shared" si="3"/>
        <v>61 completed tickets</v>
      </c>
    </row>
    <row r="783" hidden="1">
      <c r="A783" s="6" t="s">
        <v>73</v>
      </c>
      <c r="B783" s="13" t="s">
        <v>188</v>
      </c>
      <c r="C783" s="38" t="s">
        <v>189</v>
      </c>
      <c r="D783" s="15">
        <v>20.0</v>
      </c>
      <c r="E783" s="10">
        <f t="shared" si="2"/>
        <v>1000</v>
      </c>
      <c r="F783" s="10" t="str">
        <f t="shared" si="3"/>
        <v>20 completed tickets</v>
      </c>
    </row>
    <row r="784" hidden="1">
      <c r="A784" s="6" t="s">
        <v>73</v>
      </c>
      <c r="B784" s="7" t="s">
        <v>190</v>
      </c>
      <c r="C784" s="38" t="s">
        <v>191</v>
      </c>
      <c r="D784" s="15">
        <v>19.0</v>
      </c>
      <c r="E784" s="10">
        <f t="shared" si="2"/>
        <v>950</v>
      </c>
      <c r="F784" s="10" t="str">
        <f t="shared" si="3"/>
        <v>19 completed tickets</v>
      </c>
    </row>
    <row r="785" hidden="1">
      <c r="A785" s="6" t="s">
        <v>73</v>
      </c>
      <c r="B785" s="7" t="s">
        <v>192</v>
      </c>
      <c r="C785" s="38" t="s">
        <v>193</v>
      </c>
      <c r="D785" s="15">
        <v>34.0</v>
      </c>
      <c r="E785" s="10">
        <f t="shared" si="2"/>
        <v>1700</v>
      </c>
      <c r="F785" s="10" t="str">
        <f t="shared" si="3"/>
        <v>34 completed tickets</v>
      </c>
    </row>
    <row r="786" hidden="1">
      <c r="A786" s="6" t="s">
        <v>73</v>
      </c>
      <c r="B786" s="7" t="s">
        <v>194</v>
      </c>
      <c r="C786" s="38" t="s">
        <v>195</v>
      </c>
      <c r="D786" s="15">
        <v>24.0</v>
      </c>
      <c r="E786" s="10">
        <f t="shared" si="2"/>
        <v>1200</v>
      </c>
      <c r="F786" s="10" t="str">
        <f t="shared" si="3"/>
        <v>24 completed tickets</v>
      </c>
    </row>
    <row r="787" hidden="1">
      <c r="A787" s="6" t="s">
        <v>73</v>
      </c>
      <c r="B787" s="13" t="s">
        <v>196</v>
      </c>
      <c r="C787" s="38" t="s">
        <v>197</v>
      </c>
      <c r="D787" s="15">
        <v>25.0</v>
      </c>
      <c r="E787" s="10">
        <f t="shared" si="2"/>
        <v>1250</v>
      </c>
      <c r="F787" s="10" t="str">
        <f t="shared" si="3"/>
        <v>25 completed tickets</v>
      </c>
    </row>
    <row r="788" hidden="1">
      <c r="A788" s="6" t="s">
        <v>73</v>
      </c>
      <c r="B788" s="13" t="s">
        <v>198</v>
      </c>
      <c r="C788" s="38" t="s">
        <v>199</v>
      </c>
      <c r="D788" s="15">
        <v>42.0</v>
      </c>
      <c r="E788" s="10">
        <f t="shared" si="2"/>
        <v>2100</v>
      </c>
      <c r="F788" s="10" t="str">
        <f t="shared" si="3"/>
        <v>42 completed tickets</v>
      </c>
    </row>
    <row r="789" hidden="1">
      <c r="A789" s="6" t="s">
        <v>73</v>
      </c>
      <c r="B789" s="7" t="s">
        <v>253</v>
      </c>
      <c r="C789" s="38" t="s">
        <v>254</v>
      </c>
      <c r="D789" s="15">
        <v>14.0</v>
      </c>
      <c r="E789" s="10">
        <f t="shared" si="2"/>
        <v>700</v>
      </c>
      <c r="F789" s="10" t="str">
        <f t="shared" si="3"/>
        <v>14 completed tickets</v>
      </c>
    </row>
    <row r="790" hidden="1">
      <c r="A790" s="6" t="s">
        <v>73</v>
      </c>
      <c r="B790" s="13" t="s">
        <v>305</v>
      </c>
      <c r="C790" s="38" t="s">
        <v>306</v>
      </c>
      <c r="D790" s="15">
        <v>3.0</v>
      </c>
      <c r="E790" s="10">
        <f t="shared" si="2"/>
        <v>150</v>
      </c>
      <c r="F790" s="10" t="str">
        <f t="shared" si="3"/>
        <v>3 completed tickets</v>
      </c>
    </row>
    <row r="791" hidden="1">
      <c r="A791" s="6" t="s">
        <v>73</v>
      </c>
      <c r="B791" s="13" t="s">
        <v>271</v>
      </c>
      <c r="C791" s="38" t="s">
        <v>272</v>
      </c>
      <c r="D791" s="15">
        <v>8.0</v>
      </c>
      <c r="E791" s="10">
        <f t="shared" si="2"/>
        <v>400</v>
      </c>
      <c r="F791" s="10" t="str">
        <f t="shared" si="3"/>
        <v>8 completed tickets</v>
      </c>
    </row>
    <row r="792" hidden="1">
      <c r="A792" s="6" t="s">
        <v>73</v>
      </c>
      <c r="B792" s="13" t="s">
        <v>273</v>
      </c>
      <c r="C792" s="38" t="s">
        <v>274</v>
      </c>
      <c r="D792" s="15">
        <v>6.0</v>
      </c>
      <c r="E792" s="10">
        <f t="shared" si="2"/>
        <v>300</v>
      </c>
      <c r="F792" s="10" t="str">
        <f t="shared" si="3"/>
        <v>6 completed tickets</v>
      </c>
    </row>
    <row r="793" hidden="1">
      <c r="A793" s="6" t="s">
        <v>73</v>
      </c>
      <c r="B793" s="13" t="s">
        <v>302</v>
      </c>
      <c r="C793" s="38" t="s">
        <v>303</v>
      </c>
      <c r="D793" s="15">
        <v>4.0</v>
      </c>
      <c r="E793" s="10">
        <f t="shared" si="2"/>
        <v>200</v>
      </c>
      <c r="F793" s="10" t="str">
        <f t="shared" si="3"/>
        <v>4 completed tickets</v>
      </c>
    </row>
    <row r="794" hidden="1">
      <c r="A794" s="6" t="s">
        <v>73</v>
      </c>
      <c r="B794" s="13" t="s">
        <v>268</v>
      </c>
      <c r="C794" s="38" t="s">
        <v>285</v>
      </c>
      <c r="D794" s="15">
        <v>5.0</v>
      </c>
      <c r="E794" s="10">
        <f t="shared" si="2"/>
        <v>250</v>
      </c>
      <c r="F794" s="10" t="str">
        <f t="shared" si="3"/>
        <v>5 completed tickets</v>
      </c>
    </row>
    <row r="795" hidden="1">
      <c r="A795" s="6" t="s">
        <v>73</v>
      </c>
      <c r="B795" s="13" t="s">
        <v>260</v>
      </c>
      <c r="C795" s="38" t="s">
        <v>261</v>
      </c>
      <c r="D795" s="15">
        <v>14.0</v>
      </c>
      <c r="E795" s="10">
        <f t="shared" si="2"/>
        <v>700</v>
      </c>
      <c r="F795" s="10" t="str">
        <f t="shared" si="3"/>
        <v>14 completed tickets</v>
      </c>
    </row>
    <row r="796" hidden="1">
      <c r="A796" s="6" t="s">
        <v>73</v>
      </c>
      <c r="B796" s="13" t="s">
        <v>236</v>
      </c>
      <c r="C796" s="38" t="s">
        <v>159</v>
      </c>
      <c r="D796" s="15">
        <v>2.0</v>
      </c>
      <c r="E796" s="10">
        <f t="shared" si="2"/>
        <v>100</v>
      </c>
      <c r="F796" s="10" t="str">
        <f t="shared" si="3"/>
        <v>2 completed tickets</v>
      </c>
    </row>
    <row r="797" hidden="1">
      <c r="A797" s="6" t="s">
        <v>73</v>
      </c>
      <c r="B797" s="30" t="s">
        <v>212</v>
      </c>
      <c r="C797" s="30" t="s">
        <v>213</v>
      </c>
      <c r="D797" s="25">
        <v>20.0</v>
      </c>
      <c r="E797" s="10">
        <f t="shared" si="2"/>
        <v>1000</v>
      </c>
      <c r="F797" s="10" t="str">
        <f t="shared" si="3"/>
        <v>20 completed tickets</v>
      </c>
    </row>
    <row r="798" hidden="1">
      <c r="A798" s="16" t="s">
        <v>74</v>
      </c>
      <c r="B798" s="7" t="s">
        <v>160</v>
      </c>
      <c r="C798" s="38" t="s">
        <v>140</v>
      </c>
      <c r="D798" s="15">
        <v>53.0</v>
      </c>
      <c r="E798" s="10">
        <f t="shared" si="2"/>
        <v>2650</v>
      </c>
      <c r="F798" s="10" t="str">
        <f t="shared" si="3"/>
        <v>53 completed tickets</v>
      </c>
    </row>
    <row r="799" hidden="1">
      <c r="A799" s="16" t="s">
        <v>74</v>
      </c>
      <c r="B799" s="7" t="s">
        <v>161</v>
      </c>
      <c r="C799" s="38" t="s">
        <v>152</v>
      </c>
      <c r="D799" s="15">
        <v>25.0</v>
      </c>
      <c r="E799" s="10">
        <f t="shared" si="2"/>
        <v>1250</v>
      </c>
      <c r="F799" s="10" t="str">
        <f t="shared" si="3"/>
        <v>25 completed tickets</v>
      </c>
    </row>
    <row r="800" hidden="1">
      <c r="A800" s="16" t="s">
        <v>74</v>
      </c>
      <c r="B800" s="7" t="s">
        <v>162</v>
      </c>
      <c r="C800" s="38" t="s">
        <v>163</v>
      </c>
      <c r="D800" s="15">
        <v>38.0</v>
      </c>
      <c r="E800" s="10">
        <f t="shared" si="2"/>
        <v>1900</v>
      </c>
      <c r="F800" s="10" t="str">
        <f t="shared" si="3"/>
        <v>38 completed tickets</v>
      </c>
    </row>
    <row r="801" hidden="1">
      <c r="A801" s="16" t="s">
        <v>74</v>
      </c>
      <c r="B801" s="7" t="s">
        <v>164</v>
      </c>
      <c r="C801" s="38" t="s">
        <v>158</v>
      </c>
      <c r="D801" s="15">
        <v>34.0</v>
      </c>
      <c r="E801" s="10">
        <f t="shared" si="2"/>
        <v>1700</v>
      </c>
      <c r="F801" s="10" t="str">
        <f t="shared" si="3"/>
        <v>34 completed tickets</v>
      </c>
    </row>
    <row r="802" hidden="1">
      <c r="A802" s="16" t="s">
        <v>74</v>
      </c>
      <c r="B802" s="7" t="s">
        <v>165</v>
      </c>
      <c r="C802" s="38" t="s">
        <v>166</v>
      </c>
      <c r="D802" s="15">
        <v>53.0</v>
      </c>
      <c r="E802" s="10">
        <f t="shared" si="2"/>
        <v>2650</v>
      </c>
      <c r="F802" s="10" t="str">
        <f t="shared" si="3"/>
        <v>53 completed tickets</v>
      </c>
    </row>
    <row r="803" hidden="1">
      <c r="A803" s="16" t="s">
        <v>74</v>
      </c>
      <c r="B803" s="7" t="s">
        <v>167</v>
      </c>
      <c r="C803" s="38" t="s">
        <v>157</v>
      </c>
      <c r="D803" s="15">
        <v>40.0</v>
      </c>
      <c r="E803" s="10">
        <f t="shared" si="2"/>
        <v>2000</v>
      </c>
      <c r="F803" s="10" t="str">
        <f t="shared" si="3"/>
        <v>40 completed tickets</v>
      </c>
    </row>
    <row r="804" hidden="1">
      <c r="A804" s="16" t="s">
        <v>74</v>
      </c>
      <c r="B804" s="7" t="s">
        <v>168</v>
      </c>
      <c r="C804" s="38" t="s">
        <v>169</v>
      </c>
      <c r="D804" s="15">
        <v>45.0</v>
      </c>
      <c r="E804" s="10">
        <f t="shared" si="2"/>
        <v>2250</v>
      </c>
      <c r="F804" s="10" t="str">
        <f t="shared" si="3"/>
        <v>45 completed tickets</v>
      </c>
    </row>
    <row r="805" hidden="1">
      <c r="A805" s="16" t="s">
        <v>74</v>
      </c>
      <c r="B805" s="7" t="s">
        <v>170</v>
      </c>
      <c r="C805" s="38" t="s">
        <v>171</v>
      </c>
      <c r="D805" s="15">
        <v>26.0</v>
      </c>
      <c r="E805" s="10">
        <f t="shared" si="2"/>
        <v>1300</v>
      </c>
      <c r="F805" s="10" t="str">
        <f t="shared" si="3"/>
        <v>26 completed tickets</v>
      </c>
    </row>
    <row r="806" hidden="1">
      <c r="A806" s="16" t="s">
        <v>74</v>
      </c>
      <c r="B806" s="7" t="s">
        <v>295</v>
      </c>
      <c r="C806" s="38" t="s">
        <v>296</v>
      </c>
      <c r="D806" s="15">
        <v>40.0</v>
      </c>
      <c r="E806" s="10">
        <f t="shared" si="2"/>
        <v>2000</v>
      </c>
      <c r="F806" s="10" t="str">
        <f t="shared" si="3"/>
        <v>40 completed tickets</v>
      </c>
    </row>
    <row r="807" hidden="1">
      <c r="A807" s="16" t="s">
        <v>74</v>
      </c>
      <c r="B807" s="7" t="s">
        <v>172</v>
      </c>
      <c r="C807" s="38" t="s">
        <v>173</v>
      </c>
      <c r="D807" s="15">
        <v>42.0</v>
      </c>
      <c r="E807" s="10">
        <f t="shared" si="2"/>
        <v>2100</v>
      </c>
      <c r="F807" s="10" t="str">
        <f t="shared" si="3"/>
        <v>42 completed tickets</v>
      </c>
    </row>
    <row r="808" hidden="1">
      <c r="A808" s="16" t="s">
        <v>74</v>
      </c>
      <c r="B808" s="7" t="s">
        <v>297</v>
      </c>
      <c r="C808" s="38" t="s">
        <v>153</v>
      </c>
      <c r="D808" s="15">
        <v>30.0</v>
      </c>
      <c r="E808" s="10">
        <f t="shared" si="2"/>
        <v>1500</v>
      </c>
      <c r="F808" s="10" t="str">
        <f t="shared" si="3"/>
        <v>30 completed tickets</v>
      </c>
    </row>
    <row r="809" hidden="1">
      <c r="A809" s="16" t="s">
        <v>74</v>
      </c>
      <c r="B809" s="7" t="s">
        <v>174</v>
      </c>
      <c r="C809" s="38" t="s">
        <v>175</v>
      </c>
      <c r="D809" s="15">
        <v>33.0</v>
      </c>
      <c r="E809" s="10">
        <f t="shared" si="2"/>
        <v>1650</v>
      </c>
      <c r="F809" s="10" t="str">
        <f t="shared" si="3"/>
        <v>33 completed tickets</v>
      </c>
    </row>
    <row r="810" hidden="1">
      <c r="A810" s="16" t="s">
        <v>74</v>
      </c>
      <c r="B810" s="7" t="s">
        <v>176</v>
      </c>
      <c r="C810" s="38" t="s">
        <v>130</v>
      </c>
      <c r="D810" s="15">
        <v>32.0</v>
      </c>
      <c r="E810" s="10">
        <f t="shared" si="2"/>
        <v>1600</v>
      </c>
      <c r="F810" s="10" t="str">
        <f t="shared" si="3"/>
        <v>32 completed tickets</v>
      </c>
    </row>
    <row r="811" hidden="1">
      <c r="A811" s="16" t="s">
        <v>74</v>
      </c>
      <c r="B811" s="7" t="s">
        <v>252</v>
      </c>
      <c r="C811" s="38" t="s">
        <v>139</v>
      </c>
      <c r="D811" s="15">
        <v>34.0</v>
      </c>
      <c r="E811" s="10">
        <f t="shared" si="2"/>
        <v>1700</v>
      </c>
      <c r="F811" s="10" t="str">
        <f t="shared" si="3"/>
        <v>34 completed tickets</v>
      </c>
    </row>
    <row r="812" hidden="1">
      <c r="A812" s="16" t="s">
        <v>74</v>
      </c>
      <c r="B812" s="7" t="s">
        <v>177</v>
      </c>
      <c r="C812" s="38" t="s">
        <v>144</v>
      </c>
      <c r="D812" s="15">
        <v>36.0</v>
      </c>
      <c r="E812" s="10">
        <f t="shared" si="2"/>
        <v>1800</v>
      </c>
      <c r="F812" s="10" t="str">
        <f t="shared" si="3"/>
        <v>36 completed tickets</v>
      </c>
    </row>
    <row r="813" hidden="1">
      <c r="A813" s="16" t="s">
        <v>74</v>
      </c>
      <c r="B813" s="7" t="s">
        <v>270</v>
      </c>
      <c r="C813" s="38" t="s">
        <v>126</v>
      </c>
      <c r="D813" s="15">
        <v>17.0</v>
      </c>
      <c r="E813" s="10">
        <f t="shared" si="2"/>
        <v>850</v>
      </c>
      <c r="F813" s="10" t="str">
        <f t="shared" si="3"/>
        <v>17 completed tickets</v>
      </c>
    </row>
    <row r="814" hidden="1">
      <c r="A814" s="16" t="s">
        <v>74</v>
      </c>
      <c r="B814" s="7" t="s">
        <v>178</v>
      </c>
      <c r="C814" s="38" t="s">
        <v>179</v>
      </c>
      <c r="D814" s="15">
        <v>37.0</v>
      </c>
      <c r="E814" s="10">
        <f t="shared" si="2"/>
        <v>1850</v>
      </c>
      <c r="F814" s="10" t="str">
        <f t="shared" si="3"/>
        <v>37 completed tickets</v>
      </c>
    </row>
    <row r="815" hidden="1">
      <c r="A815" s="16" t="s">
        <v>74</v>
      </c>
      <c r="B815" s="7" t="s">
        <v>180</v>
      </c>
      <c r="C815" s="38" t="s">
        <v>181</v>
      </c>
      <c r="D815" s="15">
        <v>75.0</v>
      </c>
      <c r="E815" s="10">
        <f t="shared" si="2"/>
        <v>3750</v>
      </c>
      <c r="F815" s="10" t="str">
        <f t="shared" si="3"/>
        <v>75 completed tickets</v>
      </c>
    </row>
    <row r="816" hidden="1">
      <c r="A816" s="16" t="s">
        <v>74</v>
      </c>
      <c r="B816" s="7" t="s">
        <v>182</v>
      </c>
      <c r="C816" s="38" t="s">
        <v>183</v>
      </c>
      <c r="D816" s="15">
        <v>20.0</v>
      </c>
      <c r="E816" s="10">
        <f t="shared" si="2"/>
        <v>1000</v>
      </c>
      <c r="F816" s="10" t="str">
        <f t="shared" si="3"/>
        <v>20 completed tickets</v>
      </c>
    </row>
    <row r="817" hidden="1">
      <c r="A817" s="16" t="s">
        <v>74</v>
      </c>
      <c r="B817" s="7" t="s">
        <v>184</v>
      </c>
      <c r="C817" s="38" t="s">
        <v>185</v>
      </c>
      <c r="D817" s="15">
        <v>30.0</v>
      </c>
      <c r="E817" s="10">
        <f t="shared" si="2"/>
        <v>1500</v>
      </c>
      <c r="F817" s="10" t="str">
        <f t="shared" si="3"/>
        <v>30 completed tickets</v>
      </c>
    </row>
    <row r="818" hidden="1">
      <c r="A818" s="16" t="s">
        <v>74</v>
      </c>
      <c r="B818" s="13" t="s">
        <v>186</v>
      </c>
      <c r="C818" s="38" t="s">
        <v>187</v>
      </c>
      <c r="D818" s="15">
        <v>69.0</v>
      </c>
      <c r="E818" s="10">
        <f t="shared" si="2"/>
        <v>3450</v>
      </c>
      <c r="F818" s="10" t="str">
        <f t="shared" si="3"/>
        <v>69 completed tickets</v>
      </c>
    </row>
    <row r="819" hidden="1">
      <c r="A819" s="16" t="s">
        <v>74</v>
      </c>
      <c r="B819" s="13" t="s">
        <v>188</v>
      </c>
      <c r="C819" s="38" t="s">
        <v>189</v>
      </c>
      <c r="D819" s="15">
        <v>21.0</v>
      </c>
      <c r="E819" s="10">
        <f t="shared" si="2"/>
        <v>1050</v>
      </c>
      <c r="F819" s="10" t="str">
        <f t="shared" si="3"/>
        <v>21 completed tickets</v>
      </c>
    </row>
    <row r="820" hidden="1">
      <c r="A820" s="16" t="s">
        <v>74</v>
      </c>
      <c r="B820" s="7" t="s">
        <v>190</v>
      </c>
      <c r="C820" s="38" t="s">
        <v>191</v>
      </c>
      <c r="D820" s="15">
        <v>14.0</v>
      </c>
      <c r="E820" s="10">
        <f t="shared" si="2"/>
        <v>700</v>
      </c>
      <c r="F820" s="10" t="str">
        <f t="shared" si="3"/>
        <v>14 completed tickets</v>
      </c>
    </row>
    <row r="821" hidden="1">
      <c r="A821" s="16" t="s">
        <v>74</v>
      </c>
      <c r="B821" s="7" t="s">
        <v>192</v>
      </c>
      <c r="C821" s="38" t="s">
        <v>193</v>
      </c>
      <c r="D821" s="15">
        <v>18.0</v>
      </c>
      <c r="E821" s="10">
        <f t="shared" si="2"/>
        <v>900</v>
      </c>
      <c r="F821" s="10" t="str">
        <f t="shared" si="3"/>
        <v>18 completed tickets</v>
      </c>
    </row>
    <row r="822" hidden="1">
      <c r="A822" s="16" t="s">
        <v>74</v>
      </c>
      <c r="B822" s="7" t="s">
        <v>194</v>
      </c>
      <c r="C822" s="38" t="s">
        <v>195</v>
      </c>
      <c r="D822" s="15">
        <v>15.0</v>
      </c>
      <c r="E822" s="10">
        <f t="shared" si="2"/>
        <v>750</v>
      </c>
      <c r="F822" s="10" t="str">
        <f t="shared" si="3"/>
        <v>15 completed tickets</v>
      </c>
    </row>
    <row r="823" hidden="1">
      <c r="A823" s="16" t="s">
        <v>74</v>
      </c>
      <c r="B823" s="13" t="s">
        <v>196</v>
      </c>
      <c r="C823" s="38" t="s">
        <v>197</v>
      </c>
      <c r="D823" s="15">
        <v>17.0</v>
      </c>
      <c r="E823" s="10">
        <f t="shared" si="2"/>
        <v>850</v>
      </c>
      <c r="F823" s="10" t="str">
        <f t="shared" si="3"/>
        <v>17 completed tickets</v>
      </c>
    </row>
    <row r="824" hidden="1">
      <c r="A824" s="16" t="s">
        <v>74</v>
      </c>
      <c r="B824" s="13" t="s">
        <v>198</v>
      </c>
      <c r="C824" s="38" t="s">
        <v>199</v>
      </c>
      <c r="D824" s="15">
        <v>31.0</v>
      </c>
      <c r="E824" s="10">
        <f t="shared" si="2"/>
        <v>1550</v>
      </c>
      <c r="F824" s="10" t="str">
        <f t="shared" si="3"/>
        <v>31 completed tickets</v>
      </c>
    </row>
    <row r="825" hidden="1">
      <c r="A825" s="16" t="s">
        <v>74</v>
      </c>
      <c r="B825" s="7" t="s">
        <v>253</v>
      </c>
      <c r="C825" s="38" t="s">
        <v>254</v>
      </c>
      <c r="D825" s="15">
        <v>14.0</v>
      </c>
      <c r="E825" s="10">
        <f t="shared" si="2"/>
        <v>700</v>
      </c>
      <c r="F825" s="10" t="str">
        <f t="shared" si="3"/>
        <v>14 completed tickets</v>
      </c>
    </row>
    <row r="826" hidden="1">
      <c r="A826" s="16" t="s">
        <v>74</v>
      </c>
      <c r="B826" s="13" t="s">
        <v>307</v>
      </c>
      <c r="C826" s="38" t="s">
        <v>308</v>
      </c>
      <c r="D826" s="15">
        <v>6.0</v>
      </c>
      <c r="E826" s="10">
        <f t="shared" si="2"/>
        <v>300</v>
      </c>
      <c r="F826" s="10" t="str">
        <f t="shared" si="3"/>
        <v>6 completed tickets</v>
      </c>
    </row>
    <row r="827" hidden="1">
      <c r="A827" s="16" t="s">
        <v>74</v>
      </c>
      <c r="B827" s="13" t="s">
        <v>305</v>
      </c>
      <c r="C827" s="38" t="s">
        <v>306</v>
      </c>
      <c r="D827" s="15">
        <v>16.0</v>
      </c>
      <c r="E827" s="10">
        <f t="shared" si="2"/>
        <v>800</v>
      </c>
      <c r="F827" s="10" t="str">
        <f t="shared" si="3"/>
        <v>16 completed tickets</v>
      </c>
    </row>
    <row r="828" hidden="1">
      <c r="A828" s="16" t="s">
        <v>74</v>
      </c>
      <c r="B828" s="13" t="s">
        <v>271</v>
      </c>
      <c r="C828" s="38" t="s">
        <v>272</v>
      </c>
      <c r="D828" s="15">
        <v>16.0</v>
      </c>
      <c r="E828" s="10">
        <f t="shared" si="2"/>
        <v>800</v>
      </c>
      <c r="F828" s="10" t="str">
        <f t="shared" si="3"/>
        <v>16 completed tickets</v>
      </c>
    </row>
    <row r="829" hidden="1">
      <c r="A829" s="16" t="s">
        <v>74</v>
      </c>
      <c r="B829" s="13" t="s">
        <v>273</v>
      </c>
      <c r="C829" s="38" t="s">
        <v>274</v>
      </c>
      <c r="D829" s="15">
        <v>14.0</v>
      </c>
      <c r="E829" s="10">
        <f t="shared" si="2"/>
        <v>700</v>
      </c>
      <c r="F829" s="10" t="str">
        <f t="shared" si="3"/>
        <v>14 completed tickets</v>
      </c>
    </row>
    <row r="830" hidden="1">
      <c r="A830" s="16" t="s">
        <v>74</v>
      </c>
      <c r="B830" s="13" t="s">
        <v>302</v>
      </c>
      <c r="C830" s="38" t="s">
        <v>303</v>
      </c>
      <c r="D830" s="15">
        <v>9.0</v>
      </c>
      <c r="E830" s="10">
        <f t="shared" si="2"/>
        <v>450</v>
      </c>
      <c r="F830" s="10" t="str">
        <f t="shared" si="3"/>
        <v>9 completed tickets</v>
      </c>
    </row>
    <row r="831" hidden="1">
      <c r="A831" s="16" t="s">
        <v>74</v>
      </c>
      <c r="B831" s="13" t="s">
        <v>268</v>
      </c>
      <c r="C831" s="38" t="s">
        <v>285</v>
      </c>
      <c r="D831" s="15">
        <v>12.0</v>
      </c>
      <c r="E831" s="10">
        <f t="shared" si="2"/>
        <v>600</v>
      </c>
      <c r="F831" s="10" t="str">
        <f t="shared" si="3"/>
        <v>12 completed tickets</v>
      </c>
    </row>
    <row r="832" hidden="1">
      <c r="A832" s="16" t="s">
        <v>74</v>
      </c>
      <c r="B832" s="13" t="s">
        <v>260</v>
      </c>
      <c r="C832" s="38" t="s">
        <v>261</v>
      </c>
      <c r="D832" s="15">
        <v>10.0</v>
      </c>
      <c r="E832" s="10">
        <f t="shared" si="2"/>
        <v>500</v>
      </c>
      <c r="F832" s="10" t="str">
        <f t="shared" si="3"/>
        <v>10 completed tickets</v>
      </c>
    </row>
    <row r="833" hidden="1">
      <c r="A833" s="6" t="s">
        <v>75</v>
      </c>
      <c r="B833" s="7" t="s">
        <v>160</v>
      </c>
      <c r="C833" s="38" t="s">
        <v>140</v>
      </c>
      <c r="D833" s="15">
        <v>73.0</v>
      </c>
      <c r="E833" s="10">
        <f t="shared" si="2"/>
        <v>3650</v>
      </c>
      <c r="F833" s="10" t="str">
        <f t="shared" si="3"/>
        <v>73 completed tickets</v>
      </c>
    </row>
    <row r="834" hidden="1">
      <c r="A834" s="6" t="s">
        <v>75</v>
      </c>
      <c r="B834" s="7" t="s">
        <v>161</v>
      </c>
      <c r="C834" s="38" t="s">
        <v>152</v>
      </c>
      <c r="D834" s="15">
        <v>18.0</v>
      </c>
      <c r="E834" s="10">
        <f t="shared" si="2"/>
        <v>900</v>
      </c>
      <c r="F834" s="10" t="str">
        <f t="shared" si="3"/>
        <v>18 completed tickets</v>
      </c>
    </row>
    <row r="835" hidden="1">
      <c r="A835" s="6" t="s">
        <v>75</v>
      </c>
      <c r="B835" s="7" t="s">
        <v>162</v>
      </c>
      <c r="C835" s="38" t="s">
        <v>163</v>
      </c>
      <c r="D835" s="15">
        <v>34.0</v>
      </c>
      <c r="E835" s="10">
        <f t="shared" si="2"/>
        <v>1700</v>
      </c>
      <c r="F835" s="10" t="str">
        <f t="shared" si="3"/>
        <v>34 completed tickets</v>
      </c>
    </row>
    <row r="836" hidden="1">
      <c r="A836" s="6" t="s">
        <v>75</v>
      </c>
      <c r="B836" s="7" t="s">
        <v>164</v>
      </c>
      <c r="C836" s="38" t="s">
        <v>158</v>
      </c>
      <c r="D836" s="15">
        <v>33.0</v>
      </c>
      <c r="E836" s="10">
        <f t="shared" si="2"/>
        <v>1650</v>
      </c>
      <c r="F836" s="10" t="str">
        <f t="shared" si="3"/>
        <v>33 completed tickets</v>
      </c>
    </row>
    <row r="837" hidden="1">
      <c r="A837" s="6" t="s">
        <v>75</v>
      </c>
      <c r="B837" s="7" t="s">
        <v>165</v>
      </c>
      <c r="C837" s="38" t="s">
        <v>166</v>
      </c>
      <c r="D837" s="15">
        <v>58.0</v>
      </c>
      <c r="E837" s="10">
        <f t="shared" si="2"/>
        <v>2900</v>
      </c>
      <c r="F837" s="10" t="str">
        <f t="shared" si="3"/>
        <v>58 completed tickets</v>
      </c>
    </row>
    <row r="838" hidden="1">
      <c r="A838" s="6" t="s">
        <v>75</v>
      </c>
      <c r="B838" s="7" t="s">
        <v>167</v>
      </c>
      <c r="C838" s="38" t="s">
        <v>157</v>
      </c>
      <c r="D838" s="15">
        <v>44.0</v>
      </c>
      <c r="E838" s="10">
        <f t="shared" si="2"/>
        <v>2200</v>
      </c>
      <c r="F838" s="10" t="str">
        <f t="shared" si="3"/>
        <v>44 completed tickets</v>
      </c>
    </row>
    <row r="839" hidden="1">
      <c r="A839" s="6" t="s">
        <v>75</v>
      </c>
      <c r="B839" s="7" t="s">
        <v>168</v>
      </c>
      <c r="C839" s="38" t="s">
        <v>169</v>
      </c>
      <c r="D839" s="15">
        <v>23.0</v>
      </c>
      <c r="E839" s="10">
        <f t="shared" si="2"/>
        <v>1150</v>
      </c>
      <c r="F839" s="10" t="str">
        <f t="shared" si="3"/>
        <v>23 completed tickets</v>
      </c>
    </row>
    <row r="840" hidden="1">
      <c r="A840" s="6" t="s">
        <v>75</v>
      </c>
      <c r="B840" s="7" t="s">
        <v>170</v>
      </c>
      <c r="C840" s="38" t="s">
        <v>171</v>
      </c>
      <c r="D840" s="15">
        <v>27.0</v>
      </c>
      <c r="E840" s="10">
        <f t="shared" si="2"/>
        <v>1350</v>
      </c>
      <c r="F840" s="10" t="str">
        <f t="shared" si="3"/>
        <v>27 completed tickets</v>
      </c>
    </row>
    <row r="841" hidden="1">
      <c r="A841" s="6" t="s">
        <v>75</v>
      </c>
      <c r="B841" s="7" t="s">
        <v>295</v>
      </c>
      <c r="C841" s="38" t="s">
        <v>296</v>
      </c>
      <c r="D841" s="15">
        <v>36.0</v>
      </c>
      <c r="E841" s="10">
        <f t="shared" si="2"/>
        <v>1800</v>
      </c>
      <c r="F841" s="10" t="str">
        <f t="shared" si="3"/>
        <v>36 completed tickets</v>
      </c>
    </row>
    <row r="842" hidden="1">
      <c r="A842" s="6" t="s">
        <v>75</v>
      </c>
      <c r="B842" s="7" t="s">
        <v>172</v>
      </c>
      <c r="C842" s="38" t="s">
        <v>173</v>
      </c>
      <c r="D842" s="15">
        <v>61.0</v>
      </c>
      <c r="E842" s="10">
        <f t="shared" si="2"/>
        <v>3050</v>
      </c>
      <c r="F842" s="10" t="str">
        <f t="shared" si="3"/>
        <v>61 completed tickets</v>
      </c>
    </row>
    <row r="843" hidden="1">
      <c r="A843" s="6" t="s">
        <v>75</v>
      </c>
      <c r="B843" s="7" t="s">
        <v>297</v>
      </c>
      <c r="C843" s="38" t="s">
        <v>153</v>
      </c>
      <c r="D843" s="15">
        <v>34.0</v>
      </c>
      <c r="E843" s="10">
        <f t="shared" si="2"/>
        <v>1700</v>
      </c>
      <c r="F843" s="10" t="str">
        <f t="shared" si="3"/>
        <v>34 completed tickets</v>
      </c>
    </row>
    <row r="844" hidden="1">
      <c r="A844" s="6" t="s">
        <v>75</v>
      </c>
      <c r="B844" s="7" t="s">
        <v>174</v>
      </c>
      <c r="C844" s="38" t="s">
        <v>175</v>
      </c>
      <c r="D844" s="15">
        <v>14.0</v>
      </c>
      <c r="E844" s="10">
        <f t="shared" si="2"/>
        <v>700</v>
      </c>
      <c r="F844" s="10" t="str">
        <f t="shared" si="3"/>
        <v>14 completed tickets</v>
      </c>
    </row>
    <row r="845" hidden="1">
      <c r="A845" s="6" t="s">
        <v>75</v>
      </c>
      <c r="B845" s="7" t="s">
        <v>176</v>
      </c>
      <c r="C845" s="38" t="s">
        <v>130</v>
      </c>
      <c r="D845" s="15">
        <v>33.0</v>
      </c>
      <c r="E845" s="10">
        <f t="shared" si="2"/>
        <v>1650</v>
      </c>
      <c r="F845" s="10" t="str">
        <f t="shared" si="3"/>
        <v>33 completed tickets</v>
      </c>
    </row>
    <row r="846" hidden="1">
      <c r="A846" s="6" t="s">
        <v>75</v>
      </c>
      <c r="B846" s="7" t="s">
        <v>252</v>
      </c>
      <c r="C846" s="38" t="s">
        <v>139</v>
      </c>
      <c r="D846" s="15">
        <v>31.0</v>
      </c>
      <c r="E846" s="10">
        <f t="shared" si="2"/>
        <v>1550</v>
      </c>
      <c r="F846" s="10" t="str">
        <f t="shared" si="3"/>
        <v>31 completed tickets</v>
      </c>
    </row>
    <row r="847" hidden="1">
      <c r="A847" s="6" t="s">
        <v>75</v>
      </c>
      <c r="B847" s="7" t="s">
        <v>177</v>
      </c>
      <c r="C847" s="38" t="s">
        <v>144</v>
      </c>
      <c r="D847" s="15">
        <v>131.0</v>
      </c>
      <c r="E847" s="10">
        <f t="shared" si="2"/>
        <v>6550</v>
      </c>
      <c r="F847" s="10" t="str">
        <f t="shared" si="3"/>
        <v>131 completed tickets</v>
      </c>
    </row>
    <row r="848" hidden="1">
      <c r="A848" s="6" t="s">
        <v>75</v>
      </c>
      <c r="B848" s="7" t="s">
        <v>270</v>
      </c>
      <c r="C848" s="38" t="s">
        <v>126</v>
      </c>
      <c r="D848" s="15">
        <v>27.0</v>
      </c>
      <c r="E848" s="10">
        <f t="shared" si="2"/>
        <v>1350</v>
      </c>
      <c r="F848" s="10" t="str">
        <f t="shared" si="3"/>
        <v>27 completed tickets</v>
      </c>
    </row>
    <row r="849" hidden="1">
      <c r="A849" s="6" t="s">
        <v>75</v>
      </c>
      <c r="B849" s="7" t="s">
        <v>178</v>
      </c>
      <c r="C849" s="38" t="s">
        <v>179</v>
      </c>
      <c r="D849" s="15">
        <v>38.0</v>
      </c>
      <c r="E849" s="10">
        <f t="shared" si="2"/>
        <v>1900</v>
      </c>
      <c r="F849" s="10" t="str">
        <f t="shared" si="3"/>
        <v>38 completed tickets</v>
      </c>
    </row>
    <row r="850" hidden="1">
      <c r="A850" s="6" t="s">
        <v>75</v>
      </c>
      <c r="B850" s="7" t="s">
        <v>180</v>
      </c>
      <c r="C850" s="38" t="s">
        <v>181</v>
      </c>
      <c r="D850" s="15">
        <v>105.0</v>
      </c>
      <c r="E850" s="10">
        <f t="shared" si="2"/>
        <v>5250</v>
      </c>
      <c r="F850" s="10" t="str">
        <f t="shared" si="3"/>
        <v>105 completed tickets</v>
      </c>
    </row>
    <row r="851" hidden="1">
      <c r="A851" s="6" t="s">
        <v>75</v>
      </c>
      <c r="B851" s="7" t="s">
        <v>182</v>
      </c>
      <c r="C851" s="38" t="s">
        <v>183</v>
      </c>
      <c r="D851" s="15">
        <v>26.0</v>
      </c>
      <c r="E851" s="10">
        <f t="shared" si="2"/>
        <v>1300</v>
      </c>
      <c r="F851" s="10" t="str">
        <f t="shared" si="3"/>
        <v>26 completed tickets</v>
      </c>
    </row>
    <row r="852" hidden="1">
      <c r="A852" s="6" t="s">
        <v>75</v>
      </c>
      <c r="B852" s="7" t="s">
        <v>184</v>
      </c>
      <c r="C852" s="38" t="s">
        <v>185</v>
      </c>
      <c r="D852" s="15">
        <v>31.0</v>
      </c>
      <c r="E852" s="10">
        <f t="shared" si="2"/>
        <v>1550</v>
      </c>
      <c r="F852" s="10" t="str">
        <f t="shared" si="3"/>
        <v>31 completed tickets</v>
      </c>
    </row>
    <row r="853" hidden="1">
      <c r="A853" s="6" t="s">
        <v>75</v>
      </c>
      <c r="B853" s="7" t="s">
        <v>212</v>
      </c>
      <c r="C853" s="38" t="s">
        <v>213</v>
      </c>
      <c r="D853" s="15">
        <v>23.0</v>
      </c>
      <c r="E853" s="10">
        <f t="shared" si="2"/>
        <v>1150</v>
      </c>
      <c r="F853" s="10" t="str">
        <f t="shared" si="3"/>
        <v>23 completed tickets</v>
      </c>
    </row>
    <row r="854" hidden="1">
      <c r="A854" s="6" t="s">
        <v>75</v>
      </c>
      <c r="B854" s="7" t="s">
        <v>186</v>
      </c>
      <c r="C854" s="38" t="s">
        <v>187</v>
      </c>
      <c r="D854" s="15">
        <v>65.0</v>
      </c>
      <c r="E854" s="10">
        <f t="shared" si="2"/>
        <v>3250</v>
      </c>
      <c r="F854" s="10" t="str">
        <f t="shared" si="3"/>
        <v>65 completed tickets</v>
      </c>
    </row>
    <row r="855" hidden="1">
      <c r="A855" s="6" t="s">
        <v>75</v>
      </c>
      <c r="B855" s="7" t="s">
        <v>188</v>
      </c>
      <c r="C855" s="38" t="s">
        <v>189</v>
      </c>
      <c r="D855" s="15">
        <v>26.0</v>
      </c>
      <c r="E855" s="10">
        <f t="shared" si="2"/>
        <v>1300</v>
      </c>
      <c r="F855" s="10" t="str">
        <f t="shared" si="3"/>
        <v>26 completed tickets</v>
      </c>
    </row>
    <row r="856" hidden="1">
      <c r="A856" s="6" t="s">
        <v>75</v>
      </c>
      <c r="B856" s="7" t="s">
        <v>190</v>
      </c>
      <c r="C856" s="38" t="s">
        <v>191</v>
      </c>
      <c r="D856" s="15">
        <v>29.0</v>
      </c>
      <c r="E856" s="10">
        <f t="shared" si="2"/>
        <v>1450</v>
      </c>
      <c r="F856" s="10" t="str">
        <f t="shared" si="3"/>
        <v>29 completed tickets</v>
      </c>
    </row>
    <row r="857" hidden="1">
      <c r="A857" s="6" t="s">
        <v>75</v>
      </c>
      <c r="B857" s="7" t="s">
        <v>192</v>
      </c>
      <c r="C857" s="38" t="s">
        <v>193</v>
      </c>
      <c r="D857" s="15">
        <v>11.0</v>
      </c>
      <c r="E857" s="10">
        <f t="shared" si="2"/>
        <v>550</v>
      </c>
      <c r="F857" s="10" t="str">
        <f t="shared" si="3"/>
        <v>11 completed tickets</v>
      </c>
    </row>
    <row r="858" hidden="1">
      <c r="A858" s="6" t="s">
        <v>75</v>
      </c>
      <c r="B858" s="7" t="s">
        <v>194</v>
      </c>
      <c r="C858" s="38" t="s">
        <v>195</v>
      </c>
      <c r="D858" s="15">
        <v>25.0</v>
      </c>
      <c r="E858" s="10">
        <f t="shared" si="2"/>
        <v>1250</v>
      </c>
      <c r="F858" s="10" t="str">
        <f t="shared" si="3"/>
        <v>25 completed tickets</v>
      </c>
    </row>
    <row r="859" hidden="1">
      <c r="A859" s="6" t="s">
        <v>75</v>
      </c>
      <c r="B859" s="13" t="s">
        <v>196</v>
      </c>
      <c r="C859" s="38" t="s">
        <v>197</v>
      </c>
      <c r="D859" s="15">
        <v>25.0</v>
      </c>
      <c r="E859" s="10">
        <f t="shared" si="2"/>
        <v>1250</v>
      </c>
      <c r="F859" s="10" t="str">
        <f t="shared" si="3"/>
        <v>25 completed tickets</v>
      </c>
    </row>
    <row r="860" hidden="1">
      <c r="A860" s="6" t="s">
        <v>75</v>
      </c>
      <c r="B860" s="13" t="s">
        <v>198</v>
      </c>
      <c r="C860" s="38" t="s">
        <v>199</v>
      </c>
      <c r="D860" s="15">
        <v>37.0</v>
      </c>
      <c r="E860" s="10">
        <f t="shared" si="2"/>
        <v>1850</v>
      </c>
      <c r="F860" s="10" t="str">
        <f t="shared" si="3"/>
        <v>37 completed tickets</v>
      </c>
    </row>
    <row r="861" hidden="1">
      <c r="A861" s="6" t="s">
        <v>75</v>
      </c>
      <c r="B861" s="7" t="s">
        <v>253</v>
      </c>
      <c r="C861" s="38" t="s">
        <v>254</v>
      </c>
      <c r="D861" s="15">
        <v>12.0</v>
      </c>
      <c r="E861" s="10">
        <f t="shared" si="2"/>
        <v>600</v>
      </c>
      <c r="F861" s="10" t="str">
        <f t="shared" si="3"/>
        <v>12 completed tickets</v>
      </c>
    </row>
    <row r="862" hidden="1">
      <c r="A862" s="6" t="s">
        <v>75</v>
      </c>
      <c r="B862" s="13" t="s">
        <v>250</v>
      </c>
      <c r="C862" s="38" t="s">
        <v>137</v>
      </c>
      <c r="D862" s="15">
        <v>8.0</v>
      </c>
      <c r="E862" s="10">
        <f t="shared" si="2"/>
        <v>400</v>
      </c>
      <c r="F862" s="10" t="str">
        <f t="shared" si="3"/>
        <v>8 completed tickets</v>
      </c>
    </row>
    <row r="863" hidden="1">
      <c r="A863" s="6" t="s">
        <v>75</v>
      </c>
      <c r="B863" s="7" t="s">
        <v>260</v>
      </c>
      <c r="C863" s="38" t="s">
        <v>261</v>
      </c>
      <c r="D863" s="15">
        <v>10.0</v>
      </c>
      <c r="E863" s="10">
        <f t="shared" si="2"/>
        <v>500</v>
      </c>
      <c r="F863" s="10" t="str">
        <f t="shared" si="3"/>
        <v>10 completed tickets</v>
      </c>
    </row>
    <row r="864" hidden="1">
      <c r="A864" s="6" t="s">
        <v>75</v>
      </c>
      <c r="B864" s="13" t="s">
        <v>236</v>
      </c>
      <c r="C864" s="38" t="s">
        <v>159</v>
      </c>
      <c r="D864" s="15">
        <v>6.0</v>
      </c>
      <c r="E864" s="10">
        <f t="shared" si="2"/>
        <v>300</v>
      </c>
      <c r="F864" s="10" t="str">
        <f t="shared" si="3"/>
        <v>6 completed tickets</v>
      </c>
    </row>
    <row r="865" hidden="1">
      <c r="A865" s="6" t="s">
        <v>75</v>
      </c>
      <c r="B865" s="13" t="s">
        <v>266</v>
      </c>
      <c r="C865" s="38" t="s">
        <v>267</v>
      </c>
      <c r="D865" s="15">
        <v>36.0</v>
      </c>
      <c r="E865" s="10">
        <f t="shared" si="2"/>
        <v>1800</v>
      </c>
      <c r="F865" s="10" t="str">
        <f t="shared" si="3"/>
        <v>36 completed tickets</v>
      </c>
    </row>
    <row r="866" hidden="1">
      <c r="A866" s="6" t="s">
        <v>75</v>
      </c>
      <c r="B866" s="13" t="s">
        <v>309</v>
      </c>
      <c r="C866" s="38" t="s">
        <v>310</v>
      </c>
      <c r="D866" s="15">
        <v>6.0</v>
      </c>
      <c r="E866" s="10">
        <f t="shared" si="2"/>
        <v>300</v>
      </c>
      <c r="F866" s="10" t="str">
        <f t="shared" si="3"/>
        <v>6 completed tickets</v>
      </c>
    </row>
    <row r="867" hidden="1">
      <c r="A867" s="6" t="s">
        <v>75</v>
      </c>
      <c r="B867" s="13" t="s">
        <v>311</v>
      </c>
      <c r="C867" s="38" t="s">
        <v>312</v>
      </c>
      <c r="D867" s="15">
        <v>2.0</v>
      </c>
      <c r="E867" s="10">
        <f t="shared" si="2"/>
        <v>100</v>
      </c>
      <c r="F867" s="10" t="str">
        <f t="shared" si="3"/>
        <v>2 completed tickets</v>
      </c>
    </row>
    <row r="868" hidden="1">
      <c r="A868" s="6" t="s">
        <v>77</v>
      </c>
      <c r="B868" s="7" t="s">
        <v>160</v>
      </c>
      <c r="C868" s="38" t="s">
        <v>140</v>
      </c>
      <c r="D868" s="15">
        <v>75.0</v>
      </c>
      <c r="E868" s="10">
        <f t="shared" si="2"/>
        <v>3750</v>
      </c>
      <c r="F868" s="10" t="str">
        <f t="shared" si="3"/>
        <v>75 completed tickets</v>
      </c>
    </row>
    <row r="869" hidden="1">
      <c r="A869" s="6" t="s">
        <v>77</v>
      </c>
      <c r="B869" s="7" t="s">
        <v>161</v>
      </c>
      <c r="C869" s="38" t="s">
        <v>152</v>
      </c>
      <c r="D869" s="15">
        <v>31.0</v>
      </c>
      <c r="E869" s="10">
        <f t="shared" si="2"/>
        <v>1550</v>
      </c>
      <c r="F869" s="10" t="str">
        <f t="shared" si="3"/>
        <v>31 completed tickets</v>
      </c>
    </row>
    <row r="870" hidden="1">
      <c r="A870" s="6" t="s">
        <v>77</v>
      </c>
      <c r="B870" s="7" t="s">
        <v>162</v>
      </c>
      <c r="C870" s="38" t="s">
        <v>163</v>
      </c>
      <c r="D870" s="15">
        <v>37.0</v>
      </c>
      <c r="E870" s="10">
        <f t="shared" si="2"/>
        <v>1850</v>
      </c>
      <c r="F870" s="10" t="str">
        <f t="shared" si="3"/>
        <v>37 completed tickets</v>
      </c>
    </row>
    <row r="871" hidden="1">
      <c r="A871" s="6" t="s">
        <v>77</v>
      </c>
      <c r="B871" s="7" t="s">
        <v>164</v>
      </c>
      <c r="C871" s="38" t="s">
        <v>158</v>
      </c>
      <c r="D871" s="15">
        <v>40.0</v>
      </c>
      <c r="E871" s="10">
        <f t="shared" si="2"/>
        <v>2000</v>
      </c>
      <c r="F871" s="10" t="str">
        <f t="shared" si="3"/>
        <v>40 completed tickets</v>
      </c>
    </row>
    <row r="872" hidden="1">
      <c r="A872" s="6" t="s">
        <v>77</v>
      </c>
      <c r="B872" s="7" t="s">
        <v>165</v>
      </c>
      <c r="C872" s="38" t="s">
        <v>166</v>
      </c>
      <c r="D872" s="15">
        <v>65.0</v>
      </c>
      <c r="E872" s="10">
        <f t="shared" si="2"/>
        <v>3250</v>
      </c>
      <c r="F872" s="10" t="str">
        <f t="shared" si="3"/>
        <v>65 completed tickets</v>
      </c>
    </row>
    <row r="873" hidden="1">
      <c r="A873" s="6" t="s">
        <v>77</v>
      </c>
      <c r="B873" s="7" t="s">
        <v>167</v>
      </c>
      <c r="C873" s="38" t="s">
        <v>157</v>
      </c>
      <c r="D873" s="15">
        <v>42.0</v>
      </c>
      <c r="E873" s="10">
        <f t="shared" si="2"/>
        <v>2100</v>
      </c>
      <c r="F873" s="10" t="str">
        <f t="shared" si="3"/>
        <v>42 completed tickets</v>
      </c>
    </row>
    <row r="874" hidden="1">
      <c r="A874" s="6" t="s">
        <v>77</v>
      </c>
      <c r="B874" s="7" t="s">
        <v>168</v>
      </c>
      <c r="C874" s="38" t="s">
        <v>169</v>
      </c>
      <c r="D874" s="15">
        <v>23.0</v>
      </c>
      <c r="E874" s="10">
        <f t="shared" si="2"/>
        <v>1150</v>
      </c>
      <c r="F874" s="10" t="str">
        <f t="shared" si="3"/>
        <v>23 completed tickets</v>
      </c>
    </row>
    <row r="875" hidden="1">
      <c r="A875" s="6" t="s">
        <v>77</v>
      </c>
      <c r="B875" s="7" t="s">
        <v>170</v>
      </c>
      <c r="C875" s="38" t="s">
        <v>171</v>
      </c>
      <c r="D875" s="15">
        <v>34.0</v>
      </c>
      <c r="E875" s="10">
        <f t="shared" si="2"/>
        <v>1700</v>
      </c>
      <c r="F875" s="10" t="str">
        <f t="shared" si="3"/>
        <v>34 completed tickets</v>
      </c>
    </row>
    <row r="876" hidden="1">
      <c r="A876" s="6" t="s">
        <v>77</v>
      </c>
      <c r="B876" s="7" t="s">
        <v>295</v>
      </c>
      <c r="C876" s="38" t="s">
        <v>296</v>
      </c>
      <c r="D876" s="15">
        <v>36.0</v>
      </c>
      <c r="E876" s="10">
        <f t="shared" si="2"/>
        <v>1800</v>
      </c>
      <c r="F876" s="10" t="str">
        <f t="shared" si="3"/>
        <v>36 completed tickets</v>
      </c>
    </row>
    <row r="877" hidden="1">
      <c r="A877" s="6" t="s">
        <v>77</v>
      </c>
      <c r="B877" s="7" t="s">
        <v>172</v>
      </c>
      <c r="C877" s="38" t="s">
        <v>173</v>
      </c>
      <c r="D877" s="15">
        <v>54.0</v>
      </c>
      <c r="E877" s="10">
        <f t="shared" si="2"/>
        <v>2700</v>
      </c>
      <c r="F877" s="10" t="str">
        <f t="shared" si="3"/>
        <v>54 completed tickets</v>
      </c>
    </row>
    <row r="878" hidden="1">
      <c r="A878" s="6" t="s">
        <v>77</v>
      </c>
      <c r="B878" s="7" t="s">
        <v>297</v>
      </c>
      <c r="C878" s="38" t="s">
        <v>153</v>
      </c>
      <c r="D878" s="15">
        <v>27.0</v>
      </c>
      <c r="E878" s="10">
        <f t="shared" si="2"/>
        <v>1350</v>
      </c>
      <c r="F878" s="10" t="str">
        <f t="shared" si="3"/>
        <v>27 completed tickets</v>
      </c>
    </row>
    <row r="879" hidden="1">
      <c r="A879" s="6" t="s">
        <v>77</v>
      </c>
      <c r="B879" s="7" t="s">
        <v>174</v>
      </c>
      <c r="C879" s="38" t="s">
        <v>175</v>
      </c>
      <c r="D879" s="15">
        <v>28.0</v>
      </c>
      <c r="E879" s="10">
        <f t="shared" si="2"/>
        <v>1400</v>
      </c>
      <c r="F879" s="10" t="str">
        <f t="shared" si="3"/>
        <v>28 completed tickets</v>
      </c>
    </row>
    <row r="880" hidden="1">
      <c r="A880" s="6" t="s">
        <v>77</v>
      </c>
      <c r="B880" s="7" t="s">
        <v>176</v>
      </c>
      <c r="C880" s="38" t="s">
        <v>130</v>
      </c>
      <c r="D880" s="15">
        <v>27.0</v>
      </c>
      <c r="E880" s="10">
        <f t="shared" si="2"/>
        <v>1350</v>
      </c>
      <c r="F880" s="10" t="str">
        <f t="shared" si="3"/>
        <v>27 completed tickets</v>
      </c>
    </row>
    <row r="881" hidden="1">
      <c r="A881" s="6" t="s">
        <v>77</v>
      </c>
      <c r="B881" s="7" t="s">
        <v>252</v>
      </c>
      <c r="C881" s="38" t="s">
        <v>139</v>
      </c>
      <c r="D881" s="15">
        <v>29.0</v>
      </c>
      <c r="E881" s="10">
        <f t="shared" si="2"/>
        <v>1450</v>
      </c>
      <c r="F881" s="10" t="str">
        <f t="shared" si="3"/>
        <v>29 completed tickets</v>
      </c>
    </row>
    <row r="882" hidden="1">
      <c r="A882" s="6" t="s">
        <v>77</v>
      </c>
      <c r="B882" s="7" t="s">
        <v>177</v>
      </c>
      <c r="C882" s="38" t="s">
        <v>144</v>
      </c>
      <c r="D882" s="15">
        <v>80.0</v>
      </c>
      <c r="E882" s="10">
        <f t="shared" si="2"/>
        <v>4000</v>
      </c>
      <c r="F882" s="10" t="str">
        <f t="shared" si="3"/>
        <v>80 completed tickets</v>
      </c>
    </row>
    <row r="883" hidden="1">
      <c r="A883" s="6" t="s">
        <v>77</v>
      </c>
      <c r="B883" s="7" t="s">
        <v>270</v>
      </c>
      <c r="C883" s="38" t="s">
        <v>126</v>
      </c>
      <c r="D883" s="15">
        <v>22.0</v>
      </c>
      <c r="E883" s="10">
        <f t="shared" si="2"/>
        <v>1100</v>
      </c>
      <c r="F883" s="10" t="str">
        <f t="shared" si="3"/>
        <v>22 completed tickets</v>
      </c>
    </row>
    <row r="884" hidden="1">
      <c r="A884" s="6" t="s">
        <v>77</v>
      </c>
      <c r="B884" s="7" t="s">
        <v>178</v>
      </c>
      <c r="C884" s="38" t="s">
        <v>179</v>
      </c>
      <c r="D884" s="15">
        <v>58.0</v>
      </c>
      <c r="E884" s="10">
        <f t="shared" si="2"/>
        <v>2900</v>
      </c>
      <c r="F884" s="10" t="str">
        <f t="shared" si="3"/>
        <v>58 completed tickets</v>
      </c>
    </row>
    <row r="885" hidden="1">
      <c r="A885" s="6" t="s">
        <v>77</v>
      </c>
      <c r="B885" s="7" t="s">
        <v>180</v>
      </c>
      <c r="C885" s="38" t="s">
        <v>181</v>
      </c>
      <c r="D885" s="15">
        <v>79.0</v>
      </c>
      <c r="E885" s="10">
        <f t="shared" si="2"/>
        <v>3950</v>
      </c>
      <c r="F885" s="10" t="str">
        <f t="shared" si="3"/>
        <v>79 completed tickets</v>
      </c>
    </row>
    <row r="886" hidden="1">
      <c r="A886" s="6" t="s">
        <v>77</v>
      </c>
      <c r="B886" s="7" t="s">
        <v>182</v>
      </c>
      <c r="C886" s="38" t="s">
        <v>183</v>
      </c>
      <c r="D886" s="15">
        <v>27.0</v>
      </c>
      <c r="E886" s="10">
        <f t="shared" si="2"/>
        <v>1350</v>
      </c>
      <c r="F886" s="10" t="str">
        <f t="shared" si="3"/>
        <v>27 completed tickets</v>
      </c>
    </row>
    <row r="887" hidden="1">
      <c r="A887" s="6" t="s">
        <v>77</v>
      </c>
      <c r="B887" s="7" t="s">
        <v>184</v>
      </c>
      <c r="C887" s="38" t="s">
        <v>185</v>
      </c>
      <c r="D887" s="15">
        <v>29.0</v>
      </c>
      <c r="E887" s="10">
        <f t="shared" si="2"/>
        <v>1450</v>
      </c>
      <c r="F887" s="10" t="str">
        <f t="shared" si="3"/>
        <v>29 completed tickets</v>
      </c>
    </row>
    <row r="888" hidden="1">
      <c r="A888" s="6" t="s">
        <v>77</v>
      </c>
      <c r="B888" s="7" t="s">
        <v>212</v>
      </c>
      <c r="C888" s="38" t="s">
        <v>213</v>
      </c>
      <c r="D888" s="15">
        <v>27.0</v>
      </c>
      <c r="E888" s="10">
        <f t="shared" si="2"/>
        <v>1350</v>
      </c>
      <c r="F888" s="10" t="str">
        <f t="shared" si="3"/>
        <v>27 completed tickets</v>
      </c>
    </row>
    <row r="889" hidden="1">
      <c r="A889" s="6" t="s">
        <v>77</v>
      </c>
      <c r="B889" s="7" t="s">
        <v>186</v>
      </c>
      <c r="C889" s="38" t="s">
        <v>187</v>
      </c>
      <c r="D889" s="15">
        <v>82.0</v>
      </c>
      <c r="E889" s="10">
        <f t="shared" si="2"/>
        <v>4100</v>
      </c>
      <c r="F889" s="10" t="str">
        <f t="shared" si="3"/>
        <v>82 completed tickets</v>
      </c>
    </row>
    <row r="890" hidden="1">
      <c r="A890" s="6" t="s">
        <v>77</v>
      </c>
      <c r="B890" s="7" t="s">
        <v>188</v>
      </c>
      <c r="C890" s="38" t="s">
        <v>189</v>
      </c>
      <c r="D890" s="15">
        <v>17.0</v>
      </c>
      <c r="E890" s="10">
        <f t="shared" si="2"/>
        <v>850</v>
      </c>
      <c r="F890" s="10" t="str">
        <f t="shared" si="3"/>
        <v>17 completed tickets</v>
      </c>
    </row>
    <row r="891" hidden="1">
      <c r="A891" s="6" t="s">
        <v>77</v>
      </c>
      <c r="B891" s="7" t="s">
        <v>190</v>
      </c>
      <c r="C891" s="38" t="s">
        <v>191</v>
      </c>
      <c r="D891" s="15">
        <v>12.0</v>
      </c>
      <c r="E891" s="10">
        <f t="shared" si="2"/>
        <v>600</v>
      </c>
      <c r="F891" s="10" t="str">
        <f t="shared" si="3"/>
        <v>12 completed tickets</v>
      </c>
    </row>
    <row r="892" hidden="1">
      <c r="A892" s="6" t="s">
        <v>77</v>
      </c>
      <c r="B892" s="7" t="s">
        <v>192</v>
      </c>
      <c r="C892" s="38" t="s">
        <v>193</v>
      </c>
      <c r="D892" s="15">
        <v>25.0</v>
      </c>
      <c r="E892" s="10">
        <f t="shared" si="2"/>
        <v>1250</v>
      </c>
      <c r="F892" s="10" t="str">
        <f t="shared" si="3"/>
        <v>25 completed tickets</v>
      </c>
    </row>
    <row r="893" hidden="1">
      <c r="A893" s="6" t="s">
        <v>77</v>
      </c>
      <c r="B893" s="7" t="s">
        <v>194</v>
      </c>
      <c r="C893" s="38" t="s">
        <v>195</v>
      </c>
      <c r="D893" s="15">
        <v>21.0</v>
      </c>
      <c r="E893" s="10">
        <f t="shared" si="2"/>
        <v>1050</v>
      </c>
      <c r="F893" s="10" t="str">
        <f t="shared" si="3"/>
        <v>21 completed tickets</v>
      </c>
    </row>
    <row r="894" hidden="1">
      <c r="A894" s="6" t="s">
        <v>77</v>
      </c>
      <c r="B894" s="13" t="s">
        <v>196</v>
      </c>
      <c r="C894" s="38" t="s">
        <v>197</v>
      </c>
      <c r="D894" s="15">
        <v>24.0</v>
      </c>
      <c r="E894" s="10">
        <f t="shared" si="2"/>
        <v>1200</v>
      </c>
      <c r="F894" s="10" t="str">
        <f t="shared" si="3"/>
        <v>24 completed tickets</v>
      </c>
    </row>
    <row r="895" hidden="1">
      <c r="A895" s="6" t="s">
        <v>77</v>
      </c>
      <c r="B895" s="13" t="s">
        <v>198</v>
      </c>
      <c r="C895" s="38" t="s">
        <v>199</v>
      </c>
      <c r="D895" s="15">
        <v>31.0</v>
      </c>
      <c r="E895" s="10">
        <f t="shared" si="2"/>
        <v>1550</v>
      </c>
      <c r="F895" s="10" t="str">
        <f t="shared" si="3"/>
        <v>31 completed tickets</v>
      </c>
    </row>
    <row r="896" hidden="1">
      <c r="A896" s="6" t="s">
        <v>77</v>
      </c>
      <c r="B896" s="7" t="s">
        <v>253</v>
      </c>
      <c r="C896" s="38" t="s">
        <v>254</v>
      </c>
      <c r="D896" s="15">
        <v>12.0</v>
      </c>
      <c r="E896" s="10">
        <f t="shared" si="2"/>
        <v>600</v>
      </c>
      <c r="F896" s="10" t="str">
        <f t="shared" si="3"/>
        <v>12 completed tickets</v>
      </c>
    </row>
    <row r="897" hidden="1">
      <c r="A897" s="6" t="s">
        <v>77</v>
      </c>
      <c r="B897" s="13" t="s">
        <v>311</v>
      </c>
      <c r="C897" s="38" t="s">
        <v>312</v>
      </c>
      <c r="D897" s="15">
        <v>2.0</v>
      </c>
      <c r="E897" s="10">
        <f t="shared" si="2"/>
        <v>100</v>
      </c>
      <c r="F897" s="10" t="str">
        <f t="shared" si="3"/>
        <v>2 completed tickets</v>
      </c>
    </row>
    <row r="898" hidden="1">
      <c r="A898" s="6" t="s">
        <v>77</v>
      </c>
      <c r="B898" s="13" t="s">
        <v>307</v>
      </c>
      <c r="C898" s="38" t="s">
        <v>308</v>
      </c>
      <c r="D898" s="15">
        <v>8.0</v>
      </c>
      <c r="E898" s="10">
        <f t="shared" si="2"/>
        <v>400</v>
      </c>
      <c r="F898" s="10" t="str">
        <f t="shared" si="3"/>
        <v>8 completed tickets</v>
      </c>
    </row>
    <row r="899" hidden="1">
      <c r="A899" s="6" t="s">
        <v>77</v>
      </c>
      <c r="B899" s="7" t="s">
        <v>260</v>
      </c>
      <c r="C899" s="38" t="s">
        <v>261</v>
      </c>
      <c r="D899" s="15">
        <v>14.0</v>
      </c>
      <c r="E899" s="10">
        <f t="shared" si="2"/>
        <v>700</v>
      </c>
      <c r="F899" s="10" t="str">
        <f t="shared" si="3"/>
        <v>14 completed tickets</v>
      </c>
    </row>
    <row r="900" hidden="1">
      <c r="A900" s="6" t="s">
        <v>77</v>
      </c>
      <c r="B900" s="13" t="s">
        <v>236</v>
      </c>
      <c r="C900" s="38" t="s">
        <v>159</v>
      </c>
      <c r="D900" s="15">
        <v>8.0</v>
      </c>
      <c r="E900" s="10">
        <f t="shared" si="2"/>
        <v>400</v>
      </c>
      <c r="F900" s="10" t="str">
        <f t="shared" si="3"/>
        <v>8 completed tickets</v>
      </c>
    </row>
    <row r="901" hidden="1">
      <c r="A901" s="6" t="s">
        <v>77</v>
      </c>
      <c r="B901" s="13" t="s">
        <v>286</v>
      </c>
      <c r="C901" s="38" t="s">
        <v>287</v>
      </c>
      <c r="D901" s="15">
        <v>12.0</v>
      </c>
      <c r="E901" s="10">
        <f t="shared" si="2"/>
        <v>600</v>
      </c>
      <c r="F901" s="10" t="str">
        <f t="shared" si="3"/>
        <v>12 completed tickets</v>
      </c>
    </row>
    <row r="902" hidden="1">
      <c r="A902" s="6" t="s">
        <v>77</v>
      </c>
      <c r="B902" s="13" t="s">
        <v>275</v>
      </c>
      <c r="C902" s="38" t="s">
        <v>276</v>
      </c>
      <c r="D902" s="15">
        <v>10.0</v>
      </c>
      <c r="E902" s="10">
        <f t="shared" si="2"/>
        <v>500</v>
      </c>
      <c r="F902" s="10" t="str">
        <f t="shared" si="3"/>
        <v>10 completed tickets</v>
      </c>
    </row>
    <row r="903" hidden="1">
      <c r="A903" s="6" t="s">
        <v>77</v>
      </c>
      <c r="B903" s="13" t="s">
        <v>281</v>
      </c>
      <c r="C903" s="38" t="s">
        <v>282</v>
      </c>
      <c r="D903" s="15">
        <v>2.0</v>
      </c>
      <c r="E903" s="10">
        <f t="shared" si="2"/>
        <v>100</v>
      </c>
      <c r="F903" s="10" t="str">
        <f t="shared" si="3"/>
        <v>2 completed tickets</v>
      </c>
    </row>
    <row r="904" hidden="1">
      <c r="A904" s="6" t="s">
        <v>77</v>
      </c>
      <c r="B904" s="13" t="s">
        <v>309</v>
      </c>
      <c r="C904" s="38" t="s">
        <v>313</v>
      </c>
      <c r="D904" s="15">
        <v>4.0</v>
      </c>
      <c r="E904" s="10">
        <f t="shared" si="2"/>
        <v>200</v>
      </c>
      <c r="F904" s="10" t="str">
        <f t="shared" si="3"/>
        <v>4 completed tickets</v>
      </c>
    </row>
    <row r="905" hidden="1">
      <c r="A905" s="6" t="s">
        <v>79</v>
      </c>
      <c r="B905" s="7" t="s">
        <v>160</v>
      </c>
      <c r="C905" s="38" t="s">
        <v>140</v>
      </c>
      <c r="D905" s="15">
        <v>87.0</v>
      </c>
      <c r="E905" s="10">
        <f t="shared" si="2"/>
        <v>4350</v>
      </c>
      <c r="F905" s="10" t="str">
        <f t="shared" si="3"/>
        <v>87 completed tickets</v>
      </c>
    </row>
    <row r="906" hidden="1">
      <c r="A906" s="6" t="s">
        <v>79</v>
      </c>
      <c r="B906" s="7" t="s">
        <v>161</v>
      </c>
      <c r="C906" s="38" t="s">
        <v>152</v>
      </c>
      <c r="D906" s="15">
        <v>23.0</v>
      </c>
      <c r="E906" s="10">
        <f t="shared" si="2"/>
        <v>1150</v>
      </c>
      <c r="F906" s="10" t="str">
        <f t="shared" si="3"/>
        <v>23 completed tickets</v>
      </c>
    </row>
    <row r="907" hidden="1">
      <c r="A907" s="6" t="s">
        <v>79</v>
      </c>
      <c r="B907" s="7" t="s">
        <v>162</v>
      </c>
      <c r="C907" s="38" t="s">
        <v>163</v>
      </c>
      <c r="D907" s="15">
        <v>31.0</v>
      </c>
      <c r="E907" s="10">
        <f t="shared" si="2"/>
        <v>1550</v>
      </c>
      <c r="F907" s="10" t="str">
        <f t="shared" si="3"/>
        <v>31 completed tickets</v>
      </c>
    </row>
    <row r="908" hidden="1">
      <c r="A908" s="6" t="s">
        <v>79</v>
      </c>
      <c r="B908" s="7" t="s">
        <v>164</v>
      </c>
      <c r="C908" s="38" t="s">
        <v>158</v>
      </c>
      <c r="D908" s="15">
        <v>31.0</v>
      </c>
      <c r="E908" s="10">
        <f t="shared" si="2"/>
        <v>1550</v>
      </c>
      <c r="F908" s="10" t="str">
        <f t="shared" si="3"/>
        <v>31 completed tickets</v>
      </c>
    </row>
    <row r="909" hidden="1">
      <c r="A909" s="6" t="s">
        <v>79</v>
      </c>
      <c r="B909" s="7" t="s">
        <v>165</v>
      </c>
      <c r="C909" s="38" t="s">
        <v>166</v>
      </c>
      <c r="D909" s="15">
        <v>42.0</v>
      </c>
      <c r="E909" s="10">
        <f t="shared" si="2"/>
        <v>2100</v>
      </c>
      <c r="F909" s="10" t="str">
        <f t="shared" si="3"/>
        <v>42 completed tickets</v>
      </c>
    </row>
    <row r="910" hidden="1">
      <c r="A910" s="6" t="s">
        <v>79</v>
      </c>
      <c r="B910" s="7" t="s">
        <v>167</v>
      </c>
      <c r="C910" s="38" t="s">
        <v>157</v>
      </c>
      <c r="D910" s="15">
        <v>39.0</v>
      </c>
      <c r="E910" s="10">
        <f t="shared" si="2"/>
        <v>1950</v>
      </c>
      <c r="F910" s="10" t="str">
        <f t="shared" si="3"/>
        <v>39 completed tickets</v>
      </c>
    </row>
    <row r="911" hidden="1">
      <c r="A911" s="6" t="s">
        <v>79</v>
      </c>
      <c r="B911" s="7" t="s">
        <v>168</v>
      </c>
      <c r="C911" s="38" t="s">
        <v>169</v>
      </c>
      <c r="D911" s="15">
        <v>31.0</v>
      </c>
      <c r="E911" s="10">
        <f t="shared" si="2"/>
        <v>1550</v>
      </c>
      <c r="F911" s="10" t="str">
        <f t="shared" si="3"/>
        <v>31 completed tickets</v>
      </c>
    </row>
    <row r="912" hidden="1">
      <c r="A912" s="6" t="s">
        <v>79</v>
      </c>
      <c r="B912" s="7" t="s">
        <v>170</v>
      </c>
      <c r="C912" s="38" t="s">
        <v>171</v>
      </c>
      <c r="D912" s="15">
        <v>16.0</v>
      </c>
      <c r="E912" s="10">
        <f t="shared" si="2"/>
        <v>800</v>
      </c>
      <c r="F912" s="10" t="str">
        <f t="shared" si="3"/>
        <v>16 completed tickets</v>
      </c>
    </row>
    <row r="913" hidden="1">
      <c r="A913" s="6" t="s">
        <v>79</v>
      </c>
      <c r="B913" s="7" t="s">
        <v>295</v>
      </c>
      <c r="C913" s="13" t="s">
        <v>296</v>
      </c>
      <c r="D913" s="39">
        <v>40.0</v>
      </c>
      <c r="E913" s="10">
        <f t="shared" si="2"/>
        <v>2000</v>
      </c>
      <c r="F913" s="10" t="str">
        <f t="shared" si="3"/>
        <v>40 completed tickets</v>
      </c>
    </row>
    <row r="914" hidden="1">
      <c r="A914" s="6" t="s">
        <v>79</v>
      </c>
      <c r="B914" s="7" t="s">
        <v>172</v>
      </c>
      <c r="C914" s="13" t="s">
        <v>173</v>
      </c>
      <c r="D914" s="39">
        <v>50.0</v>
      </c>
      <c r="E914" s="10">
        <f t="shared" si="2"/>
        <v>2500</v>
      </c>
      <c r="F914" s="10" t="str">
        <f t="shared" si="3"/>
        <v>50 completed tickets</v>
      </c>
    </row>
    <row r="915" hidden="1">
      <c r="A915" s="6" t="s">
        <v>79</v>
      </c>
      <c r="B915" s="7" t="s">
        <v>297</v>
      </c>
      <c r="C915" s="13" t="s">
        <v>153</v>
      </c>
      <c r="D915" s="39">
        <v>35.0</v>
      </c>
      <c r="E915" s="10">
        <f t="shared" si="2"/>
        <v>1750</v>
      </c>
      <c r="F915" s="10" t="str">
        <f t="shared" si="3"/>
        <v>35 completed tickets</v>
      </c>
    </row>
    <row r="916" hidden="1">
      <c r="A916" s="6" t="s">
        <v>79</v>
      </c>
      <c r="B916" s="7" t="s">
        <v>174</v>
      </c>
      <c r="C916" s="13" t="s">
        <v>175</v>
      </c>
      <c r="D916" s="39">
        <v>36.0</v>
      </c>
      <c r="E916" s="10">
        <f t="shared" si="2"/>
        <v>1800</v>
      </c>
      <c r="F916" s="10" t="str">
        <f t="shared" si="3"/>
        <v>36 completed tickets</v>
      </c>
    </row>
    <row r="917" hidden="1">
      <c r="A917" s="6" t="s">
        <v>79</v>
      </c>
      <c r="B917" s="7" t="s">
        <v>176</v>
      </c>
      <c r="C917" s="13" t="s">
        <v>130</v>
      </c>
      <c r="D917" s="39">
        <v>45.0</v>
      </c>
      <c r="E917" s="10">
        <f t="shared" si="2"/>
        <v>2250</v>
      </c>
      <c r="F917" s="10" t="str">
        <f t="shared" si="3"/>
        <v>45 completed tickets</v>
      </c>
    </row>
    <row r="918" hidden="1">
      <c r="A918" s="6" t="s">
        <v>79</v>
      </c>
      <c r="B918" s="7" t="s">
        <v>252</v>
      </c>
      <c r="C918" s="13" t="s">
        <v>139</v>
      </c>
      <c r="D918" s="39">
        <v>28.0</v>
      </c>
      <c r="E918" s="10">
        <f t="shared" si="2"/>
        <v>1400</v>
      </c>
      <c r="F918" s="10" t="str">
        <f t="shared" si="3"/>
        <v>28 completed tickets</v>
      </c>
    </row>
    <row r="919" hidden="1">
      <c r="A919" s="6" t="s">
        <v>79</v>
      </c>
      <c r="B919" s="7" t="s">
        <v>177</v>
      </c>
      <c r="C919" s="13" t="s">
        <v>144</v>
      </c>
      <c r="D919" s="39">
        <v>36.0</v>
      </c>
      <c r="E919" s="10">
        <f t="shared" si="2"/>
        <v>1800</v>
      </c>
      <c r="F919" s="10" t="str">
        <f t="shared" si="3"/>
        <v>36 completed tickets</v>
      </c>
    </row>
    <row r="920" hidden="1">
      <c r="A920" s="6" t="s">
        <v>79</v>
      </c>
      <c r="B920" s="7" t="s">
        <v>270</v>
      </c>
      <c r="C920" s="13" t="s">
        <v>126</v>
      </c>
      <c r="D920" s="39">
        <v>34.0</v>
      </c>
      <c r="E920" s="10">
        <f t="shared" si="2"/>
        <v>1700</v>
      </c>
      <c r="F920" s="10" t="str">
        <f t="shared" si="3"/>
        <v>34 completed tickets</v>
      </c>
    </row>
    <row r="921" hidden="1">
      <c r="A921" s="6" t="s">
        <v>79</v>
      </c>
      <c r="B921" s="7" t="s">
        <v>178</v>
      </c>
      <c r="C921" s="13" t="s">
        <v>179</v>
      </c>
      <c r="D921" s="39">
        <v>40.0</v>
      </c>
      <c r="E921" s="10">
        <f t="shared" si="2"/>
        <v>2000</v>
      </c>
      <c r="F921" s="10" t="str">
        <f t="shared" si="3"/>
        <v>40 completed tickets</v>
      </c>
    </row>
    <row r="922" hidden="1">
      <c r="A922" s="6" t="s">
        <v>79</v>
      </c>
      <c r="B922" s="7" t="s">
        <v>180</v>
      </c>
      <c r="C922" s="13" t="s">
        <v>181</v>
      </c>
      <c r="D922" s="39">
        <v>76.0</v>
      </c>
      <c r="E922" s="10">
        <f t="shared" si="2"/>
        <v>3800</v>
      </c>
      <c r="F922" s="10" t="str">
        <f t="shared" si="3"/>
        <v>76 completed tickets</v>
      </c>
    </row>
    <row r="923" hidden="1">
      <c r="A923" s="6" t="s">
        <v>79</v>
      </c>
      <c r="B923" s="7" t="s">
        <v>182</v>
      </c>
      <c r="C923" s="13" t="s">
        <v>183</v>
      </c>
      <c r="D923" s="39">
        <v>23.0</v>
      </c>
      <c r="E923" s="10">
        <f t="shared" si="2"/>
        <v>1150</v>
      </c>
      <c r="F923" s="10" t="str">
        <f t="shared" si="3"/>
        <v>23 completed tickets</v>
      </c>
    </row>
    <row r="924" hidden="1">
      <c r="A924" s="6" t="s">
        <v>79</v>
      </c>
      <c r="B924" s="7" t="s">
        <v>184</v>
      </c>
      <c r="C924" s="13" t="s">
        <v>185</v>
      </c>
      <c r="D924" s="39">
        <v>41.0</v>
      </c>
      <c r="E924" s="10">
        <f t="shared" si="2"/>
        <v>2050</v>
      </c>
      <c r="F924" s="10" t="str">
        <f t="shared" si="3"/>
        <v>41 completed tickets</v>
      </c>
    </row>
    <row r="925" hidden="1">
      <c r="A925" s="6" t="s">
        <v>79</v>
      </c>
      <c r="B925" s="7" t="s">
        <v>212</v>
      </c>
      <c r="C925" s="13" t="s">
        <v>213</v>
      </c>
      <c r="D925" s="39">
        <v>22.0</v>
      </c>
      <c r="E925" s="10">
        <f t="shared" si="2"/>
        <v>1100</v>
      </c>
      <c r="F925" s="10" t="str">
        <f t="shared" si="3"/>
        <v>22 completed tickets</v>
      </c>
    </row>
    <row r="926" hidden="1">
      <c r="A926" s="6" t="s">
        <v>79</v>
      </c>
      <c r="B926" s="7" t="s">
        <v>186</v>
      </c>
      <c r="C926" s="13" t="s">
        <v>187</v>
      </c>
      <c r="D926" s="39">
        <v>42.0</v>
      </c>
      <c r="E926" s="10">
        <f t="shared" si="2"/>
        <v>2100</v>
      </c>
      <c r="F926" s="10" t="str">
        <f t="shared" si="3"/>
        <v>42 completed tickets</v>
      </c>
    </row>
    <row r="927" hidden="1">
      <c r="A927" s="6" t="s">
        <v>79</v>
      </c>
      <c r="B927" s="7" t="s">
        <v>188</v>
      </c>
      <c r="C927" s="13" t="s">
        <v>189</v>
      </c>
      <c r="D927" s="39">
        <v>34.0</v>
      </c>
      <c r="E927" s="10">
        <f t="shared" si="2"/>
        <v>1700</v>
      </c>
      <c r="F927" s="10" t="str">
        <f t="shared" si="3"/>
        <v>34 completed tickets</v>
      </c>
    </row>
    <row r="928" hidden="1">
      <c r="A928" s="6" t="s">
        <v>79</v>
      </c>
      <c r="B928" s="7" t="s">
        <v>190</v>
      </c>
      <c r="C928" s="13" t="s">
        <v>191</v>
      </c>
      <c r="D928" s="39">
        <v>20.0</v>
      </c>
      <c r="E928" s="10">
        <f t="shared" si="2"/>
        <v>1000</v>
      </c>
      <c r="F928" s="10" t="str">
        <f t="shared" si="3"/>
        <v>20 completed tickets</v>
      </c>
    </row>
    <row r="929" hidden="1">
      <c r="A929" s="6" t="s">
        <v>79</v>
      </c>
      <c r="B929" s="7" t="s">
        <v>192</v>
      </c>
      <c r="C929" s="13" t="s">
        <v>193</v>
      </c>
      <c r="D929" s="39">
        <v>20.0</v>
      </c>
      <c r="E929" s="10">
        <f t="shared" si="2"/>
        <v>1000</v>
      </c>
      <c r="F929" s="10" t="str">
        <f t="shared" si="3"/>
        <v>20 completed tickets</v>
      </c>
    </row>
    <row r="930" hidden="1">
      <c r="A930" s="6" t="s">
        <v>79</v>
      </c>
      <c r="B930" s="7" t="s">
        <v>194</v>
      </c>
      <c r="C930" s="13" t="s">
        <v>195</v>
      </c>
      <c r="D930" s="39">
        <v>28.0</v>
      </c>
      <c r="E930" s="10">
        <f t="shared" si="2"/>
        <v>1400</v>
      </c>
      <c r="F930" s="10" t="str">
        <f t="shared" si="3"/>
        <v>28 completed tickets</v>
      </c>
    </row>
    <row r="931" hidden="1">
      <c r="A931" s="6" t="s">
        <v>79</v>
      </c>
      <c r="B931" s="13" t="s">
        <v>196</v>
      </c>
      <c r="C931" s="13" t="s">
        <v>197</v>
      </c>
      <c r="D931" s="39">
        <v>29.0</v>
      </c>
      <c r="E931" s="10">
        <f t="shared" si="2"/>
        <v>1450</v>
      </c>
      <c r="F931" s="10" t="str">
        <f t="shared" si="3"/>
        <v>29 completed tickets</v>
      </c>
    </row>
    <row r="932" hidden="1">
      <c r="A932" s="6" t="s">
        <v>79</v>
      </c>
      <c r="B932" s="13" t="s">
        <v>198</v>
      </c>
      <c r="C932" s="13" t="s">
        <v>199</v>
      </c>
      <c r="D932" s="39">
        <v>30.0</v>
      </c>
      <c r="E932" s="10">
        <f t="shared" si="2"/>
        <v>1500</v>
      </c>
      <c r="F932" s="10" t="str">
        <f t="shared" si="3"/>
        <v>30 completed tickets</v>
      </c>
    </row>
    <row r="933" hidden="1">
      <c r="A933" s="6" t="s">
        <v>79</v>
      </c>
      <c r="B933" s="7" t="s">
        <v>253</v>
      </c>
      <c r="C933" s="13" t="s">
        <v>254</v>
      </c>
      <c r="D933" s="39">
        <v>8.0</v>
      </c>
      <c r="E933" s="10">
        <f t="shared" si="2"/>
        <v>400</v>
      </c>
      <c r="F933" s="10" t="str">
        <f t="shared" si="3"/>
        <v>8 completed tickets</v>
      </c>
    </row>
    <row r="934" hidden="1">
      <c r="A934" s="6" t="s">
        <v>79</v>
      </c>
      <c r="B934" s="13" t="s">
        <v>283</v>
      </c>
      <c r="C934" s="13" t="s">
        <v>314</v>
      </c>
      <c r="D934" s="39">
        <v>2.0</v>
      </c>
      <c r="E934" s="10">
        <f t="shared" si="2"/>
        <v>100</v>
      </c>
      <c r="F934" s="10" t="str">
        <f t="shared" si="3"/>
        <v>2 completed tickets</v>
      </c>
    </row>
    <row r="935" hidden="1">
      <c r="A935" s="6" t="s">
        <v>79</v>
      </c>
      <c r="B935" s="13" t="s">
        <v>311</v>
      </c>
      <c r="C935" s="13" t="s">
        <v>312</v>
      </c>
      <c r="D935" s="39">
        <v>2.0</v>
      </c>
      <c r="E935" s="10">
        <f t="shared" si="2"/>
        <v>100</v>
      </c>
      <c r="F935" s="10" t="str">
        <f t="shared" si="3"/>
        <v>2 completed tickets</v>
      </c>
    </row>
    <row r="936" hidden="1">
      <c r="A936" s="6" t="s">
        <v>79</v>
      </c>
      <c r="B936" s="13" t="s">
        <v>307</v>
      </c>
      <c r="C936" s="13" t="s">
        <v>308</v>
      </c>
      <c r="D936" s="39">
        <v>14.0</v>
      </c>
      <c r="E936" s="10">
        <f t="shared" si="2"/>
        <v>700</v>
      </c>
      <c r="F936" s="10" t="str">
        <f t="shared" si="3"/>
        <v>14 completed tickets</v>
      </c>
    </row>
    <row r="937" hidden="1">
      <c r="A937" s="6" t="s">
        <v>79</v>
      </c>
      <c r="B937" s="7" t="s">
        <v>260</v>
      </c>
      <c r="C937" s="13" t="s">
        <v>261</v>
      </c>
      <c r="D937" s="39">
        <v>17.0</v>
      </c>
      <c r="E937" s="10">
        <f t="shared" si="2"/>
        <v>850</v>
      </c>
      <c r="F937" s="10" t="str">
        <f t="shared" si="3"/>
        <v>17 completed tickets</v>
      </c>
    </row>
    <row r="938" hidden="1">
      <c r="A938" s="6" t="s">
        <v>79</v>
      </c>
      <c r="B938" s="7" t="s">
        <v>236</v>
      </c>
      <c r="C938" s="13" t="s">
        <v>159</v>
      </c>
      <c r="D938" s="39">
        <v>13.0</v>
      </c>
      <c r="E938" s="10">
        <f t="shared" si="2"/>
        <v>650</v>
      </c>
      <c r="F938" s="10" t="str">
        <f t="shared" si="3"/>
        <v>13 completed tickets</v>
      </c>
    </row>
    <row r="939" hidden="1">
      <c r="A939" s="6" t="s">
        <v>79</v>
      </c>
      <c r="B939" s="13" t="s">
        <v>286</v>
      </c>
      <c r="C939" s="13" t="s">
        <v>287</v>
      </c>
      <c r="D939" s="39">
        <v>4.0</v>
      </c>
      <c r="E939" s="10">
        <f t="shared" si="2"/>
        <v>200</v>
      </c>
      <c r="F939" s="10" t="str">
        <f t="shared" si="3"/>
        <v>4 completed tickets</v>
      </c>
    </row>
    <row r="940" hidden="1">
      <c r="A940" s="6" t="s">
        <v>79</v>
      </c>
      <c r="B940" s="13" t="s">
        <v>281</v>
      </c>
      <c r="C940" s="13" t="s">
        <v>282</v>
      </c>
      <c r="D940" s="39">
        <v>2.0</v>
      </c>
      <c r="E940" s="10">
        <f t="shared" si="2"/>
        <v>100</v>
      </c>
      <c r="F940" s="10" t="str">
        <f t="shared" si="3"/>
        <v>2 completed tickets</v>
      </c>
    </row>
    <row r="941" hidden="1">
      <c r="A941" s="6" t="s">
        <v>81</v>
      </c>
      <c r="B941" s="7" t="s">
        <v>160</v>
      </c>
      <c r="C941" s="38" t="s">
        <v>140</v>
      </c>
      <c r="D941" s="15">
        <v>62.0</v>
      </c>
      <c r="E941" s="10">
        <f t="shared" si="2"/>
        <v>3100</v>
      </c>
      <c r="F941" s="10" t="str">
        <f t="shared" si="3"/>
        <v>62 completed tickets</v>
      </c>
    </row>
    <row r="942" hidden="1">
      <c r="A942" s="6" t="s">
        <v>81</v>
      </c>
      <c r="B942" s="7" t="s">
        <v>161</v>
      </c>
      <c r="C942" s="38" t="s">
        <v>152</v>
      </c>
      <c r="D942" s="15">
        <v>26.0</v>
      </c>
      <c r="E942" s="10">
        <f t="shared" si="2"/>
        <v>1300</v>
      </c>
      <c r="F942" s="10" t="str">
        <f t="shared" si="3"/>
        <v>26 completed tickets</v>
      </c>
    </row>
    <row r="943" hidden="1">
      <c r="A943" s="6" t="s">
        <v>81</v>
      </c>
      <c r="B943" s="7" t="s">
        <v>162</v>
      </c>
      <c r="C943" s="38" t="s">
        <v>163</v>
      </c>
      <c r="D943" s="15">
        <v>33.0</v>
      </c>
      <c r="E943" s="10">
        <f t="shared" si="2"/>
        <v>1650</v>
      </c>
      <c r="F943" s="10" t="str">
        <f t="shared" si="3"/>
        <v>33 completed tickets</v>
      </c>
    </row>
    <row r="944" hidden="1">
      <c r="A944" s="6" t="s">
        <v>81</v>
      </c>
      <c r="B944" s="7" t="s">
        <v>164</v>
      </c>
      <c r="C944" s="38" t="s">
        <v>158</v>
      </c>
      <c r="D944" s="15">
        <v>43.0</v>
      </c>
      <c r="E944" s="10">
        <f t="shared" si="2"/>
        <v>2150</v>
      </c>
      <c r="F944" s="10" t="str">
        <f t="shared" si="3"/>
        <v>43 completed tickets</v>
      </c>
    </row>
    <row r="945" hidden="1">
      <c r="A945" s="6" t="s">
        <v>81</v>
      </c>
      <c r="B945" s="7" t="s">
        <v>165</v>
      </c>
      <c r="C945" s="38" t="s">
        <v>166</v>
      </c>
      <c r="D945" s="15">
        <v>59.0</v>
      </c>
      <c r="E945" s="10">
        <f t="shared" si="2"/>
        <v>2950</v>
      </c>
      <c r="F945" s="10" t="str">
        <f t="shared" si="3"/>
        <v>59 completed tickets</v>
      </c>
    </row>
    <row r="946" hidden="1">
      <c r="A946" s="6" t="s">
        <v>81</v>
      </c>
      <c r="B946" s="7" t="s">
        <v>167</v>
      </c>
      <c r="C946" s="38" t="s">
        <v>157</v>
      </c>
      <c r="D946" s="15">
        <v>23.0</v>
      </c>
      <c r="E946" s="10">
        <f t="shared" si="2"/>
        <v>1150</v>
      </c>
      <c r="F946" s="10" t="str">
        <f t="shared" si="3"/>
        <v>23 completed tickets</v>
      </c>
    </row>
    <row r="947" hidden="1">
      <c r="A947" s="6" t="s">
        <v>81</v>
      </c>
      <c r="B947" s="7" t="s">
        <v>168</v>
      </c>
      <c r="C947" s="38" t="s">
        <v>169</v>
      </c>
      <c r="D947" s="15">
        <v>27.0</v>
      </c>
      <c r="E947" s="10">
        <f t="shared" si="2"/>
        <v>1350</v>
      </c>
      <c r="F947" s="10" t="str">
        <f t="shared" si="3"/>
        <v>27 completed tickets</v>
      </c>
    </row>
    <row r="948" hidden="1">
      <c r="A948" s="6" t="s">
        <v>81</v>
      </c>
      <c r="B948" s="7" t="s">
        <v>170</v>
      </c>
      <c r="C948" s="38" t="s">
        <v>171</v>
      </c>
      <c r="D948" s="15">
        <v>28.0</v>
      </c>
      <c r="E948" s="10">
        <f t="shared" si="2"/>
        <v>1400</v>
      </c>
      <c r="F948" s="10" t="str">
        <f t="shared" si="3"/>
        <v>28 completed tickets</v>
      </c>
    </row>
    <row r="949" hidden="1">
      <c r="A949" s="6" t="s">
        <v>81</v>
      </c>
      <c r="B949" s="7" t="s">
        <v>295</v>
      </c>
      <c r="C949" s="13" t="s">
        <v>296</v>
      </c>
      <c r="D949" s="39">
        <v>42.0</v>
      </c>
      <c r="E949" s="10">
        <f t="shared" si="2"/>
        <v>2100</v>
      </c>
      <c r="F949" s="10" t="str">
        <f t="shared" si="3"/>
        <v>42 completed tickets</v>
      </c>
    </row>
    <row r="950" hidden="1">
      <c r="A950" s="6" t="s">
        <v>81</v>
      </c>
      <c r="B950" s="7" t="s">
        <v>172</v>
      </c>
      <c r="C950" s="13" t="s">
        <v>173</v>
      </c>
      <c r="D950" s="39">
        <v>33.0</v>
      </c>
      <c r="E950" s="10">
        <f t="shared" si="2"/>
        <v>1650</v>
      </c>
      <c r="F950" s="10" t="str">
        <f t="shared" si="3"/>
        <v>33 completed tickets</v>
      </c>
    </row>
    <row r="951" hidden="1">
      <c r="A951" s="6" t="s">
        <v>81</v>
      </c>
      <c r="B951" s="7" t="s">
        <v>297</v>
      </c>
      <c r="C951" s="13" t="s">
        <v>153</v>
      </c>
      <c r="D951" s="39">
        <v>40.0</v>
      </c>
      <c r="E951" s="10">
        <f t="shared" si="2"/>
        <v>2000</v>
      </c>
      <c r="F951" s="10" t="str">
        <f t="shared" si="3"/>
        <v>40 completed tickets</v>
      </c>
    </row>
    <row r="952" hidden="1">
      <c r="A952" s="6" t="s">
        <v>81</v>
      </c>
      <c r="B952" s="7" t="s">
        <v>174</v>
      </c>
      <c r="C952" s="13" t="s">
        <v>175</v>
      </c>
      <c r="D952" s="39">
        <v>23.0</v>
      </c>
      <c r="E952" s="10">
        <f t="shared" si="2"/>
        <v>1150</v>
      </c>
      <c r="F952" s="10" t="str">
        <f t="shared" si="3"/>
        <v>23 completed tickets</v>
      </c>
    </row>
    <row r="953" hidden="1">
      <c r="A953" s="6" t="s">
        <v>81</v>
      </c>
      <c r="B953" s="7" t="s">
        <v>176</v>
      </c>
      <c r="C953" s="13" t="s">
        <v>130</v>
      </c>
      <c r="D953" s="39">
        <v>46.0</v>
      </c>
      <c r="E953" s="10">
        <f t="shared" si="2"/>
        <v>2300</v>
      </c>
      <c r="F953" s="10" t="str">
        <f t="shared" si="3"/>
        <v>46 completed tickets</v>
      </c>
    </row>
    <row r="954" hidden="1">
      <c r="A954" s="6" t="s">
        <v>81</v>
      </c>
      <c r="B954" s="7" t="s">
        <v>252</v>
      </c>
      <c r="C954" s="13" t="s">
        <v>139</v>
      </c>
      <c r="D954" s="39">
        <v>29.0</v>
      </c>
      <c r="E954" s="10">
        <f t="shared" si="2"/>
        <v>1450</v>
      </c>
      <c r="F954" s="10" t="str">
        <f t="shared" si="3"/>
        <v>29 completed tickets</v>
      </c>
    </row>
    <row r="955" hidden="1">
      <c r="A955" s="6" t="s">
        <v>81</v>
      </c>
      <c r="B955" s="7" t="s">
        <v>177</v>
      </c>
      <c r="C955" s="13" t="s">
        <v>144</v>
      </c>
      <c r="D955" s="39">
        <v>53.0</v>
      </c>
      <c r="E955" s="10">
        <f t="shared" si="2"/>
        <v>2650</v>
      </c>
      <c r="F955" s="10" t="str">
        <f t="shared" si="3"/>
        <v>53 completed tickets</v>
      </c>
    </row>
    <row r="956" hidden="1">
      <c r="A956" s="6" t="s">
        <v>81</v>
      </c>
      <c r="B956" s="7" t="s">
        <v>270</v>
      </c>
      <c r="C956" s="13" t="s">
        <v>126</v>
      </c>
      <c r="D956" s="39">
        <v>16.0</v>
      </c>
      <c r="E956" s="10">
        <f t="shared" si="2"/>
        <v>800</v>
      </c>
      <c r="F956" s="10" t="str">
        <f t="shared" si="3"/>
        <v>16 completed tickets</v>
      </c>
    </row>
    <row r="957" hidden="1">
      <c r="A957" s="6" t="s">
        <v>81</v>
      </c>
      <c r="B957" s="7" t="s">
        <v>178</v>
      </c>
      <c r="C957" s="13" t="s">
        <v>179</v>
      </c>
      <c r="D957" s="39">
        <v>27.0</v>
      </c>
      <c r="E957" s="10">
        <f t="shared" si="2"/>
        <v>1350</v>
      </c>
      <c r="F957" s="10" t="str">
        <f t="shared" si="3"/>
        <v>27 completed tickets</v>
      </c>
    </row>
    <row r="958" hidden="1">
      <c r="A958" s="6" t="s">
        <v>81</v>
      </c>
      <c r="B958" s="7" t="s">
        <v>180</v>
      </c>
      <c r="C958" s="13" t="s">
        <v>181</v>
      </c>
      <c r="D958" s="39">
        <v>72.0</v>
      </c>
      <c r="E958" s="10">
        <f t="shared" si="2"/>
        <v>3600</v>
      </c>
      <c r="F958" s="10" t="str">
        <f t="shared" si="3"/>
        <v>72 completed tickets</v>
      </c>
    </row>
    <row r="959" hidden="1">
      <c r="A959" s="6" t="s">
        <v>81</v>
      </c>
      <c r="B959" s="7" t="s">
        <v>182</v>
      </c>
      <c r="C959" s="13" t="s">
        <v>183</v>
      </c>
      <c r="D959" s="39">
        <v>19.0</v>
      </c>
      <c r="E959" s="10">
        <f t="shared" si="2"/>
        <v>950</v>
      </c>
      <c r="F959" s="10" t="str">
        <f t="shared" si="3"/>
        <v>19 completed tickets</v>
      </c>
    </row>
    <row r="960" hidden="1">
      <c r="A960" s="6" t="s">
        <v>81</v>
      </c>
      <c r="B960" s="7" t="s">
        <v>184</v>
      </c>
      <c r="C960" s="13" t="s">
        <v>185</v>
      </c>
      <c r="D960" s="39">
        <v>26.0</v>
      </c>
      <c r="E960" s="10">
        <f t="shared" si="2"/>
        <v>1300</v>
      </c>
      <c r="F960" s="10" t="str">
        <f t="shared" si="3"/>
        <v>26 completed tickets</v>
      </c>
    </row>
    <row r="961" hidden="1">
      <c r="A961" s="6" t="s">
        <v>81</v>
      </c>
      <c r="B961" s="7" t="s">
        <v>212</v>
      </c>
      <c r="C961" s="13" t="s">
        <v>213</v>
      </c>
      <c r="D961" s="39">
        <v>18.0</v>
      </c>
      <c r="E961" s="10">
        <f t="shared" si="2"/>
        <v>900</v>
      </c>
      <c r="F961" s="10" t="str">
        <f t="shared" si="3"/>
        <v>18 completed tickets</v>
      </c>
    </row>
    <row r="962" hidden="1">
      <c r="A962" s="6" t="s">
        <v>81</v>
      </c>
      <c r="B962" s="7" t="s">
        <v>186</v>
      </c>
      <c r="C962" s="13" t="s">
        <v>187</v>
      </c>
      <c r="D962" s="39">
        <v>56.0</v>
      </c>
      <c r="E962" s="10">
        <f t="shared" si="2"/>
        <v>2800</v>
      </c>
      <c r="F962" s="10" t="str">
        <f t="shared" si="3"/>
        <v>56 completed tickets</v>
      </c>
    </row>
    <row r="963" hidden="1">
      <c r="A963" s="6" t="s">
        <v>81</v>
      </c>
      <c r="B963" s="7" t="s">
        <v>188</v>
      </c>
      <c r="C963" s="13" t="s">
        <v>189</v>
      </c>
      <c r="D963" s="39">
        <v>34.0</v>
      </c>
      <c r="E963" s="10">
        <f t="shared" si="2"/>
        <v>1700</v>
      </c>
      <c r="F963" s="10" t="str">
        <f t="shared" si="3"/>
        <v>34 completed tickets</v>
      </c>
    </row>
    <row r="964" hidden="1">
      <c r="A964" s="6" t="s">
        <v>81</v>
      </c>
      <c r="B964" s="7" t="s">
        <v>190</v>
      </c>
      <c r="C964" s="13" t="s">
        <v>191</v>
      </c>
      <c r="D964" s="39">
        <v>15.0</v>
      </c>
      <c r="E964" s="10">
        <f t="shared" si="2"/>
        <v>750</v>
      </c>
      <c r="F964" s="10" t="str">
        <f t="shared" si="3"/>
        <v>15 completed tickets</v>
      </c>
    </row>
    <row r="965" hidden="1">
      <c r="A965" s="6" t="s">
        <v>81</v>
      </c>
      <c r="B965" s="7" t="s">
        <v>192</v>
      </c>
      <c r="C965" s="13" t="s">
        <v>193</v>
      </c>
      <c r="D965" s="39">
        <v>26.0</v>
      </c>
      <c r="E965" s="10">
        <f t="shared" si="2"/>
        <v>1300</v>
      </c>
      <c r="F965" s="10" t="str">
        <f t="shared" si="3"/>
        <v>26 completed tickets</v>
      </c>
    </row>
    <row r="966" hidden="1">
      <c r="A966" s="6" t="s">
        <v>81</v>
      </c>
      <c r="B966" s="7" t="s">
        <v>194</v>
      </c>
      <c r="C966" s="13" t="s">
        <v>195</v>
      </c>
      <c r="D966" s="39">
        <v>11.0</v>
      </c>
      <c r="E966" s="10">
        <f t="shared" si="2"/>
        <v>550</v>
      </c>
      <c r="F966" s="10" t="str">
        <f t="shared" si="3"/>
        <v>11 completed tickets</v>
      </c>
    </row>
    <row r="967" hidden="1">
      <c r="A967" s="6" t="s">
        <v>81</v>
      </c>
      <c r="B967" s="13" t="s">
        <v>196</v>
      </c>
      <c r="C967" s="13" t="s">
        <v>197</v>
      </c>
      <c r="D967" s="39">
        <v>19.0</v>
      </c>
      <c r="E967" s="10">
        <f t="shared" si="2"/>
        <v>950</v>
      </c>
      <c r="F967" s="10" t="str">
        <f t="shared" si="3"/>
        <v>19 completed tickets</v>
      </c>
    </row>
    <row r="968" hidden="1">
      <c r="A968" s="6" t="s">
        <v>81</v>
      </c>
      <c r="B968" s="13" t="s">
        <v>198</v>
      </c>
      <c r="C968" s="13" t="s">
        <v>199</v>
      </c>
      <c r="D968" s="39">
        <v>29.0</v>
      </c>
      <c r="E968" s="10">
        <f t="shared" si="2"/>
        <v>1450</v>
      </c>
      <c r="F968" s="10" t="str">
        <f t="shared" si="3"/>
        <v>29 completed tickets</v>
      </c>
    </row>
    <row r="969" hidden="1">
      <c r="A969" s="6" t="s">
        <v>81</v>
      </c>
      <c r="B969" s="7" t="s">
        <v>253</v>
      </c>
      <c r="C969" s="13" t="s">
        <v>254</v>
      </c>
      <c r="D969" s="39">
        <v>8.0</v>
      </c>
      <c r="E969" s="10">
        <f t="shared" si="2"/>
        <v>400</v>
      </c>
      <c r="F969" s="10" t="str">
        <f t="shared" si="3"/>
        <v>8 completed tickets</v>
      </c>
    </row>
    <row r="970" hidden="1">
      <c r="A970" s="6" t="s">
        <v>81</v>
      </c>
      <c r="B970" s="13" t="s">
        <v>283</v>
      </c>
      <c r="C970" s="13" t="s">
        <v>314</v>
      </c>
      <c r="D970" s="39">
        <v>6.0</v>
      </c>
      <c r="E970" s="10">
        <f t="shared" si="2"/>
        <v>300</v>
      </c>
      <c r="F970" s="10" t="str">
        <f t="shared" si="3"/>
        <v>6 completed tickets</v>
      </c>
    </row>
    <row r="971" hidden="1">
      <c r="A971" s="6" t="s">
        <v>81</v>
      </c>
      <c r="B971" s="13" t="s">
        <v>315</v>
      </c>
      <c r="C971" s="13" t="s">
        <v>316</v>
      </c>
      <c r="D971" s="39">
        <v>5.0</v>
      </c>
      <c r="E971" s="10">
        <f t="shared" si="2"/>
        <v>250</v>
      </c>
      <c r="F971" s="10" t="str">
        <f t="shared" si="3"/>
        <v>5 completed tickets</v>
      </c>
    </row>
    <row r="972" hidden="1">
      <c r="A972" s="6" t="s">
        <v>81</v>
      </c>
      <c r="B972" s="13" t="s">
        <v>311</v>
      </c>
      <c r="C972" s="13" t="s">
        <v>312</v>
      </c>
      <c r="D972" s="39">
        <v>4.0</v>
      </c>
      <c r="E972" s="10">
        <f t="shared" si="2"/>
        <v>200</v>
      </c>
      <c r="F972" s="10" t="str">
        <f t="shared" si="3"/>
        <v>4 completed tickets</v>
      </c>
    </row>
    <row r="973" hidden="1">
      <c r="A973" s="6" t="s">
        <v>81</v>
      </c>
      <c r="B973" s="13" t="s">
        <v>307</v>
      </c>
      <c r="C973" s="13" t="s">
        <v>308</v>
      </c>
      <c r="D973" s="39">
        <v>12.0</v>
      </c>
      <c r="E973" s="10">
        <f t="shared" si="2"/>
        <v>600</v>
      </c>
      <c r="F973" s="10" t="str">
        <f t="shared" si="3"/>
        <v>12 completed tickets</v>
      </c>
    </row>
    <row r="974" hidden="1">
      <c r="A974" s="6" t="s">
        <v>81</v>
      </c>
      <c r="B974" s="13" t="s">
        <v>250</v>
      </c>
      <c r="C974" s="13" t="s">
        <v>137</v>
      </c>
      <c r="D974" s="39">
        <v>4.0</v>
      </c>
      <c r="E974" s="10">
        <f t="shared" si="2"/>
        <v>200</v>
      </c>
      <c r="F974" s="10" t="str">
        <f t="shared" si="3"/>
        <v>4 completed tickets</v>
      </c>
    </row>
    <row r="975" hidden="1">
      <c r="A975" s="6" t="s">
        <v>81</v>
      </c>
      <c r="B975" s="7" t="s">
        <v>260</v>
      </c>
      <c r="C975" s="13" t="s">
        <v>261</v>
      </c>
      <c r="D975" s="39">
        <v>6.0</v>
      </c>
      <c r="E975" s="10">
        <f t="shared" si="2"/>
        <v>300</v>
      </c>
      <c r="F975" s="10" t="str">
        <f t="shared" si="3"/>
        <v>6 completed tickets</v>
      </c>
    </row>
    <row r="976" hidden="1">
      <c r="A976" s="6" t="s">
        <v>81</v>
      </c>
      <c r="B976" s="7" t="s">
        <v>236</v>
      </c>
      <c r="C976" s="13" t="s">
        <v>159</v>
      </c>
      <c r="D976" s="39">
        <v>14.0</v>
      </c>
      <c r="E976" s="10">
        <f t="shared" si="2"/>
        <v>700</v>
      </c>
      <c r="F976" s="10" t="str">
        <f t="shared" si="3"/>
        <v>14 completed tickets</v>
      </c>
    </row>
    <row r="977" hidden="1">
      <c r="A977" s="6" t="s">
        <v>83</v>
      </c>
      <c r="B977" s="7" t="s">
        <v>160</v>
      </c>
      <c r="C977" s="38" t="s">
        <v>140</v>
      </c>
      <c r="D977" s="15">
        <v>104.0</v>
      </c>
      <c r="E977" s="10">
        <f t="shared" si="2"/>
        <v>5200</v>
      </c>
      <c r="F977" s="10" t="str">
        <f t="shared" si="3"/>
        <v>104 completed tickets</v>
      </c>
    </row>
    <row r="978" hidden="1">
      <c r="A978" s="6" t="s">
        <v>83</v>
      </c>
      <c r="B978" s="7" t="s">
        <v>161</v>
      </c>
      <c r="C978" s="38" t="s">
        <v>152</v>
      </c>
      <c r="D978" s="15">
        <v>28.0</v>
      </c>
      <c r="E978" s="10">
        <f t="shared" si="2"/>
        <v>1400</v>
      </c>
      <c r="F978" s="10" t="str">
        <f t="shared" si="3"/>
        <v>28 completed tickets</v>
      </c>
    </row>
    <row r="979" hidden="1">
      <c r="A979" s="6" t="s">
        <v>83</v>
      </c>
      <c r="B979" s="7" t="s">
        <v>162</v>
      </c>
      <c r="C979" s="38" t="s">
        <v>163</v>
      </c>
      <c r="D979" s="15">
        <v>20.0</v>
      </c>
      <c r="E979" s="10">
        <f t="shared" si="2"/>
        <v>1000</v>
      </c>
      <c r="F979" s="10" t="str">
        <f t="shared" si="3"/>
        <v>20 completed tickets</v>
      </c>
    </row>
    <row r="980" hidden="1">
      <c r="A980" s="6" t="s">
        <v>83</v>
      </c>
      <c r="B980" s="7" t="s">
        <v>164</v>
      </c>
      <c r="C980" s="38" t="s">
        <v>158</v>
      </c>
      <c r="D980" s="15">
        <v>53.0</v>
      </c>
      <c r="E980" s="10">
        <f t="shared" si="2"/>
        <v>2650</v>
      </c>
      <c r="F980" s="10" t="str">
        <f t="shared" si="3"/>
        <v>53 completed tickets</v>
      </c>
    </row>
    <row r="981" hidden="1">
      <c r="A981" s="6" t="s">
        <v>83</v>
      </c>
      <c r="B981" s="7" t="s">
        <v>165</v>
      </c>
      <c r="C981" s="38" t="s">
        <v>166</v>
      </c>
      <c r="D981" s="15">
        <v>48.0</v>
      </c>
      <c r="E981" s="10">
        <f t="shared" si="2"/>
        <v>2400</v>
      </c>
      <c r="F981" s="10" t="str">
        <f t="shared" si="3"/>
        <v>48 completed tickets</v>
      </c>
    </row>
    <row r="982" hidden="1">
      <c r="A982" s="6" t="s">
        <v>83</v>
      </c>
      <c r="B982" s="7" t="s">
        <v>167</v>
      </c>
      <c r="C982" s="38" t="s">
        <v>157</v>
      </c>
      <c r="D982" s="15">
        <v>37.0</v>
      </c>
      <c r="E982" s="10">
        <f t="shared" si="2"/>
        <v>1850</v>
      </c>
      <c r="F982" s="10" t="str">
        <f t="shared" si="3"/>
        <v>37 completed tickets</v>
      </c>
    </row>
    <row r="983" hidden="1">
      <c r="A983" s="6" t="s">
        <v>83</v>
      </c>
      <c r="B983" s="7" t="s">
        <v>168</v>
      </c>
      <c r="C983" s="38" t="s">
        <v>169</v>
      </c>
      <c r="D983" s="15">
        <v>22.0</v>
      </c>
      <c r="E983" s="10">
        <f t="shared" si="2"/>
        <v>1100</v>
      </c>
      <c r="F983" s="10" t="str">
        <f t="shared" si="3"/>
        <v>22 completed tickets</v>
      </c>
    </row>
    <row r="984" hidden="1">
      <c r="A984" s="6" t="s">
        <v>83</v>
      </c>
      <c r="B984" s="7" t="s">
        <v>170</v>
      </c>
      <c r="C984" s="38" t="s">
        <v>171</v>
      </c>
      <c r="D984" s="15">
        <v>19.0</v>
      </c>
      <c r="E984" s="10">
        <f t="shared" si="2"/>
        <v>950</v>
      </c>
      <c r="F984" s="10" t="str">
        <f t="shared" si="3"/>
        <v>19 completed tickets</v>
      </c>
    </row>
    <row r="985" hidden="1">
      <c r="A985" s="6" t="s">
        <v>83</v>
      </c>
      <c r="B985" s="7" t="s">
        <v>295</v>
      </c>
      <c r="C985" s="13" t="s">
        <v>296</v>
      </c>
      <c r="D985" s="39">
        <v>48.0</v>
      </c>
      <c r="E985" s="10">
        <f t="shared" si="2"/>
        <v>2400</v>
      </c>
      <c r="F985" s="10" t="str">
        <f t="shared" si="3"/>
        <v>48 completed tickets</v>
      </c>
    </row>
    <row r="986" hidden="1">
      <c r="A986" s="6" t="s">
        <v>83</v>
      </c>
      <c r="B986" s="7" t="s">
        <v>172</v>
      </c>
      <c r="C986" s="13" t="s">
        <v>173</v>
      </c>
      <c r="D986" s="39">
        <v>48.0</v>
      </c>
      <c r="E986" s="10">
        <f t="shared" si="2"/>
        <v>2400</v>
      </c>
      <c r="F986" s="10" t="str">
        <f t="shared" si="3"/>
        <v>48 completed tickets</v>
      </c>
    </row>
    <row r="987" hidden="1">
      <c r="A987" s="6" t="s">
        <v>83</v>
      </c>
      <c r="B987" s="7" t="s">
        <v>297</v>
      </c>
      <c r="C987" s="13" t="s">
        <v>153</v>
      </c>
      <c r="D987" s="39">
        <v>26.0</v>
      </c>
      <c r="E987" s="10">
        <f t="shared" si="2"/>
        <v>1300</v>
      </c>
      <c r="F987" s="10" t="str">
        <f t="shared" si="3"/>
        <v>26 completed tickets</v>
      </c>
    </row>
    <row r="988" hidden="1">
      <c r="A988" s="6" t="s">
        <v>83</v>
      </c>
      <c r="B988" s="7" t="s">
        <v>174</v>
      </c>
      <c r="C988" s="13" t="s">
        <v>175</v>
      </c>
      <c r="D988" s="39">
        <v>23.0</v>
      </c>
      <c r="E988" s="10">
        <f t="shared" si="2"/>
        <v>1150</v>
      </c>
      <c r="F988" s="10" t="str">
        <f t="shared" si="3"/>
        <v>23 completed tickets</v>
      </c>
    </row>
    <row r="989" hidden="1">
      <c r="A989" s="6" t="s">
        <v>83</v>
      </c>
      <c r="B989" s="7" t="s">
        <v>176</v>
      </c>
      <c r="C989" s="13" t="s">
        <v>130</v>
      </c>
      <c r="D989" s="39">
        <v>32.0</v>
      </c>
      <c r="E989" s="10">
        <f t="shared" si="2"/>
        <v>1600</v>
      </c>
      <c r="F989" s="10" t="str">
        <f t="shared" si="3"/>
        <v>32 completed tickets</v>
      </c>
    </row>
    <row r="990" hidden="1">
      <c r="A990" s="6" t="s">
        <v>83</v>
      </c>
      <c r="B990" s="7" t="s">
        <v>252</v>
      </c>
      <c r="C990" s="13" t="s">
        <v>139</v>
      </c>
      <c r="D990" s="39">
        <v>20.0</v>
      </c>
      <c r="E990" s="10">
        <f t="shared" si="2"/>
        <v>1000</v>
      </c>
      <c r="F990" s="10" t="str">
        <f t="shared" si="3"/>
        <v>20 completed tickets</v>
      </c>
    </row>
    <row r="991" hidden="1">
      <c r="A991" s="6" t="s">
        <v>83</v>
      </c>
      <c r="B991" s="7" t="s">
        <v>177</v>
      </c>
      <c r="C991" s="13" t="s">
        <v>144</v>
      </c>
      <c r="D991" s="39">
        <v>34.0</v>
      </c>
      <c r="E991" s="10">
        <f t="shared" si="2"/>
        <v>1700</v>
      </c>
      <c r="F991" s="10" t="str">
        <f t="shared" si="3"/>
        <v>34 completed tickets</v>
      </c>
    </row>
    <row r="992" hidden="1">
      <c r="A992" s="6" t="s">
        <v>83</v>
      </c>
      <c r="B992" s="7" t="s">
        <v>270</v>
      </c>
      <c r="C992" s="13" t="s">
        <v>126</v>
      </c>
      <c r="D992" s="39">
        <v>13.0</v>
      </c>
      <c r="E992" s="10">
        <f t="shared" si="2"/>
        <v>650</v>
      </c>
      <c r="F992" s="10" t="str">
        <f t="shared" si="3"/>
        <v>13 completed tickets</v>
      </c>
    </row>
    <row r="993" hidden="1">
      <c r="A993" s="6" t="s">
        <v>83</v>
      </c>
      <c r="B993" s="7" t="s">
        <v>178</v>
      </c>
      <c r="C993" s="13" t="s">
        <v>179</v>
      </c>
      <c r="D993" s="39">
        <v>35.0</v>
      </c>
      <c r="E993" s="10">
        <f t="shared" si="2"/>
        <v>1750</v>
      </c>
      <c r="F993" s="10" t="str">
        <f t="shared" si="3"/>
        <v>35 completed tickets</v>
      </c>
    </row>
    <row r="994" hidden="1">
      <c r="A994" s="6" t="s">
        <v>83</v>
      </c>
      <c r="B994" s="7" t="s">
        <v>180</v>
      </c>
      <c r="C994" s="13" t="s">
        <v>181</v>
      </c>
      <c r="D994" s="39">
        <v>87.0</v>
      </c>
      <c r="E994" s="10">
        <f t="shared" si="2"/>
        <v>4350</v>
      </c>
      <c r="F994" s="10" t="str">
        <f t="shared" si="3"/>
        <v>87 completed tickets</v>
      </c>
    </row>
    <row r="995" hidden="1">
      <c r="A995" s="6" t="s">
        <v>83</v>
      </c>
      <c r="B995" s="7" t="s">
        <v>182</v>
      </c>
      <c r="C995" s="13" t="s">
        <v>183</v>
      </c>
      <c r="D995" s="39">
        <v>13.0</v>
      </c>
      <c r="E995" s="10">
        <f t="shared" si="2"/>
        <v>650</v>
      </c>
      <c r="F995" s="10" t="str">
        <f t="shared" si="3"/>
        <v>13 completed tickets</v>
      </c>
    </row>
    <row r="996" hidden="1">
      <c r="A996" s="6" t="s">
        <v>83</v>
      </c>
      <c r="B996" s="7" t="s">
        <v>184</v>
      </c>
      <c r="C996" s="13" t="s">
        <v>185</v>
      </c>
      <c r="D996" s="39">
        <v>29.0</v>
      </c>
      <c r="E996" s="10">
        <f t="shared" si="2"/>
        <v>1450</v>
      </c>
      <c r="F996" s="10" t="str">
        <f t="shared" si="3"/>
        <v>29 completed tickets</v>
      </c>
    </row>
    <row r="997" hidden="1">
      <c r="A997" s="6" t="s">
        <v>83</v>
      </c>
      <c r="B997" s="7" t="s">
        <v>212</v>
      </c>
      <c r="C997" s="13" t="s">
        <v>213</v>
      </c>
      <c r="D997" s="39">
        <v>33.0</v>
      </c>
      <c r="E997" s="10">
        <f t="shared" si="2"/>
        <v>1650</v>
      </c>
      <c r="F997" s="10" t="str">
        <f t="shared" si="3"/>
        <v>33 completed tickets</v>
      </c>
    </row>
    <row r="998" hidden="1">
      <c r="A998" s="6" t="s">
        <v>83</v>
      </c>
      <c r="B998" s="7" t="s">
        <v>186</v>
      </c>
      <c r="C998" s="13" t="s">
        <v>187</v>
      </c>
      <c r="D998" s="39">
        <v>50.0</v>
      </c>
      <c r="E998" s="10">
        <f t="shared" si="2"/>
        <v>2500</v>
      </c>
      <c r="F998" s="10" t="str">
        <f t="shared" si="3"/>
        <v>50 completed tickets</v>
      </c>
    </row>
    <row r="999" hidden="1">
      <c r="A999" s="6" t="s">
        <v>83</v>
      </c>
      <c r="B999" s="7" t="s">
        <v>188</v>
      </c>
      <c r="C999" s="13" t="s">
        <v>189</v>
      </c>
      <c r="D999" s="39">
        <v>16.0</v>
      </c>
      <c r="E999" s="10">
        <f t="shared" si="2"/>
        <v>800</v>
      </c>
      <c r="F999" s="10" t="str">
        <f t="shared" si="3"/>
        <v>16 completed tickets</v>
      </c>
    </row>
    <row r="1000" hidden="1">
      <c r="A1000" s="6" t="s">
        <v>83</v>
      </c>
      <c r="B1000" s="7" t="s">
        <v>190</v>
      </c>
      <c r="C1000" s="13" t="s">
        <v>191</v>
      </c>
      <c r="D1000" s="39">
        <v>33.0</v>
      </c>
      <c r="E1000" s="10">
        <f t="shared" si="2"/>
        <v>1650</v>
      </c>
      <c r="F1000" s="10" t="str">
        <f t="shared" si="3"/>
        <v>33 completed tickets</v>
      </c>
    </row>
    <row r="1001" hidden="1">
      <c r="A1001" s="6" t="s">
        <v>83</v>
      </c>
      <c r="B1001" s="7" t="s">
        <v>192</v>
      </c>
      <c r="C1001" s="13" t="s">
        <v>193</v>
      </c>
      <c r="D1001" s="39">
        <v>21.0</v>
      </c>
      <c r="E1001" s="10">
        <f t="shared" si="2"/>
        <v>1050</v>
      </c>
      <c r="F1001" s="10" t="str">
        <f t="shared" si="3"/>
        <v>21 completed tickets</v>
      </c>
    </row>
    <row r="1002" hidden="1">
      <c r="A1002" s="6" t="s">
        <v>83</v>
      </c>
      <c r="B1002" s="7" t="s">
        <v>194</v>
      </c>
      <c r="C1002" s="13" t="s">
        <v>195</v>
      </c>
      <c r="D1002" s="39">
        <v>19.0</v>
      </c>
      <c r="E1002" s="10">
        <f t="shared" si="2"/>
        <v>950</v>
      </c>
      <c r="F1002" s="10" t="str">
        <f t="shared" si="3"/>
        <v>19 completed tickets</v>
      </c>
    </row>
    <row r="1003" hidden="1">
      <c r="A1003" s="6" t="s">
        <v>83</v>
      </c>
      <c r="B1003" s="13" t="s">
        <v>196</v>
      </c>
      <c r="C1003" s="13" t="s">
        <v>197</v>
      </c>
      <c r="D1003" s="39">
        <v>15.0</v>
      </c>
      <c r="E1003" s="10">
        <f t="shared" si="2"/>
        <v>750</v>
      </c>
      <c r="F1003" s="10" t="str">
        <f t="shared" si="3"/>
        <v>15 completed tickets</v>
      </c>
    </row>
    <row r="1004" hidden="1">
      <c r="A1004" s="6" t="s">
        <v>83</v>
      </c>
      <c r="B1004" s="13" t="s">
        <v>198</v>
      </c>
      <c r="C1004" s="13" t="s">
        <v>199</v>
      </c>
      <c r="D1004" s="39">
        <v>21.0</v>
      </c>
      <c r="E1004" s="10">
        <f t="shared" si="2"/>
        <v>1050</v>
      </c>
      <c r="F1004" s="10" t="str">
        <f t="shared" si="3"/>
        <v>21 completed tickets</v>
      </c>
    </row>
    <row r="1005" hidden="1">
      <c r="A1005" s="6" t="s">
        <v>83</v>
      </c>
      <c r="B1005" s="7" t="s">
        <v>253</v>
      </c>
      <c r="C1005" s="13" t="s">
        <v>254</v>
      </c>
      <c r="D1005" s="39">
        <v>8.0</v>
      </c>
      <c r="E1005" s="10">
        <f t="shared" si="2"/>
        <v>400</v>
      </c>
      <c r="F1005" s="10" t="str">
        <f t="shared" si="3"/>
        <v>8 completed tickets</v>
      </c>
    </row>
    <row r="1006" hidden="1">
      <c r="A1006" s="6" t="s">
        <v>83</v>
      </c>
      <c r="B1006" s="13" t="s">
        <v>283</v>
      </c>
      <c r="C1006" s="13" t="s">
        <v>314</v>
      </c>
      <c r="D1006" s="39">
        <v>3.0</v>
      </c>
      <c r="E1006" s="10">
        <f t="shared" si="2"/>
        <v>150</v>
      </c>
      <c r="F1006" s="10" t="str">
        <f t="shared" si="3"/>
        <v>3 completed tickets</v>
      </c>
    </row>
    <row r="1007" hidden="1">
      <c r="A1007" s="6" t="s">
        <v>83</v>
      </c>
      <c r="B1007" s="13" t="s">
        <v>309</v>
      </c>
      <c r="C1007" s="13" t="s">
        <v>310</v>
      </c>
      <c r="D1007" s="39">
        <v>4.0</v>
      </c>
      <c r="E1007" s="10">
        <f t="shared" si="2"/>
        <v>200</v>
      </c>
      <c r="F1007" s="10" t="str">
        <f t="shared" si="3"/>
        <v>4 completed tickets</v>
      </c>
    </row>
    <row r="1008" hidden="1">
      <c r="A1008" s="6" t="s">
        <v>83</v>
      </c>
      <c r="B1008" s="13" t="s">
        <v>315</v>
      </c>
      <c r="C1008" s="13" t="s">
        <v>316</v>
      </c>
      <c r="D1008" s="39">
        <v>13.0</v>
      </c>
      <c r="E1008" s="10">
        <f t="shared" si="2"/>
        <v>650</v>
      </c>
      <c r="F1008" s="10" t="str">
        <f t="shared" si="3"/>
        <v>13 completed tickets</v>
      </c>
    </row>
    <row r="1009" hidden="1">
      <c r="A1009" s="6" t="s">
        <v>83</v>
      </c>
      <c r="B1009" s="13" t="s">
        <v>311</v>
      </c>
      <c r="C1009" s="13" t="s">
        <v>312</v>
      </c>
      <c r="D1009" s="39">
        <v>17.0</v>
      </c>
      <c r="E1009" s="10">
        <f t="shared" si="2"/>
        <v>850</v>
      </c>
      <c r="F1009" s="10" t="str">
        <f t="shared" si="3"/>
        <v>17 completed tickets</v>
      </c>
    </row>
    <row r="1010" hidden="1">
      <c r="A1010" s="6" t="s">
        <v>83</v>
      </c>
      <c r="B1010" s="13" t="s">
        <v>307</v>
      </c>
      <c r="C1010" s="13" t="s">
        <v>308</v>
      </c>
      <c r="D1010" s="39">
        <v>28.0</v>
      </c>
      <c r="E1010" s="10">
        <f t="shared" si="2"/>
        <v>1400</v>
      </c>
      <c r="F1010" s="10" t="str">
        <f t="shared" si="3"/>
        <v>28 completed tickets</v>
      </c>
    </row>
    <row r="1011" hidden="1">
      <c r="A1011" s="6" t="s">
        <v>83</v>
      </c>
      <c r="B1011" s="7" t="s">
        <v>260</v>
      </c>
      <c r="C1011" s="13" t="s">
        <v>261</v>
      </c>
      <c r="D1011" s="39">
        <v>12.0</v>
      </c>
      <c r="E1011" s="10">
        <f t="shared" si="2"/>
        <v>600</v>
      </c>
      <c r="F1011" s="10" t="str">
        <f t="shared" si="3"/>
        <v>12 completed tickets</v>
      </c>
    </row>
    <row r="1012" hidden="1">
      <c r="A1012" s="6" t="s">
        <v>83</v>
      </c>
      <c r="B1012" s="7" t="s">
        <v>236</v>
      </c>
      <c r="C1012" s="13" t="s">
        <v>159</v>
      </c>
      <c r="D1012" s="39">
        <v>8.0</v>
      </c>
      <c r="E1012" s="10">
        <f t="shared" si="2"/>
        <v>400</v>
      </c>
      <c r="F1012" s="10" t="str">
        <f t="shared" si="3"/>
        <v>8 completed tickets</v>
      </c>
    </row>
    <row r="1013" hidden="1">
      <c r="A1013" s="6" t="s">
        <v>83</v>
      </c>
      <c r="B1013" s="13" t="s">
        <v>286</v>
      </c>
      <c r="C1013" s="38" t="s">
        <v>287</v>
      </c>
      <c r="D1013" s="39">
        <v>16.0</v>
      </c>
      <c r="E1013" s="10">
        <f t="shared" si="2"/>
        <v>800</v>
      </c>
      <c r="F1013" s="10" t="str">
        <f t="shared" si="3"/>
        <v>16 completed tickets</v>
      </c>
    </row>
    <row r="1014" hidden="1">
      <c r="A1014" s="6" t="s">
        <v>83</v>
      </c>
      <c r="B1014" s="13" t="s">
        <v>275</v>
      </c>
      <c r="C1014" s="38" t="s">
        <v>276</v>
      </c>
      <c r="D1014" s="39">
        <v>10.0</v>
      </c>
      <c r="E1014" s="10">
        <f t="shared" si="2"/>
        <v>500</v>
      </c>
      <c r="F1014" s="10" t="str">
        <f t="shared" si="3"/>
        <v>10 completed tickets</v>
      </c>
    </row>
    <row r="1015" hidden="1">
      <c r="A1015" s="6" t="s">
        <v>83</v>
      </c>
      <c r="B1015" s="38" t="s">
        <v>317</v>
      </c>
      <c r="C1015" s="38" t="s">
        <v>318</v>
      </c>
      <c r="D1015" s="39">
        <v>18.0</v>
      </c>
      <c r="E1015" s="10">
        <f t="shared" si="2"/>
        <v>900</v>
      </c>
      <c r="F1015" s="10" t="str">
        <f t="shared" si="3"/>
        <v>18 completed tickets</v>
      </c>
    </row>
    <row r="1016" hidden="1">
      <c r="A1016" s="6" t="s">
        <v>83</v>
      </c>
      <c r="B1016" s="38" t="s">
        <v>319</v>
      </c>
      <c r="C1016" s="38" t="s">
        <v>320</v>
      </c>
      <c r="D1016" s="39">
        <v>2.0</v>
      </c>
      <c r="E1016" s="10">
        <f t="shared" si="2"/>
        <v>100</v>
      </c>
      <c r="F1016" s="10" t="str">
        <f t="shared" si="3"/>
        <v>2 completed tickets</v>
      </c>
    </row>
    <row r="1017" hidden="1">
      <c r="A1017" s="6" t="s">
        <v>83</v>
      </c>
      <c r="B1017" s="38" t="s">
        <v>266</v>
      </c>
      <c r="C1017" s="38" t="s">
        <v>267</v>
      </c>
      <c r="D1017" s="39">
        <v>8.0</v>
      </c>
      <c r="E1017" s="10">
        <f t="shared" si="2"/>
        <v>400</v>
      </c>
      <c r="F1017" s="10" t="str">
        <f t="shared" si="3"/>
        <v>8 completed tickets</v>
      </c>
    </row>
    <row r="1018" hidden="1">
      <c r="A1018" s="6" t="s">
        <v>85</v>
      </c>
      <c r="B1018" s="7" t="s">
        <v>160</v>
      </c>
      <c r="C1018" s="38" t="s">
        <v>140</v>
      </c>
      <c r="D1018" s="15">
        <v>33.0</v>
      </c>
      <c r="E1018" s="10">
        <f t="shared" si="2"/>
        <v>1650</v>
      </c>
      <c r="F1018" s="10" t="str">
        <f t="shared" si="3"/>
        <v>33 completed tickets</v>
      </c>
    </row>
    <row r="1019" hidden="1">
      <c r="A1019" s="6" t="s">
        <v>85</v>
      </c>
      <c r="B1019" s="7" t="s">
        <v>161</v>
      </c>
      <c r="C1019" s="38" t="s">
        <v>152</v>
      </c>
      <c r="D1019" s="15">
        <v>33.0</v>
      </c>
      <c r="E1019" s="10">
        <f t="shared" si="2"/>
        <v>1650</v>
      </c>
      <c r="F1019" s="10" t="str">
        <f t="shared" si="3"/>
        <v>33 completed tickets</v>
      </c>
    </row>
    <row r="1020" hidden="1">
      <c r="A1020" s="6" t="s">
        <v>85</v>
      </c>
      <c r="B1020" s="7" t="s">
        <v>162</v>
      </c>
      <c r="C1020" s="38" t="s">
        <v>163</v>
      </c>
      <c r="D1020" s="15">
        <v>38.0</v>
      </c>
      <c r="E1020" s="10">
        <f t="shared" si="2"/>
        <v>1900</v>
      </c>
      <c r="F1020" s="10" t="str">
        <f t="shared" si="3"/>
        <v>38 completed tickets</v>
      </c>
    </row>
    <row r="1021" hidden="1">
      <c r="A1021" s="6" t="s">
        <v>85</v>
      </c>
      <c r="B1021" s="7" t="s">
        <v>164</v>
      </c>
      <c r="C1021" s="38" t="s">
        <v>158</v>
      </c>
      <c r="D1021" s="15">
        <v>38.0</v>
      </c>
      <c r="E1021" s="10">
        <f t="shared" si="2"/>
        <v>1900</v>
      </c>
      <c r="F1021" s="10" t="str">
        <f t="shared" si="3"/>
        <v>38 completed tickets</v>
      </c>
    </row>
    <row r="1022" hidden="1">
      <c r="A1022" s="6" t="s">
        <v>85</v>
      </c>
      <c r="B1022" s="7" t="s">
        <v>165</v>
      </c>
      <c r="C1022" s="38" t="s">
        <v>166</v>
      </c>
      <c r="D1022" s="15">
        <v>50.0</v>
      </c>
      <c r="E1022" s="10">
        <f t="shared" si="2"/>
        <v>2500</v>
      </c>
      <c r="F1022" s="10" t="str">
        <f t="shared" si="3"/>
        <v>50 completed tickets</v>
      </c>
    </row>
    <row r="1023" hidden="1">
      <c r="A1023" s="6" t="s">
        <v>85</v>
      </c>
      <c r="B1023" s="7" t="s">
        <v>167</v>
      </c>
      <c r="C1023" s="38" t="s">
        <v>157</v>
      </c>
      <c r="D1023" s="15">
        <v>40.0</v>
      </c>
      <c r="E1023" s="10">
        <f t="shared" si="2"/>
        <v>2000</v>
      </c>
      <c r="F1023" s="10" t="str">
        <f t="shared" si="3"/>
        <v>40 completed tickets</v>
      </c>
    </row>
    <row r="1024" hidden="1">
      <c r="A1024" s="6" t="s">
        <v>85</v>
      </c>
      <c r="B1024" s="7" t="s">
        <v>168</v>
      </c>
      <c r="C1024" s="38" t="s">
        <v>169</v>
      </c>
      <c r="D1024" s="15">
        <v>27.0</v>
      </c>
      <c r="E1024" s="10">
        <f t="shared" si="2"/>
        <v>1350</v>
      </c>
      <c r="F1024" s="10" t="str">
        <f t="shared" si="3"/>
        <v>27 completed tickets</v>
      </c>
    </row>
    <row r="1025" hidden="1">
      <c r="A1025" s="6" t="s">
        <v>85</v>
      </c>
      <c r="B1025" s="7" t="s">
        <v>170</v>
      </c>
      <c r="C1025" s="13" t="s">
        <v>171</v>
      </c>
      <c r="D1025" s="39">
        <v>19.0</v>
      </c>
      <c r="E1025" s="10">
        <f t="shared" si="2"/>
        <v>950</v>
      </c>
      <c r="F1025" s="10" t="str">
        <f t="shared" si="3"/>
        <v>19 completed tickets</v>
      </c>
    </row>
    <row r="1026" hidden="1">
      <c r="A1026" s="6" t="s">
        <v>85</v>
      </c>
      <c r="B1026" s="7" t="s">
        <v>295</v>
      </c>
      <c r="C1026" s="13" t="s">
        <v>296</v>
      </c>
      <c r="D1026" s="39">
        <v>44.0</v>
      </c>
      <c r="E1026" s="10">
        <f t="shared" si="2"/>
        <v>2200</v>
      </c>
      <c r="F1026" s="10" t="str">
        <f t="shared" si="3"/>
        <v>44 completed tickets</v>
      </c>
    </row>
    <row r="1027" hidden="1">
      <c r="A1027" s="6" t="s">
        <v>85</v>
      </c>
      <c r="B1027" s="7" t="s">
        <v>172</v>
      </c>
      <c r="C1027" s="13" t="s">
        <v>173</v>
      </c>
      <c r="D1027" s="39">
        <v>33.0</v>
      </c>
      <c r="E1027" s="10">
        <f t="shared" si="2"/>
        <v>1650</v>
      </c>
      <c r="F1027" s="10" t="str">
        <f t="shared" si="3"/>
        <v>33 completed tickets</v>
      </c>
    </row>
    <row r="1028" hidden="1">
      <c r="A1028" s="6" t="s">
        <v>85</v>
      </c>
      <c r="B1028" s="7" t="s">
        <v>297</v>
      </c>
      <c r="C1028" s="13" t="s">
        <v>153</v>
      </c>
      <c r="D1028" s="39">
        <v>14.0</v>
      </c>
      <c r="E1028" s="10">
        <f t="shared" si="2"/>
        <v>700</v>
      </c>
      <c r="F1028" s="10" t="str">
        <f t="shared" si="3"/>
        <v>14 completed tickets</v>
      </c>
    </row>
    <row r="1029" hidden="1">
      <c r="A1029" s="6" t="s">
        <v>85</v>
      </c>
      <c r="B1029" s="7" t="s">
        <v>174</v>
      </c>
      <c r="C1029" s="13" t="s">
        <v>175</v>
      </c>
      <c r="D1029" s="39">
        <v>30.0</v>
      </c>
      <c r="E1029" s="10">
        <f t="shared" si="2"/>
        <v>1500</v>
      </c>
      <c r="F1029" s="10" t="str">
        <f t="shared" si="3"/>
        <v>30 completed tickets</v>
      </c>
    </row>
    <row r="1030" hidden="1">
      <c r="A1030" s="6" t="s">
        <v>85</v>
      </c>
      <c r="B1030" s="7" t="s">
        <v>176</v>
      </c>
      <c r="C1030" s="13" t="s">
        <v>130</v>
      </c>
      <c r="D1030" s="39">
        <v>30.0</v>
      </c>
      <c r="E1030" s="10">
        <f t="shared" si="2"/>
        <v>1500</v>
      </c>
      <c r="F1030" s="10" t="str">
        <f t="shared" si="3"/>
        <v>30 completed tickets</v>
      </c>
    </row>
    <row r="1031" hidden="1">
      <c r="A1031" s="6" t="s">
        <v>85</v>
      </c>
      <c r="B1031" s="7" t="s">
        <v>252</v>
      </c>
      <c r="C1031" s="13" t="s">
        <v>139</v>
      </c>
      <c r="D1031" s="39">
        <v>33.0</v>
      </c>
      <c r="E1031" s="10">
        <f t="shared" si="2"/>
        <v>1650</v>
      </c>
      <c r="F1031" s="10" t="str">
        <f t="shared" si="3"/>
        <v>33 completed tickets</v>
      </c>
    </row>
    <row r="1032" hidden="1">
      <c r="A1032" s="6" t="s">
        <v>85</v>
      </c>
      <c r="B1032" s="7" t="s">
        <v>177</v>
      </c>
      <c r="C1032" s="13" t="s">
        <v>144</v>
      </c>
      <c r="D1032" s="39">
        <v>34.0</v>
      </c>
      <c r="E1032" s="10">
        <f t="shared" si="2"/>
        <v>1700</v>
      </c>
      <c r="F1032" s="10" t="str">
        <f t="shared" si="3"/>
        <v>34 completed tickets</v>
      </c>
    </row>
    <row r="1033" hidden="1">
      <c r="A1033" s="6" t="s">
        <v>85</v>
      </c>
      <c r="B1033" s="7" t="s">
        <v>270</v>
      </c>
      <c r="C1033" s="13" t="s">
        <v>126</v>
      </c>
      <c r="D1033" s="39">
        <v>19.0</v>
      </c>
      <c r="E1033" s="10">
        <f t="shared" si="2"/>
        <v>950</v>
      </c>
      <c r="F1033" s="10" t="str">
        <f t="shared" si="3"/>
        <v>19 completed tickets</v>
      </c>
    </row>
    <row r="1034" hidden="1">
      <c r="A1034" s="6" t="s">
        <v>85</v>
      </c>
      <c r="B1034" s="7" t="s">
        <v>178</v>
      </c>
      <c r="C1034" s="13" t="s">
        <v>179</v>
      </c>
      <c r="D1034" s="39">
        <v>26.0</v>
      </c>
      <c r="E1034" s="10">
        <f t="shared" si="2"/>
        <v>1300</v>
      </c>
      <c r="F1034" s="10" t="str">
        <f t="shared" si="3"/>
        <v>26 completed tickets</v>
      </c>
    </row>
    <row r="1035" hidden="1">
      <c r="A1035" s="6" t="s">
        <v>85</v>
      </c>
      <c r="B1035" s="7" t="s">
        <v>180</v>
      </c>
      <c r="C1035" s="13" t="s">
        <v>181</v>
      </c>
      <c r="D1035" s="39">
        <v>81.0</v>
      </c>
      <c r="E1035" s="10">
        <f t="shared" si="2"/>
        <v>4050</v>
      </c>
      <c r="F1035" s="10" t="str">
        <f t="shared" si="3"/>
        <v>81 completed tickets</v>
      </c>
    </row>
    <row r="1036" hidden="1">
      <c r="A1036" s="6" t="s">
        <v>85</v>
      </c>
      <c r="B1036" s="7" t="s">
        <v>182</v>
      </c>
      <c r="C1036" s="13" t="s">
        <v>183</v>
      </c>
      <c r="D1036" s="39">
        <v>16.0</v>
      </c>
      <c r="E1036" s="10">
        <f t="shared" si="2"/>
        <v>800</v>
      </c>
      <c r="F1036" s="10" t="str">
        <f t="shared" si="3"/>
        <v>16 completed tickets</v>
      </c>
    </row>
    <row r="1037" hidden="1">
      <c r="A1037" s="6" t="s">
        <v>85</v>
      </c>
      <c r="B1037" s="7" t="s">
        <v>184</v>
      </c>
      <c r="C1037" s="13" t="s">
        <v>185</v>
      </c>
      <c r="D1037" s="39">
        <v>30.0</v>
      </c>
      <c r="E1037" s="10">
        <f t="shared" si="2"/>
        <v>1500</v>
      </c>
      <c r="F1037" s="10" t="str">
        <f t="shared" si="3"/>
        <v>30 completed tickets</v>
      </c>
    </row>
    <row r="1038" hidden="1">
      <c r="A1038" s="6" t="s">
        <v>85</v>
      </c>
      <c r="B1038" s="7" t="s">
        <v>212</v>
      </c>
      <c r="C1038" s="13" t="s">
        <v>213</v>
      </c>
      <c r="D1038" s="39">
        <v>26.0</v>
      </c>
      <c r="E1038" s="10">
        <f t="shared" si="2"/>
        <v>1300</v>
      </c>
      <c r="F1038" s="10" t="str">
        <f t="shared" si="3"/>
        <v>26 completed tickets</v>
      </c>
    </row>
    <row r="1039" hidden="1">
      <c r="A1039" s="6" t="s">
        <v>85</v>
      </c>
      <c r="B1039" s="7" t="s">
        <v>186</v>
      </c>
      <c r="C1039" s="13" t="s">
        <v>187</v>
      </c>
      <c r="D1039" s="39">
        <v>49.0</v>
      </c>
      <c r="E1039" s="10">
        <f t="shared" si="2"/>
        <v>2450</v>
      </c>
      <c r="F1039" s="10" t="str">
        <f t="shared" si="3"/>
        <v>49 completed tickets</v>
      </c>
    </row>
    <row r="1040" hidden="1">
      <c r="A1040" s="6" t="s">
        <v>85</v>
      </c>
      <c r="B1040" s="7" t="s">
        <v>188</v>
      </c>
      <c r="C1040" s="13" t="s">
        <v>189</v>
      </c>
      <c r="D1040" s="39">
        <v>22.0</v>
      </c>
      <c r="E1040" s="10">
        <f t="shared" si="2"/>
        <v>1100</v>
      </c>
      <c r="F1040" s="10" t="str">
        <f t="shared" si="3"/>
        <v>22 completed tickets</v>
      </c>
    </row>
    <row r="1041" hidden="1">
      <c r="A1041" s="6" t="s">
        <v>85</v>
      </c>
      <c r="B1041" s="7" t="s">
        <v>190</v>
      </c>
      <c r="C1041" s="13" t="s">
        <v>191</v>
      </c>
      <c r="D1041" s="39">
        <v>20.0</v>
      </c>
      <c r="E1041" s="10">
        <f t="shared" si="2"/>
        <v>1000</v>
      </c>
      <c r="F1041" s="10" t="str">
        <f t="shared" si="3"/>
        <v>20 completed tickets</v>
      </c>
    </row>
    <row r="1042" hidden="1">
      <c r="A1042" s="6" t="s">
        <v>85</v>
      </c>
      <c r="B1042" s="7" t="s">
        <v>192</v>
      </c>
      <c r="C1042" s="13" t="s">
        <v>193</v>
      </c>
      <c r="D1042" s="39">
        <v>9.0</v>
      </c>
      <c r="E1042" s="10">
        <f t="shared" si="2"/>
        <v>450</v>
      </c>
      <c r="F1042" s="10" t="str">
        <f t="shared" si="3"/>
        <v>9 completed tickets</v>
      </c>
    </row>
    <row r="1043" hidden="1">
      <c r="A1043" s="6" t="s">
        <v>85</v>
      </c>
      <c r="B1043" s="7" t="s">
        <v>194</v>
      </c>
      <c r="C1043" s="13" t="s">
        <v>195</v>
      </c>
      <c r="D1043" s="39">
        <v>7.0</v>
      </c>
      <c r="E1043" s="10">
        <f t="shared" si="2"/>
        <v>350</v>
      </c>
      <c r="F1043" s="10" t="str">
        <f t="shared" si="3"/>
        <v>7 completed tickets</v>
      </c>
    </row>
    <row r="1044" hidden="1">
      <c r="A1044" s="6" t="s">
        <v>85</v>
      </c>
      <c r="B1044" s="13" t="s">
        <v>196</v>
      </c>
      <c r="C1044" s="13" t="s">
        <v>197</v>
      </c>
      <c r="D1044" s="39">
        <v>6.0</v>
      </c>
      <c r="E1044" s="10">
        <f t="shared" si="2"/>
        <v>300</v>
      </c>
      <c r="F1044" s="10" t="str">
        <f t="shared" si="3"/>
        <v>6 completed tickets</v>
      </c>
    </row>
    <row r="1045" hidden="1">
      <c r="A1045" s="6" t="s">
        <v>85</v>
      </c>
      <c r="B1045" s="13" t="s">
        <v>198</v>
      </c>
      <c r="C1045" s="13" t="s">
        <v>199</v>
      </c>
      <c r="D1045" s="39">
        <v>8.0</v>
      </c>
      <c r="E1045" s="10">
        <f t="shared" si="2"/>
        <v>400</v>
      </c>
      <c r="F1045" s="10" t="str">
        <f t="shared" si="3"/>
        <v>8 completed tickets</v>
      </c>
    </row>
    <row r="1046" hidden="1">
      <c r="A1046" s="6" t="s">
        <v>85</v>
      </c>
      <c r="B1046" s="7" t="s">
        <v>253</v>
      </c>
      <c r="C1046" s="13" t="s">
        <v>254</v>
      </c>
      <c r="D1046" s="39">
        <v>22.0</v>
      </c>
      <c r="E1046" s="10">
        <f t="shared" si="2"/>
        <v>1100</v>
      </c>
      <c r="F1046" s="10" t="str">
        <f t="shared" si="3"/>
        <v>22 completed tickets</v>
      </c>
    </row>
    <row r="1047" hidden="1">
      <c r="A1047" s="6" t="s">
        <v>85</v>
      </c>
      <c r="B1047" s="13" t="s">
        <v>283</v>
      </c>
      <c r="C1047" s="13" t="s">
        <v>314</v>
      </c>
      <c r="D1047" s="39">
        <v>6.0</v>
      </c>
      <c r="E1047" s="10">
        <f t="shared" si="2"/>
        <v>300</v>
      </c>
      <c r="F1047" s="10" t="str">
        <f t="shared" si="3"/>
        <v>6 completed tickets</v>
      </c>
    </row>
    <row r="1048" hidden="1">
      <c r="A1048" s="6" t="s">
        <v>85</v>
      </c>
      <c r="B1048" s="13" t="s">
        <v>309</v>
      </c>
      <c r="C1048" s="13" t="s">
        <v>310</v>
      </c>
      <c r="D1048" s="39">
        <v>8.0</v>
      </c>
      <c r="E1048" s="10">
        <f t="shared" si="2"/>
        <v>400</v>
      </c>
      <c r="F1048" s="10" t="str">
        <f t="shared" si="3"/>
        <v>8 completed tickets</v>
      </c>
    </row>
    <row r="1049" hidden="1">
      <c r="A1049" s="6" t="s">
        <v>85</v>
      </c>
      <c r="B1049" s="13" t="s">
        <v>315</v>
      </c>
      <c r="C1049" s="13" t="s">
        <v>316</v>
      </c>
      <c r="D1049" s="39">
        <v>16.0</v>
      </c>
      <c r="E1049" s="10">
        <f t="shared" si="2"/>
        <v>800</v>
      </c>
      <c r="F1049" s="10" t="str">
        <f t="shared" si="3"/>
        <v>16 completed tickets</v>
      </c>
    </row>
    <row r="1050" hidden="1">
      <c r="A1050" s="6" t="s">
        <v>85</v>
      </c>
      <c r="B1050" s="13" t="s">
        <v>311</v>
      </c>
      <c r="C1050" s="13" t="s">
        <v>312</v>
      </c>
      <c r="D1050" s="39">
        <v>15.0</v>
      </c>
      <c r="E1050" s="10">
        <f t="shared" si="2"/>
        <v>750</v>
      </c>
      <c r="F1050" s="10" t="str">
        <f t="shared" si="3"/>
        <v>15 completed tickets</v>
      </c>
    </row>
    <row r="1051" hidden="1">
      <c r="A1051" s="6" t="s">
        <v>85</v>
      </c>
      <c r="B1051" s="13" t="s">
        <v>307</v>
      </c>
      <c r="C1051" s="13" t="s">
        <v>308</v>
      </c>
      <c r="D1051" s="39">
        <v>16.0</v>
      </c>
      <c r="E1051" s="10">
        <f t="shared" si="2"/>
        <v>800</v>
      </c>
      <c r="F1051" s="10" t="str">
        <f t="shared" si="3"/>
        <v>16 completed tickets</v>
      </c>
    </row>
    <row r="1052" hidden="1">
      <c r="A1052" s="6" t="s">
        <v>85</v>
      </c>
      <c r="B1052" s="7" t="s">
        <v>260</v>
      </c>
      <c r="C1052" s="13" t="s">
        <v>261</v>
      </c>
      <c r="D1052" s="39">
        <v>8.0</v>
      </c>
      <c r="E1052" s="10">
        <f t="shared" si="2"/>
        <v>400</v>
      </c>
      <c r="F1052" s="10" t="str">
        <f t="shared" si="3"/>
        <v>8 completed tickets</v>
      </c>
    </row>
    <row r="1053" hidden="1">
      <c r="A1053" s="6" t="s">
        <v>85</v>
      </c>
      <c r="B1053" s="7" t="s">
        <v>236</v>
      </c>
      <c r="C1053" s="38" t="s">
        <v>159</v>
      </c>
      <c r="D1053" s="39">
        <v>8.0</v>
      </c>
      <c r="E1053" s="10">
        <f t="shared" si="2"/>
        <v>400</v>
      </c>
      <c r="F1053" s="10" t="str">
        <f t="shared" si="3"/>
        <v>8 completed tickets</v>
      </c>
    </row>
    <row r="1054" hidden="1">
      <c r="A1054" s="6" t="s">
        <v>85</v>
      </c>
      <c r="B1054" s="13" t="s">
        <v>275</v>
      </c>
      <c r="C1054" s="38" t="s">
        <v>276</v>
      </c>
      <c r="D1054" s="39">
        <v>14.0</v>
      </c>
      <c r="E1054" s="10">
        <f t="shared" si="2"/>
        <v>700</v>
      </c>
      <c r="F1054" s="10" t="str">
        <f t="shared" si="3"/>
        <v>14 completed tickets</v>
      </c>
    </row>
    <row r="1055" hidden="1">
      <c r="A1055" s="6" t="s">
        <v>85</v>
      </c>
      <c r="B1055" s="38" t="s">
        <v>317</v>
      </c>
      <c r="C1055" s="38" t="s">
        <v>318</v>
      </c>
      <c r="D1055" s="39">
        <v>6.0</v>
      </c>
      <c r="E1055" s="10">
        <f t="shared" si="2"/>
        <v>300</v>
      </c>
      <c r="F1055" s="10" t="str">
        <f t="shared" si="3"/>
        <v>6 completed tickets</v>
      </c>
    </row>
    <row r="1056" hidden="1">
      <c r="A1056" s="6" t="s">
        <v>85</v>
      </c>
      <c r="B1056" s="38" t="s">
        <v>319</v>
      </c>
      <c r="C1056" s="38" t="s">
        <v>320</v>
      </c>
      <c r="D1056" s="39">
        <v>4.0</v>
      </c>
      <c r="E1056" s="10">
        <f t="shared" si="2"/>
        <v>200</v>
      </c>
      <c r="F1056" s="10" t="str">
        <f t="shared" si="3"/>
        <v>4 completed tickets</v>
      </c>
    </row>
    <row r="1057" hidden="1">
      <c r="A1057" s="6" t="s">
        <v>85</v>
      </c>
      <c r="B1057" s="38" t="s">
        <v>266</v>
      </c>
      <c r="C1057" s="38" t="s">
        <v>267</v>
      </c>
      <c r="D1057" s="39">
        <v>22.0</v>
      </c>
      <c r="E1057" s="10">
        <f t="shared" si="2"/>
        <v>1100</v>
      </c>
      <c r="F1057" s="10" t="str">
        <f t="shared" si="3"/>
        <v>22 completed tickets</v>
      </c>
    </row>
    <row r="1058" hidden="1">
      <c r="A1058" s="6" t="s">
        <v>87</v>
      </c>
      <c r="B1058" s="7" t="s">
        <v>160</v>
      </c>
      <c r="C1058" s="38" t="s">
        <v>140</v>
      </c>
      <c r="D1058" s="15">
        <v>40.0</v>
      </c>
      <c r="E1058" s="10">
        <f t="shared" si="2"/>
        <v>2000</v>
      </c>
      <c r="F1058" s="10" t="str">
        <f t="shared" si="3"/>
        <v>40 completed tickets</v>
      </c>
    </row>
    <row r="1059" hidden="1">
      <c r="A1059" s="6" t="s">
        <v>87</v>
      </c>
      <c r="B1059" s="7" t="s">
        <v>161</v>
      </c>
      <c r="C1059" s="38" t="s">
        <v>152</v>
      </c>
      <c r="D1059" s="15">
        <v>36.0</v>
      </c>
      <c r="E1059" s="10">
        <f t="shared" si="2"/>
        <v>1800</v>
      </c>
      <c r="F1059" s="10" t="str">
        <f t="shared" si="3"/>
        <v>36 completed tickets</v>
      </c>
    </row>
    <row r="1060" hidden="1">
      <c r="A1060" s="6" t="s">
        <v>87</v>
      </c>
      <c r="B1060" s="7" t="s">
        <v>162</v>
      </c>
      <c r="C1060" s="13" t="s">
        <v>163</v>
      </c>
      <c r="D1060" s="39">
        <v>39.0</v>
      </c>
      <c r="E1060" s="10">
        <f t="shared" si="2"/>
        <v>1950</v>
      </c>
      <c r="F1060" s="10" t="str">
        <f t="shared" si="3"/>
        <v>39 completed tickets</v>
      </c>
    </row>
    <row r="1061" hidden="1">
      <c r="A1061" s="6" t="s">
        <v>87</v>
      </c>
      <c r="B1061" s="7" t="s">
        <v>164</v>
      </c>
      <c r="C1061" s="13" t="s">
        <v>158</v>
      </c>
      <c r="D1061" s="39">
        <v>48.0</v>
      </c>
      <c r="E1061" s="10">
        <f t="shared" si="2"/>
        <v>2400</v>
      </c>
      <c r="F1061" s="10" t="str">
        <f t="shared" si="3"/>
        <v>48 completed tickets</v>
      </c>
    </row>
    <row r="1062" hidden="1">
      <c r="A1062" s="6" t="s">
        <v>87</v>
      </c>
      <c r="B1062" s="7" t="s">
        <v>165</v>
      </c>
      <c r="C1062" s="13" t="s">
        <v>166</v>
      </c>
      <c r="D1062" s="39">
        <v>57.0</v>
      </c>
      <c r="E1062" s="10">
        <f t="shared" si="2"/>
        <v>2850</v>
      </c>
      <c r="F1062" s="10" t="str">
        <f t="shared" si="3"/>
        <v>57 completed tickets</v>
      </c>
    </row>
    <row r="1063" hidden="1">
      <c r="A1063" s="6" t="s">
        <v>87</v>
      </c>
      <c r="B1063" s="7" t="s">
        <v>167</v>
      </c>
      <c r="C1063" s="13" t="s">
        <v>157</v>
      </c>
      <c r="D1063" s="39">
        <v>40.0</v>
      </c>
      <c r="E1063" s="10">
        <f t="shared" si="2"/>
        <v>2000</v>
      </c>
      <c r="F1063" s="10" t="str">
        <f t="shared" si="3"/>
        <v>40 completed tickets</v>
      </c>
    </row>
    <row r="1064" hidden="1">
      <c r="A1064" s="6" t="s">
        <v>87</v>
      </c>
      <c r="B1064" s="7" t="s">
        <v>168</v>
      </c>
      <c r="C1064" s="13" t="s">
        <v>169</v>
      </c>
      <c r="D1064" s="39">
        <v>27.0</v>
      </c>
      <c r="E1064" s="10">
        <f t="shared" si="2"/>
        <v>1350</v>
      </c>
      <c r="F1064" s="10" t="str">
        <f t="shared" si="3"/>
        <v>27 completed tickets</v>
      </c>
    </row>
    <row r="1065" hidden="1">
      <c r="A1065" s="6" t="s">
        <v>87</v>
      </c>
      <c r="B1065" s="7" t="s">
        <v>170</v>
      </c>
      <c r="C1065" s="13" t="s">
        <v>171</v>
      </c>
      <c r="D1065" s="39">
        <v>4.0</v>
      </c>
      <c r="E1065" s="10">
        <f t="shared" si="2"/>
        <v>200</v>
      </c>
      <c r="F1065" s="10" t="str">
        <f t="shared" si="3"/>
        <v>4 completed tickets</v>
      </c>
    </row>
    <row r="1066" hidden="1">
      <c r="A1066" s="6" t="s">
        <v>87</v>
      </c>
      <c r="B1066" s="7" t="s">
        <v>295</v>
      </c>
      <c r="C1066" s="13" t="s">
        <v>296</v>
      </c>
      <c r="D1066" s="39">
        <v>40.0</v>
      </c>
      <c r="E1066" s="10">
        <f t="shared" si="2"/>
        <v>2000</v>
      </c>
      <c r="F1066" s="10" t="str">
        <f t="shared" si="3"/>
        <v>40 completed tickets</v>
      </c>
    </row>
    <row r="1067" hidden="1">
      <c r="A1067" s="6" t="s">
        <v>87</v>
      </c>
      <c r="B1067" s="7" t="s">
        <v>172</v>
      </c>
      <c r="C1067" s="13" t="s">
        <v>173</v>
      </c>
      <c r="D1067" s="39">
        <v>29.0</v>
      </c>
      <c r="E1067" s="10">
        <f t="shared" si="2"/>
        <v>1450</v>
      </c>
      <c r="F1067" s="10" t="str">
        <f t="shared" si="3"/>
        <v>29 completed tickets</v>
      </c>
    </row>
    <row r="1068" hidden="1">
      <c r="A1068" s="6" t="s">
        <v>87</v>
      </c>
      <c r="B1068" s="7" t="s">
        <v>297</v>
      </c>
      <c r="C1068" s="13" t="s">
        <v>153</v>
      </c>
      <c r="D1068" s="39">
        <v>19.0</v>
      </c>
      <c r="E1068" s="10">
        <f t="shared" si="2"/>
        <v>950</v>
      </c>
      <c r="F1068" s="10" t="str">
        <f t="shared" si="3"/>
        <v>19 completed tickets</v>
      </c>
    </row>
    <row r="1069" hidden="1">
      <c r="A1069" s="6" t="s">
        <v>87</v>
      </c>
      <c r="B1069" s="7" t="s">
        <v>174</v>
      </c>
      <c r="C1069" s="13" t="s">
        <v>175</v>
      </c>
      <c r="D1069" s="39">
        <v>30.0</v>
      </c>
      <c r="E1069" s="10">
        <f t="shared" si="2"/>
        <v>1500</v>
      </c>
      <c r="F1069" s="10" t="str">
        <f t="shared" si="3"/>
        <v>30 completed tickets</v>
      </c>
    </row>
    <row r="1070" hidden="1">
      <c r="A1070" s="6" t="s">
        <v>87</v>
      </c>
      <c r="B1070" s="7" t="s">
        <v>176</v>
      </c>
      <c r="C1070" s="13" t="s">
        <v>130</v>
      </c>
      <c r="D1070" s="39">
        <v>40.0</v>
      </c>
      <c r="E1070" s="10">
        <f t="shared" si="2"/>
        <v>2000</v>
      </c>
      <c r="F1070" s="10" t="str">
        <f t="shared" si="3"/>
        <v>40 completed tickets</v>
      </c>
    </row>
    <row r="1071" hidden="1">
      <c r="A1071" s="6" t="s">
        <v>87</v>
      </c>
      <c r="B1071" s="7" t="s">
        <v>252</v>
      </c>
      <c r="C1071" s="13" t="s">
        <v>139</v>
      </c>
      <c r="D1071" s="39">
        <v>27.0</v>
      </c>
      <c r="E1071" s="10">
        <f t="shared" si="2"/>
        <v>1350</v>
      </c>
      <c r="F1071" s="10" t="str">
        <f t="shared" si="3"/>
        <v>27 completed tickets</v>
      </c>
    </row>
    <row r="1072" hidden="1">
      <c r="A1072" s="6" t="s">
        <v>87</v>
      </c>
      <c r="B1072" s="7" t="s">
        <v>177</v>
      </c>
      <c r="C1072" s="13" t="s">
        <v>144</v>
      </c>
      <c r="D1072" s="39">
        <v>39.0</v>
      </c>
      <c r="E1072" s="10">
        <f t="shared" si="2"/>
        <v>1950</v>
      </c>
      <c r="F1072" s="10" t="str">
        <f t="shared" si="3"/>
        <v>39 completed tickets</v>
      </c>
    </row>
    <row r="1073" hidden="1">
      <c r="A1073" s="6" t="s">
        <v>87</v>
      </c>
      <c r="B1073" s="7" t="s">
        <v>270</v>
      </c>
      <c r="C1073" s="13" t="s">
        <v>126</v>
      </c>
      <c r="D1073" s="39">
        <v>24.0</v>
      </c>
      <c r="E1073" s="10">
        <f t="shared" si="2"/>
        <v>1200</v>
      </c>
      <c r="F1073" s="10" t="str">
        <f t="shared" si="3"/>
        <v>24 completed tickets</v>
      </c>
    </row>
    <row r="1074" hidden="1">
      <c r="A1074" s="6" t="s">
        <v>87</v>
      </c>
      <c r="B1074" s="7" t="s">
        <v>178</v>
      </c>
      <c r="C1074" s="13" t="s">
        <v>179</v>
      </c>
      <c r="D1074" s="39">
        <v>25.0</v>
      </c>
      <c r="E1074" s="10">
        <f t="shared" si="2"/>
        <v>1250</v>
      </c>
      <c r="F1074" s="10" t="str">
        <f t="shared" si="3"/>
        <v>25 completed tickets</v>
      </c>
    </row>
    <row r="1075" hidden="1">
      <c r="A1075" s="6" t="s">
        <v>87</v>
      </c>
      <c r="B1075" s="7" t="s">
        <v>180</v>
      </c>
      <c r="C1075" s="13" t="s">
        <v>181</v>
      </c>
      <c r="D1075" s="39">
        <v>66.0</v>
      </c>
      <c r="E1075" s="10">
        <f t="shared" si="2"/>
        <v>3300</v>
      </c>
      <c r="F1075" s="10" t="str">
        <f t="shared" si="3"/>
        <v>66 completed tickets</v>
      </c>
    </row>
    <row r="1076" hidden="1">
      <c r="A1076" s="6" t="s">
        <v>87</v>
      </c>
      <c r="B1076" s="7" t="s">
        <v>236</v>
      </c>
      <c r="C1076" s="13" t="s">
        <v>159</v>
      </c>
      <c r="D1076" s="39">
        <v>4.0</v>
      </c>
      <c r="E1076" s="10">
        <f t="shared" si="2"/>
        <v>200</v>
      </c>
      <c r="F1076" s="10" t="str">
        <f t="shared" si="3"/>
        <v>4 completed tickets</v>
      </c>
    </row>
    <row r="1077" hidden="1">
      <c r="A1077" s="6" t="s">
        <v>87</v>
      </c>
      <c r="B1077" s="7" t="s">
        <v>182</v>
      </c>
      <c r="C1077" s="13" t="s">
        <v>183</v>
      </c>
      <c r="D1077" s="39">
        <v>24.0</v>
      </c>
      <c r="E1077" s="10">
        <f t="shared" si="2"/>
        <v>1200</v>
      </c>
      <c r="F1077" s="10" t="str">
        <f t="shared" si="3"/>
        <v>24 completed tickets</v>
      </c>
    </row>
    <row r="1078" hidden="1">
      <c r="A1078" s="6" t="s">
        <v>87</v>
      </c>
      <c r="B1078" s="7" t="s">
        <v>184</v>
      </c>
      <c r="C1078" s="13" t="s">
        <v>185</v>
      </c>
      <c r="D1078" s="39">
        <v>29.0</v>
      </c>
      <c r="E1078" s="10">
        <f t="shared" si="2"/>
        <v>1450</v>
      </c>
      <c r="F1078" s="10" t="str">
        <f t="shared" si="3"/>
        <v>29 completed tickets</v>
      </c>
    </row>
    <row r="1079" hidden="1">
      <c r="A1079" s="6" t="s">
        <v>87</v>
      </c>
      <c r="B1079" s="7" t="s">
        <v>212</v>
      </c>
      <c r="C1079" s="13" t="s">
        <v>213</v>
      </c>
      <c r="D1079" s="39">
        <v>35.0</v>
      </c>
      <c r="E1079" s="10">
        <f t="shared" si="2"/>
        <v>1750</v>
      </c>
      <c r="F1079" s="10" t="str">
        <f t="shared" si="3"/>
        <v>35 completed tickets</v>
      </c>
    </row>
    <row r="1080" hidden="1">
      <c r="A1080" s="6" t="s">
        <v>87</v>
      </c>
      <c r="B1080" s="7" t="s">
        <v>186</v>
      </c>
      <c r="C1080" s="13" t="s">
        <v>187</v>
      </c>
      <c r="D1080" s="39">
        <v>38.0</v>
      </c>
      <c r="E1080" s="10">
        <f t="shared" si="2"/>
        <v>1900</v>
      </c>
      <c r="F1080" s="10" t="str">
        <f t="shared" si="3"/>
        <v>38 completed tickets</v>
      </c>
    </row>
    <row r="1081" hidden="1">
      <c r="A1081" s="6" t="s">
        <v>87</v>
      </c>
      <c r="B1081" s="7" t="s">
        <v>188</v>
      </c>
      <c r="C1081" s="13" t="s">
        <v>189</v>
      </c>
      <c r="D1081" s="39">
        <v>26.0</v>
      </c>
      <c r="E1081" s="10">
        <f t="shared" si="2"/>
        <v>1300</v>
      </c>
      <c r="F1081" s="10" t="str">
        <f t="shared" si="3"/>
        <v>26 completed tickets</v>
      </c>
    </row>
    <row r="1082" hidden="1">
      <c r="A1082" s="6" t="s">
        <v>87</v>
      </c>
      <c r="B1082" s="7" t="s">
        <v>190</v>
      </c>
      <c r="C1082" s="13" t="s">
        <v>191</v>
      </c>
      <c r="D1082" s="39">
        <v>36.0</v>
      </c>
      <c r="E1082" s="10">
        <f t="shared" si="2"/>
        <v>1800</v>
      </c>
      <c r="F1082" s="10" t="str">
        <f t="shared" si="3"/>
        <v>36 completed tickets</v>
      </c>
    </row>
    <row r="1083" hidden="1">
      <c r="A1083" s="6" t="s">
        <v>87</v>
      </c>
      <c r="B1083" s="7" t="s">
        <v>192</v>
      </c>
      <c r="C1083" s="13" t="s">
        <v>193</v>
      </c>
      <c r="D1083" s="39">
        <v>15.0</v>
      </c>
      <c r="E1083" s="10">
        <f t="shared" si="2"/>
        <v>750</v>
      </c>
      <c r="F1083" s="10" t="str">
        <f t="shared" si="3"/>
        <v>15 completed tickets</v>
      </c>
    </row>
    <row r="1084" hidden="1">
      <c r="A1084" s="6" t="s">
        <v>87</v>
      </c>
      <c r="B1084" s="7" t="s">
        <v>194</v>
      </c>
      <c r="C1084" s="13" t="s">
        <v>195</v>
      </c>
      <c r="D1084" s="39">
        <v>11.0</v>
      </c>
      <c r="E1084" s="10">
        <f t="shared" si="2"/>
        <v>550</v>
      </c>
      <c r="F1084" s="10" t="str">
        <f t="shared" si="3"/>
        <v>11 completed tickets</v>
      </c>
    </row>
    <row r="1085" hidden="1">
      <c r="A1085" s="6" t="s">
        <v>87</v>
      </c>
      <c r="B1085" s="7" t="s">
        <v>253</v>
      </c>
      <c r="C1085" s="13" t="s">
        <v>254</v>
      </c>
      <c r="D1085" s="39">
        <v>20.0</v>
      </c>
      <c r="E1085" s="10">
        <f t="shared" si="2"/>
        <v>1000</v>
      </c>
      <c r="F1085" s="10" t="str">
        <f t="shared" si="3"/>
        <v>20 completed tickets</v>
      </c>
    </row>
    <row r="1086" hidden="1">
      <c r="A1086" s="6" t="s">
        <v>87</v>
      </c>
      <c r="B1086" s="13" t="s">
        <v>317</v>
      </c>
      <c r="C1086" s="13" t="s">
        <v>318</v>
      </c>
      <c r="D1086" s="39">
        <v>6.0</v>
      </c>
      <c r="E1086" s="10">
        <f t="shared" si="2"/>
        <v>300</v>
      </c>
      <c r="F1086" s="10" t="str">
        <f t="shared" si="3"/>
        <v>6 completed tickets</v>
      </c>
    </row>
    <row r="1087" hidden="1">
      <c r="A1087" s="6" t="s">
        <v>87</v>
      </c>
      <c r="B1087" s="13" t="s">
        <v>283</v>
      </c>
      <c r="C1087" s="13" t="s">
        <v>314</v>
      </c>
      <c r="D1087" s="39">
        <v>2.0</v>
      </c>
      <c r="E1087" s="10">
        <f t="shared" si="2"/>
        <v>100</v>
      </c>
      <c r="F1087" s="10" t="str">
        <f t="shared" si="3"/>
        <v>2 completed tickets</v>
      </c>
    </row>
    <row r="1088" hidden="1">
      <c r="A1088" s="6" t="s">
        <v>87</v>
      </c>
      <c r="B1088" s="13" t="s">
        <v>309</v>
      </c>
      <c r="C1088" s="38" t="s">
        <v>310</v>
      </c>
      <c r="D1088" s="39">
        <v>4.0</v>
      </c>
      <c r="E1088" s="10">
        <f t="shared" si="2"/>
        <v>200</v>
      </c>
      <c r="F1088" s="10" t="str">
        <f t="shared" si="3"/>
        <v>4 completed tickets</v>
      </c>
    </row>
    <row r="1089" hidden="1">
      <c r="A1089" s="6" t="s">
        <v>87</v>
      </c>
      <c r="B1089" s="7" t="s">
        <v>260</v>
      </c>
      <c r="C1089" s="38" t="s">
        <v>261</v>
      </c>
      <c r="D1089" s="39">
        <v>28.0</v>
      </c>
      <c r="E1089" s="10">
        <f t="shared" si="2"/>
        <v>1400</v>
      </c>
      <c r="F1089" s="10" t="str">
        <f t="shared" si="3"/>
        <v>28 completed tickets</v>
      </c>
    </row>
    <row r="1090" hidden="1">
      <c r="A1090" s="6" t="s">
        <v>87</v>
      </c>
      <c r="B1090" s="38" t="s">
        <v>286</v>
      </c>
      <c r="C1090" s="38" t="s">
        <v>287</v>
      </c>
      <c r="D1090" s="39">
        <v>14.0</v>
      </c>
      <c r="E1090" s="10">
        <f t="shared" si="2"/>
        <v>700</v>
      </c>
      <c r="F1090" s="10" t="str">
        <f t="shared" si="3"/>
        <v>14 completed tickets</v>
      </c>
    </row>
    <row r="1091" hidden="1">
      <c r="A1091" s="6" t="s">
        <v>87</v>
      </c>
      <c r="B1091" s="38" t="s">
        <v>275</v>
      </c>
      <c r="C1091" s="38" t="s">
        <v>276</v>
      </c>
      <c r="D1091" s="39">
        <v>8.0</v>
      </c>
      <c r="E1091" s="10">
        <f t="shared" si="2"/>
        <v>400</v>
      </c>
      <c r="F1091" s="10" t="str">
        <f t="shared" si="3"/>
        <v>8 completed tickets</v>
      </c>
    </row>
    <row r="1092" hidden="1">
      <c r="A1092" s="6" t="s">
        <v>87</v>
      </c>
      <c r="B1092" s="38" t="s">
        <v>319</v>
      </c>
      <c r="C1092" s="38" t="s">
        <v>321</v>
      </c>
      <c r="D1092" s="39">
        <v>2.0</v>
      </c>
      <c r="E1092" s="10">
        <f t="shared" si="2"/>
        <v>100</v>
      </c>
      <c r="F1092" s="10" t="str">
        <f t="shared" si="3"/>
        <v>2 completed tickets</v>
      </c>
    </row>
    <row r="1093" hidden="1">
      <c r="A1093" s="6" t="s">
        <v>89</v>
      </c>
      <c r="B1093" s="7" t="s">
        <v>160</v>
      </c>
      <c r="C1093" s="38" t="s">
        <v>140</v>
      </c>
      <c r="D1093" s="15">
        <v>23.0</v>
      </c>
      <c r="E1093" s="10">
        <f t="shared" si="2"/>
        <v>1150</v>
      </c>
      <c r="F1093" s="10" t="str">
        <f t="shared" si="3"/>
        <v>23 completed tickets</v>
      </c>
    </row>
    <row r="1094" hidden="1">
      <c r="A1094" s="6" t="s">
        <v>89</v>
      </c>
      <c r="B1094" s="7" t="s">
        <v>161</v>
      </c>
      <c r="C1094" s="38" t="s">
        <v>152</v>
      </c>
      <c r="D1094" s="15">
        <v>34.0</v>
      </c>
      <c r="E1094" s="10">
        <f t="shared" si="2"/>
        <v>1700</v>
      </c>
      <c r="F1094" s="10" t="str">
        <f t="shared" si="3"/>
        <v>34 completed tickets</v>
      </c>
    </row>
    <row r="1095" hidden="1">
      <c r="A1095" s="6" t="s">
        <v>89</v>
      </c>
      <c r="B1095" s="7" t="s">
        <v>162</v>
      </c>
      <c r="C1095" s="13" t="s">
        <v>163</v>
      </c>
      <c r="D1095" s="39">
        <v>31.0</v>
      </c>
      <c r="E1095" s="10">
        <f t="shared" si="2"/>
        <v>1550</v>
      </c>
      <c r="F1095" s="10" t="str">
        <f t="shared" si="3"/>
        <v>31 completed tickets</v>
      </c>
    </row>
    <row r="1096" hidden="1">
      <c r="A1096" s="6" t="s">
        <v>89</v>
      </c>
      <c r="B1096" s="7" t="s">
        <v>164</v>
      </c>
      <c r="C1096" s="13" t="s">
        <v>158</v>
      </c>
      <c r="D1096" s="39">
        <v>53.0</v>
      </c>
      <c r="E1096" s="10">
        <f t="shared" si="2"/>
        <v>2650</v>
      </c>
      <c r="F1096" s="10" t="str">
        <f t="shared" si="3"/>
        <v>53 completed tickets</v>
      </c>
    </row>
    <row r="1097" hidden="1">
      <c r="A1097" s="6" t="s">
        <v>89</v>
      </c>
      <c r="B1097" s="7" t="s">
        <v>165</v>
      </c>
      <c r="C1097" s="13" t="s">
        <v>166</v>
      </c>
      <c r="D1097" s="39">
        <v>48.0</v>
      </c>
      <c r="E1097" s="10">
        <f t="shared" si="2"/>
        <v>2400</v>
      </c>
      <c r="F1097" s="10" t="str">
        <f t="shared" si="3"/>
        <v>48 completed tickets</v>
      </c>
    </row>
    <row r="1098" hidden="1">
      <c r="A1098" s="6" t="s">
        <v>89</v>
      </c>
      <c r="B1098" s="7" t="s">
        <v>167</v>
      </c>
      <c r="C1098" s="13" t="s">
        <v>157</v>
      </c>
      <c r="D1098" s="39">
        <v>29.0</v>
      </c>
      <c r="E1098" s="10">
        <f t="shared" si="2"/>
        <v>1450</v>
      </c>
      <c r="F1098" s="10" t="str">
        <f t="shared" si="3"/>
        <v>29 completed tickets</v>
      </c>
    </row>
    <row r="1099" hidden="1">
      <c r="A1099" s="6" t="s">
        <v>89</v>
      </c>
      <c r="B1099" s="7" t="s">
        <v>168</v>
      </c>
      <c r="C1099" s="13" t="s">
        <v>169</v>
      </c>
      <c r="D1099" s="39">
        <v>34.0</v>
      </c>
      <c r="E1099" s="10">
        <f t="shared" si="2"/>
        <v>1700</v>
      </c>
      <c r="F1099" s="10" t="str">
        <f t="shared" si="3"/>
        <v>34 completed tickets</v>
      </c>
    </row>
    <row r="1100" hidden="1">
      <c r="A1100" s="6" t="s">
        <v>89</v>
      </c>
      <c r="B1100" s="7" t="s">
        <v>170</v>
      </c>
      <c r="C1100" s="13" t="s">
        <v>171</v>
      </c>
      <c r="D1100" s="39">
        <v>11.0</v>
      </c>
      <c r="E1100" s="10">
        <f t="shared" si="2"/>
        <v>550</v>
      </c>
      <c r="F1100" s="10" t="str">
        <f t="shared" si="3"/>
        <v>11 completed tickets</v>
      </c>
    </row>
    <row r="1101" hidden="1">
      <c r="A1101" s="6" t="s">
        <v>89</v>
      </c>
      <c r="B1101" s="7" t="s">
        <v>295</v>
      </c>
      <c r="C1101" s="13" t="s">
        <v>296</v>
      </c>
      <c r="D1101" s="39">
        <v>34.0</v>
      </c>
      <c r="E1101" s="10">
        <f t="shared" si="2"/>
        <v>1700</v>
      </c>
      <c r="F1101" s="10" t="str">
        <f t="shared" si="3"/>
        <v>34 completed tickets</v>
      </c>
    </row>
    <row r="1102" hidden="1">
      <c r="A1102" s="6" t="s">
        <v>89</v>
      </c>
      <c r="B1102" s="7" t="s">
        <v>172</v>
      </c>
      <c r="C1102" s="13" t="s">
        <v>173</v>
      </c>
      <c r="D1102" s="39">
        <v>22.0</v>
      </c>
      <c r="E1102" s="10">
        <f t="shared" si="2"/>
        <v>1100</v>
      </c>
      <c r="F1102" s="10" t="str">
        <f t="shared" si="3"/>
        <v>22 completed tickets</v>
      </c>
    </row>
    <row r="1103" hidden="1">
      <c r="A1103" s="6" t="s">
        <v>89</v>
      </c>
      <c r="B1103" s="7" t="s">
        <v>322</v>
      </c>
      <c r="C1103" s="13" t="s">
        <v>323</v>
      </c>
      <c r="D1103" s="39">
        <v>26.0</v>
      </c>
      <c r="E1103" s="10">
        <f t="shared" si="2"/>
        <v>1300</v>
      </c>
      <c r="F1103" s="10" t="str">
        <f t="shared" si="3"/>
        <v>26 completed tickets</v>
      </c>
    </row>
    <row r="1104" hidden="1">
      <c r="A1104" s="6" t="s">
        <v>89</v>
      </c>
      <c r="B1104" s="7" t="s">
        <v>297</v>
      </c>
      <c r="C1104" s="13" t="s">
        <v>153</v>
      </c>
      <c r="D1104" s="39">
        <v>20.0</v>
      </c>
      <c r="E1104" s="10">
        <f t="shared" si="2"/>
        <v>1000</v>
      </c>
      <c r="F1104" s="10" t="str">
        <f t="shared" si="3"/>
        <v>20 completed tickets</v>
      </c>
    </row>
    <row r="1105" hidden="1">
      <c r="A1105" s="6" t="s">
        <v>89</v>
      </c>
      <c r="B1105" s="7" t="s">
        <v>174</v>
      </c>
      <c r="C1105" s="13" t="s">
        <v>175</v>
      </c>
      <c r="D1105" s="39">
        <v>29.0</v>
      </c>
      <c r="E1105" s="10">
        <f t="shared" si="2"/>
        <v>1450</v>
      </c>
      <c r="F1105" s="10" t="str">
        <f t="shared" si="3"/>
        <v>29 completed tickets</v>
      </c>
    </row>
    <row r="1106" hidden="1">
      <c r="A1106" s="6" t="s">
        <v>89</v>
      </c>
      <c r="B1106" s="7" t="s">
        <v>176</v>
      </c>
      <c r="C1106" s="13" t="s">
        <v>130</v>
      </c>
      <c r="D1106" s="39">
        <v>30.0</v>
      </c>
      <c r="E1106" s="10">
        <f t="shared" si="2"/>
        <v>1500</v>
      </c>
      <c r="F1106" s="10" t="str">
        <f t="shared" si="3"/>
        <v>30 completed tickets</v>
      </c>
    </row>
    <row r="1107" hidden="1">
      <c r="A1107" s="6" t="s">
        <v>89</v>
      </c>
      <c r="B1107" s="7" t="s">
        <v>252</v>
      </c>
      <c r="C1107" s="13" t="s">
        <v>139</v>
      </c>
      <c r="D1107" s="39">
        <v>27.0</v>
      </c>
      <c r="E1107" s="10">
        <f t="shared" si="2"/>
        <v>1350</v>
      </c>
      <c r="F1107" s="10" t="str">
        <f t="shared" si="3"/>
        <v>27 completed tickets</v>
      </c>
    </row>
    <row r="1108" hidden="1">
      <c r="A1108" s="6" t="s">
        <v>89</v>
      </c>
      <c r="B1108" s="7" t="s">
        <v>177</v>
      </c>
      <c r="C1108" s="13" t="s">
        <v>144</v>
      </c>
      <c r="D1108" s="39">
        <v>38.0</v>
      </c>
      <c r="E1108" s="10">
        <f t="shared" si="2"/>
        <v>1900</v>
      </c>
      <c r="F1108" s="10" t="str">
        <f t="shared" si="3"/>
        <v>38 completed tickets</v>
      </c>
    </row>
    <row r="1109" hidden="1">
      <c r="A1109" s="6" t="s">
        <v>89</v>
      </c>
      <c r="B1109" s="7" t="s">
        <v>270</v>
      </c>
      <c r="C1109" s="13" t="s">
        <v>126</v>
      </c>
      <c r="D1109" s="39">
        <v>18.0</v>
      </c>
      <c r="E1109" s="10">
        <f t="shared" si="2"/>
        <v>900</v>
      </c>
      <c r="F1109" s="10" t="str">
        <f t="shared" si="3"/>
        <v>18 completed tickets</v>
      </c>
    </row>
    <row r="1110" hidden="1">
      <c r="A1110" s="6" t="s">
        <v>89</v>
      </c>
      <c r="B1110" s="7" t="s">
        <v>178</v>
      </c>
      <c r="C1110" s="13" t="s">
        <v>179</v>
      </c>
      <c r="D1110" s="39">
        <v>23.0</v>
      </c>
      <c r="E1110" s="10">
        <f t="shared" si="2"/>
        <v>1150</v>
      </c>
      <c r="F1110" s="10" t="str">
        <f t="shared" si="3"/>
        <v>23 completed tickets</v>
      </c>
    </row>
    <row r="1111" hidden="1">
      <c r="A1111" s="6" t="s">
        <v>89</v>
      </c>
      <c r="B1111" s="7" t="s">
        <v>180</v>
      </c>
      <c r="C1111" s="13" t="s">
        <v>181</v>
      </c>
      <c r="D1111" s="39">
        <v>74.0</v>
      </c>
      <c r="E1111" s="10">
        <f t="shared" si="2"/>
        <v>3700</v>
      </c>
      <c r="F1111" s="10" t="str">
        <f t="shared" si="3"/>
        <v>74 completed tickets</v>
      </c>
    </row>
    <row r="1112" hidden="1">
      <c r="A1112" s="6" t="s">
        <v>89</v>
      </c>
      <c r="B1112" s="7" t="s">
        <v>236</v>
      </c>
      <c r="C1112" s="13" t="s">
        <v>159</v>
      </c>
      <c r="D1112" s="39">
        <v>13.0</v>
      </c>
      <c r="E1112" s="10">
        <f t="shared" si="2"/>
        <v>650</v>
      </c>
      <c r="F1112" s="10" t="str">
        <f t="shared" si="3"/>
        <v>13 completed tickets</v>
      </c>
    </row>
    <row r="1113" hidden="1">
      <c r="A1113" s="6" t="s">
        <v>89</v>
      </c>
      <c r="B1113" s="7" t="s">
        <v>182</v>
      </c>
      <c r="C1113" s="13" t="s">
        <v>183</v>
      </c>
      <c r="D1113" s="39">
        <v>27.0</v>
      </c>
      <c r="E1113" s="10">
        <f t="shared" si="2"/>
        <v>1350</v>
      </c>
      <c r="F1113" s="10" t="str">
        <f t="shared" si="3"/>
        <v>27 completed tickets</v>
      </c>
    </row>
    <row r="1114" hidden="1">
      <c r="A1114" s="6" t="s">
        <v>89</v>
      </c>
      <c r="B1114" s="7" t="s">
        <v>184</v>
      </c>
      <c r="C1114" s="13" t="s">
        <v>185</v>
      </c>
      <c r="D1114" s="39">
        <v>24.0</v>
      </c>
      <c r="E1114" s="10">
        <f t="shared" si="2"/>
        <v>1200</v>
      </c>
      <c r="F1114" s="10" t="str">
        <f t="shared" si="3"/>
        <v>24 completed tickets</v>
      </c>
    </row>
    <row r="1115" hidden="1">
      <c r="A1115" s="6" t="s">
        <v>89</v>
      </c>
      <c r="B1115" s="7" t="s">
        <v>212</v>
      </c>
      <c r="C1115" s="13" t="s">
        <v>213</v>
      </c>
      <c r="D1115" s="39">
        <v>22.0</v>
      </c>
      <c r="E1115" s="10">
        <f t="shared" si="2"/>
        <v>1100</v>
      </c>
      <c r="F1115" s="10" t="str">
        <f t="shared" si="3"/>
        <v>22 completed tickets</v>
      </c>
    </row>
    <row r="1116" hidden="1">
      <c r="A1116" s="6" t="s">
        <v>89</v>
      </c>
      <c r="B1116" s="7" t="s">
        <v>186</v>
      </c>
      <c r="C1116" s="13" t="s">
        <v>187</v>
      </c>
      <c r="D1116" s="39">
        <v>56.0</v>
      </c>
      <c r="E1116" s="10">
        <f t="shared" si="2"/>
        <v>2800</v>
      </c>
      <c r="F1116" s="10" t="str">
        <f t="shared" si="3"/>
        <v>56 completed tickets</v>
      </c>
    </row>
    <row r="1117" hidden="1">
      <c r="A1117" s="6" t="s">
        <v>89</v>
      </c>
      <c r="B1117" s="7" t="s">
        <v>188</v>
      </c>
      <c r="C1117" s="13" t="s">
        <v>189</v>
      </c>
      <c r="D1117" s="39">
        <v>29.0</v>
      </c>
      <c r="E1117" s="10">
        <f t="shared" si="2"/>
        <v>1450</v>
      </c>
      <c r="F1117" s="10" t="str">
        <f t="shared" si="3"/>
        <v>29 completed tickets</v>
      </c>
    </row>
    <row r="1118" hidden="1">
      <c r="A1118" s="6" t="s">
        <v>89</v>
      </c>
      <c r="B1118" s="7" t="s">
        <v>190</v>
      </c>
      <c r="C1118" s="13" t="s">
        <v>191</v>
      </c>
      <c r="D1118" s="39">
        <v>6.0</v>
      </c>
      <c r="E1118" s="10">
        <f t="shared" si="2"/>
        <v>300</v>
      </c>
      <c r="F1118" s="10" t="str">
        <f t="shared" si="3"/>
        <v>6 completed tickets</v>
      </c>
    </row>
    <row r="1119" hidden="1">
      <c r="A1119" s="6" t="s">
        <v>89</v>
      </c>
      <c r="B1119" s="7" t="s">
        <v>192</v>
      </c>
      <c r="C1119" s="13" t="s">
        <v>193</v>
      </c>
      <c r="D1119" s="39">
        <v>33.0</v>
      </c>
      <c r="E1119" s="10">
        <f t="shared" si="2"/>
        <v>1650</v>
      </c>
      <c r="F1119" s="10" t="str">
        <f t="shared" si="3"/>
        <v>33 completed tickets</v>
      </c>
    </row>
    <row r="1120" hidden="1">
      <c r="A1120" s="6" t="s">
        <v>89</v>
      </c>
      <c r="B1120" s="7" t="s">
        <v>194</v>
      </c>
      <c r="C1120" s="13" t="s">
        <v>195</v>
      </c>
      <c r="D1120" s="39">
        <v>10.0</v>
      </c>
      <c r="E1120" s="10">
        <f t="shared" si="2"/>
        <v>500</v>
      </c>
      <c r="F1120" s="10" t="str">
        <f t="shared" si="3"/>
        <v>10 completed tickets</v>
      </c>
    </row>
    <row r="1121" hidden="1">
      <c r="A1121" s="6" t="s">
        <v>89</v>
      </c>
      <c r="B1121" s="7" t="s">
        <v>253</v>
      </c>
      <c r="C1121" s="13" t="s">
        <v>254</v>
      </c>
      <c r="D1121" s="39">
        <v>26.0</v>
      </c>
      <c r="E1121" s="10">
        <f t="shared" si="2"/>
        <v>1300</v>
      </c>
      <c r="F1121" s="10" t="str">
        <f t="shared" si="3"/>
        <v>26 completed tickets</v>
      </c>
    </row>
    <row r="1122" hidden="1">
      <c r="A1122" s="6" t="s">
        <v>89</v>
      </c>
      <c r="B1122" s="13" t="s">
        <v>283</v>
      </c>
      <c r="C1122" s="13" t="s">
        <v>314</v>
      </c>
      <c r="D1122" s="39">
        <v>2.0</v>
      </c>
      <c r="E1122" s="10">
        <f t="shared" si="2"/>
        <v>100</v>
      </c>
      <c r="F1122" s="10" t="str">
        <f t="shared" si="3"/>
        <v>2 completed tickets</v>
      </c>
    </row>
    <row r="1123" hidden="1">
      <c r="A1123" s="6" t="s">
        <v>89</v>
      </c>
      <c r="B1123" s="13" t="s">
        <v>309</v>
      </c>
      <c r="C1123" s="38" t="s">
        <v>310</v>
      </c>
      <c r="D1123" s="39">
        <v>6.0</v>
      </c>
      <c r="E1123" s="10">
        <f t="shared" si="2"/>
        <v>300</v>
      </c>
      <c r="F1123" s="10" t="str">
        <f t="shared" si="3"/>
        <v>6 completed tickets</v>
      </c>
    </row>
    <row r="1124" hidden="1">
      <c r="A1124" s="6" t="s">
        <v>89</v>
      </c>
      <c r="B1124" s="7" t="s">
        <v>260</v>
      </c>
      <c r="C1124" s="38" t="s">
        <v>261</v>
      </c>
      <c r="D1124" s="39">
        <v>12.0</v>
      </c>
      <c r="E1124" s="10">
        <f t="shared" si="2"/>
        <v>600</v>
      </c>
      <c r="F1124" s="10" t="str">
        <f t="shared" si="3"/>
        <v>12 completed tickets</v>
      </c>
    </row>
    <row r="1125" hidden="1">
      <c r="A1125" s="6" t="s">
        <v>89</v>
      </c>
      <c r="B1125" s="38" t="s">
        <v>286</v>
      </c>
      <c r="C1125" s="38" t="s">
        <v>287</v>
      </c>
      <c r="D1125" s="39">
        <v>12.0</v>
      </c>
      <c r="E1125" s="10">
        <f t="shared" si="2"/>
        <v>600</v>
      </c>
      <c r="F1125" s="10" t="str">
        <f t="shared" si="3"/>
        <v>12 completed tickets</v>
      </c>
    </row>
    <row r="1126" hidden="1">
      <c r="A1126" s="6" t="s">
        <v>89</v>
      </c>
      <c r="B1126" s="38" t="s">
        <v>275</v>
      </c>
      <c r="C1126" s="38" t="s">
        <v>276</v>
      </c>
      <c r="D1126" s="39">
        <v>2.0</v>
      </c>
      <c r="E1126" s="10">
        <f t="shared" si="2"/>
        <v>100</v>
      </c>
      <c r="F1126" s="10" t="str">
        <f t="shared" si="3"/>
        <v>2 completed tickets</v>
      </c>
    </row>
    <row r="1127" hidden="1">
      <c r="A1127" s="6" t="s">
        <v>89</v>
      </c>
      <c r="B1127" s="38" t="s">
        <v>319</v>
      </c>
      <c r="C1127" s="38" t="s">
        <v>321</v>
      </c>
      <c r="D1127" s="39">
        <v>2.0</v>
      </c>
      <c r="E1127" s="10">
        <f t="shared" si="2"/>
        <v>100</v>
      </c>
      <c r="F1127" s="10" t="str">
        <f t="shared" si="3"/>
        <v>2 completed tickets</v>
      </c>
    </row>
    <row r="1128" hidden="1">
      <c r="A1128" s="6" t="s">
        <v>92</v>
      </c>
      <c r="B1128" s="7" t="s">
        <v>160</v>
      </c>
      <c r="C1128" s="30" t="s">
        <v>140</v>
      </c>
      <c r="D1128" s="25">
        <v>44.0</v>
      </c>
      <c r="E1128" s="10">
        <f t="shared" si="2"/>
        <v>2200</v>
      </c>
      <c r="F1128" s="10" t="str">
        <f t="shared" si="3"/>
        <v>44 completed tickets</v>
      </c>
    </row>
    <row r="1129" hidden="1">
      <c r="A1129" s="6" t="s">
        <v>92</v>
      </c>
      <c r="B1129" s="7" t="s">
        <v>161</v>
      </c>
      <c r="C1129" s="30" t="s">
        <v>152</v>
      </c>
      <c r="D1129" s="25">
        <v>43.0</v>
      </c>
      <c r="E1129" s="10">
        <f t="shared" si="2"/>
        <v>2150</v>
      </c>
      <c r="F1129" s="10" t="str">
        <f t="shared" si="3"/>
        <v>43 completed tickets</v>
      </c>
    </row>
    <row r="1130" hidden="1">
      <c r="A1130" s="6" t="s">
        <v>92</v>
      </c>
      <c r="B1130" s="7" t="s">
        <v>162</v>
      </c>
      <c r="C1130" s="13" t="s">
        <v>163</v>
      </c>
      <c r="D1130" s="30">
        <v>36.0</v>
      </c>
      <c r="E1130" s="10">
        <f t="shared" si="2"/>
        <v>1800</v>
      </c>
      <c r="F1130" s="10" t="str">
        <f t="shared" si="3"/>
        <v>36 completed tickets</v>
      </c>
    </row>
    <row r="1131" hidden="1">
      <c r="A1131" s="6" t="s">
        <v>92</v>
      </c>
      <c r="B1131" s="7" t="s">
        <v>164</v>
      </c>
      <c r="C1131" s="13" t="s">
        <v>158</v>
      </c>
      <c r="D1131" s="30">
        <v>53.0</v>
      </c>
      <c r="E1131" s="10">
        <f t="shared" si="2"/>
        <v>2650</v>
      </c>
      <c r="F1131" s="10" t="str">
        <f t="shared" si="3"/>
        <v>53 completed tickets</v>
      </c>
    </row>
    <row r="1132" hidden="1">
      <c r="A1132" s="6" t="s">
        <v>92</v>
      </c>
      <c r="B1132" s="7" t="s">
        <v>165</v>
      </c>
      <c r="C1132" s="13" t="s">
        <v>166</v>
      </c>
      <c r="D1132" s="30">
        <v>38.0</v>
      </c>
      <c r="E1132" s="10">
        <f t="shared" si="2"/>
        <v>1900</v>
      </c>
      <c r="F1132" s="10" t="str">
        <f t="shared" si="3"/>
        <v>38 completed tickets</v>
      </c>
    </row>
    <row r="1133" hidden="1">
      <c r="A1133" s="6" t="s">
        <v>92</v>
      </c>
      <c r="B1133" s="7" t="s">
        <v>167</v>
      </c>
      <c r="C1133" s="13" t="s">
        <v>157</v>
      </c>
      <c r="D1133" s="30">
        <v>30.0</v>
      </c>
      <c r="E1133" s="10">
        <f t="shared" si="2"/>
        <v>1500</v>
      </c>
      <c r="F1133" s="10" t="str">
        <f t="shared" si="3"/>
        <v>30 completed tickets</v>
      </c>
    </row>
    <row r="1134" hidden="1">
      <c r="A1134" s="6" t="s">
        <v>92</v>
      </c>
      <c r="B1134" s="7" t="s">
        <v>168</v>
      </c>
      <c r="C1134" s="13" t="s">
        <v>169</v>
      </c>
      <c r="D1134" s="30">
        <v>42.0</v>
      </c>
      <c r="E1134" s="10">
        <f t="shared" si="2"/>
        <v>2100</v>
      </c>
      <c r="F1134" s="10" t="str">
        <f t="shared" si="3"/>
        <v>42 completed tickets</v>
      </c>
    </row>
    <row r="1135" hidden="1">
      <c r="A1135" s="6" t="s">
        <v>92</v>
      </c>
      <c r="B1135" s="7" t="s">
        <v>170</v>
      </c>
      <c r="C1135" s="13" t="s">
        <v>171</v>
      </c>
      <c r="D1135" s="30">
        <v>18.0</v>
      </c>
      <c r="E1135" s="10">
        <f t="shared" si="2"/>
        <v>900</v>
      </c>
      <c r="F1135" s="10" t="str">
        <f t="shared" si="3"/>
        <v>18 completed tickets</v>
      </c>
    </row>
    <row r="1136" hidden="1">
      <c r="A1136" s="6" t="s">
        <v>92</v>
      </c>
      <c r="B1136" s="7" t="s">
        <v>295</v>
      </c>
      <c r="C1136" s="13" t="s">
        <v>296</v>
      </c>
      <c r="D1136" s="30">
        <v>40.0</v>
      </c>
      <c r="E1136" s="10">
        <f t="shared" si="2"/>
        <v>2000</v>
      </c>
      <c r="F1136" s="10" t="str">
        <f t="shared" si="3"/>
        <v>40 completed tickets</v>
      </c>
    </row>
    <row r="1137" hidden="1">
      <c r="A1137" s="6" t="s">
        <v>92</v>
      </c>
      <c r="B1137" s="7" t="s">
        <v>172</v>
      </c>
      <c r="C1137" s="13" t="s">
        <v>173</v>
      </c>
      <c r="D1137" s="30">
        <v>38.0</v>
      </c>
      <c r="E1137" s="10">
        <f t="shared" si="2"/>
        <v>1900</v>
      </c>
      <c r="F1137" s="10" t="str">
        <f t="shared" si="3"/>
        <v>38 completed tickets</v>
      </c>
    </row>
    <row r="1138" hidden="1">
      <c r="A1138" s="6" t="s">
        <v>92</v>
      </c>
      <c r="B1138" s="7" t="s">
        <v>322</v>
      </c>
      <c r="C1138" s="13" t="s">
        <v>323</v>
      </c>
      <c r="D1138" s="30">
        <v>38.0</v>
      </c>
      <c r="E1138" s="10">
        <f t="shared" si="2"/>
        <v>1900</v>
      </c>
      <c r="F1138" s="10" t="str">
        <f t="shared" si="3"/>
        <v>38 completed tickets</v>
      </c>
    </row>
    <row r="1139" hidden="1">
      <c r="A1139" s="6" t="s">
        <v>92</v>
      </c>
      <c r="B1139" s="7" t="s">
        <v>297</v>
      </c>
      <c r="C1139" s="13" t="s">
        <v>153</v>
      </c>
      <c r="D1139" s="30">
        <v>23.0</v>
      </c>
      <c r="E1139" s="10">
        <f t="shared" si="2"/>
        <v>1150</v>
      </c>
      <c r="F1139" s="10" t="str">
        <f t="shared" si="3"/>
        <v>23 completed tickets</v>
      </c>
    </row>
    <row r="1140" hidden="1">
      <c r="A1140" s="6" t="s">
        <v>92</v>
      </c>
      <c r="B1140" s="7" t="s">
        <v>174</v>
      </c>
      <c r="C1140" s="13" t="s">
        <v>175</v>
      </c>
      <c r="D1140" s="30">
        <v>43.0</v>
      </c>
      <c r="E1140" s="10">
        <f t="shared" si="2"/>
        <v>2150</v>
      </c>
      <c r="F1140" s="10" t="str">
        <f t="shared" si="3"/>
        <v>43 completed tickets</v>
      </c>
    </row>
    <row r="1141" hidden="1">
      <c r="A1141" s="6" t="s">
        <v>92</v>
      </c>
      <c r="B1141" s="7" t="s">
        <v>176</v>
      </c>
      <c r="C1141" s="13" t="s">
        <v>130</v>
      </c>
      <c r="D1141" s="30">
        <v>54.0</v>
      </c>
      <c r="E1141" s="10">
        <f t="shared" si="2"/>
        <v>2700</v>
      </c>
      <c r="F1141" s="10" t="str">
        <f t="shared" si="3"/>
        <v>54 completed tickets</v>
      </c>
    </row>
    <row r="1142" hidden="1">
      <c r="A1142" s="6" t="s">
        <v>92</v>
      </c>
      <c r="B1142" s="7" t="s">
        <v>252</v>
      </c>
      <c r="C1142" s="13" t="s">
        <v>139</v>
      </c>
      <c r="D1142" s="30">
        <v>42.0</v>
      </c>
      <c r="E1142" s="10">
        <f t="shared" si="2"/>
        <v>2100</v>
      </c>
      <c r="F1142" s="10" t="str">
        <f t="shared" si="3"/>
        <v>42 completed tickets</v>
      </c>
    </row>
    <row r="1143" hidden="1">
      <c r="A1143" s="6" t="s">
        <v>92</v>
      </c>
      <c r="B1143" s="7" t="s">
        <v>177</v>
      </c>
      <c r="C1143" s="13" t="s">
        <v>144</v>
      </c>
      <c r="D1143" s="30">
        <v>40.0</v>
      </c>
      <c r="E1143" s="10">
        <f t="shared" si="2"/>
        <v>2000</v>
      </c>
      <c r="F1143" s="10" t="str">
        <f t="shared" si="3"/>
        <v>40 completed tickets</v>
      </c>
    </row>
    <row r="1144" hidden="1">
      <c r="A1144" s="6" t="s">
        <v>92</v>
      </c>
      <c r="B1144" s="7" t="s">
        <v>270</v>
      </c>
      <c r="C1144" s="13" t="s">
        <v>126</v>
      </c>
      <c r="D1144" s="30">
        <v>31.0</v>
      </c>
      <c r="E1144" s="10">
        <f t="shared" si="2"/>
        <v>1550</v>
      </c>
      <c r="F1144" s="10" t="str">
        <f t="shared" si="3"/>
        <v>31 completed tickets</v>
      </c>
    </row>
    <row r="1145" hidden="1">
      <c r="A1145" s="6" t="s">
        <v>92</v>
      </c>
      <c r="B1145" s="7" t="s">
        <v>178</v>
      </c>
      <c r="C1145" s="13" t="s">
        <v>179</v>
      </c>
      <c r="D1145" s="30">
        <v>29.0</v>
      </c>
      <c r="E1145" s="10">
        <f t="shared" si="2"/>
        <v>1450</v>
      </c>
      <c r="F1145" s="10" t="str">
        <f t="shared" si="3"/>
        <v>29 completed tickets</v>
      </c>
    </row>
    <row r="1146" hidden="1">
      <c r="A1146" s="6" t="s">
        <v>92</v>
      </c>
      <c r="B1146" s="7" t="s">
        <v>180</v>
      </c>
      <c r="C1146" s="13" t="s">
        <v>181</v>
      </c>
      <c r="D1146" s="30">
        <v>84.0</v>
      </c>
      <c r="E1146" s="10">
        <f t="shared" si="2"/>
        <v>4200</v>
      </c>
      <c r="F1146" s="10" t="str">
        <f t="shared" si="3"/>
        <v>84 completed tickets</v>
      </c>
    </row>
    <row r="1147" hidden="1">
      <c r="A1147" s="6" t="s">
        <v>92</v>
      </c>
      <c r="B1147" s="7" t="s">
        <v>236</v>
      </c>
      <c r="C1147" s="13" t="s">
        <v>159</v>
      </c>
      <c r="D1147" s="30">
        <v>35.0</v>
      </c>
      <c r="E1147" s="10">
        <f t="shared" si="2"/>
        <v>1750</v>
      </c>
      <c r="F1147" s="10" t="str">
        <f t="shared" si="3"/>
        <v>35 completed tickets</v>
      </c>
    </row>
    <row r="1148" hidden="1">
      <c r="A1148" s="6" t="s">
        <v>92</v>
      </c>
      <c r="B1148" s="7" t="s">
        <v>182</v>
      </c>
      <c r="C1148" s="13" t="s">
        <v>183</v>
      </c>
      <c r="D1148" s="30">
        <v>32.0</v>
      </c>
      <c r="E1148" s="10">
        <f t="shared" si="2"/>
        <v>1600</v>
      </c>
      <c r="F1148" s="10" t="str">
        <f t="shared" si="3"/>
        <v>32 completed tickets</v>
      </c>
    </row>
    <row r="1149" hidden="1">
      <c r="A1149" s="6" t="s">
        <v>92</v>
      </c>
      <c r="B1149" s="7" t="s">
        <v>184</v>
      </c>
      <c r="C1149" s="13" t="s">
        <v>185</v>
      </c>
      <c r="D1149" s="30">
        <v>34.0</v>
      </c>
      <c r="E1149" s="10">
        <f t="shared" si="2"/>
        <v>1700</v>
      </c>
      <c r="F1149" s="10" t="str">
        <f t="shared" si="3"/>
        <v>34 completed tickets</v>
      </c>
    </row>
    <row r="1150" hidden="1">
      <c r="A1150" s="6" t="s">
        <v>92</v>
      </c>
      <c r="B1150" s="7" t="s">
        <v>212</v>
      </c>
      <c r="C1150" s="13" t="s">
        <v>213</v>
      </c>
      <c r="D1150" s="30">
        <v>32.0</v>
      </c>
      <c r="E1150" s="10">
        <f t="shared" si="2"/>
        <v>1600</v>
      </c>
      <c r="F1150" s="10" t="str">
        <f t="shared" si="3"/>
        <v>32 completed tickets</v>
      </c>
    </row>
    <row r="1151" hidden="1">
      <c r="A1151" s="6" t="s">
        <v>92</v>
      </c>
      <c r="B1151" s="7" t="s">
        <v>186</v>
      </c>
      <c r="C1151" s="13" t="s">
        <v>187</v>
      </c>
      <c r="D1151" s="30">
        <v>31.0</v>
      </c>
      <c r="E1151" s="10">
        <f t="shared" si="2"/>
        <v>1550</v>
      </c>
      <c r="F1151" s="10" t="str">
        <f t="shared" si="3"/>
        <v>31 completed tickets</v>
      </c>
    </row>
    <row r="1152" hidden="1">
      <c r="A1152" s="6" t="s">
        <v>92</v>
      </c>
      <c r="B1152" s="7" t="s">
        <v>188</v>
      </c>
      <c r="C1152" s="13" t="s">
        <v>189</v>
      </c>
      <c r="D1152" s="30">
        <v>28.0</v>
      </c>
      <c r="E1152" s="10">
        <f t="shared" si="2"/>
        <v>1400</v>
      </c>
      <c r="F1152" s="10" t="str">
        <f t="shared" si="3"/>
        <v>28 completed tickets</v>
      </c>
    </row>
    <row r="1153" hidden="1">
      <c r="A1153" s="6" t="s">
        <v>92</v>
      </c>
      <c r="B1153" s="7" t="s">
        <v>190</v>
      </c>
      <c r="C1153" s="13" t="s">
        <v>191</v>
      </c>
      <c r="D1153" s="30">
        <v>26.0</v>
      </c>
      <c r="E1153" s="10">
        <f t="shared" si="2"/>
        <v>1300</v>
      </c>
      <c r="F1153" s="10" t="str">
        <f t="shared" si="3"/>
        <v>26 completed tickets</v>
      </c>
    </row>
    <row r="1154" hidden="1">
      <c r="A1154" s="6" t="s">
        <v>92</v>
      </c>
      <c r="B1154" s="7" t="s">
        <v>192</v>
      </c>
      <c r="C1154" s="13" t="s">
        <v>193</v>
      </c>
      <c r="D1154" s="30">
        <v>32.0</v>
      </c>
      <c r="E1154" s="10">
        <f t="shared" si="2"/>
        <v>1600</v>
      </c>
      <c r="F1154" s="10" t="str">
        <f t="shared" si="3"/>
        <v>32 completed tickets</v>
      </c>
    </row>
    <row r="1155" hidden="1">
      <c r="A1155" s="6" t="s">
        <v>92</v>
      </c>
      <c r="B1155" s="7" t="s">
        <v>194</v>
      </c>
      <c r="C1155" s="13" t="s">
        <v>195</v>
      </c>
      <c r="D1155" s="30">
        <v>10.0</v>
      </c>
      <c r="E1155" s="10">
        <f t="shared" si="2"/>
        <v>500</v>
      </c>
      <c r="F1155" s="10" t="str">
        <f t="shared" si="3"/>
        <v>10 completed tickets</v>
      </c>
    </row>
    <row r="1156" hidden="1">
      <c r="A1156" s="6" t="s">
        <v>92</v>
      </c>
      <c r="B1156" s="7" t="s">
        <v>253</v>
      </c>
      <c r="C1156" s="13" t="s">
        <v>254</v>
      </c>
      <c r="D1156" s="30">
        <v>22.0</v>
      </c>
      <c r="E1156" s="10">
        <f t="shared" si="2"/>
        <v>1100</v>
      </c>
      <c r="F1156" s="10" t="str">
        <f t="shared" si="3"/>
        <v>22 completed tickets</v>
      </c>
    </row>
    <row r="1157" hidden="1">
      <c r="A1157" s="6" t="s">
        <v>92</v>
      </c>
      <c r="B1157" s="13" t="s">
        <v>317</v>
      </c>
      <c r="C1157" s="13" t="s">
        <v>318</v>
      </c>
      <c r="D1157" s="30">
        <v>21.0</v>
      </c>
      <c r="E1157" s="10">
        <f t="shared" si="2"/>
        <v>1050</v>
      </c>
      <c r="F1157" s="10" t="str">
        <f t="shared" si="3"/>
        <v>21 completed tickets</v>
      </c>
    </row>
    <row r="1158" hidden="1">
      <c r="A1158" s="6" t="s">
        <v>92</v>
      </c>
      <c r="B1158" s="13" t="s">
        <v>283</v>
      </c>
      <c r="C1158" s="30" t="s">
        <v>314</v>
      </c>
      <c r="D1158" s="30">
        <v>4.0</v>
      </c>
      <c r="E1158" s="10">
        <f t="shared" si="2"/>
        <v>200</v>
      </c>
      <c r="F1158" s="10" t="str">
        <f t="shared" si="3"/>
        <v>4 completed tickets</v>
      </c>
    </row>
    <row r="1159" hidden="1">
      <c r="A1159" s="6" t="s">
        <v>92</v>
      </c>
      <c r="B1159" s="13" t="s">
        <v>309</v>
      </c>
      <c r="C1159" s="30" t="s">
        <v>310</v>
      </c>
      <c r="D1159" s="30">
        <v>4.0</v>
      </c>
      <c r="E1159" s="10">
        <f t="shared" si="2"/>
        <v>200</v>
      </c>
      <c r="F1159" s="10" t="str">
        <f t="shared" si="3"/>
        <v>4 completed tickets</v>
      </c>
    </row>
    <row r="1160" hidden="1">
      <c r="A1160" s="6" t="s">
        <v>92</v>
      </c>
      <c r="B1160" s="38" t="s">
        <v>324</v>
      </c>
      <c r="C1160" s="30" t="s">
        <v>325</v>
      </c>
      <c r="D1160" s="30">
        <v>2.0</v>
      </c>
      <c r="E1160" s="10">
        <f t="shared" si="2"/>
        <v>100</v>
      </c>
      <c r="F1160" s="10" t="str">
        <f t="shared" si="3"/>
        <v>2 completed tickets</v>
      </c>
    </row>
    <row r="1161" hidden="1">
      <c r="A1161" s="6" t="s">
        <v>92</v>
      </c>
      <c r="B1161" s="38" t="s">
        <v>326</v>
      </c>
      <c r="C1161" s="30" t="s">
        <v>327</v>
      </c>
      <c r="D1161" s="30">
        <v>2.0</v>
      </c>
      <c r="E1161" s="10">
        <f t="shared" si="2"/>
        <v>100</v>
      </c>
      <c r="F1161" s="10" t="str">
        <f t="shared" si="3"/>
        <v>2 completed tickets</v>
      </c>
    </row>
    <row r="1162" hidden="1">
      <c r="A1162" s="6" t="s">
        <v>92</v>
      </c>
      <c r="B1162" s="38" t="s">
        <v>250</v>
      </c>
      <c r="C1162" s="30" t="s">
        <v>137</v>
      </c>
      <c r="D1162" s="30">
        <v>2.0</v>
      </c>
      <c r="E1162" s="10">
        <f t="shared" si="2"/>
        <v>100</v>
      </c>
      <c r="F1162" s="10" t="str">
        <f t="shared" si="3"/>
        <v>2 completed tickets</v>
      </c>
    </row>
    <row r="1163" hidden="1">
      <c r="A1163" s="40" t="s">
        <v>95</v>
      </c>
      <c r="B1163" s="41" t="s">
        <v>286</v>
      </c>
      <c r="C1163" s="41" t="s">
        <v>287</v>
      </c>
      <c r="D1163" s="41">
        <v>32.0</v>
      </c>
      <c r="E1163" s="42">
        <f t="shared" si="2"/>
        <v>1600</v>
      </c>
      <c r="F1163" s="42" t="str">
        <f t="shared" si="3"/>
        <v>32 completed tickets</v>
      </c>
    </row>
    <row r="1164" hidden="1">
      <c r="A1164" s="40" t="s">
        <v>95</v>
      </c>
      <c r="B1164" s="41" t="s">
        <v>275</v>
      </c>
      <c r="C1164" s="41" t="s">
        <v>276</v>
      </c>
      <c r="D1164" s="2">
        <v>20.0</v>
      </c>
      <c r="E1164" s="42">
        <f t="shared" si="2"/>
        <v>1000</v>
      </c>
      <c r="F1164" s="42" t="str">
        <f t="shared" si="3"/>
        <v>20 completed tickets</v>
      </c>
    </row>
    <row r="1165" hidden="1">
      <c r="A1165" s="6" t="s">
        <v>95</v>
      </c>
      <c r="B1165" s="7" t="s">
        <v>160</v>
      </c>
      <c r="C1165" s="30" t="s">
        <v>140</v>
      </c>
      <c r="D1165" s="25">
        <v>54.0</v>
      </c>
      <c r="E1165" s="10">
        <f t="shared" si="2"/>
        <v>2700</v>
      </c>
      <c r="F1165" s="10" t="str">
        <f t="shared" si="3"/>
        <v>54 completed tickets</v>
      </c>
    </row>
    <row r="1166" hidden="1">
      <c r="A1166" s="6" t="s">
        <v>95</v>
      </c>
      <c r="B1166" s="7" t="s">
        <v>161</v>
      </c>
      <c r="C1166" s="30" t="s">
        <v>152</v>
      </c>
      <c r="D1166" s="25">
        <v>29.0</v>
      </c>
      <c r="E1166" s="10">
        <f t="shared" si="2"/>
        <v>1450</v>
      </c>
      <c r="F1166" s="10" t="str">
        <f t="shared" si="3"/>
        <v>29 completed tickets</v>
      </c>
    </row>
    <row r="1167" hidden="1">
      <c r="A1167" s="6" t="s">
        <v>95</v>
      </c>
      <c r="B1167" s="7" t="s">
        <v>162</v>
      </c>
      <c r="C1167" s="13" t="s">
        <v>163</v>
      </c>
      <c r="D1167" s="30">
        <v>36.0</v>
      </c>
      <c r="E1167" s="10">
        <f t="shared" si="2"/>
        <v>1800</v>
      </c>
      <c r="F1167" s="10" t="str">
        <f t="shared" si="3"/>
        <v>36 completed tickets</v>
      </c>
    </row>
    <row r="1168" hidden="1">
      <c r="A1168" s="6" t="s">
        <v>95</v>
      </c>
      <c r="B1168" s="7" t="s">
        <v>164</v>
      </c>
      <c r="C1168" s="13" t="s">
        <v>158</v>
      </c>
      <c r="D1168" s="30">
        <v>39.0</v>
      </c>
      <c r="E1168" s="10">
        <f t="shared" si="2"/>
        <v>1950</v>
      </c>
      <c r="F1168" s="10" t="str">
        <f t="shared" si="3"/>
        <v>39 completed tickets</v>
      </c>
    </row>
    <row r="1169" hidden="1">
      <c r="A1169" s="6" t="s">
        <v>95</v>
      </c>
      <c r="B1169" s="7" t="s">
        <v>165</v>
      </c>
      <c r="C1169" s="13" t="s">
        <v>166</v>
      </c>
      <c r="D1169" s="30">
        <v>34.0</v>
      </c>
      <c r="E1169" s="10">
        <f t="shared" si="2"/>
        <v>1700</v>
      </c>
      <c r="F1169" s="10" t="str">
        <f t="shared" si="3"/>
        <v>34 completed tickets</v>
      </c>
    </row>
    <row r="1170" hidden="1">
      <c r="A1170" s="6" t="s">
        <v>95</v>
      </c>
      <c r="B1170" s="7" t="s">
        <v>167</v>
      </c>
      <c r="C1170" s="13" t="s">
        <v>157</v>
      </c>
      <c r="D1170" s="30">
        <v>20.0</v>
      </c>
      <c r="E1170" s="10">
        <f t="shared" si="2"/>
        <v>1000</v>
      </c>
      <c r="F1170" s="10" t="str">
        <f t="shared" si="3"/>
        <v>20 completed tickets</v>
      </c>
    </row>
    <row r="1171" hidden="1">
      <c r="A1171" s="6" t="s">
        <v>95</v>
      </c>
      <c r="B1171" s="7" t="s">
        <v>168</v>
      </c>
      <c r="C1171" s="13" t="s">
        <v>169</v>
      </c>
      <c r="D1171" s="30">
        <v>24.0</v>
      </c>
      <c r="E1171" s="10">
        <f t="shared" si="2"/>
        <v>1200</v>
      </c>
      <c r="F1171" s="10" t="str">
        <f t="shared" si="3"/>
        <v>24 completed tickets</v>
      </c>
    </row>
    <row r="1172" hidden="1">
      <c r="A1172" s="6" t="s">
        <v>95</v>
      </c>
      <c r="B1172" s="7" t="s">
        <v>170</v>
      </c>
      <c r="C1172" s="13" t="s">
        <v>171</v>
      </c>
      <c r="D1172" s="30">
        <v>10.0</v>
      </c>
      <c r="E1172" s="10">
        <f t="shared" si="2"/>
        <v>500</v>
      </c>
      <c r="F1172" s="10" t="str">
        <f t="shared" si="3"/>
        <v>10 completed tickets</v>
      </c>
    </row>
    <row r="1173" hidden="1">
      <c r="A1173" s="6" t="s">
        <v>95</v>
      </c>
      <c r="B1173" s="7" t="s">
        <v>295</v>
      </c>
      <c r="C1173" s="13" t="s">
        <v>296</v>
      </c>
      <c r="D1173" s="30">
        <v>36.0</v>
      </c>
      <c r="E1173" s="10">
        <f t="shared" si="2"/>
        <v>1800</v>
      </c>
      <c r="F1173" s="10" t="str">
        <f t="shared" si="3"/>
        <v>36 completed tickets</v>
      </c>
    </row>
    <row r="1174" hidden="1">
      <c r="A1174" s="6" t="s">
        <v>95</v>
      </c>
      <c r="B1174" s="7" t="s">
        <v>172</v>
      </c>
      <c r="C1174" s="13" t="s">
        <v>173</v>
      </c>
      <c r="D1174" s="30">
        <v>44.0</v>
      </c>
      <c r="E1174" s="10">
        <f t="shared" si="2"/>
        <v>2200</v>
      </c>
      <c r="F1174" s="10" t="str">
        <f t="shared" si="3"/>
        <v>44 completed tickets</v>
      </c>
    </row>
    <row r="1175" hidden="1">
      <c r="A1175" s="6" t="s">
        <v>95</v>
      </c>
      <c r="B1175" s="7" t="s">
        <v>322</v>
      </c>
      <c r="C1175" s="13" t="s">
        <v>323</v>
      </c>
      <c r="D1175" s="30">
        <v>46.0</v>
      </c>
      <c r="E1175" s="10">
        <f t="shared" si="2"/>
        <v>2300</v>
      </c>
      <c r="F1175" s="10" t="str">
        <f t="shared" si="3"/>
        <v>46 completed tickets</v>
      </c>
    </row>
    <row r="1176" hidden="1">
      <c r="A1176" s="6" t="s">
        <v>95</v>
      </c>
      <c r="B1176" s="7" t="s">
        <v>297</v>
      </c>
      <c r="C1176" s="13" t="s">
        <v>153</v>
      </c>
      <c r="D1176" s="30">
        <v>28.0</v>
      </c>
      <c r="E1176" s="10">
        <f t="shared" si="2"/>
        <v>1400</v>
      </c>
      <c r="F1176" s="10" t="str">
        <f t="shared" si="3"/>
        <v>28 completed tickets</v>
      </c>
    </row>
    <row r="1177" hidden="1">
      <c r="A1177" s="6" t="s">
        <v>95</v>
      </c>
      <c r="B1177" s="7" t="s">
        <v>174</v>
      </c>
      <c r="C1177" s="13" t="s">
        <v>175</v>
      </c>
      <c r="D1177" s="30">
        <v>27.0</v>
      </c>
      <c r="E1177" s="10">
        <f t="shared" si="2"/>
        <v>1350</v>
      </c>
      <c r="F1177" s="10" t="str">
        <f t="shared" si="3"/>
        <v>27 completed tickets</v>
      </c>
    </row>
    <row r="1178" hidden="1">
      <c r="A1178" s="6" t="s">
        <v>95</v>
      </c>
      <c r="B1178" s="7" t="s">
        <v>176</v>
      </c>
      <c r="C1178" s="13" t="s">
        <v>130</v>
      </c>
      <c r="D1178" s="30">
        <v>24.0</v>
      </c>
      <c r="E1178" s="10">
        <f t="shared" si="2"/>
        <v>1200</v>
      </c>
      <c r="F1178" s="10" t="str">
        <f t="shared" si="3"/>
        <v>24 completed tickets</v>
      </c>
    </row>
    <row r="1179" hidden="1">
      <c r="A1179" s="6" t="s">
        <v>95</v>
      </c>
      <c r="B1179" s="7" t="s">
        <v>252</v>
      </c>
      <c r="C1179" s="13" t="s">
        <v>139</v>
      </c>
      <c r="D1179" s="30">
        <v>37.0</v>
      </c>
      <c r="E1179" s="10">
        <f t="shared" si="2"/>
        <v>1850</v>
      </c>
      <c r="F1179" s="10" t="str">
        <f t="shared" si="3"/>
        <v>37 completed tickets</v>
      </c>
    </row>
    <row r="1180" hidden="1">
      <c r="A1180" s="6" t="s">
        <v>95</v>
      </c>
      <c r="B1180" s="7" t="s">
        <v>177</v>
      </c>
      <c r="C1180" s="13" t="s">
        <v>144</v>
      </c>
      <c r="D1180" s="30">
        <v>27.0</v>
      </c>
      <c r="E1180" s="10">
        <f t="shared" si="2"/>
        <v>1350</v>
      </c>
      <c r="F1180" s="10" t="str">
        <f t="shared" si="3"/>
        <v>27 completed tickets</v>
      </c>
    </row>
    <row r="1181" hidden="1">
      <c r="A1181" s="6" t="s">
        <v>95</v>
      </c>
      <c r="B1181" s="7" t="s">
        <v>270</v>
      </c>
      <c r="C1181" s="13" t="s">
        <v>126</v>
      </c>
      <c r="D1181" s="30">
        <v>14.0</v>
      </c>
      <c r="E1181" s="10">
        <f t="shared" si="2"/>
        <v>700</v>
      </c>
      <c r="F1181" s="10" t="str">
        <f t="shared" si="3"/>
        <v>14 completed tickets</v>
      </c>
    </row>
    <row r="1182" hidden="1">
      <c r="A1182" s="6" t="s">
        <v>95</v>
      </c>
      <c r="B1182" s="7" t="s">
        <v>178</v>
      </c>
      <c r="C1182" s="13" t="s">
        <v>179</v>
      </c>
      <c r="D1182" s="30">
        <v>32.0</v>
      </c>
      <c r="E1182" s="10">
        <f t="shared" si="2"/>
        <v>1600</v>
      </c>
      <c r="F1182" s="10" t="str">
        <f t="shared" si="3"/>
        <v>32 completed tickets</v>
      </c>
    </row>
    <row r="1183" hidden="1">
      <c r="A1183" s="6" t="s">
        <v>95</v>
      </c>
      <c r="B1183" s="7" t="s">
        <v>180</v>
      </c>
      <c r="C1183" s="13" t="s">
        <v>181</v>
      </c>
      <c r="D1183" s="30">
        <v>74.0</v>
      </c>
      <c r="E1183" s="10">
        <f t="shared" si="2"/>
        <v>3700</v>
      </c>
      <c r="F1183" s="10" t="str">
        <f t="shared" si="3"/>
        <v>74 completed tickets</v>
      </c>
    </row>
    <row r="1184" hidden="1">
      <c r="A1184" s="6" t="s">
        <v>95</v>
      </c>
      <c r="B1184" s="7" t="s">
        <v>236</v>
      </c>
      <c r="C1184" s="13" t="s">
        <v>159</v>
      </c>
      <c r="D1184" s="30">
        <v>21.0</v>
      </c>
      <c r="E1184" s="10">
        <f t="shared" si="2"/>
        <v>1050</v>
      </c>
      <c r="F1184" s="10" t="str">
        <f t="shared" si="3"/>
        <v>21 completed tickets</v>
      </c>
    </row>
    <row r="1185" hidden="1">
      <c r="A1185" s="6" t="s">
        <v>95</v>
      </c>
      <c r="B1185" s="7" t="s">
        <v>182</v>
      </c>
      <c r="C1185" s="13" t="s">
        <v>183</v>
      </c>
      <c r="D1185" s="30">
        <v>14.0</v>
      </c>
      <c r="E1185" s="10">
        <f t="shared" si="2"/>
        <v>700</v>
      </c>
      <c r="F1185" s="10" t="str">
        <f t="shared" si="3"/>
        <v>14 completed tickets</v>
      </c>
    </row>
    <row r="1186" hidden="1">
      <c r="A1186" s="6" t="s">
        <v>95</v>
      </c>
      <c r="B1186" s="7" t="s">
        <v>184</v>
      </c>
      <c r="C1186" s="13" t="s">
        <v>185</v>
      </c>
      <c r="D1186" s="30">
        <v>18.0</v>
      </c>
      <c r="E1186" s="10">
        <f t="shared" si="2"/>
        <v>900</v>
      </c>
      <c r="F1186" s="10" t="str">
        <f t="shared" si="3"/>
        <v>18 completed tickets</v>
      </c>
    </row>
    <row r="1187" hidden="1">
      <c r="A1187" s="6" t="s">
        <v>95</v>
      </c>
      <c r="B1187" s="7" t="s">
        <v>212</v>
      </c>
      <c r="C1187" s="13" t="s">
        <v>213</v>
      </c>
      <c r="D1187" s="30">
        <v>32.0</v>
      </c>
      <c r="E1187" s="10">
        <f t="shared" si="2"/>
        <v>1600</v>
      </c>
      <c r="F1187" s="10" t="str">
        <f t="shared" si="3"/>
        <v>32 completed tickets</v>
      </c>
    </row>
    <row r="1188" hidden="1">
      <c r="A1188" s="6" t="s">
        <v>95</v>
      </c>
      <c r="B1188" s="7" t="s">
        <v>186</v>
      </c>
      <c r="C1188" s="13" t="s">
        <v>187</v>
      </c>
      <c r="D1188" s="30">
        <v>51.0</v>
      </c>
      <c r="E1188" s="10">
        <f t="shared" si="2"/>
        <v>2550</v>
      </c>
      <c r="F1188" s="10" t="str">
        <f t="shared" si="3"/>
        <v>51 completed tickets</v>
      </c>
    </row>
    <row r="1189" hidden="1">
      <c r="A1189" s="6" t="s">
        <v>95</v>
      </c>
      <c r="B1189" s="7" t="s">
        <v>188</v>
      </c>
      <c r="C1189" s="13" t="s">
        <v>189</v>
      </c>
      <c r="D1189" s="30">
        <v>33.0</v>
      </c>
      <c r="E1189" s="10">
        <f t="shared" si="2"/>
        <v>1650</v>
      </c>
      <c r="F1189" s="10" t="str">
        <f t="shared" si="3"/>
        <v>33 completed tickets</v>
      </c>
    </row>
    <row r="1190" hidden="1">
      <c r="A1190" s="6" t="s">
        <v>95</v>
      </c>
      <c r="B1190" s="7" t="s">
        <v>190</v>
      </c>
      <c r="C1190" s="13" t="s">
        <v>191</v>
      </c>
      <c r="D1190" s="30">
        <v>16.0</v>
      </c>
      <c r="E1190" s="10">
        <f t="shared" si="2"/>
        <v>800</v>
      </c>
      <c r="F1190" s="10" t="str">
        <f t="shared" si="3"/>
        <v>16 completed tickets</v>
      </c>
    </row>
    <row r="1191" hidden="1">
      <c r="A1191" s="6" t="s">
        <v>95</v>
      </c>
      <c r="B1191" s="7" t="s">
        <v>192</v>
      </c>
      <c r="C1191" s="13" t="s">
        <v>193</v>
      </c>
      <c r="D1191" s="30">
        <v>26.0</v>
      </c>
      <c r="E1191" s="10">
        <f t="shared" si="2"/>
        <v>1300</v>
      </c>
      <c r="F1191" s="10" t="str">
        <f t="shared" si="3"/>
        <v>26 completed tickets</v>
      </c>
    </row>
    <row r="1192" hidden="1">
      <c r="A1192" s="6" t="s">
        <v>95</v>
      </c>
      <c r="B1192" s="7" t="s">
        <v>194</v>
      </c>
      <c r="C1192" s="13" t="s">
        <v>195</v>
      </c>
      <c r="D1192" s="30">
        <v>13.0</v>
      </c>
      <c r="E1192" s="10">
        <f t="shared" si="2"/>
        <v>650</v>
      </c>
      <c r="F1192" s="10" t="str">
        <f t="shared" si="3"/>
        <v>13 completed tickets</v>
      </c>
    </row>
    <row r="1193" hidden="1">
      <c r="A1193" s="6" t="s">
        <v>95</v>
      </c>
      <c r="B1193" s="7" t="s">
        <v>253</v>
      </c>
      <c r="C1193" s="13" t="s">
        <v>254</v>
      </c>
      <c r="D1193" s="30">
        <v>18.0</v>
      </c>
      <c r="E1193" s="10">
        <f t="shared" si="2"/>
        <v>900</v>
      </c>
      <c r="F1193" s="10" t="str">
        <f t="shared" si="3"/>
        <v>18 completed tickets</v>
      </c>
    </row>
    <row r="1194" hidden="1">
      <c r="A1194" s="6" t="s">
        <v>95</v>
      </c>
      <c r="B1194" s="13" t="s">
        <v>283</v>
      </c>
      <c r="C1194" s="13" t="s">
        <v>314</v>
      </c>
      <c r="D1194" s="30">
        <v>2.0</v>
      </c>
      <c r="E1194" s="10">
        <f t="shared" si="2"/>
        <v>100</v>
      </c>
      <c r="F1194" s="10" t="str">
        <f t="shared" si="3"/>
        <v>2 completed tickets</v>
      </c>
    </row>
    <row r="1195" hidden="1">
      <c r="A1195" s="6" t="s">
        <v>95</v>
      </c>
      <c r="B1195" s="13" t="s">
        <v>309</v>
      </c>
      <c r="C1195" s="30" t="s">
        <v>310</v>
      </c>
      <c r="D1195" s="30">
        <v>8.0</v>
      </c>
      <c r="E1195" s="10">
        <f t="shared" si="2"/>
        <v>400</v>
      </c>
      <c r="F1195" s="10" t="str">
        <f t="shared" si="3"/>
        <v>8 completed tickets</v>
      </c>
    </row>
    <row r="1196" hidden="1">
      <c r="A1196" s="6" t="s">
        <v>95</v>
      </c>
      <c r="B1196" s="38" t="s">
        <v>324</v>
      </c>
      <c r="C1196" s="30" t="s">
        <v>328</v>
      </c>
      <c r="D1196" s="30">
        <v>2.0</v>
      </c>
      <c r="E1196" s="10">
        <f t="shared" si="2"/>
        <v>100</v>
      </c>
      <c r="F1196" s="10" t="str">
        <f t="shared" si="3"/>
        <v>2 completed tickets</v>
      </c>
    </row>
    <row r="1197" hidden="1">
      <c r="A1197" s="6" t="s">
        <v>95</v>
      </c>
      <c r="B1197" s="38" t="s">
        <v>326</v>
      </c>
      <c r="C1197" s="30" t="s">
        <v>327</v>
      </c>
      <c r="D1197" s="30">
        <v>6.0</v>
      </c>
      <c r="E1197" s="10">
        <f t="shared" si="2"/>
        <v>300</v>
      </c>
      <c r="F1197" s="10" t="str">
        <f t="shared" si="3"/>
        <v>6 completed tickets</v>
      </c>
    </row>
    <row r="1198" hidden="1">
      <c r="A1198" s="6" t="s">
        <v>95</v>
      </c>
      <c r="B1198" s="38" t="s">
        <v>250</v>
      </c>
      <c r="C1198" s="30" t="s">
        <v>137</v>
      </c>
      <c r="D1198" s="30">
        <v>6.0</v>
      </c>
      <c r="E1198" s="10">
        <f t="shared" si="2"/>
        <v>300</v>
      </c>
      <c r="F1198" s="10" t="str">
        <f t="shared" si="3"/>
        <v>6 completed tickets</v>
      </c>
    </row>
    <row r="1199" hidden="1">
      <c r="A1199" s="6" t="s">
        <v>95</v>
      </c>
      <c r="B1199" s="33" t="s">
        <v>260</v>
      </c>
      <c r="C1199" s="30" t="s">
        <v>261</v>
      </c>
      <c r="D1199" s="30">
        <v>14.0</v>
      </c>
      <c r="E1199" s="10">
        <f t="shared" si="2"/>
        <v>700</v>
      </c>
      <c r="F1199" s="10" t="str">
        <f t="shared" si="3"/>
        <v>14 completed tickets</v>
      </c>
    </row>
    <row r="1200" hidden="1">
      <c r="A1200" s="6" t="s">
        <v>97</v>
      </c>
      <c r="B1200" s="7" t="s">
        <v>160</v>
      </c>
      <c r="C1200" s="38" t="s">
        <v>140</v>
      </c>
      <c r="D1200" s="15">
        <v>42.0</v>
      </c>
      <c r="E1200" s="10">
        <f t="shared" si="2"/>
        <v>2100</v>
      </c>
      <c r="F1200" s="10" t="str">
        <f t="shared" si="3"/>
        <v>42 completed tickets</v>
      </c>
    </row>
    <row r="1201" hidden="1">
      <c r="A1201" s="6" t="s">
        <v>97</v>
      </c>
      <c r="B1201" s="7" t="s">
        <v>161</v>
      </c>
      <c r="C1201" s="38" t="s">
        <v>152</v>
      </c>
      <c r="D1201" s="15">
        <v>16.0</v>
      </c>
      <c r="E1201" s="10">
        <f t="shared" si="2"/>
        <v>800</v>
      </c>
      <c r="F1201" s="10" t="str">
        <f t="shared" si="3"/>
        <v>16 completed tickets</v>
      </c>
    </row>
    <row r="1202" hidden="1">
      <c r="A1202" s="6" t="s">
        <v>97</v>
      </c>
      <c r="B1202" s="7" t="s">
        <v>162</v>
      </c>
      <c r="C1202" s="38" t="s">
        <v>163</v>
      </c>
      <c r="D1202" s="15">
        <v>43.0</v>
      </c>
      <c r="E1202" s="10">
        <f t="shared" si="2"/>
        <v>2150</v>
      </c>
      <c r="F1202" s="10" t="str">
        <f t="shared" si="3"/>
        <v>43 completed tickets</v>
      </c>
    </row>
    <row r="1203" hidden="1">
      <c r="A1203" s="6" t="s">
        <v>97</v>
      </c>
      <c r="B1203" s="7" t="s">
        <v>164</v>
      </c>
      <c r="C1203" s="38" t="s">
        <v>158</v>
      </c>
      <c r="D1203" s="15">
        <v>41.0</v>
      </c>
      <c r="E1203" s="10">
        <f t="shared" si="2"/>
        <v>2050</v>
      </c>
      <c r="F1203" s="10" t="str">
        <f t="shared" si="3"/>
        <v>41 completed tickets</v>
      </c>
    </row>
    <row r="1204" hidden="1">
      <c r="A1204" s="6" t="s">
        <v>97</v>
      </c>
      <c r="B1204" s="7" t="s">
        <v>165</v>
      </c>
      <c r="C1204" s="38" t="s">
        <v>166</v>
      </c>
      <c r="D1204" s="15">
        <v>37.0</v>
      </c>
      <c r="E1204" s="10">
        <f t="shared" si="2"/>
        <v>1850</v>
      </c>
      <c r="F1204" s="10" t="str">
        <f t="shared" si="3"/>
        <v>37 completed tickets</v>
      </c>
    </row>
    <row r="1205" hidden="1">
      <c r="A1205" s="6" t="s">
        <v>97</v>
      </c>
      <c r="B1205" s="7" t="s">
        <v>167</v>
      </c>
      <c r="C1205" s="38" t="s">
        <v>157</v>
      </c>
      <c r="D1205" s="15">
        <v>44.0</v>
      </c>
      <c r="E1205" s="10">
        <f t="shared" si="2"/>
        <v>2200</v>
      </c>
      <c r="F1205" s="10" t="str">
        <f t="shared" si="3"/>
        <v>44 completed tickets</v>
      </c>
    </row>
    <row r="1206" hidden="1">
      <c r="A1206" s="6" t="s">
        <v>97</v>
      </c>
      <c r="B1206" s="7" t="s">
        <v>168</v>
      </c>
      <c r="C1206" s="38" t="s">
        <v>169</v>
      </c>
      <c r="D1206" s="15">
        <v>26.0</v>
      </c>
      <c r="E1206" s="10">
        <f t="shared" si="2"/>
        <v>1300</v>
      </c>
      <c r="F1206" s="10" t="str">
        <f t="shared" si="3"/>
        <v>26 completed tickets</v>
      </c>
    </row>
    <row r="1207" hidden="1">
      <c r="A1207" s="6" t="s">
        <v>97</v>
      </c>
      <c r="B1207" s="7" t="s">
        <v>170</v>
      </c>
      <c r="C1207" s="38" t="s">
        <v>171</v>
      </c>
      <c r="D1207" s="15">
        <v>11.0</v>
      </c>
      <c r="E1207" s="10">
        <f t="shared" si="2"/>
        <v>550</v>
      </c>
      <c r="F1207" s="10" t="str">
        <f t="shared" si="3"/>
        <v>11 completed tickets</v>
      </c>
    </row>
    <row r="1208" hidden="1">
      <c r="A1208" s="6" t="s">
        <v>97</v>
      </c>
      <c r="B1208" s="7" t="s">
        <v>295</v>
      </c>
      <c r="C1208" s="38" t="s">
        <v>296</v>
      </c>
      <c r="D1208" s="15">
        <v>36.0</v>
      </c>
      <c r="E1208" s="10">
        <f t="shared" si="2"/>
        <v>1800</v>
      </c>
      <c r="F1208" s="10" t="str">
        <f t="shared" si="3"/>
        <v>36 completed tickets</v>
      </c>
    </row>
    <row r="1209" hidden="1">
      <c r="A1209" s="6" t="s">
        <v>97</v>
      </c>
      <c r="B1209" s="7" t="s">
        <v>172</v>
      </c>
      <c r="C1209" s="38" t="s">
        <v>173</v>
      </c>
      <c r="D1209" s="15">
        <v>24.0</v>
      </c>
      <c r="E1209" s="10">
        <f t="shared" si="2"/>
        <v>1200</v>
      </c>
      <c r="F1209" s="10" t="str">
        <f t="shared" si="3"/>
        <v>24 completed tickets</v>
      </c>
    </row>
    <row r="1210" hidden="1">
      <c r="A1210" s="6" t="s">
        <v>97</v>
      </c>
      <c r="B1210" s="7" t="s">
        <v>322</v>
      </c>
      <c r="C1210" s="38" t="s">
        <v>323</v>
      </c>
      <c r="D1210" s="15">
        <v>38.0</v>
      </c>
      <c r="E1210" s="10">
        <f t="shared" si="2"/>
        <v>1900</v>
      </c>
      <c r="F1210" s="10" t="str">
        <f t="shared" si="3"/>
        <v>38 completed tickets</v>
      </c>
    </row>
    <row r="1211" hidden="1">
      <c r="A1211" s="6" t="s">
        <v>97</v>
      </c>
      <c r="B1211" s="7" t="s">
        <v>297</v>
      </c>
      <c r="C1211" s="38" t="s">
        <v>153</v>
      </c>
      <c r="D1211" s="15">
        <v>35.0</v>
      </c>
      <c r="E1211" s="10">
        <f t="shared" si="2"/>
        <v>1750</v>
      </c>
      <c r="F1211" s="10" t="str">
        <f t="shared" si="3"/>
        <v>35 completed tickets</v>
      </c>
    </row>
    <row r="1212" hidden="1">
      <c r="A1212" s="6" t="s">
        <v>97</v>
      </c>
      <c r="B1212" s="7" t="s">
        <v>174</v>
      </c>
      <c r="C1212" s="38" t="s">
        <v>175</v>
      </c>
      <c r="D1212" s="15">
        <v>35.0</v>
      </c>
      <c r="E1212" s="10">
        <f t="shared" si="2"/>
        <v>1750</v>
      </c>
      <c r="F1212" s="10" t="str">
        <f t="shared" si="3"/>
        <v>35 completed tickets</v>
      </c>
    </row>
    <row r="1213" hidden="1">
      <c r="A1213" s="6" t="s">
        <v>97</v>
      </c>
      <c r="B1213" s="7" t="s">
        <v>176</v>
      </c>
      <c r="C1213" s="38" t="s">
        <v>130</v>
      </c>
      <c r="D1213" s="15">
        <v>40.0</v>
      </c>
      <c r="E1213" s="10">
        <f t="shared" si="2"/>
        <v>2000</v>
      </c>
      <c r="F1213" s="10" t="str">
        <f t="shared" si="3"/>
        <v>40 completed tickets</v>
      </c>
    </row>
    <row r="1214" hidden="1">
      <c r="A1214" s="6" t="s">
        <v>97</v>
      </c>
      <c r="B1214" s="7" t="s">
        <v>252</v>
      </c>
      <c r="C1214" s="38" t="s">
        <v>139</v>
      </c>
      <c r="D1214" s="15">
        <v>94.0</v>
      </c>
      <c r="E1214" s="10">
        <f t="shared" si="2"/>
        <v>4700</v>
      </c>
      <c r="F1214" s="10" t="str">
        <f t="shared" si="3"/>
        <v>94 completed tickets</v>
      </c>
    </row>
    <row r="1215" hidden="1">
      <c r="A1215" s="6" t="s">
        <v>97</v>
      </c>
      <c r="B1215" s="7" t="s">
        <v>177</v>
      </c>
      <c r="C1215" s="38" t="s">
        <v>144</v>
      </c>
      <c r="D1215" s="15">
        <v>97.0</v>
      </c>
      <c r="E1215" s="10">
        <f t="shared" si="2"/>
        <v>4850</v>
      </c>
      <c r="F1215" s="10" t="str">
        <f t="shared" si="3"/>
        <v>97 completed tickets</v>
      </c>
    </row>
    <row r="1216" hidden="1">
      <c r="A1216" s="6" t="s">
        <v>97</v>
      </c>
      <c r="B1216" s="7" t="s">
        <v>270</v>
      </c>
      <c r="C1216" s="38" t="s">
        <v>126</v>
      </c>
      <c r="D1216" s="15">
        <v>22.0</v>
      </c>
      <c r="E1216" s="10">
        <f t="shared" si="2"/>
        <v>1100</v>
      </c>
      <c r="F1216" s="10" t="str">
        <f t="shared" si="3"/>
        <v>22 completed tickets</v>
      </c>
    </row>
    <row r="1217" hidden="1">
      <c r="A1217" s="6" t="s">
        <v>97</v>
      </c>
      <c r="B1217" s="7" t="s">
        <v>178</v>
      </c>
      <c r="C1217" s="38" t="s">
        <v>179</v>
      </c>
      <c r="D1217" s="15">
        <v>26.0</v>
      </c>
      <c r="E1217" s="10">
        <f t="shared" si="2"/>
        <v>1300</v>
      </c>
      <c r="F1217" s="10" t="str">
        <f t="shared" si="3"/>
        <v>26 completed tickets</v>
      </c>
    </row>
    <row r="1218" hidden="1">
      <c r="A1218" s="6" t="s">
        <v>97</v>
      </c>
      <c r="B1218" s="7" t="s">
        <v>180</v>
      </c>
      <c r="C1218" s="38" t="s">
        <v>181</v>
      </c>
      <c r="D1218" s="15">
        <v>86.0</v>
      </c>
      <c r="E1218" s="10">
        <f t="shared" si="2"/>
        <v>4300</v>
      </c>
      <c r="F1218" s="10" t="str">
        <f t="shared" si="3"/>
        <v>86 completed tickets</v>
      </c>
    </row>
    <row r="1219" hidden="1">
      <c r="A1219" s="6" t="s">
        <v>97</v>
      </c>
      <c r="B1219" s="7" t="s">
        <v>236</v>
      </c>
      <c r="C1219" s="38" t="s">
        <v>159</v>
      </c>
      <c r="D1219" s="15">
        <v>29.0</v>
      </c>
      <c r="E1219" s="10">
        <f t="shared" si="2"/>
        <v>1450</v>
      </c>
      <c r="F1219" s="10" t="str">
        <f t="shared" si="3"/>
        <v>29 completed tickets</v>
      </c>
    </row>
    <row r="1220" hidden="1">
      <c r="A1220" s="6" t="s">
        <v>97</v>
      </c>
      <c r="B1220" s="7" t="s">
        <v>182</v>
      </c>
      <c r="C1220" s="38" t="s">
        <v>183</v>
      </c>
      <c r="D1220" s="15">
        <v>20.0</v>
      </c>
      <c r="E1220" s="10">
        <f t="shared" si="2"/>
        <v>1000</v>
      </c>
      <c r="F1220" s="10" t="str">
        <f t="shared" si="3"/>
        <v>20 completed tickets</v>
      </c>
    </row>
    <row r="1221" hidden="1">
      <c r="A1221" s="6" t="s">
        <v>97</v>
      </c>
      <c r="B1221" s="7" t="s">
        <v>184</v>
      </c>
      <c r="C1221" s="38" t="s">
        <v>185</v>
      </c>
      <c r="D1221" s="15">
        <v>22.0</v>
      </c>
      <c r="E1221" s="10">
        <f t="shared" si="2"/>
        <v>1100</v>
      </c>
      <c r="F1221" s="10" t="str">
        <f t="shared" si="3"/>
        <v>22 completed tickets</v>
      </c>
    </row>
    <row r="1222" hidden="1">
      <c r="A1222" s="6" t="s">
        <v>97</v>
      </c>
      <c r="B1222" s="7" t="s">
        <v>212</v>
      </c>
      <c r="C1222" s="38" t="s">
        <v>213</v>
      </c>
      <c r="D1222" s="15">
        <v>21.0</v>
      </c>
      <c r="E1222" s="10">
        <f t="shared" si="2"/>
        <v>1050</v>
      </c>
      <c r="F1222" s="10" t="str">
        <f t="shared" si="3"/>
        <v>21 completed tickets</v>
      </c>
    </row>
    <row r="1223" hidden="1">
      <c r="A1223" s="6" t="s">
        <v>97</v>
      </c>
      <c r="B1223" s="7" t="s">
        <v>186</v>
      </c>
      <c r="C1223" s="38" t="s">
        <v>187</v>
      </c>
      <c r="D1223" s="15">
        <v>68.0</v>
      </c>
      <c r="E1223" s="10">
        <f t="shared" si="2"/>
        <v>3400</v>
      </c>
      <c r="F1223" s="10" t="str">
        <f t="shared" si="3"/>
        <v>68 completed tickets</v>
      </c>
    </row>
    <row r="1224" hidden="1">
      <c r="A1224" s="6" t="s">
        <v>97</v>
      </c>
      <c r="B1224" s="7" t="s">
        <v>188</v>
      </c>
      <c r="C1224" s="38" t="s">
        <v>189</v>
      </c>
      <c r="D1224" s="15">
        <v>42.0</v>
      </c>
      <c r="E1224" s="10">
        <f t="shared" si="2"/>
        <v>2100</v>
      </c>
      <c r="F1224" s="10" t="str">
        <f t="shared" si="3"/>
        <v>42 completed tickets</v>
      </c>
    </row>
    <row r="1225" hidden="1">
      <c r="A1225" s="6" t="s">
        <v>97</v>
      </c>
      <c r="B1225" s="7" t="s">
        <v>190</v>
      </c>
      <c r="C1225" s="38" t="s">
        <v>191</v>
      </c>
      <c r="D1225" s="15">
        <v>28.0</v>
      </c>
      <c r="E1225" s="10">
        <f t="shared" si="2"/>
        <v>1400</v>
      </c>
      <c r="F1225" s="10" t="str">
        <f t="shared" si="3"/>
        <v>28 completed tickets</v>
      </c>
    </row>
    <row r="1226" hidden="1">
      <c r="A1226" s="6" t="s">
        <v>97</v>
      </c>
      <c r="B1226" s="7" t="s">
        <v>192</v>
      </c>
      <c r="C1226" s="38" t="s">
        <v>193</v>
      </c>
      <c r="D1226" s="15">
        <v>18.0</v>
      </c>
      <c r="E1226" s="10">
        <f t="shared" si="2"/>
        <v>900</v>
      </c>
      <c r="F1226" s="10" t="str">
        <f t="shared" si="3"/>
        <v>18 completed tickets</v>
      </c>
    </row>
    <row r="1227" hidden="1">
      <c r="A1227" s="6" t="s">
        <v>97</v>
      </c>
      <c r="B1227" s="7" t="s">
        <v>194</v>
      </c>
      <c r="C1227" s="38" t="s">
        <v>195</v>
      </c>
      <c r="D1227" s="15">
        <v>10.0</v>
      </c>
      <c r="E1227" s="10">
        <f t="shared" si="2"/>
        <v>500</v>
      </c>
      <c r="F1227" s="10" t="str">
        <f t="shared" si="3"/>
        <v>10 completed tickets</v>
      </c>
    </row>
    <row r="1228" hidden="1">
      <c r="A1228" s="6" t="s">
        <v>97</v>
      </c>
      <c r="B1228" s="7" t="s">
        <v>253</v>
      </c>
      <c r="C1228" s="38" t="s">
        <v>254</v>
      </c>
      <c r="D1228" s="15">
        <v>18.0</v>
      </c>
      <c r="E1228" s="10">
        <f t="shared" si="2"/>
        <v>900</v>
      </c>
      <c r="F1228" s="10" t="str">
        <f t="shared" si="3"/>
        <v>18 completed tickets</v>
      </c>
    </row>
    <row r="1229" hidden="1">
      <c r="A1229" s="6" t="s">
        <v>97</v>
      </c>
      <c r="B1229" s="13" t="s">
        <v>317</v>
      </c>
      <c r="C1229" s="38" t="s">
        <v>329</v>
      </c>
      <c r="D1229" s="15">
        <v>2.0</v>
      </c>
      <c r="E1229" s="10">
        <f t="shared" si="2"/>
        <v>100</v>
      </c>
      <c r="F1229" s="10" t="str">
        <f t="shared" si="3"/>
        <v>2 completed tickets</v>
      </c>
    </row>
    <row r="1230" hidden="1">
      <c r="A1230" s="6" t="s">
        <v>97</v>
      </c>
      <c r="B1230" s="13" t="s">
        <v>283</v>
      </c>
      <c r="C1230" s="38" t="s">
        <v>314</v>
      </c>
      <c r="D1230" s="15">
        <v>4.0</v>
      </c>
      <c r="E1230" s="10">
        <f t="shared" si="2"/>
        <v>200</v>
      </c>
      <c r="F1230" s="10" t="str">
        <f t="shared" si="3"/>
        <v>4 completed tickets</v>
      </c>
    </row>
    <row r="1231" hidden="1">
      <c r="A1231" s="6" t="s">
        <v>97</v>
      </c>
      <c r="B1231" s="13" t="s">
        <v>309</v>
      </c>
      <c r="C1231" s="38" t="s">
        <v>310</v>
      </c>
      <c r="D1231" s="15">
        <v>18.0</v>
      </c>
      <c r="E1231" s="10">
        <f t="shared" si="2"/>
        <v>900</v>
      </c>
      <c r="F1231" s="10" t="str">
        <f t="shared" si="3"/>
        <v>18 completed tickets</v>
      </c>
    </row>
    <row r="1232" hidden="1">
      <c r="A1232" s="6" t="s">
        <v>97</v>
      </c>
      <c r="B1232" s="13" t="s">
        <v>324</v>
      </c>
      <c r="C1232" s="38" t="s">
        <v>330</v>
      </c>
      <c r="D1232" s="15">
        <v>4.0</v>
      </c>
      <c r="E1232" s="10">
        <f t="shared" si="2"/>
        <v>200</v>
      </c>
      <c r="F1232" s="10" t="str">
        <f t="shared" si="3"/>
        <v>4 completed tickets</v>
      </c>
    </row>
    <row r="1233" hidden="1">
      <c r="A1233" s="6" t="s">
        <v>97</v>
      </c>
      <c r="B1233" s="13" t="s">
        <v>324</v>
      </c>
      <c r="C1233" s="38" t="s">
        <v>328</v>
      </c>
      <c r="D1233" s="15">
        <v>4.0</v>
      </c>
      <c r="E1233" s="10">
        <f t="shared" si="2"/>
        <v>200</v>
      </c>
      <c r="F1233" s="10" t="str">
        <f t="shared" si="3"/>
        <v>4 completed tickets</v>
      </c>
    </row>
    <row r="1234" hidden="1">
      <c r="A1234" s="6" t="s">
        <v>97</v>
      </c>
      <c r="B1234" s="13" t="s">
        <v>326</v>
      </c>
      <c r="C1234" s="38" t="s">
        <v>327</v>
      </c>
      <c r="D1234" s="15">
        <v>16.0</v>
      </c>
      <c r="E1234" s="10">
        <f t="shared" si="2"/>
        <v>800</v>
      </c>
      <c r="F1234" s="10" t="str">
        <f t="shared" si="3"/>
        <v>16 completed tickets</v>
      </c>
    </row>
    <row r="1235" hidden="1">
      <c r="A1235" s="6" t="s">
        <v>97</v>
      </c>
      <c r="B1235" s="7" t="s">
        <v>260</v>
      </c>
      <c r="C1235" s="38" t="s">
        <v>261</v>
      </c>
      <c r="D1235" s="15">
        <v>12.0</v>
      </c>
      <c r="E1235" s="10">
        <f t="shared" si="2"/>
        <v>600</v>
      </c>
      <c r="F1235" s="10" t="str">
        <f t="shared" si="3"/>
        <v>12 completed tickets</v>
      </c>
    </row>
    <row r="1236" hidden="1">
      <c r="A1236" s="6" t="s">
        <v>98</v>
      </c>
      <c r="B1236" s="7" t="s">
        <v>160</v>
      </c>
      <c r="C1236" s="38" t="s">
        <v>140</v>
      </c>
      <c r="D1236" s="15">
        <v>20.0</v>
      </c>
      <c r="E1236" s="10">
        <f t="shared" si="2"/>
        <v>1000</v>
      </c>
      <c r="F1236" s="10" t="str">
        <f t="shared" si="3"/>
        <v>20 completed tickets</v>
      </c>
    </row>
    <row r="1237" hidden="1">
      <c r="A1237" s="6" t="s">
        <v>98</v>
      </c>
      <c r="B1237" s="7" t="s">
        <v>161</v>
      </c>
      <c r="C1237" s="38" t="s">
        <v>152</v>
      </c>
      <c r="D1237" s="15">
        <v>28.0</v>
      </c>
      <c r="E1237" s="10">
        <f t="shared" si="2"/>
        <v>1400</v>
      </c>
      <c r="F1237" s="10" t="str">
        <f t="shared" si="3"/>
        <v>28 completed tickets</v>
      </c>
    </row>
    <row r="1238" hidden="1">
      <c r="A1238" s="6" t="s">
        <v>98</v>
      </c>
      <c r="B1238" s="7" t="s">
        <v>162</v>
      </c>
      <c r="C1238" s="38" t="s">
        <v>163</v>
      </c>
      <c r="D1238" s="15">
        <v>37.0</v>
      </c>
      <c r="E1238" s="10">
        <f t="shared" si="2"/>
        <v>1850</v>
      </c>
      <c r="F1238" s="10" t="str">
        <f t="shared" si="3"/>
        <v>37 completed tickets</v>
      </c>
    </row>
    <row r="1239" hidden="1">
      <c r="A1239" s="6" t="s">
        <v>98</v>
      </c>
      <c r="B1239" s="7" t="s">
        <v>164</v>
      </c>
      <c r="C1239" s="38" t="s">
        <v>158</v>
      </c>
      <c r="D1239" s="15">
        <v>41.0</v>
      </c>
      <c r="E1239" s="10">
        <f t="shared" si="2"/>
        <v>2050</v>
      </c>
      <c r="F1239" s="10" t="str">
        <f t="shared" si="3"/>
        <v>41 completed tickets</v>
      </c>
    </row>
    <row r="1240" hidden="1">
      <c r="A1240" s="6" t="s">
        <v>98</v>
      </c>
      <c r="B1240" s="7" t="s">
        <v>165</v>
      </c>
      <c r="C1240" s="38" t="s">
        <v>166</v>
      </c>
      <c r="D1240" s="15">
        <v>41.0</v>
      </c>
      <c r="E1240" s="10">
        <f t="shared" si="2"/>
        <v>2050</v>
      </c>
      <c r="F1240" s="10" t="str">
        <f t="shared" si="3"/>
        <v>41 completed tickets</v>
      </c>
    </row>
    <row r="1241" hidden="1">
      <c r="A1241" s="6" t="s">
        <v>98</v>
      </c>
      <c r="B1241" s="7" t="s">
        <v>167</v>
      </c>
      <c r="C1241" s="38" t="s">
        <v>157</v>
      </c>
      <c r="D1241" s="15">
        <v>18.0</v>
      </c>
      <c r="E1241" s="10">
        <f t="shared" si="2"/>
        <v>900</v>
      </c>
      <c r="F1241" s="10" t="str">
        <f t="shared" si="3"/>
        <v>18 completed tickets</v>
      </c>
    </row>
    <row r="1242" hidden="1">
      <c r="A1242" s="6" t="s">
        <v>98</v>
      </c>
      <c r="B1242" s="7" t="s">
        <v>168</v>
      </c>
      <c r="C1242" s="38" t="s">
        <v>169</v>
      </c>
      <c r="D1242" s="15">
        <v>19.0</v>
      </c>
      <c r="E1242" s="10">
        <f t="shared" si="2"/>
        <v>950</v>
      </c>
      <c r="F1242" s="10" t="str">
        <f t="shared" si="3"/>
        <v>19 completed tickets</v>
      </c>
    </row>
    <row r="1243" hidden="1">
      <c r="A1243" s="6" t="s">
        <v>98</v>
      </c>
      <c r="B1243" s="7" t="s">
        <v>170</v>
      </c>
      <c r="C1243" s="38" t="s">
        <v>171</v>
      </c>
      <c r="D1243" s="15">
        <v>7.0</v>
      </c>
      <c r="E1243" s="10">
        <f t="shared" si="2"/>
        <v>350</v>
      </c>
      <c r="F1243" s="10" t="str">
        <f t="shared" si="3"/>
        <v>7 completed tickets</v>
      </c>
    </row>
    <row r="1244" hidden="1">
      <c r="A1244" s="6" t="s">
        <v>98</v>
      </c>
      <c r="B1244" s="7" t="s">
        <v>295</v>
      </c>
      <c r="C1244" s="38" t="s">
        <v>296</v>
      </c>
      <c r="D1244" s="15">
        <v>35.0</v>
      </c>
      <c r="E1244" s="10">
        <f t="shared" si="2"/>
        <v>1750</v>
      </c>
      <c r="F1244" s="10" t="str">
        <f t="shared" si="3"/>
        <v>35 completed tickets</v>
      </c>
    </row>
    <row r="1245" hidden="1">
      <c r="A1245" s="6" t="s">
        <v>98</v>
      </c>
      <c r="B1245" s="7" t="s">
        <v>172</v>
      </c>
      <c r="C1245" s="38" t="s">
        <v>173</v>
      </c>
      <c r="D1245" s="15">
        <v>25.0</v>
      </c>
      <c r="E1245" s="10">
        <f t="shared" si="2"/>
        <v>1250</v>
      </c>
      <c r="F1245" s="10" t="str">
        <f t="shared" si="3"/>
        <v>25 completed tickets</v>
      </c>
    </row>
    <row r="1246" hidden="1">
      <c r="A1246" s="6" t="s">
        <v>98</v>
      </c>
      <c r="B1246" s="7" t="s">
        <v>322</v>
      </c>
      <c r="C1246" s="38" t="s">
        <v>323</v>
      </c>
      <c r="D1246" s="15">
        <v>37.0</v>
      </c>
      <c r="E1246" s="10">
        <f t="shared" si="2"/>
        <v>1850</v>
      </c>
      <c r="F1246" s="10" t="str">
        <f t="shared" si="3"/>
        <v>37 completed tickets</v>
      </c>
    </row>
    <row r="1247" hidden="1">
      <c r="A1247" s="6" t="s">
        <v>98</v>
      </c>
      <c r="B1247" s="7" t="s">
        <v>297</v>
      </c>
      <c r="C1247" s="38" t="s">
        <v>153</v>
      </c>
      <c r="D1247" s="15">
        <v>27.0</v>
      </c>
      <c r="E1247" s="10">
        <f t="shared" si="2"/>
        <v>1350</v>
      </c>
      <c r="F1247" s="10" t="str">
        <f t="shared" si="3"/>
        <v>27 completed tickets</v>
      </c>
    </row>
    <row r="1248" hidden="1">
      <c r="A1248" s="6" t="s">
        <v>98</v>
      </c>
      <c r="B1248" s="7" t="s">
        <v>174</v>
      </c>
      <c r="C1248" s="38" t="s">
        <v>175</v>
      </c>
      <c r="D1248" s="15">
        <v>36.0</v>
      </c>
      <c r="E1248" s="10">
        <f t="shared" si="2"/>
        <v>1800</v>
      </c>
      <c r="F1248" s="10" t="str">
        <f t="shared" si="3"/>
        <v>36 completed tickets</v>
      </c>
    </row>
    <row r="1249" hidden="1">
      <c r="A1249" s="6" t="s">
        <v>98</v>
      </c>
      <c r="B1249" s="7" t="s">
        <v>176</v>
      </c>
      <c r="C1249" s="38" t="s">
        <v>130</v>
      </c>
      <c r="D1249" s="15">
        <v>41.0</v>
      </c>
      <c r="E1249" s="10">
        <f t="shared" si="2"/>
        <v>2050</v>
      </c>
      <c r="F1249" s="10" t="str">
        <f t="shared" si="3"/>
        <v>41 completed tickets</v>
      </c>
    </row>
    <row r="1250" hidden="1">
      <c r="A1250" s="6" t="s">
        <v>98</v>
      </c>
      <c r="B1250" s="7" t="s">
        <v>252</v>
      </c>
      <c r="C1250" s="38" t="s">
        <v>139</v>
      </c>
      <c r="D1250" s="15">
        <v>30.0</v>
      </c>
      <c r="E1250" s="10">
        <f t="shared" si="2"/>
        <v>1500</v>
      </c>
      <c r="F1250" s="10" t="str">
        <f t="shared" si="3"/>
        <v>30 completed tickets</v>
      </c>
    </row>
    <row r="1251" hidden="1">
      <c r="A1251" s="6" t="s">
        <v>98</v>
      </c>
      <c r="B1251" s="7" t="s">
        <v>177</v>
      </c>
      <c r="C1251" s="38" t="s">
        <v>144</v>
      </c>
      <c r="D1251" s="15">
        <v>45.0</v>
      </c>
      <c r="E1251" s="10">
        <f t="shared" si="2"/>
        <v>2250</v>
      </c>
      <c r="F1251" s="10" t="str">
        <f t="shared" si="3"/>
        <v>45 completed tickets</v>
      </c>
    </row>
    <row r="1252" hidden="1">
      <c r="A1252" s="6" t="s">
        <v>98</v>
      </c>
      <c r="B1252" s="7" t="s">
        <v>270</v>
      </c>
      <c r="C1252" s="38" t="s">
        <v>126</v>
      </c>
      <c r="D1252" s="15">
        <v>26.0</v>
      </c>
      <c r="E1252" s="10">
        <f t="shared" si="2"/>
        <v>1300</v>
      </c>
      <c r="F1252" s="10" t="str">
        <f t="shared" si="3"/>
        <v>26 completed tickets</v>
      </c>
    </row>
    <row r="1253" hidden="1">
      <c r="A1253" s="6" t="s">
        <v>98</v>
      </c>
      <c r="B1253" s="7" t="s">
        <v>178</v>
      </c>
      <c r="C1253" s="38" t="s">
        <v>179</v>
      </c>
      <c r="D1253" s="15">
        <v>36.0</v>
      </c>
      <c r="E1253" s="10">
        <f t="shared" si="2"/>
        <v>1800</v>
      </c>
      <c r="F1253" s="10" t="str">
        <f t="shared" si="3"/>
        <v>36 completed tickets</v>
      </c>
    </row>
    <row r="1254" hidden="1">
      <c r="A1254" s="6" t="s">
        <v>98</v>
      </c>
      <c r="B1254" s="7" t="s">
        <v>180</v>
      </c>
      <c r="C1254" s="38" t="s">
        <v>181</v>
      </c>
      <c r="D1254" s="15">
        <v>56.0</v>
      </c>
      <c r="E1254" s="10">
        <f t="shared" si="2"/>
        <v>2800</v>
      </c>
      <c r="F1254" s="10" t="str">
        <f t="shared" si="3"/>
        <v>56 completed tickets</v>
      </c>
    </row>
    <row r="1255" hidden="1">
      <c r="A1255" s="6" t="s">
        <v>98</v>
      </c>
      <c r="B1255" s="7" t="s">
        <v>236</v>
      </c>
      <c r="C1255" s="38" t="s">
        <v>159</v>
      </c>
      <c r="D1255" s="15">
        <v>26.0</v>
      </c>
      <c r="E1255" s="10">
        <f t="shared" si="2"/>
        <v>1300</v>
      </c>
      <c r="F1255" s="10" t="str">
        <f t="shared" si="3"/>
        <v>26 completed tickets</v>
      </c>
    </row>
    <row r="1256" hidden="1">
      <c r="A1256" s="6" t="s">
        <v>98</v>
      </c>
      <c r="B1256" s="7" t="s">
        <v>182</v>
      </c>
      <c r="C1256" s="38" t="s">
        <v>183</v>
      </c>
      <c r="D1256" s="15">
        <v>32.0</v>
      </c>
      <c r="E1256" s="10">
        <f t="shared" si="2"/>
        <v>1600</v>
      </c>
      <c r="F1256" s="10" t="str">
        <f t="shared" si="3"/>
        <v>32 completed tickets</v>
      </c>
    </row>
    <row r="1257" hidden="1">
      <c r="A1257" s="6" t="s">
        <v>98</v>
      </c>
      <c r="B1257" s="7" t="s">
        <v>184</v>
      </c>
      <c r="C1257" s="38" t="s">
        <v>185</v>
      </c>
      <c r="D1257" s="15">
        <v>25.0</v>
      </c>
      <c r="E1257" s="10">
        <f t="shared" si="2"/>
        <v>1250</v>
      </c>
      <c r="F1257" s="10" t="str">
        <f t="shared" si="3"/>
        <v>25 completed tickets</v>
      </c>
    </row>
    <row r="1258" hidden="1">
      <c r="A1258" s="6" t="s">
        <v>98</v>
      </c>
      <c r="B1258" s="7" t="s">
        <v>212</v>
      </c>
      <c r="C1258" s="38" t="s">
        <v>213</v>
      </c>
      <c r="D1258" s="15">
        <v>20.0</v>
      </c>
      <c r="E1258" s="10">
        <f t="shared" si="2"/>
        <v>1000</v>
      </c>
      <c r="F1258" s="10" t="str">
        <f t="shared" si="3"/>
        <v>20 completed tickets</v>
      </c>
    </row>
    <row r="1259" hidden="1">
      <c r="A1259" s="6" t="s">
        <v>98</v>
      </c>
      <c r="B1259" s="7" t="s">
        <v>186</v>
      </c>
      <c r="C1259" s="38" t="s">
        <v>187</v>
      </c>
      <c r="D1259" s="15">
        <v>36.0</v>
      </c>
      <c r="E1259" s="10">
        <f t="shared" si="2"/>
        <v>1800</v>
      </c>
      <c r="F1259" s="10" t="str">
        <f t="shared" si="3"/>
        <v>36 completed tickets</v>
      </c>
    </row>
    <row r="1260" hidden="1">
      <c r="A1260" s="6" t="s">
        <v>98</v>
      </c>
      <c r="B1260" s="7" t="s">
        <v>188</v>
      </c>
      <c r="C1260" s="38" t="s">
        <v>189</v>
      </c>
      <c r="D1260" s="15">
        <v>19.0</v>
      </c>
      <c r="E1260" s="10">
        <f t="shared" si="2"/>
        <v>950</v>
      </c>
      <c r="F1260" s="10" t="str">
        <f t="shared" si="3"/>
        <v>19 completed tickets</v>
      </c>
    </row>
    <row r="1261" hidden="1">
      <c r="A1261" s="6" t="s">
        <v>98</v>
      </c>
      <c r="B1261" s="7" t="s">
        <v>190</v>
      </c>
      <c r="C1261" s="38" t="s">
        <v>191</v>
      </c>
      <c r="D1261" s="15">
        <v>23.0</v>
      </c>
      <c r="E1261" s="10">
        <f t="shared" si="2"/>
        <v>1150</v>
      </c>
      <c r="F1261" s="10" t="str">
        <f t="shared" si="3"/>
        <v>23 completed tickets</v>
      </c>
    </row>
    <row r="1262" hidden="1">
      <c r="A1262" s="6" t="s">
        <v>98</v>
      </c>
      <c r="B1262" s="7" t="s">
        <v>192</v>
      </c>
      <c r="C1262" s="38" t="s">
        <v>193</v>
      </c>
      <c r="D1262" s="15">
        <v>21.0</v>
      </c>
      <c r="E1262" s="10">
        <f t="shared" si="2"/>
        <v>1050</v>
      </c>
      <c r="F1262" s="10" t="str">
        <f t="shared" si="3"/>
        <v>21 completed tickets</v>
      </c>
    </row>
    <row r="1263" hidden="1">
      <c r="A1263" s="6" t="s">
        <v>98</v>
      </c>
      <c r="B1263" s="7" t="s">
        <v>194</v>
      </c>
      <c r="C1263" s="38" t="s">
        <v>195</v>
      </c>
      <c r="D1263" s="15">
        <v>10.0</v>
      </c>
      <c r="E1263" s="10">
        <f t="shared" si="2"/>
        <v>500</v>
      </c>
      <c r="F1263" s="10" t="str">
        <f t="shared" si="3"/>
        <v>10 completed tickets</v>
      </c>
    </row>
    <row r="1264" hidden="1">
      <c r="A1264" s="6" t="s">
        <v>98</v>
      </c>
      <c r="B1264" s="7" t="s">
        <v>253</v>
      </c>
      <c r="C1264" s="38" t="s">
        <v>254</v>
      </c>
      <c r="D1264" s="15">
        <v>36.0</v>
      </c>
      <c r="E1264" s="10">
        <f t="shared" si="2"/>
        <v>1800</v>
      </c>
      <c r="F1264" s="10" t="str">
        <f t="shared" si="3"/>
        <v>36 completed tickets</v>
      </c>
    </row>
    <row r="1265" hidden="1">
      <c r="A1265" s="6" t="s">
        <v>98</v>
      </c>
      <c r="B1265" s="13" t="s">
        <v>317</v>
      </c>
      <c r="C1265" s="38" t="s">
        <v>329</v>
      </c>
      <c r="D1265" s="15">
        <v>4.0</v>
      </c>
      <c r="E1265" s="10">
        <f t="shared" si="2"/>
        <v>200</v>
      </c>
      <c r="F1265" s="10" t="str">
        <f t="shared" si="3"/>
        <v>4 completed tickets</v>
      </c>
    </row>
    <row r="1266" hidden="1">
      <c r="A1266" s="6" t="s">
        <v>98</v>
      </c>
      <c r="B1266" s="13" t="s">
        <v>309</v>
      </c>
      <c r="C1266" s="38" t="s">
        <v>310</v>
      </c>
      <c r="D1266" s="15">
        <v>6.0</v>
      </c>
      <c r="E1266" s="10">
        <f t="shared" si="2"/>
        <v>300</v>
      </c>
      <c r="F1266" s="10" t="str">
        <f t="shared" si="3"/>
        <v>6 completed tickets</v>
      </c>
    </row>
    <row r="1267" hidden="1">
      <c r="A1267" s="6" t="s">
        <v>98</v>
      </c>
      <c r="B1267" s="13" t="s">
        <v>324</v>
      </c>
      <c r="C1267" s="38" t="s">
        <v>328</v>
      </c>
      <c r="D1267" s="15">
        <v>6.0</v>
      </c>
      <c r="E1267" s="10">
        <f t="shared" si="2"/>
        <v>300</v>
      </c>
      <c r="F1267" s="10" t="str">
        <f t="shared" si="3"/>
        <v>6 completed tickets</v>
      </c>
    </row>
    <row r="1268" hidden="1">
      <c r="A1268" s="6" t="s">
        <v>98</v>
      </c>
      <c r="B1268" s="13" t="s">
        <v>326</v>
      </c>
      <c r="C1268" s="38" t="s">
        <v>327</v>
      </c>
      <c r="D1268" s="15">
        <v>4.0</v>
      </c>
      <c r="E1268" s="10">
        <f t="shared" si="2"/>
        <v>200</v>
      </c>
      <c r="F1268" s="10" t="str">
        <f t="shared" si="3"/>
        <v>4 completed tickets</v>
      </c>
    </row>
    <row r="1269" hidden="1">
      <c r="A1269" s="6" t="s">
        <v>98</v>
      </c>
      <c r="B1269" s="7" t="s">
        <v>260</v>
      </c>
      <c r="C1269" s="38" t="s">
        <v>261</v>
      </c>
      <c r="D1269" s="15">
        <v>10.0</v>
      </c>
      <c r="E1269" s="10">
        <f t="shared" si="2"/>
        <v>500</v>
      </c>
      <c r="F1269" s="10" t="str">
        <f t="shared" si="3"/>
        <v>10 completed tickets</v>
      </c>
    </row>
    <row r="1270" hidden="1">
      <c r="A1270" s="6" t="s">
        <v>99</v>
      </c>
      <c r="B1270" s="7" t="s">
        <v>160</v>
      </c>
      <c r="C1270" s="38" t="s">
        <v>140</v>
      </c>
      <c r="D1270" s="15">
        <v>36.0</v>
      </c>
      <c r="E1270" s="10">
        <f t="shared" si="2"/>
        <v>1800</v>
      </c>
      <c r="F1270" s="10" t="str">
        <f t="shared" si="3"/>
        <v>36 completed tickets</v>
      </c>
    </row>
    <row r="1271" hidden="1">
      <c r="A1271" s="6" t="s">
        <v>99</v>
      </c>
      <c r="B1271" s="7" t="s">
        <v>161</v>
      </c>
      <c r="C1271" s="38" t="s">
        <v>152</v>
      </c>
      <c r="D1271" s="15">
        <v>34.0</v>
      </c>
      <c r="E1271" s="10">
        <f t="shared" si="2"/>
        <v>1700</v>
      </c>
      <c r="F1271" s="10" t="str">
        <f t="shared" si="3"/>
        <v>34 completed tickets</v>
      </c>
    </row>
    <row r="1272" hidden="1">
      <c r="A1272" s="6" t="s">
        <v>99</v>
      </c>
      <c r="B1272" s="7" t="s">
        <v>162</v>
      </c>
      <c r="C1272" s="38" t="s">
        <v>163</v>
      </c>
      <c r="D1272" s="15">
        <v>34.0</v>
      </c>
      <c r="E1272" s="10">
        <f t="shared" si="2"/>
        <v>1700</v>
      </c>
      <c r="F1272" s="10" t="str">
        <f t="shared" si="3"/>
        <v>34 completed tickets</v>
      </c>
    </row>
    <row r="1273" hidden="1">
      <c r="A1273" s="6" t="s">
        <v>99</v>
      </c>
      <c r="B1273" s="7" t="s">
        <v>164</v>
      </c>
      <c r="C1273" s="38" t="s">
        <v>158</v>
      </c>
      <c r="D1273" s="15">
        <v>39.0</v>
      </c>
      <c r="E1273" s="10">
        <f t="shared" si="2"/>
        <v>1950</v>
      </c>
      <c r="F1273" s="10" t="str">
        <f t="shared" si="3"/>
        <v>39 completed tickets</v>
      </c>
    </row>
    <row r="1274" hidden="1">
      <c r="A1274" s="6" t="s">
        <v>99</v>
      </c>
      <c r="B1274" s="7" t="s">
        <v>165</v>
      </c>
      <c r="C1274" s="38" t="s">
        <v>166</v>
      </c>
      <c r="D1274" s="15">
        <v>33.0</v>
      </c>
      <c r="E1274" s="10">
        <f t="shared" si="2"/>
        <v>1650</v>
      </c>
      <c r="F1274" s="10" t="str">
        <f t="shared" si="3"/>
        <v>33 completed tickets</v>
      </c>
    </row>
    <row r="1275" hidden="1">
      <c r="A1275" s="6" t="s">
        <v>99</v>
      </c>
      <c r="B1275" s="7" t="s">
        <v>167</v>
      </c>
      <c r="C1275" s="38" t="s">
        <v>157</v>
      </c>
      <c r="D1275" s="15">
        <v>30.0</v>
      </c>
      <c r="E1275" s="10">
        <f t="shared" si="2"/>
        <v>1500</v>
      </c>
      <c r="F1275" s="10" t="str">
        <f t="shared" si="3"/>
        <v>30 completed tickets</v>
      </c>
    </row>
    <row r="1276" hidden="1">
      <c r="A1276" s="6" t="s">
        <v>99</v>
      </c>
      <c r="B1276" s="7" t="s">
        <v>168</v>
      </c>
      <c r="C1276" s="38" t="s">
        <v>169</v>
      </c>
      <c r="D1276" s="15">
        <v>44.0</v>
      </c>
      <c r="E1276" s="10">
        <f t="shared" si="2"/>
        <v>2200</v>
      </c>
      <c r="F1276" s="10" t="str">
        <f t="shared" si="3"/>
        <v>44 completed tickets</v>
      </c>
    </row>
    <row r="1277" hidden="1">
      <c r="A1277" s="6" t="s">
        <v>99</v>
      </c>
      <c r="B1277" s="7" t="s">
        <v>170</v>
      </c>
      <c r="C1277" s="38" t="s">
        <v>171</v>
      </c>
      <c r="D1277" s="15">
        <v>13.0</v>
      </c>
      <c r="E1277" s="10">
        <f t="shared" si="2"/>
        <v>650</v>
      </c>
      <c r="F1277" s="10" t="str">
        <f t="shared" si="3"/>
        <v>13 completed tickets</v>
      </c>
    </row>
    <row r="1278" hidden="1">
      <c r="A1278" s="6" t="s">
        <v>99</v>
      </c>
      <c r="B1278" s="7" t="s">
        <v>295</v>
      </c>
      <c r="C1278" s="38" t="s">
        <v>296</v>
      </c>
      <c r="D1278" s="15">
        <v>36.0</v>
      </c>
      <c r="E1278" s="10">
        <f t="shared" si="2"/>
        <v>1800</v>
      </c>
      <c r="F1278" s="10" t="str">
        <f t="shared" si="3"/>
        <v>36 completed tickets</v>
      </c>
    </row>
    <row r="1279" hidden="1">
      <c r="A1279" s="6" t="s">
        <v>99</v>
      </c>
      <c r="B1279" s="7" t="s">
        <v>172</v>
      </c>
      <c r="C1279" s="38" t="s">
        <v>173</v>
      </c>
      <c r="D1279" s="15">
        <v>17.0</v>
      </c>
      <c r="E1279" s="10">
        <f t="shared" si="2"/>
        <v>850</v>
      </c>
      <c r="F1279" s="10" t="str">
        <f t="shared" si="3"/>
        <v>17 completed tickets</v>
      </c>
    </row>
    <row r="1280" hidden="1">
      <c r="A1280" s="6" t="s">
        <v>99</v>
      </c>
      <c r="B1280" s="7" t="s">
        <v>322</v>
      </c>
      <c r="C1280" s="38" t="s">
        <v>323</v>
      </c>
      <c r="D1280" s="15">
        <v>31.0</v>
      </c>
      <c r="E1280" s="10">
        <f t="shared" si="2"/>
        <v>1550</v>
      </c>
      <c r="F1280" s="10" t="str">
        <f t="shared" si="3"/>
        <v>31 completed tickets</v>
      </c>
    </row>
    <row r="1281" hidden="1">
      <c r="A1281" s="6" t="s">
        <v>99</v>
      </c>
      <c r="B1281" s="7" t="s">
        <v>297</v>
      </c>
      <c r="C1281" s="38" t="s">
        <v>153</v>
      </c>
      <c r="D1281" s="15">
        <v>24.0</v>
      </c>
      <c r="E1281" s="10">
        <f t="shared" si="2"/>
        <v>1200</v>
      </c>
      <c r="F1281" s="10" t="str">
        <f t="shared" si="3"/>
        <v>24 completed tickets</v>
      </c>
    </row>
    <row r="1282" hidden="1">
      <c r="A1282" s="6" t="s">
        <v>99</v>
      </c>
      <c r="B1282" s="7" t="s">
        <v>174</v>
      </c>
      <c r="C1282" s="38" t="s">
        <v>175</v>
      </c>
      <c r="D1282" s="15">
        <v>31.0</v>
      </c>
      <c r="E1282" s="10">
        <f t="shared" si="2"/>
        <v>1550</v>
      </c>
      <c r="F1282" s="10" t="str">
        <f t="shared" si="3"/>
        <v>31 completed tickets</v>
      </c>
    </row>
    <row r="1283" hidden="1">
      <c r="A1283" s="6" t="s">
        <v>99</v>
      </c>
      <c r="B1283" s="7" t="s">
        <v>176</v>
      </c>
      <c r="C1283" s="38" t="s">
        <v>130</v>
      </c>
      <c r="D1283" s="15">
        <v>20.0</v>
      </c>
      <c r="E1283" s="10">
        <f t="shared" si="2"/>
        <v>1000</v>
      </c>
      <c r="F1283" s="10" t="str">
        <f t="shared" si="3"/>
        <v>20 completed tickets</v>
      </c>
    </row>
    <row r="1284" hidden="1">
      <c r="A1284" s="6" t="s">
        <v>99</v>
      </c>
      <c r="B1284" s="7" t="s">
        <v>252</v>
      </c>
      <c r="C1284" s="38" t="s">
        <v>139</v>
      </c>
      <c r="D1284" s="15">
        <v>28.0</v>
      </c>
      <c r="E1284" s="10">
        <f t="shared" si="2"/>
        <v>1400</v>
      </c>
      <c r="F1284" s="10" t="str">
        <f t="shared" si="3"/>
        <v>28 completed tickets</v>
      </c>
    </row>
    <row r="1285" hidden="1">
      <c r="A1285" s="6" t="s">
        <v>99</v>
      </c>
      <c r="B1285" s="7" t="s">
        <v>177</v>
      </c>
      <c r="C1285" s="38" t="s">
        <v>144</v>
      </c>
      <c r="D1285" s="15">
        <v>50.0</v>
      </c>
      <c r="E1285" s="10">
        <f t="shared" si="2"/>
        <v>2500</v>
      </c>
      <c r="F1285" s="10" t="str">
        <f t="shared" si="3"/>
        <v>50 completed tickets</v>
      </c>
    </row>
    <row r="1286" hidden="1">
      <c r="A1286" s="6" t="s">
        <v>99</v>
      </c>
      <c r="B1286" s="7" t="s">
        <v>270</v>
      </c>
      <c r="C1286" s="38" t="s">
        <v>126</v>
      </c>
      <c r="D1286" s="15">
        <v>26.0</v>
      </c>
      <c r="E1286" s="10">
        <f t="shared" si="2"/>
        <v>1300</v>
      </c>
      <c r="F1286" s="10" t="str">
        <f t="shared" si="3"/>
        <v>26 completed tickets</v>
      </c>
    </row>
    <row r="1287" hidden="1">
      <c r="A1287" s="6" t="s">
        <v>99</v>
      </c>
      <c r="B1287" s="7" t="s">
        <v>178</v>
      </c>
      <c r="C1287" s="38" t="s">
        <v>179</v>
      </c>
      <c r="D1287" s="15">
        <v>26.0</v>
      </c>
      <c r="E1287" s="10">
        <f t="shared" si="2"/>
        <v>1300</v>
      </c>
      <c r="F1287" s="10" t="str">
        <f t="shared" si="3"/>
        <v>26 completed tickets</v>
      </c>
    </row>
    <row r="1288" hidden="1">
      <c r="A1288" s="6" t="s">
        <v>99</v>
      </c>
      <c r="B1288" s="7" t="s">
        <v>180</v>
      </c>
      <c r="C1288" s="38" t="s">
        <v>181</v>
      </c>
      <c r="D1288" s="15">
        <v>62.0</v>
      </c>
      <c r="E1288" s="10">
        <f t="shared" si="2"/>
        <v>3100</v>
      </c>
      <c r="F1288" s="10" t="str">
        <f t="shared" si="3"/>
        <v>62 completed tickets</v>
      </c>
    </row>
    <row r="1289" hidden="1">
      <c r="A1289" s="6" t="s">
        <v>99</v>
      </c>
      <c r="B1289" s="7" t="s">
        <v>236</v>
      </c>
      <c r="C1289" s="38" t="s">
        <v>159</v>
      </c>
      <c r="D1289" s="15">
        <v>24.0</v>
      </c>
      <c r="E1289" s="10">
        <f t="shared" si="2"/>
        <v>1200</v>
      </c>
      <c r="F1289" s="10" t="str">
        <f t="shared" si="3"/>
        <v>24 completed tickets</v>
      </c>
    </row>
    <row r="1290" hidden="1">
      <c r="A1290" s="6" t="s">
        <v>99</v>
      </c>
      <c r="B1290" s="7" t="s">
        <v>182</v>
      </c>
      <c r="C1290" s="38" t="s">
        <v>183</v>
      </c>
      <c r="D1290" s="15">
        <v>20.0</v>
      </c>
      <c r="E1290" s="10">
        <f t="shared" si="2"/>
        <v>1000</v>
      </c>
      <c r="F1290" s="10" t="str">
        <f t="shared" si="3"/>
        <v>20 completed tickets</v>
      </c>
    </row>
    <row r="1291" hidden="1">
      <c r="A1291" s="6" t="s">
        <v>99</v>
      </c>
      <c r="B1291" s="7" t="s">
        <v>184</v>
      </c>
      <c r="C1291" s="38" t="s">
        <v>185</v>
      </c>
      <c r="D1291" s="15">
        <v>24.0</v>
      </c>
      <c r="E1291" s="10">
        <f t="shared" si="2"/>
        <v>1200</v>
      </c>
      <c r="F1291" s="10" t="str">
        <f t="shared" si="3"/>
        <v>24 completed tickets</v>
      </c>
    </row>
    <row r="1292" hidden="1">
      <c r="A1292" s="6" t="s">
        <v>99</v>
      </c>
      <c r="B1292" s="7" t="s">
        <v>212</v>
      </c>
      <c r="C1292" s="38" t="s">
        <v>213</v>
      </c>
      <c r="D1292" s="15">
        <v>25.0</v>
      </c>
      <c r="E1292" s="10">
        <f t="shared" si="2"/>
        <v>1250</v>
      </c>
      <c r="F1292" s="10" t="str">
        <f t="shared" si="3"/>
        <v>25 completed tickets</v>
      </c>
    </row>
    <row r="1293" hidden="1">
      <c r="A1293" s="6" t="s">
        <v>99</v>
      </c>
      <c r="B1293" s="7" t="s">
        <v>186</v>
      </c>
      <c r="C1293" s="38" t="s">
        <v>187</v>
      </c>
      <c r="D1293" s="15">
        <v>44.0</v>
      </c>
      <c r="E1293" s="10">
        <f t="shared" si="2"/>
        <v>2200</v>
      </c>
      <c r="F1293" s="10" t="str">
        <f t="shared" si="3"/>
        <v>44 completed tickets</v>
      </c>
    </row>
    <row r="1294" hidden="1">
      <c r="A1294" s="6" t="s">
        <v>99</v>
      </c>
      <c r="B1294" s="7" t="s">
        <v>188</v>
      </c>
      <c r="C1294" s="38" t="s">
        <v>189</v>
      </c>
      <c r="D1294" s="15">
        <v>22.0</v>
      </c>
      <c r="E1294" s="10">
        <f t="shared" si="2"/>
        <v>1100</v>
      </c>
      <c r="F1294" s="10" t="str">
        <f t="shared" si="3"/>
        <v>22 completed tickets</v>
      </c>
    </row>
    <row r="1295" hidden="1">
      <c r="A1295" s="6" t="s">
        <v>99</v>
      </c>
      <c r="B1295" s="7" t="s">
        <v>190</v>
      </c>
      <c r="C1295" s="38" t="s">
        <v>191</v>
      </c>
      <c r="D1295" s="15">
        <v>17.0</v>
      </c>
      <c r="E1295" s="10">
        <f t="shared" si="2"/>
        <v>850</v>
      </c>
      <c r="F1295" s="10" t="str">
        <f t="shared" si="3"/>
        <v>17 completed tickets</v>
      </c>
    </row>
    <row r="1296" hidden="1">
      <c r="A1296" s="6" t="s">
        <v>99</v>
      </c>
      <c r="B1296" s="7" t="s">
        <v>192</v>
      </c>
      <c r="C1296" s="38" t="s">
        <v>193</v>
      </c>
      <c r="D1296" s="15">
        <v>26.0</v>
      </c>
      <c r="E1296" s="10">
        <f t="shared" si="2"/>
        <v>1300</v>
      </c>
      <c r="F1296" s="10" t="str">
        <f t="shared" si="3"/>
        <v>26 completed tickets</v>
      </c>
    </row>
    <row r="1297" hidden="1">
      <c r="A1297" s="6" t="s">
        <v>99</v>
      </c>
      <c r="B1297" s="7" t="s">
        <v>194</v>
      </c>
      <c r="C1297" s="38" t="s">
        <v>195</v>
      </c>
      <c r="D1297" s="15">
        <v>13.0</v>
      </c>
      <c r="E1297" s="10">
        <f t="shared" si="2"/>
        <v>650</v>
      </c>
      <c r="F1297" s="10" t="str">
        <f t="shared" si="3"/>
        <v>13 completed tickets</v>
      </c>
    </row>
    <row r="1298" hidden="1">
      <c r="A1298" s="6" t="s">
        <v>99</v>
      </c>
      <c r="B1298" s="7" t="s">
        <v>253</v>
      </c>
      <c r="C1298" s="38" t="s">
        <v>254</v>
      </c>
      <c r="D1298" s="15">
        <v>16.0</v>
      </c>
      <c r="E1298" s="10">
        <f t="shared" si="2"/>
        <v>800</v>
      </c>
      <c r="F1298" s="10" t="str">
        <f t="shared" si="3"/>
        <v>16 completed tickets</v>
      </c>
    </row>
    <row r="1299" hidden="1">
      <c r="A1299" s="6" t="s">
        <v>99</v>
      </c>
      <c r="B1299" s="38" t="s">
        <v>331</v>
      </c>
      <c r="C1299" s="38" t="s">
        <v>133</v>
      </c>
      <c r="D1299" s="15">
        <v>8.0</v>
      </c>
      <c r="E1299" s="10">
        <f t="shared" si="2"/>
        <v>400</v>
      </c>
      <c r="F1299" s="10" t="str">
        <f t="shared" si="3"/>
        <v>8 completed tickets</v>
      </c>
    </row>
    <row r="1300" hidden="1">
      <c r="A1300" s="6" t="s">
        <v>99</v>
      </c>
      <c r="B1300" s="33" t="s">
        <v>260</v>
      </c>
      <c r="C1300" s="38" t="s">
        <v>261</v>
      </c>
      <c r="D1300" s="15">
        <v>10.0</v>
      </c>
      <c r="E1300" s="10">
        <f t="shared" si="2"/>
        <v>500</v>
      </c>
      <c r="F1300" s="10" t="str">
        <f t="shared" si="3"/>
        <v>10 completed tickets</v>
      </c>
    </row>
    <row r="1301" hidden="1">
      <c r="A1301" s="6" t="s">
        <v>100</v>
      </c>
      <c r="B1301" s="7" t="s">
        <v>160</v>
      </c>
      <c r="C1301" s="30" t="s">
        <v>140</v>
      </c>
      <c r="D1301" s="25">
        <v>29.0</v>
      </c>
      <c r="E1301" s="10">
        <f t="shared" si="2"/>
        <v>1450</v>
      </c>
      <c r="F1301" s="10" t="str">
        <f t="shared" si="3"/>
        <v>29 completed tickets</v>
      </c>
    </row>
    <row r="1302" hidden="1">
      <c r="A1302" s="6" t="s">
        <v>100</v>
      </c>
      <c r="B1302" s="7" t="s">
        <v>161</v>
      </c>
      <c r="C1302" s="30" t="s">
        <v>152</v>
      </c>
      <c r="D1302" s="25">
        <v>29.0</v>
      </c>
      <c r="E1302" s="10">
        <f t="shared" si="2"/>
        <v>1450</v>
      </c>
      <c r="F1302" s="10" t="str">
        <f t="shared" si="3"/>
        <v>29 completed tickets</v>
      </c>
    </row>
    <row r="1303" hidden="1">
      <c r="A1303" s="6" t="s">
        <v>100</v>
      </c>
      <c r="B1303" s="7" t="s">
        <v>162</v>
      </c>
      <c r="C1303" s="30" t="s">
        <v>163</v>
      </c>
      <c r="D1303" s="25">
        <v>37.0</v>
      </c>
      <c r="E1303" s="10">
        <f t="shared" si="2"/>
        <v>1850</v>
      </c>
      <c r="F1303" s="10" t="str">
        <f t="shared" si="3"/>
        <v>37 completed tickets</v>
      </c>
    </row>
    <row r="1304" hidden="1">
      <c r="A1304" s="6" t="s">
        <v>100</v>
      </c>
      <c r="B1304" s="7" t="s">
        <v>164</v>
      </c>
      <c r="C1304" s="30" t="s">
        <v>158</v>
      </c>
      <c r="D1304" s="25">
        <v>31.0</v>
      </c>
      <c r="E1304" s="10">
        <f t="shared" si="2"/>
        <v>1550</v>
      </c>
      <c r="F1304" s="10" t="str">
        <f t="shared" si="3"/>
        <v>31 completed tickets</v>
      </c>
    </row>
    <row r="1305" hidden="1">
      <c r="A1305" s="6" t="s">
        <v>100</v>
      </c>
      <c r="B1305" s="7" t="s">
        <v>165</v>
      </c>
      <c r="C1305" s="30" t="s">
        <v>166</v>
      </c>
      <c r="D1305" s="25">
        <v>39.0</v>
      </c>
      <c r="E1305" s="10">
        <f t="shared" si="2"/>
        <v>1950</v>
      </c>
      <c r="F1305" s="10" t="str">
        <f t="shared" si="3"/>
        <v>39 completed tickets</v>
      </c>
    </row>
    <row r="1306" hidden="1">
      <c r="A1306" s="6" t="s">
        <v>100</v>
      </c>
      <c r="B1306" s="7" t="s">
        <v>167</v>
      </c>
      <c r="C1306" s="30" t="s">
        <v>157</v>
      </c>
      <c r="D1306" s="25">
        <v>39.0</v>
      </c>
      <c r="E1306" s="10">
        <f t="shared" si="2"/>
        <v>1950</v>
      </c>
      <c r="F1306" s="10" t="str">
        <f t="shared" si="3"/>
        <v>39 completed tickets</v>
      </c>
    </row>
    <row r="1307" hidden="1">
      <c r="A1307" s="6" t="s">
        <v>100</v>
      </c>
      <c r="B1307" s="7" t="s">
        <v>168</v>
      </c>
      <c r="C1307" s="30" t="s">
        <v>169</v>
      </c>
      <c r="D1307" s="25">
        <v>66.0</v>
      </c>
      <c r="E1307" s="10">
        <f t="shared" si="2"/>
        <v>3300</v>
      </c>
      <c r="F1307" s="10" t="str">
        <f t="shared" si="3"/>
        <v>66 completed tickets</v>
      </c>
    </row>
    <row r="1308" hidden="1">
      <c r="A1308" s="6" t="s">
        <v>100</v>
      </c>
      <c r="B1308" s="7" t="s">
        <v>170</v>
      </c>
      <c r="C1308" s="30" t="s">
        <v>171</v>
      </c>
      <c r="D1308" s="25">
        <v>8.0</v>
      </c>
      <c r="E1308" s="10">
        <f t="shared" si="2"/>
        <v>400</v>
      </c>
      <c r="F1308" s="10" t="str">
        <f t="shared" si="3"/>
        <v>8 completed tickets</v>
      </c>
    </row>
    <row r="1309" hidden="1">
      <c r="A1309" s="6" t="s">
        <v>100</v>
      </c>
      <c r="B1309" s="7" t="s">
        <v>295</v>
      </c>
      <c r="C1309" s="30" t="s">
        <v>296</v>
      </c>
      <c r="D1309" s="25">
        <v>38.0</v>
      </c>
      <c r="E1309" s="10">
        <f t="shared" si="2"/>
        <v>1900</v>
      </c>
      <c r="F1309" s="10" t="str">
        <f t="shared" si="3"/>
        <v>38 completed tickets</v>
      </c>
    </row>
    <row r="1310" hidden="1">
      <c r="A1310" s="6" t="s">
        <v>100</v>
      </c>
      <c r="B1310" s="7" t="s">
        <v>172</v>
      </c>
      <c r="C1310" s="30" t="s">
        <v>173</v>
      </c>
      <c r="D1310" s="25">
        <v>33.0</v>
      </c>
      <c r="E1310" s="10">
        <f t="shared" si="2"/>
        <v>1650</v>
      </c>
      <c r="F1310" s="10" t="str">
        <f t="shared" si="3"/>
        <v>33 completed tickets</v>
      </c>
    </row>
    <row r="1311" hidden="1">
      <c r="A1311" s="6" t="s">
        <v>100</v>
      </c>
      <c r="B1311" s="7" t="s">
        <v>322</v>
      </c>
      <c r="C1311" s="30" t="s">
        <v>323</v>
      </c>
      <c r="D1311" s="25">
        <v>41.0</v>
      </c>
      <c r="E1311" s="10">
        <f t="shared" si="2"/>
        <v>2050</v>
      </c>
      <c r="F1311" s="10" t="str">
        <f t="shared" si="3"/>
        <v>41 completed tickets</v>
      </c>
    </row>
    <row r="1312" hidden="1">
      <c r="A1312" s="6" t="s">
        <v>100</v>
      </c>
      <c r="B1312" s="7" t="s">
        <v>297</v>
      </c>
      <c r="C1312" s="30" t="s">
        <v>153</v>
      </c>
      <c r="D1312" s="25">
        <v>10.0</v>
      </c>
      <c r="E1312" s="10">
        <f t="shared" si="2"/>
        <v>500</v>
      </c>
      <c r="F1312" s="10" t="str">
        <f t="shared" si="3"/>
        <v>10 completed tickets</v>
      </c>
    </row>
    <row r="1313" hidden="1">
      <c r="A1313" s="6" t="s">
        <v>100</v>
      </c>
      <c r="B1313" s="7" t="s">
        <v>174</v>
      </c>
      <c r="C1313" s="30" t="s">
        <v>175</v>
      </c>
      <c r="D1313" s="25">
        <v>27.0</v>
      </c>
      <c r="E1313" s="10">
        <f t="shared" si="2"/>
        <v>1350</v>
      </c>
      <c r="F1313" s="10" t="str">
        <f t="shared" si="3"/>
        <v>27 completed tickets</v>
      </c>
    </row>
    <row r="1314" hidden="1">
      <c r="A1314" s="6" t="s">
        <v>100</v>
      </c>
      <c r="B1314" s="7" t="s">
        <v>176</v>
      </c>
      <c r="C1314" s="30" t="s">
        <v>130</v>
      </c>
      <c r="D1314" s="25">
        <v>26.0</v>
      </c>
      <c r="E1314" s="10">
        <f t="shared" si="2"/>
        <v>1300</v>
      </c>
      <c r="F1314" s="10" t="str">
        <f t="shared" si="3"/>
        <v>26 completed tickets</v>
      </c>
    </row>
    <row r="1315" hidden="1">
      <c r="A1315" s="6" t="s">
        <v>100</v>
      </c>
      <c r="B1315" s="7" t="s">
        <v>252</v>
      </c>
      <c r="C1315" s="30" t="s">
        <v>139</v>
      </c>
      <c r="D1315" s="25">
        <v>30.0</v>
      </c>
      <c r="E1315" s="10">
        <f t="shared" si="2"/>
        <v>1500</v>
      </c>
      <c r="F1315" s="10" t="str">
        <f t="shared" si="3"/>
        <v>30 completed tickets</v>
      </c>
    </row>
    <row r="1316" hidden="1">
      <c r="A1316" s="6" t="s">
        <v>100</v>
      </c>
      <c r="B1316" s="7" t="s">
        <v>177</v>
      </c>
      <c r="C1316" s="30" t="s">
        <v>144</v>
      </c>
      <c r="D1316" s="25">
        <v>34.0</v>
      </c>
      <c r="E1316" s="10">
        <f t="shared" si="2"/>
        <v>1700</v>
      </c>
      <c r="F1316" s="10" t="str">
        <f t="shared" si="3"/>
        <v>34 completed tickets</v>
      </c>
    </row>
    <row r="1317" hidden="1">
      <c r="A1317" s="6" t="s">
        <v>100</v>
      </c>
      <c r="B1317" s="7" t="s">
        <v>270</v>
      </c>
      <c r="C1317" s="30" t="s">
        <v>126</v>
      </c>
      <c r="D1317" s="25">
        <v>14.0</v>
      </c>
      <c r="E1317" s="10">
        <f t="shared" si="2"/>
        <v>700</v>
      </c>
      <c r="F1317" s="10" t="str">
        <f t="shared" si="3"/>
        <v>14 completed tickets</v>
      </c>
    </row>
    <row r="1318" hidden="1">
      <c r="A1318" s="6" t="s">
        <v>100</v>
      </c>
      <c r="B1318" s="7" t="s">
        <v>178</v>
      </c>
      <c r="C1318" s="30" t="s">
        <v>179</v>
      </c>
      <c r="D1318" s="25">
        <v>42.0</v>
      </c>
      <c r="E1318" s="10">
        <f t="shared" si="2"/>
        <v>2100</v>
      </c>
      <c r="F1318" s="10" t="str">
        <f t="shared" si="3"/>
        <v>42 completed tickets</v>
      </c>
    </row>
    <row r="1319" hidden="1">
      <c r="A1319" s="6" t="s">
        <v>100</v>
      </c>
      <c r="B1319" s="7" t="s">
        <v>180</v>
      </c>
      <c r="C1319" s="30" t="s">
        <v>181</v>
      </c>
      <c r="D1319" s="25">
        <v>64.0</v>
      </c>
      <c r="E1319" s="10">
        <f t="shared" si="2"/>
        <v>3200</v>
      </c>
      <c r="F1319" s="10" t="str">
        <f t="shared" si="3"/>
        <v>64 completed tickets</v>
      </c>
    </row>
    <row r="1320" hidden="1">
      <c r="A1320" s="6" t="s">
        <v>100</v>
      </c>
      <c r="B1320" s="7" t="s">
        <v>236</v>
      </c>
      <c r="C1320" s="30" t="s">
        <v>159</v>
      </c>
      <c r="D1320" s="25">
        <v>18.0</v>
      </c>
      <c r="E1320" s="10">
        <f t="shared" si="2"/>
        <v>900</v>
      </c>
      <c r="F1320" s="10" t="str">
        <f t="shared" si="3"/>
        <v>18 completed tickets</v>
      </c>
    </row>
    <row r="1321" hidden="1">
      <c r="A1321" s="6" t="s">
        <v>100</v>
      </c>
      <c r="B1321" s="7" t="s">
        <v>182</v>
      </c>
      <c r="C1321" s="30" t="s">
        <v>183</v>
      </c>
      <c r="D1321" s="25">
        <v>22.0</v>
      </c>
      <c r="E1321" s="10">
        <f t="shared" si="2"/>
        <v>1100</v>
      </c>
      <c r="F1321" s="10" t="str">
        <f t="shared" si="3"/>
        <v>22 completed tickets</v>
      </c>
    </row>
    <row r="1322" hidden="1">
      <c r="A1322" s="6" t="s">
        <v>100</v>
      </c>
      <c r="B1322" s="7" t="s">
        <v>184</v>
      </c>
      <c r="C1322" s="30" t="s">
        <v>185</v>
      </c>
      <c r="D1322" s="25">
        <v>25.0</v>
      </c>
      <c r="E1322" s="10">
        <f t="shared" si="2"/>
        <v>1250</v>
      </c>
      <c r="F1322" s="10" t="str">
        <f t="shared" si="3"/>
        <v>25 completed tickets</v>
      </c>
    </row>
    <row r="1323" hidden="1">
      <c r="A1323" s="6" t="s">
        <v>100</v>
      </c>
      <c r="B1323" s="7" t="s">
        <v>212</v>
      </c>
      <c r="C1323" s="30" t="s">
        <v>213</v>
      </c>
      <c r="D1323" s="25">
        <v>25.0</v>
      </c>
      <c r="E1323" s="10">
        <f t="shared" si="2"/>
        <v>1250</v>
      </c>
      <c r="F1323" s="10" t="str">
        <f t="shared" si="3"/>
        <v>25 completed tickets</v>
      </c>
    </row>
    <row r="1324" hidden="1">
      <c r="A1324" s="6" t="s">
        <v>100</v>
      </c>
      <c r="B1324" s="7" t="s">
        <v>186</v>
      </c>
      <c r="C1324" s="30" t="s">
        <v>187</v>
      </c>
      <c r="D1324" s="25">
        <v>41.0</v>
      </c>
      <c r="E1324" s="10">
        <f t="shared" si="2"/>
        <v>2050</v>
      </c>
      <c r="F1324" s="10" t="str">
        <f t="shared" si="3"/>
        <v>41 completed tickets</v>
      </c>
    </row>
    <row r="1325" hidden="1">
      <c r="A1325" s="6" t="s">
        <v>100</v>
      </c>
      <c r="B1325" s="7" t="s">
        <v>188</v>
      </c>
      <c r="C1325" s="30" t="s">
        <v>189</v>
      </c>
      <c r="D1325" s="25">
        <v>28.0</v>
      </c>
      <c r="E1325" s="10">
        <f t="shared" si="2"/>
        <v>1400</v>
      </c>
      <c r="F1325" s="10" t="str">
        <f t="shared" si="3"/>
        <v>28 completed tickets</v>
      </c>
    </row>
    <row r="1326" hidden="1">
      <c r="A1326" s="6" t="s">
        <v>100</v>
      </c>
      <c r="B1326" s="7" t="s">
        <v>190</v>
      </c>
      <c r="C1326" s="30" t="s">
        <v>191</v>
      </c>
      <c r="D1326" s="25">
        <v>29.0</v>
      </c>
      <c r="E1326" s="10">
        <f t="shared" si="2"/>
        <v>1450</v>
      </c>
      <c r="F1326" s="10" t="str">
        <f t="shared" si="3"/>
        <v>29 completed tickets</v>
      </c>
    </row>
    <row r="1327" hidden="1">
      <c r="A1327" s="6" t="s">
        <v>100</v>
      </c>
      <c r="B1327" s="7" t="s">
        <v>192</v>
      </c>
      <c r="C1327" s="30" t="s">
        <v>193</v>
      </c>
      <c r="D1327" s="25">
        <v>25.0</v>
      </c>
      <c r="E1327" s="10">
        <f t="shared" si="2"/>
        <v>1250</v>
      </c>
      <c r="F1327" s="10" t="str">
        <f t="shared" si="3"/>
        <v>25 completed tickets</v>
      </c>
    </row>
    <row r="1328" hidden="1">
      <c r="A1328" s="6" t="s">
        <v>100</v>
      </c>
      <c r="B1328" s="7" t="s">
        <v>194</v>
      </c>
      <c r="C1328" s="30" t="s">
        <v>195</v>
      </c>
      <c r="D1328" s="25">
        <v>16.0</v>
      </c>
      <c r="E1328" s="10">
        <f t="shared" si="2"/>
        <v>800</v>
      </c>
      <c r="F1328" s="10" t="str">
        <f t="shared" si="3"/>
        <v>16 completed tickets</v>
      </c>
    </row>
    <row r="1329" hidden="1">
      <c r="A1329" s="6" t="s">
        <v>100</v>
      </c>
      <c r="B1329" s="7" t="s">
        <v>253</v>
      </c>
      <c r="C1329" s="30" t="s">
        <v>254</v>
      </c>
      <c r="D1329" s="25">
        <v>6.0</v>
      </c>
      <c r="E1329" s="10">
        <f t="shared" si="2"/>
        <v>300</v>
      </c>
      <c r="F1329" s="10" t="str">
        <f t="shared" si="3"/>
        <v>6 completed tickets</v>
      </c>
    </row>
    <row r="1330" hidden="1">
      <c r="A1330" s="6" t="s">
        <v>100</v>
      </c>
      <c r="B1330" s="30" t="s">
        <v>332</v>
      </c>
      <c r="C1330" s="30" t="s">
        <v>333</v>
      </c>
      <c r="D1330" s="25">
        <v>5.0</v>
      </c>
      <c r="E1330" s="10">
        <f t="shared" si="2"/>
        <v>250</v>
      </c>
      <c r="F1330" s="10" t="str">
        <f t="shared" si="3"/>
        <v>5 completed tickets</v>
      </c>
    </row>
    <row r="1331" hidden="1">
      <c r="A1331" s="6" t="s">
        <v>100</v>
      </c>
      <c r="B1331" s="37" t="s">
        <v>334</v>
      </c>
      <c r="C1331" s="30" t="s">
        <v>335</v>
      </c>
      <c r="D1331" s="25">
        <v>2.0</v>
      </c>
      <c r="E1331" s="10">
        <f t="shared" si="2"/>
        <v>100</v>
      </c>
      <c r="F1331" s="10" t="str">
        <f t="shared" si="3"/>
        <v>2 completed tickets</v>
      </c>
    </row>
    <row r="1332" hidden="1">
      <c r="A1332" s="6" t="s">
        <v>100</v>
      </c>
      <c r="B1332" s="30" t="s">
        <v>309</v>
      </c>
      <c r="C1332" s="30" t="s">
        <v>310</v>
      </c>
      <c r="D1332" s="25">
        <v>6.0</v>
      </c>
      <c r="E1332" s="10">
        <f t="shared" si="2"/>
        <v>300</v>
      </c>
      <c r="F1332" s="10" t="str">
        <f t="shared" si="3"/>
        <v>6 completed tickets</v>
      </c>
    </row>
    <row r="1333" hidden="1">
      <c r="A1333" s="6" t="s">
        <v>100</v>
      </c>
      <c r="B1333" s="37" t="s">
        <v>336</v>
      </c>
      <c r="C1333" s="30" t="s">
        <v>330</v>
      </c>
      <c r="D1333" s="25">
        <v>2.0</v>
      </c>
      <c r="E1333" s="10">
        <f t="shared" si="2"/>
        <v>100</v>
      </c>
      <c r="F1333" s="10" t="str">
        <f t="shared" si="3"/>
        <v>2 completed tickets</v>
      </c>
    </row>
    <row r="1334" hidden="1">
      <c r="A1334" s="6" t="s">
        <v>100</v>
      </c>
      <c r="B1334" s="30" t="s">
        <v>324</v>
      </c>
      <c r="C1334" s="30" t="s">
        <v>328</v>
      </c>
      <c r="D1334" s="25">
        <v>3.0</v>
      </c>
      <c r="E1334" s="10">
        <f t="shared" si="2"/>
        <v>150</v>
      </c>
      <c r="F1334" s="10" t="str">
        <f t="shared" si="3"/>
        <v>3 completed tickets</v>
      </c>
    </row>
    <row r="1335" hidden="1">
      <c r="A1335" s="6" t="s">
        <v>100</v>
      </c>
      <c r="B1335" s="37" t="s">
        <v>331</v>
      </c>
      <c r="C1335" s="30" t="s">
        <v>133</v>
      </c>
      <c r="D1335" s="25">
        <v>2.0</v>
      </c>
      <c r="E1335" s="10">
        <f t="shared" si="2"/>
        <v>100</v>
      </c>
      <c r="F1335" s="10" t="str">
        <f t="shared" si="3"/>
        <v>2 completed tickets</v>
      </c>
    </row>
    <row r="1336" hidden="1">
      <c r="A1336" s="6" t="s">
        <v>100</v>
      </c>
      <c r="B1336" s="37" t="s">
        <v>260</v>
      </c>
      <c r="C1336" s="30" t="s">
        <v>261</v>
      </c>
      <c r="D1336" s="25">
        <v>12.0</v>
      </c>
      <c r="E1336" s="10">
        <f t="shared" si="2"/>
        <v>600</v>
      </c>
      <c r="F1336" s="10" t="str">
        <f t="shared" si="3"/>
        <v>12 completed tickets</v>
      </c>
    </row>
    <row r="1337" hidden="1">
      <c r="A1337" s="6" t="s">
        <v>102</v>
      </c>
      <c r="B1337" s="13" t="s">
        <v>160</v>
      </c>
      <c r="C1337" s="38" t="s">
        <v>140</v>
      </c>
      <c r="D1337" s="15">
        <v>20.0</v>
      </c>
      <c r="E1337" s="10">
        <f t="shared" si="2"/>
        <v>1000</v>
      </c>
      <c r="F1337" s="10" t="s">
        <v>337</v>
      </c>
    </row>
    <row r="1338" hidden="1">
      <c r="A1338" s="6" t="s">
        <v>102</v>
      </c>
      <c r="B1338" s="13" t="s">
        <v>161</v>
      </c>
      <c r="C1338" s="38" t="s">
        <v>152</v>
      </c>
      <c r="D1338" s="15">
        <v>32.0</v>
      </c>
      <c r="E1338" s="10">
        <f t="shared" si="2"/>
        <v>1600</v>
      </c>
      <c r="F1338" s="10" t="s">
        <v>338</v>
      </c>
    </row>
    <row r="1339" hidden="1">
      <c r="A1339" s="6" t="s">
        <v>102</v>
      </c>
      <c r="B1339" s="13" t="s">
        <v>162</v>
      </c>
      <c r="C1339" s="38" t="s">
        <v>163</v>
      </c>
      <c r="D1339" s="15">
        <v>27.0</v>
      </c>
      <c r="E1339" s="10">
        <f t="shared" si="2"/>
        <v>1350</v>
      </c>
      <c r="F1339" s="10" t="s">
        <v>339</v>
      </c>
    </row>
    <row r="1340" hidden="1">
      <c r="A1340" s="6" t="s">
        <v>102</v>
      </c>
      <c r="B1340" s="13" t="s">
        <v>164</v>
      </c>
      <c r="C1340" s="38" t="s">
        <v>158</v>
      </c>
      <c r="D1340" s="15">
        <v>38.0</v>
      </c>
      <c r="E1340" s="10">
        <f t="shared" si="2"/>
        <v>1900</v>
      </c>
      <c r="F1340" s="10" t="s">
        <v>340</v>
      </c>
    </row>
    <row r="1341" hidden="1">
      <c r="A1341" s="6" t="s">
        <v>102</v>
      </c>
      <c r="B1341" s="13" t="s">
        <v>165</v>
      </c>
      <c r="C1341" s="38" t="s">
        <v>166</v>
      </c>
      <c r="D1341" s="15">
        <v>31.0</v>
      </c>
      <c r="E1341" s="10">
        <f t="shared" si="2"/>
        <v>1550</v>
      </c>
      <c r="F1341" s="10" t="s">
        <v>341</v>
      </c>
    </row>
    <row r="1342" hidden="1">
      <c r="A1342" s="6" t="s">
        <v>102</v>
      </c>
      <c r="B1342" s="13" t="s">
        <v>167</v>
      </c>
      <c r="C1342" s="38" t="s">
        <v>157</v>
      </c>
      <c r="D1342" s="15">
        <v>28.0</v>
      </c>
      <c r="E1342" s="10">
        <f t="shared" si="2"/>
        <v>1400</v>
      </c>
      <c r="F1342" s="10" t="s">
        <v>342</v>
      </c>
    </row>
    <row r="1343" hidden="1">
      <c r="A1343" s="6" t="s">
        <v>102</v>
      </c>
      <c r="B1343" s="13" t="s">
        <v>168</v>
      </c>
      <c r="C1343" s="38" t="s">
        <v>169</v>
      </c>
      <c r="D1343" s="15">
        <v>29.0</v>
      </c>
      <c r="E1343" s="10">
        <f t="shared" si="2"/>
        <v>1450</v>
      </c>
      <c r="F1343" s="10" t="s">
        <v>343</v>
      </c>
    </row>
    <row r="1344" hidden="1">
      <c r="A1344" s="6" t="s">
        <v>102</v>
      </c>
      <c r="B1344" s="13" t="s">
        <v>170</v>
      </c>
      <c r="C1344" s="38" t="s">
        <v>171</v>
      </c>
      <c r="D1344" s="15">
        <v>13.0</v>
      </c>
      <c r="E1344" s="10">
        <f t="shared" si="2"/>
        <v>650</v>
      </c>
      <c r="F1344" s="10" t="s">
        <v>344</v>
      </c>
    </row>
    <row r="1345" hidden="1">
      <c r="A1345" s="6" t="s">
        <v>102</v>
      </c>
      <c r="B1345" s="13" t="s">
        <v>295</v>
      </c>
      <c r="C1345" s="38" t="s">
        <v>296</v>
      </c>
      <c r="D1345" s="15">
        <v>40.0</v>
      </c>
      <c r="E1345" s="10">
        <f t="shared" si="2"/>
        <v>2000</v>
      </c>
      <c r="F1345" s="10" t="s">
        <v>345</v>
      </c>
    </row>
    <row r="1346" hidden="1">
      <c r="A1346" s="6" t="s">
        <v>102</v>
      </c>
      <c r="B1346" s="13" t="s">
        <v>172</v>
      </c>
      <c r="C1346" s="38" t="s">
        <v>173</v>
      </c>
      <c r="D1346" s="15">
        <v>28.0</v>
      </c>
      <c r="E1346" s="10">
        <f t="shared" si="2"/>
        <v>1400</v>
      </c>
      <c r="F1346" s="10" t="s">
        <v>342</v>
      </c>
    </row>
    <row r="1347" hidden="1">
      <c r="A1347" s="6" t="s">
        <v>102</v>
      </c>
      <c r="B1347" s="13" t="s">
        <v>322</v>
      </c>
      <c r="C1347" s="38" t="s">
        <v>323</v>
      </c>
      <c r="D1347" s="15">
        <v>42.0</v>
      </c>
      <c r="E1347" s="10">
        <f t="shared" si="2"/>
        <v>2100</v>
      </c>
      <c r="F1347" s="10" t="s">
        <v>346</v>
      </c>
    </row>
    <row r="1348" hidden="1">
      <c r="A1348" s="6" t="s">
        <v>102</v>
      </c>
      <c r="B1348" s="13" t="s">
        <v>297</v>
      </c>
      <c r="C1348" s="38" t="s">
        <v>153</v>
      </c>
      <c r="D1348" s="15">
        <v>27.0</v>
      </c>
      <c r="E1348" s="10">
        <f t="shared" si="2"/>
        <v>1350</v>
      </c>
      <c r="F1348" s="10" t="s">
        <v>339</v>
      </c>
    </row>
    <row r="1349" hidden="1">
      <c r="A1349" s="6" t="s">
        <v>102</v>
      </c>
      <c r="B1349" s="13" t="s">
        <v>174</v>
      </c>
      <c r="C1349" s="38" t="s">
        <v>175</v>
      </c>
      <c r="D1349" s="15">
        <v>32.0</v>
      </c>
      <c r="E1349" s="10">
        <f t="shared" si="2"/>
        <v>1600</v>
      </c>
      <c r="F1349" s="10" t="s">
        <v>338</v>
      </c>
    </row>
    <row r="1350" hidden="1">
      <c r="A1350" s="6" t="s">
        <v>102</v>
      </c>
      <c r="B1350" s="13" t="s">
        <v>176</v>
      </c>
      <c r="C1350" s="38" t="s">
        <v>130</v>
      </c>
      <c r="D1350" s="15">
        <v>49.0</v>
      </c>
      <c r="E1350" s="10">
        <f t="shared" si="2"/>
        <v>2450</v>
      </c>
      <c r="F1350" s="10" t="s">
        <v>347</v>
      </c>
    </row>
    <row r="1351" hidden="1">
      <c r="A1351" s="6" t="s">
        <v>102</v>
      </c>
      <c r="B1351" s="7" t="s">
        <v>252</v>
      </c>
      <c r="C1351" s="38" t="s">
        <v>139</v>
      </c>
      <c r="D1351" s="15">
        <v>36.0</v>
      </c>
      <c r="E1351" s="10">
        <f t="shared" si="2"/>
        <v>1800</v>
      </c>
      <c r="F1351" s="10" t="s">
        <v>348</v>
      </c>
    </row>
    <row r="1352" hidden="1">
      <c r="A1352" s="6" t="s">
        <v>102</v>
      </c>
      <c r="B1352" s="13" t="s">
        <v>177</v>
      </c>
      <c r="C1352" s="38" t="s">
        <v>144</v>
      </c>
      <c r="D1352" s="15">
        <v>47.0</v>
      </c>
      <c r="E1352" s="10">
        <f t="shared" si="2"/>
        <v>2350</v>
      </c>
      <c r="F1352" s="10" t="s">
        <v>349</v>
      </c>
    </row>
    <row r="1353" hidden="1">
      <c r="A1353" s="6" t="s">
        <v>102</v>
      </c>
      <c r="B1353" s="13" t="s">
        <v>270</v>
      </c>
      <c r="C1353" s="38" t="s">
        <v>126</v>
      </c>
      <c r="D1353" s="15">
        <v>17.0</v>
      </c>
      <c r="E1353" s="10">
        <f t="shared" si="2"/>
        <v>850</v>
      </c>
      <c r="F1353" s="10" t="s">
        <v>350</v>
      </c>
    </row>
    <row r="1354" hidden="1">
      <c r="A1354" s="6" t="s">
        <v>102</v>
      </c>
      <c r="B1354" s="13" t="s">
        <v>178</v>
      </c>
      <c r="C1354" s="38" t="s">
        <v>179</v>
      </c>
      <c r="D1354" s="15">
        <v>29.0</v>
      </c>
      <c r="E1354" s="10">
        <f t="shared" si="2"/>
        <v>1450</v>
      </c>
      <c r="F1354" s="10" t="s">
        <v>343</v>
      </c>
    </row>
    <row r="1355" hidden="1">
      <c r="A1355" s="6" t="s">
        <v>102</v>
      </c>
      <c r="B1355" s="13" t="s">
        <v>180</v>
      </c>
      <c r="C1355" s="38" t="s">
        <v>181</v>
      </c>
      <c r="D1355" s="15">
        <v>64.0</v>
      </c>
      <c r="E1355" s="10">
        <f t="shared" si="2"/>
        <v>3200</v>
      </c>
      <c r="F1355" s="10" t="s">
        <v>351</v>
      </c>
    </row>
    <row r="1356" hidden="1">
      <c r="A1356" s="6" t="s">
        <v>102</v>
      </c>
      <c r="B1356" s="13" t="s">
        <v>236</v>
      </c>
      <c r="C1356" s="38" t="s">
        <v>159</v>
      </c>
      <c r="D1356" s="15">
        <v>34.0</v>
      </c>
      <c r="E1356" s="10">
        <f t="shared" si="2"/>
        <v>1700</v>
      </c>
      <c r="F1356" s="10" t="s">
        <v>352</v>
      </c>
    </row>
    <row r="1357" hidden="1">
      <c r="A1357" s="6" t="s">
        <v>102</v>
      </c>
      <c r="B1357" s="13" t="s">
        <v>182</v>
      </c>
      <c r="C1357" s="38" t="s">
        <v>183</v>
      </c>
      <c r="D1357" s="15">
        <v>18.0</v>
      </c>
      <c r="E1357" s="10">
        <f t="shared" si="2"/>
        <v>900</v>
      </c>
      <c r="F1357" s="10" t="s">
        <v>353</v>
      </c>
    </row>
    <row r="1358" hidden="1">
      <c r="A1358" s="6" t="s">
        <v>102</v>
      </c>
      <c r="B1358" s="13" t="s">
        <v>184</v>
      </c>
      <c r="C1358" s="38" t="s">
        <v>185</v>
      </c>
      <c r="D1358" s="15">
        <v>26.0</v>
      </c>
      <c r="E1358" s="10">
        <f t="shared" si="2"/>
        <v>1300</v>
      </c>
      <c r="F1358" s="10" t="s">
        <v>354</v>
      </c>
    </row>
    <row r="1359" hidden="1">
      <c r="A1359" s="6" t="s">
        <v>102</v>
      </c>
      <c r="B1359" s="13" t="s">
        <v>212</v>
      </c>
      <c r="C1359" s="38" t="s">
        <v>213</v>
      </c>
      <c r="D1359" s="15">
        <v>28.0</v>
      </c>
      <c r="E1359" s="10">
        <f t="shared" si="2"/>
        <v>1400</v>
      </c>
      <c r="F1359" s="10" t="s">
        <v>342</v>
      </c>
    </row>
    <row r="1360" hidden="1">
      <c r="A1360" s="6" t="s">
        <v>102</v>
      </c>
      <c r="B1360" s="13" t="s">
        <v>186</v>
      </c>
      <c r="C1360" s="38" t="s">
        <v>187</v>
      </c>
      <c r="D1360" s="15">
        <v>44.0</v>
      </c>
      <c r="E1360" s="10">
        <f t="shared" si="2"/>
        <v>2200</v>
      </c>
      <c r="F1360" s="10" t="s">
        <v>355</v>
      </c>
    </row>
    <row r="1361" hidden="1">
      <c r="A1361" s="6" t="s">
        <v>102</v>
      </c>
      <c r="B1361" s="13" t="s">
        <v>188</v>
      </c>
      <c r="C1361" s="38" t="s">
        <v>189</v>
      </c>
      <c r="D1361" s="15">
        <v>36.0</v>
      </c>
      <c r="E1361" s="10">
        <f t="shared" si="2"/>
        <v>1800</v>
      </c>
      <c r="F1361" s="10" t="s">
        <v>348</v>
      </c>
    </row>
    <row r="1362" hidden="1">
      <c r="A1362" s="6" t="s">
        <v>102</v>
      </c>
      <c r="B1362" s="13" t="s">
        <v>190</v>
      </c>
      <c r="C1362" s="38" t="s">
        <v>191</v>
      </c>
      <c r="D1362" s="15">
        <v>24.0</v>
      </c>
      <c r="E1362" s="10">
        <f t="shared" si="2"/>
        <v>1200</v>
      </c>
      <c r="F1362" s="10" t="s">
        <v>356</v>
      </c>
    </row>
    <row r="1363" hidden="1">
      <c r="A1363" s="6" t="s">
        <v>102</v>
      </c>
      <c r="B1363" s="13" t="s">
        <v>192</v>
      </c>
      <c r="C1363" s="38" t="s">
        <v>193</v>
      </c>
      <c r="D1363" s="15">
        <v>22.0</v>
      </c>
      <c r="E1363" s="10">
        <f t="shared" si="2"/>
        <v>1100</v>
      </c>
      <c r="F1363" s="10" t="s">
        <v>357</v>
      </c>
    </row>
    <row r="1364" hidden="1">
      <c r="A1364" s="6" t="s">
        <v>102</v>
      </c>
      <c r="B1364" s="13" t="s">
        <v>194</v>
      </c>
      <c r="C1364" s="38" t="s">
        <v>195</v>
      </c>
      <c r="D1364" s="15">
        <v>4.0</v>
      </c>
      <c r="E1364" s="10">
        <f t="shared" si="2"/>
        <v>200</v>
      </c>
      <c r="F1364" s="10" t="s">
        <v>358</v>
      </c>
    </row>
    <row r="1365" hidden="1">
      <c r="A1365" s="6" t="s">
        <v>102</v>
      </c>
      <c r="B1365" s="13" t="s">
        <v>253</v>
      </c>
      <c r="C1365" s="38" t="s">
        <v>254</v>
      </c>
      <c r="D1365" s="15">
        <v>16.0</v>
      </c>
      <c r="E1365" s="10">
        <f t="shared" si="2"/>
        <v>800</v>
      </c>
      <c r="F1365" s="10" t="s">
        <v>359</v>
      </c>
    </row>
    <row r="1366" hidden="1">
      <c r="A1366" s="6" t="s">
        <v>102</v>
      </c>
      <c r="B1366" s="13" t="s">
        <v>334</v>
      </c>
      <c r="C1366" s="38" t="s">
        <v>335</v>
      </c>
      <c r="D1366" s="15">
        <v>14.0</v>
      </c>
      <c r="E1366" s="10">
        <f t="shared" si="2"/>
        <v>700</v>
      </c>
      <c r="F1366" s="10" t="s">
        <v>360</v>
      </c>
    </row>
    <row r="1367" hidden="1">
      <c r="A1367" s="6" t="s">
        <v>102</v>
      </c>
      <c r="B1367" s="13" t="s">
        <v>309</v>
      </c>
      <c r="C1367" s="38" t="s">
        <v>310</v>
      </c>
      <c r="D1367" s="15">
        <v>17.0</v>
      </c>
      <c r="E1367" s="10">
        <f t="shared" si="2"/>
        <v>850</v>
      </c>
      <c r="F1367" s="10" t="s">
        <v>350</v>
      </c>
    </row>
    <row r="1368" hidden="1">
      <c r="A1368" s="6" t="s">
        <v>102</v>
      </c>
      <c r="B1368" s="13" t="s">
        <v>336</v>
      </c>
      <c r="C1368" s="38" t="s">
        <v>330</v>
      </c>
      <c r="D1368" s="15">
        <v>16.0</v>
      </c>
      <c r="E1368" s="10">
        <f t="shared" si="2"/>
        <v>800</v>
      </c>
      <c r="F1368" s="10" t="s">
        <v>359</v>
      </c>
    </row>
    <row r="1369" hidden="1">
      <c r="A1369" s="6" t="s">
        <v>102</v>
      </c>
      <c r="B1369" s="13" t="s">
        <v>324</v>
      </c>
      <c r="C1369" s="38" t="s">
        <v>328</v>
      </c>
      <c r="D1369" s="15">
        <v>11.0</v>
      </c>
      <c r="E1369" s="10">
        <f t="shared" si="2"/>
        <v>550</v>
      </c>
      <c r="F1369" s="10" t="s">
        <v>361</v>
      </c>
    </row>
    <row r="1370" hidden="1">
      <c r="A1370" s="6" t="s">
        <v>102</v>
      </c>
      <c r="B1370" s="13" t="s">
        <v>250</v>
      </c>
      <c r="C1370" s="38" t="s">
        <v>137</v>
      </c>
      <c r="D1370" s="15">
        <v>2.0</v>
      </c>
      <c r="E1370" s="10">
        <f t="shared" si="2"/>
        <v>100</v>
      </c>
      <c r="F1370" s="10" t="s">
        <v>362</v>
      </c>
    </row>
    <row r="1371" hidden="1">
      <c r="A1371" s="6" t="s">
        <v>102</v>
      </c>
      <c r="B1371" s="13" t="s">
        <v>331</v>
      </c>
      <c r="C1371" s="38" t="s">
        <v>133</v>
      </c>
      <c r="D1371" s="15">
        <v>22.0</v>
      </c>
      <c r="E1371" s="10">
        <f t="shared" si="2"/>
        <v>1100</v>
      </c>
      <c r="F1371" s="10" t="s">
        <v>357</v>
      </c>
    </row>
    <row r="1372" hidden="1">
      <c r="A1372" s="6" t="s">
        <v>102</v>
      </c>
      <c r="B1372" s="13" t="s">
        <v>260</v>
      </c>
      <c r="C1372" s="38" t="s">
        <v>261</v>
      </c>
      <c r="D1372" s="15">
        <v>18.0</v>
      </c>
      <c r="E1372" s="10">
        <f t="shared" si="2"/>
        <v>900</v>
      </c>
      <c r="F1372" s="10" t="s">
        <v>353</v>
      </c>
    </row>
    <row r="1373" hidden="1">
      <c r="A1373" s="6" t="s">
        <v>104</v>
      </c>
      <c r="B1373" s="13" t="s">
        <v>160</v>
      </c>
      <c r="C1373" s="38" t="s">
        <v>140</v>
      </c>
      <c r="D1373" s="15">
        <v>29.0</v>
      </c>
      <c r="E1373" s="10">
        <f t="shared" si="2"/>
        <v>1450</v>
      </c>
      <c r="F1373" s="10"/>
    </row>
    <row r="1374" hidden="1">
      <c r="A1374" s="6" t="s">
        <v>104</v>
      </c>
      <c r="B1374" s="13" t="s">
        <v>161</v>
      </c>
      <c r="C1374" s="38" t="s">
        <v>152</v>
      </c>
      <c r="D1374" s="15">
        <v>36.0</v>
      </c>
      <c r="E1374" s="10">
        <f t="shared" si="2"/>
        <v>1800</v>
      </c>
      <c r="F1374" s="10"/>
    </row>
    <row r="1375" hidden="1">
      <c r="A1375" s="6" t="s">
        <v>104</v>
      </c>
      <c r="B1375" s="13" t="s">
        <v>162</v>
      </c>
      <c r="C1375" s="38" t="s">
        <v>163</v>
      </c>
      <c r="D1375" s="15">
        <v>36.0</v>
      </c>
      <c r="E1375" s="10">
        <f t="shared" si="2"/>
        <v>1800</v>
      </c>
      <c r="F1375" s="10"/>
    </row>
    <row r="1376" hidden="1">
      <c r="A1376" s="6" t="s">
        <v>104</v>
      </c>
      <c r="B1376" s="13" t="s">
        <v>164</v>
      </c>
      <c r="C1376" s="38" t="s">
        <v>158</v>
      </c>
      <c r="D1376" s="15">
        <v>34.0</v>
      </c>
      <c r="E1376" s="10">
        <f t="shared" si="2"/>
        <v>1700</v>
      </c>
      <c r="F1376" s="10"/>
    </row>
    <row r="1377" hidden="1">
      <c r="A1377" s="6" t="s">
        <v>104</v>
      </c>
      <c r="B1377" s="13" t="s">
        <v>165</v>
      </c>
      <c r="C1377" s="38" t="s">
        <v>166</v>
      </c>
      <c r="D1377" s="15">
        <v>48.0</v>
      </c>
      <c r="E1377" s="10">
        <f t="shared" si="2"/>
        <v>2400</v>
      </c>
      <c r="F1377" s="10"/>
    </row>
    <row r="1378" hidden="1">
      <c r="A1378" s="6" t="s">
        <v>104</v>
      </c>
      <c r="B1378" s="13" t="s">
        <v>167</v>
      </c>
      <c r="C1378" s="38" t="s">
        <v>157</v>
      </c>
      <c r="D1378" s="15">
        <v>31.0</v>
      </c>
      <c r="E1378" s="10">
        <f t="shared" si="2"/>
        <v>1550</v>
      </c>
      <c r="F1378" s="10"/>
    </row>
    <row r="1379" hidden="1">
      <c r="A1379" s="6" t="s">
        <v>104</v>
      </c>
      <c r="B1379" s="13" t="s">
        <v>168</v>
      </c>
      <c r="C1379" s="38" t="s">
        <v>169</v>
      </c>
      <c r="D1379" s="15">
        <v>54.0</v>
      </c>
      <c r="E1379" s="10">
        <f t="shared" si="2"/>
        <v>2700</v>
      </c>
      <c r="F1379" s="10"/>
    </row>
    <row r="1380" hidden="1">
      <c r="A1380" s="6" t="s">
        <v>104</v>
      </c>
      <c r="B1380" s="13" t="s">
        <v>170</v>
      </c>
      <c r="C1380" s="38" t="s">
        <v>171</v>
      </c>
      <c r="D1380" s="15">
        <v>6.0</v>
      </c>
      <c r="E1380" s="10">
        <f t="shared" si="2"/>
        <v>300</v>
      </c>
      <c r="F1380" s="10"/>
    </row>
    <row r="1381" hidden="1">
      <c r="A1381" s="6" t="s">
        <v>104</v>
      </c>
      <c r="B1381" s="13" t="s">
        <v>295</v>
      </c>
      <c r="C1381" s="38" t="s">
        <v>296</v>
      </c>
      <c r="D1381" s="15">
        <v>45.0</v>
      </c>
      <c r="E1381" s="10">
        <f t="shared" si="2"/>
        <v>2250</v>
      </c>
      <c r="F1381" s="10"/>
    </row>
    <row r="1382" hidden="1">
      <c r="A1382" s="6" t="s">
        <v>104</v>
      </c>
      <c r="B1382" s="13" t="s">
        <v>172</v>
      </c>
      <c r="C1382" s="38" t="s">
        <v>173</v>
      </c>
      <c r="D1382" s="15">
        <v>10.0</v>
      </c>
      <c r="E1382" s="10">
        <f t="shared" si="2"/>
        <v>500</v>
      </c>
      <c r="F1382" s="10"/>
    </row>
    <row r="1383" hidden="1">
      <c r="A1383" s="6" t="s">
        <v>104</v>
      </c>
      <c r="B1383" s="13" t="s">
        <v>322</v>
      </c>
      <c r="C1383" s="38" t="s">
        <v>323</v>
      </c>
      <c r="D1383" s="15">
        <v>36.0</v>
      </c>
      <c r="E1383" s="10">
        <f t="shared" si="2"/>
        <v>1800</v>
      </c>
      <c r="F1383" s="10"/>
    </row>
    <row r="1384" hidden="1">
      <c r="A1384" s="6" t="s">
        <v>104</v>
      </c>
      <c r="B1384" s="13" t="s">
        <v>297</v>
      </c>
      <c r="C1384" s="38" t="s">
        <v>153</v>
      </c>
      <c r="D1384" s="15">
        <v>24.0</v>
      </c>
      <c r="E1384" s="10">
        <f t="shared" si="2"/>
        <v>1200</v>
      </c>
      <c r="F1384" s="10"/>
    </row>
    <row r="1385" hidden="1">
      <c r="A1385" s="6" t="s">
        <v>104</v>
      </c>
      <c r="B1385" s="13" t="s">
        <v>174</v>
      </c>
      <c r="C1385" s="38" t="s">
        <v>175</v>
      </c>
      <c r="D1385" s="15">
        <v>24.0</v>
      </c>
      <c r="E1385" s="10">
        <f t="shared" si="2"/>
        <v>1200</v>
      </c>
      <c r="F1385" s="10"/>
    </row>
    <row r="1386" hidden="1">
      <c r="A1386" s="6" t="s">
        <v>104</v>
      </c>
      <c r="B1386" s="13" t="s">
        <v>176</v>
      </c>
      <c r="C1386" s="38" t="s">
        <v>130</v>
      </c>
      <c r="D1386" s="15">
        <v>45.0</v>
      </c>
      <c r="E1386" s="10">
        <f t="shared" si="2"/>
        <v>2250</v>
      </c>
      <c r="F1386" s="10"/>
    </row>
    <row r="1387" hidden="1">
      <c r="A1387" s="6" t="s">
        <v>104</v>
      </c>
      <c r="B1387" s="7" t="s">
        <v>252</v>
      </c>
      <c r="C1387" s="38" t="s">
        <v>139</v>
      </c>
      <c r="D1387" s="15">
        <v>43.0</v>
      </c>
      <c r="E1387" s="10">
        <f t="shared" si="2"/>
        <v>2150</v>
      </c>
      <c r="F1387" s="10"/>
    </row>
    <row r="1388" hidden="1">
      <c r="A1388" s="6" t="s">
        <v>104</v>
      </c>
      <c r="B1388" s="13" t="s">
        <v>177</v>
      </c>
      <c r="C1388" s="38" t="s">
        <v>144</v>
      </c>
      <c r="D1388" s="15">
        <v>29.0</v>
      </c>
      <c r="E1388" s="10">
        <f t="shared" si="2"/>
        <v>1450</v>
      </c>
      <c r="F1388" s="10"/>
    </row>
    <row r="1389" hidden="1">
      <c r="A1389" s="6" t="s">
        <v>104</v>
      </c>
      <c r="B1389" s="13" t="s">
        <v>270</v>
      </c>
      <c r="C1389" s="38" t="s">
        <v>126</v>
      </c>
      <c r="D1389" s="15">
        <v>18.0</v>
      </c>
      <c r="E1389" s="10">
        <f t="shared" si="2"/>
        <v>900</v>
      </c>
      <c r="F1389" s="10"/>
    </row>
    <row r="1390" hidden="1">
      <c r="A1390" s="6" t="s">
        <v>104</v>
      </c>
      <c r="B1390" s="13" t="s">
        <v>178</v>
      </c>
      <c r="C1390" s="38" t="s">
        <v>179</v>
      </c>
      <c r="D1390" s="15">
        <v>33.0</v>
      </c>
      <c r="E1390" s="10">
        <f t="shared" si="2"/>
        <v>1650</v>
      </c>
      <c r="F1390" s="10"/>
    </row>
    <row r="1391" hidden="1">
      <c r="A1391" s="6" t="s">
        <v>104</v>
      </c>
      <c r="B1391" s="13" t="s">
        <v>180</v>
      </c>
      <c r="C1391" s="38" t="s">
        <v>181</v>
      </c>
      <c r="D1391" s="15">
        <v>45.0</v>
      </c>
      <c r="E1391" s="10">
        <f t="shared" si="2"/>
        <v>2250</v>
      </c>
      <c r="F1391" s="10"/>
    </row>
    <row r="1392" hidden="1">
      <c r="A1392" s="6" t="s">
        <v>104</v>
      </c>
      <c r="B1392" s="13" t="s">
        <v>236</v>
      </c>
      <c r="C1392" s="38" t="s">
        <v>159</v>
      </c>
      <c r="D1392" s="15">
        <v>17.0</v>
      </c>
      <c r="E1392" s="10">
        <f t="shared" si="2"/>
        <v>850</v>
      </c>
      <c r="F1392" s="10"/>
    </row>
    <row r="1393" hidden="1">
      <c r="A1393" s="6" t="s">
        <v>104</v>
      </c>
      <c r="B1393" s="13" t="s">
        <v>182</v>
      </c>
      <c r="C1393" s="38" t="s">
        <v>183</v>
      </c>
      <c r="D1393" s="15">
        <v>16.0</v>
      </c>
      <c r="E1393" s="10">
        <f t="shared" si="2"/>
        <v>800</v>
      </c>
      <c r="F1393" s="10"/>
    </row>
    <row r="1394" hidden="1">
      <c r="A1394" s="6" t="s">
        <v>104</v>
      </c>
      <c r="B1394" s="13" t="s">
        <v>184</v>
      </c>
      <c r="C1394" s="38" t="s">
        <v>185</v>
      </c>
      <c r="D1394" s="15">
        <v>32.0</v>
      </c>
      <c r="E1394" s="10">
        <f t="shared" si="2"/>
        <v>1600</v>
      </c>
      <c r="F1394" s="10"/>
    </row>
    <row r="1395" hidden="1">
      <c r="A1395" s="6" t="s">
        <v>104</v>
      </c>
      <c r="B1395" s="13" t="s">
        <v>212</v>
      </c>
      <c r="C1395" s="38" t="s">
        <v>213</v>
      </c>
      <c r="D1395" s="15">
        <v>23.0</v>
      </c>
      <c r="E1395" s="10">
        <f t="shared" si="2"/>
        <v>1150</v>
      </c>
      <c r="F1395" s="10"/>
    </row>
    <row r="1396" hidden="1">
      <c r="A1396" s="6" t="s">
        <v>104</v>
      </c>
      <c r="B1396" s="13" t="s">
        <v>186</v>
      </c>
      <c r="C1396" s="38" t="s">
        <v>187</v>
      </c>
      <c r="D1396" s="15">
        <v>36.0</v>
      </c>
      <c r="E1396" s="10">
        <f t="shared" si="2"/>
        <v>1800</v>
      </c>
      <c r="F1396" s="10"/>
    </row>
    <row r="1397" hidden="1">
      <c r="A1397" s="6" t="s">
        <v>104</v>
      </c>
      <c r="B1397" s="13" t="s">
        <v>188</v>
      </c>
      <c r="C1397" s="38" t="s">
        <v>189</v>
      </c>
      <c r="D1397" s="15">
        <v>32.0</v>
      </c>
      <c r="E1397" s="10">
        <f t="shared" si="2"/>
        <v>1600</v>
      </c>
      <c r="F1397" s="10"/>
    </row>
    <row r="1398" hidden="1">
      <c r="A1398" s="6" t="s">
        <v>104</v>
      </c>
      <c r="B1398" s="13" t="s">
        <v>190</v>
      </c>
      <c r="C1398" s="38" t="s">
        <v>191</v>
      </c>
      <c r="D1398" s="15">
        <v>7.0</v>
      </c>
      <c r="E1398" s="10">
        <f t="shared" si="2"/>
        <v>350</v>
      </c>
      <c r="F1398" s="10"/>
    </row>
    <row r="1399" hidden="1">
      <c r="A1399" s="6" t="s">
        <v>104</v>
      </c>
      <c r="B1399" s="13" t="s">
        <v>192</v>
      </c>
      <c r="C1399" s="38" t="s">
        <v>193</v>
      </c>
      <c r="D1399" s="15">
        <v>13.0</v>
      </c>
      <c r="E1399" s="10">
        <f t="shared" si="2"/>
        <v>650</v>
      </c>
      <c r="F1399" s="10"/>
    </row>
    <row r="1400" hidden="1">
      <c r="A1400" s="6" t="s">
        <v>104</v>
      </c>
      <c r="B1400" s="13" t="s">
        <v>194</v>
      </c>
      <c r="C1400" s="38" t="s">
        <v>195</v>
      </c>
      <c r="D1400" s="15">
        <v>4.0</v>
      </c>
      <c r="E1400" s="10">
        <f t="shared" si="2"/>
        <v>200</v>
      </c>
      <c r="F1400" s="10"/>
    </row>
    <row r="1401" hidden="1">
      <c r="A1401" s="6" t="s">
        <v>104</v>
      </c>
      <c r="B1401" s="13" t="s">
        <v>253</v>
      </c>
      <c r="C1401" s="38" t="s">
        <v>254</v>
      </c>
      <c r="D1401" s="15">
        <v>14.0</v>
      </c>
      <c r="E1401" s="10">
        <f t="shared" si="2"/>
        <v>700</v>
      </c>
      <c r="F1401" s="10"/>
    </row>
    <row r="1402" hidden="1">
      <c r="A1402" s="6" t="s">
        <v>104</v>
      </c>
      <c r="B1402" s="13" t="s">
        <v>283</v>
      </c>
      <c r="C1402" s="38" t="s">
        <v>314</v>
      </c>
      <c r="D1402" s="15">
        <v>6.0</v>
      </c>
      <c r="E1402" s="10">
        <f t="shared" si="2"/>
        <v>300</v>
      </c>
      <c r="F1402" s="10"/>
    </row>
    <row r="1403" hidden="1">
      <c r="A1403" s="6" t="s">
        <v>104</v>
      </c>
      <c r="B1403" s="13" t="s">
        <v>334</v>
      </c>
      <c r="C1403" s="38" t="s">
        <v>335</v>
      </c>
      <c r="D1403" s="15">
        <v>22.0</v>
      </c>
      <c r="E1403" s="10">
        <f t="shared" si="2"/>
        <v>1100</v>
      </c>
      <c r="F1403" s="10"/>
    </row>
    <row r="1404" hidden="1">
      <c r="A1404" s="6" t="s">
        <v>104</v>
      </c>
      <c r="B1404" s="13" t="s">
        <v>309</v>
      </c>
      <c r="C1404" s="38" t="s">
        <v>310</v>
      </c>
      <c r="D1404" s="15">
        <v>17.0</v>
      </c>
      <c r="E1404" s="10">
        <f t="shared" si="2"/>
        <v>850</v>
      </c>
      <c r="F1404" s="10"/>
    </row>
    <row r="1405" hidden="1">
      <c r="A1405" s="6" t="s">
        <v>104</v>
      </c>
      <c r="B1405" s="13" t="s">
        <v>336</v>
      </c>
      <c r="C1405" s="38" t="s">
        <v>330</v>
      </c>
      <c r="D1405" s="15">
        <v>22.0</v>
      </c>
      <c r="E1405" s="10">
        <f t="shared" si="2"/>
        <v>1100</v>
      </c>
      <c r="F1405" s="10"/>
    </row>
    <row r="1406" hidden="1">
      <c r="A1406" s="6" t="s">
        <v>104</v>
      </c>
      <c r="B1406" s="13" t="s">
        <v>324</v>
      </c>
      <c r="C1406" s="38" t="s">
        <v>328</v>
      </c>
      <c r="D1406" s="15">
        <v>32.0</v>
      </c>
      <c r="E1406" s="10">
        <f t="shared" si="2"/>
        <v>1600</v>
      </c>
      <c r="F1406" s="10"/>
    </row>
    <row r="1407" hidden="1">
      <c r="A1407" s="6" t="s">
        <v>104</v>
      </c>
      <c r="B1407" s="13" t="s">
        <v>250</v>
      </c>
      <c r="C1407" s="38" t="s">
        <v>137</v>
      </c>
      <c r="D1407" s="15">
        <v>2.0</v>
      </c>
      <c r="E1407" s="10">
        <f t="shared" si="2"/>
        <v>100</v>
      </c>
      <c r="F1407" s="10"/>
    </row>
    <row r="1408" hidden="1">
      <c r="A1408" s="6" t="s">
        <v>104</v>
      </c>
      <c r="B1408" s="13" t="s">
        <v>331</v>
      </c>
      <c r="C1408" s="38" t="s">
        <v>133</v>
      </c>
      <c r="D1408" s="15">
        <v>12.0</v>
      </c>
      <c r="E1408" s="10">
        <f t="shared" si="2"/>
        <v>600</v>
      </c>
      <c r="F1408" s="10"/>
    </row>
    <row r="1409" hidden="1">
      <c r="A1409" s="6" t="s">
        <v>105</v>
      </c>
      <c r="B1409" s="13" t="s">
        <v>160</v>
      </c>
      <c r="C1409" s="38" t="s">
        <v>140</v>
      </c>
      <c r="D1409" s="15">
        <v>30.0</v>
      </c>
      <c r="E1409" s="10">
        <f t="shared" si="2"/>
        <v>1500</v>
      </c>
      <c r="F1409" s="10"/>
    </row>
    <row r="1410" hidden="1">
      <c r="A1410" s="6" t="s">
        <v>105</v>
      </c>
      <c r="B1410" s="13" t="s">
        <v>161</v>
      </c>
      <c r="C1410" s="38" t="s">
        <v>152</v>
      </c>
      <c r="D1410" s="15">
        <v>31.0</v>
      </c>
      <c r="E1410" s="10">
        <f t="shared" si="2"/>
        <v>1550</v>
      </c>
      <c r="F1410" s="10"/>
    </row>
    <row r="1411" hidden="1">
      <c r="A1411" s="6" t="s">
        <v>105</v>
      </c>
      <c r="B1411" s="13" t="s">
        <v>162</v>
      </c>
      <c r="C1411" s="38" t="s">
        <v>163</v>
      </c>
      <c r="D1411" s="15">
        <v>41.0</v>
      </c>
      <c r="E1411" s="10">
        <f t="shared" si="2"/>
        <v>2050</v>
      </c>
      <c r="F1411" s="10"/>
    </row>
    <row r="1412" hidden="1">
      <c r="A1412" s="6" t="s">
        <v>105</v>
      </c>
      <c r="B1412" s="13" t="s">
        <v>164</v>
      </c>
      <c r="C1412" s="38" t="s">
        <v>158</v>
      </c>
      <c r="D1412" s="15">
        <v>44.0</v>
      </c>
      <c r="E1412" s="10">
        <f t="shared" si="2"/>
        <v>2200</v>
      </c>
      <c r="F1412" s="10"/>
    </row>
    <row r="1413" hidden="1">
      <c r="A1413" s="6" t="s">
        <v>105</v>
      </c>
      <c r="B1413" s="13" t="s">
        <v>165</v>
      </c>
      <c r="C1413" s="38" t="s">
        <v>166</v>
      </c>
      <c r="D1413" s="15">
        <v>46.0</v>
      </c>
      <c r="E1413" s="10">
        <f t="shared" si="2"/>
        <v>2300</v>
      </c>
      <c r="F1413" s="10"/>
    </row>
    <row r="1414" hidden="1">
      <c r="A1414" s="6" t="s">
        <v>105</v>
      </c>
      <c r="B1414" s="13" t="s">
        <v>167</v>
      </c>
      <c r="C1414" s="38" t="s">
        <v>157</v>
      </c>
      <c r="D1414" s="15">
        <v>40.0</v>
      </c>
      <c r="E1414" s="10">
        <f t="shared" si="2"/>
        <v>2000</v>
      </c>
      <c r="F1414" s="10"/>
    </row>
    <row r="1415" hidden="1">
      <c r="A1415" s="6" t="s">
        <v>105</v>
      </c>
      <c r="B1415" s="13" t="s">
        <v>168</v>
      </c>
      <c r="C1415" s="38" t="s">
        <v>169</v>
      </c>
      <c r="D1415" s="15">
        <v>34.0</v>
      </c>
      <c r="E1415" s="10">
        <f t="shared" si="2"/>
        <v>1700</v>
      </c>
      <c r="F1415" s="10"/>
    </row>
    <row r="1416" hidden="1">
      <c r="A1416" s="6" t="s">
        <v>105</v>
      </c>
      <c r="B1416" s="13" t="s">
        <v>170</v>
      </c>
      <c r="C1416" s="38" t="s">
        <v>171</v>
      </c>
      <c r="D1416" s="15">
        <v>9.0</v>
      </c>
      <c r="E1416" s="10">
        <f t="shared" si="2"/>
        <v>450</v>
      </c>
      <c r="F1416" s="10"/>
    </row>
    <row r="1417" hidden="1">
      <c r="A1417" s="6" t="s">
        <v>105</v>
      </c>
      <c r="B1417" s="13" t="s">
        <v>295</v>
      </c>
      <c r="C1417" s="38" t="s">
        <v>296</v>
      </c>
      <c r="D1417" s="15">
        <v>33.0</v>
      </c>
      <c r="E1417" s="10">
        <f t="shared" si="2"/>
        <v>1650</v>
      </c>
      <c r="F1417" s="10"/>
    </row>
    <row r="1418" hidden="1">
      <c r="A1418" s="6" t="s">
        <v>105</v>
      </c>
      <c r="B1418" s="13" t="s">
        <v>172</v>
      </c>
      <c r="C1418" s="38" t="s">
        <v>173</v>
      </c>
      <c r="D1418" s="15">
        <v>19.0</v>
      </c>
      <c r="E1418" s="10">
        <f t="shared" si="2"/>
        <v>950</v>
      </c>
      <c r="F1418" s="10"/>
    </row>
    <row r="1419" hidden="1">
      <c r="A1419" s="6" t="s">
        <v>105</v>
      </c>
      <c r="B1419" s="13" t="s">
        <v>322</v>
      </c>
      <c r="C1419" s="38" t="s">
        <v>323</v>
      </c>
      <c r="D1419" s="15">
        <v>49.0</v>
      </c>
      <c r="E1419" s="10">
        <f t="shared" si="2"/>
        <v>2450</v>
      </c>
      <c r="F1419" s="10"/>
    </row>
    <row r="1420" hidden="1">
      <c r="A1420" s="6" t="s">
        <v>105</v>
      </c>
      <c r="B1420" s="13" t="s">
        <v>297</v>
      </c>
      <c r="C1420" s="38" t="s">
        <v>153</v>
      </c>
      <c r="D1420" s="15">
        <v>21.0</v>
      </c>
      <c r="E1420" s="10">
        <f t="shared" si="2"/>
        <v>1050</v>
      </c>
      <c r="F1420" s="10"/>
    </row>
    <row r="1421" hidden="1">
      <c r="A1421" s="6" t="s">
        <v>105</v>
      </c>
      <c r="B1421" s="13" t="s">
        <v>174</v>
      </c>
      <c r="C1421" s="38" t="s">
        <v>175</v>
      </c>
      <c r="D1421" s="15">
        <v>34.0</v>
      </c>
      <c r="E1421" s="10">
        <f t="shared" si="2"/>
        <v>1700</v>
      </c>
      <c r="F1421" s="10"/>
    </row>
    <row r="1422" hidden="1">
      <c r="A1422" s="6" t="s">
        <v>105</v>
      </c>
      <c r="B1422" s="13" t="s">
        <v>176</v>
      </c>
      <c r="C1422" s="38" t="s">
        <v>130</v>
      </c>
      <c r="D1422" s="15">
        <v>26.0</v>
      </c>
      <c r="E1422" s="10">
        <f t="shared" si="2"/>
        <v>1300</v>
      </c>
      <c r="F1422" s="10"/>
    </row>
    <row r="1423" hidden="1">
      <c r="A1423" s="6" t="s">
        <v>105</v>
      </c>
      <c r="B1423" s="13" t="s">
        <v>252</v>
      </c>
      <c r="C1423" s="38" t="s">
        <v>139</v>
      </c>
      <c r="D1423" s="15">
        <v>37.0</v>
      </c>
      <c r="E1423" s="10">
        <f t="shared" si="2"/>
        <v>1850</v>
      </c>
      <c r="F1423" s="10"/>
    </row>
    <row r="1424" hidden="1">
      <c r="A1424" s="6" t="s">
        <v>105</v>
      </c>
      <c r="B1424" s="13" t="s">
        <v>177</v>
      </c>
      <c r="C1424" s="38" t="s">
        <v>144</v>
      </c>
      <c r="D1424" s="15">
        <v>35.0</v>
      </c>
      <c r="E1424" s="10">
        <f t="shared" si="2"/>
        <v>1750</v>
      </c>
      <c r="F1424" s="10"/>
    </row>
    <row r="1425" hidden="1">
      <c r="A1425" s="6" t="s">
        <v>105</v>
      </c>
      <c r="B1425" s="13" t="s">
        <v>270</v>
      </c>
      <c r="C1425" s="38" t="s">
        <v>126</v>
      </c>
      <c r="D1425" s="15">
        <v>24.0</v>
      </c>
      <c r="E1425" s="10">
        <f t="shared" si="2"/>
        <v>1200</v>
      </c>
      <c r="F1425" s="10"/>
    </row>
    <row r="1426" hidden="1">
      <c r="A1426" s="6" t="s">
        <v>105</v>
      </c>
      <c r="B1426" s="13" t="s">
        <v>178</v>
      </c>
      <c r="C1426" s="38" t="s">
        <v>179</v>
      </c>
      <c r="D1426" s="15">
        <v>32.0</v>
      </c>
      <c r="E1426" s="10">
        <f t="shared" si="2"/>
        <v>1600</v>
      </c>
      <c r="F1426" s="10"/>
    </row>
    <row r="1427" hidden="1">
      <c r="A1427" s="6" t="s">
        <v>105</v>
      </c>
      <c r="B1427" s="13" t="s">
        <v>180</v>
      </c>
      <c r="C1427" s="38" t="s">
        <v>181</v>
      </c>
      <c r="D1427" s="15">
        <v>54.0</v>
      </c>
      <c r="E1427" s="10">
        <f t="shared" si="2"/>
        <v>2700</v>
      </c>
      <c r="F1427" s="10"/>
    </row>
    <row r="1428" hidden="1">
      <c r="A1428" s="6" t="s">
        <v>105</v>
      </c>
      <c r="B1428" s="13" t="s">
        <v>236</v>
      </c>
      <c r="C1428" s="38" t="s">
        <v>159</v>
      </c>
      <c r="D1428" s="15">
        <v>20.0</v>
      </c>
      <c r="E1428" s="10">
        <f t="shared" si="2"/>
        <v>1000</v>
      </c>
      <c r="F1428" s="10"/>
    </row>
    <row r="1429" hidden="1">
      <c r="A1429" s="6" t="s">
        <v>105</v>
      </c>
      <c r="B1429" s="13" t="s">
        <v>182</v>
      </c>
      <c r="C1429" s="38" t="s">
        <v>183</v>
      </c>
      <c r="D1429" s="15">
        <v>32.0</v>
      </c>
      <c r="E1429" s="10">
        <f t="shared" si="2"/>
        <v>1600</v>
      </c>
      <c r="F1429" s="10"/>
    </row>
    <row r="1430" hidden="1">
      <c r="A1430" s="6" t="s">
        <v>105</v>
      </c>
      <c r="B1430" s="13" t="s">
        <v>184</v>
      </c>
      <c r="C1430" s="38" t="s">
        <v>185</v>
      </c>
      <c r="D1430" s="15">
        <v>21.0</v>
      </c>
      <c r="E1430" s="10">
        <f t="shared" si="2"/>
        <v>1050</v>
      </c>
      <c r="F1430" s="10"/>
    </row>
    <row r="1431" hidden="1">
      <c r="A1431" s="6" t="s">
        <v>105</v>
      </c>
      <c r="B1431" s="13" t="s">
        <v>212</v>
      </c>
      <c r="C1431" s="38" t="s">
        <v>213</v>
      </c>
      <c r="D1431" s="15">
        <v>29.0</v>
      </c>
      <c r="E1431" s="10">
        <f t="shared" si="2"/>
        <v>1450</v>
      </c>
      <c r="F1431" s="10"/>
    </row>
    <row r="1432" hidden="1">
      <c r="A1432" s="6" t="s">
        <v>105</v>
      </c>
      <c r="B1432" s="13" t="s">
        <v>186</v>
      </c>
      <c r="C1432" s="38" t="s">
        <v>187</v>
      </c>
      <c r="D1432" s="15">
        <v>38.0</v>
      </c>
      <c r="E1432" s="10">
        <f t="shared" si="2"/>
        <v>1900</v>
      </c>
      <c r="F1432" s="10"/>
    </row>
    <row r="1433" hidden="1">
      <c r="A1433" s="6" t="s">
        <v>105</v>
      </c>
      <c r="B1433" s="13" t="s">
        <v>188</v>
      </c>
      <c r="C1433" s="38" t="s">
        <v>189</v>
      </c>
      <c r="D1433" s="15">
        <v>31.0</v>
      </c>
      <c r="E1433" s="10">
        <f t="shared" si="2"/>
        <v>1550</v>
      </c>
      <c r="F1433" s="10"/>
    </row>
    <row r="1434" hidden="1">
      <c r="A1434" s="6" t="s">
        <v>105</v>
      </c>
      <c r="B1434" s="13" t="s">
        <v>190</v>
      </c>
      <c r="C1434" s="38" t="s">
        <v>191</v>
      </c>
      <c r="D1434" s="15">
        <v>27.0</v>
      </c>
      <c r="E1434" s="10">
        <f t="shared" si="2"/>
        <v>1350</v>
      </c>
      <c r="F1434" s="10"/>
    </row>
    <row r="1435" hidden="1">
      <c r="A1435" s="6" t="s">
        <v>105</v>
      </c>
      <c r="B1435" s="13" t="s">
        <v>192</v>
      </c>
      <c r="C1435" s="38" t="s">
        <v>193</v>
      </c>
      <c r="D1435" s="15">
        <v>25.0</v>
      </c>
      <c r="E1435" s="10">
        <f t="shared" si="2"/>
        <v>1250</v>
      </c>
      <c r="F1435" s="10"/>
    </row>
    <row r="1436" hidden="1">
      <c r="A1436" s="6" t="s">
        <v>105</v>
      </c>
      <c r="B1436" s="13" t="s">
        <v>253</v>
      </c>
      <c r="C1436" s="38" t="s">
        <v>254</v>
      </c>
      <c r="D1436" s="15">
        <v>28.0</v>
      </c>
      <c r="E1436" s="10">
        <f t="shared" si="2"/>
        <v>1400</v>
      </c>
      <c r="F1436" s="10"/>
    </row>
    <row r="1437" hidden="1">
      <c r="A1437" s="6" t="s">
        <v>105</v>
      </c>
      <c r="B1437" s="13" t="s">
        <v>283</v>
      </c>
      <c r="C1437" s="38" t="s">
        <v>314</v>
      </c>
      <c r="D1437" s="15">
        <v>6.0</v>
      </c>
      <c r="E1437" s="10">
        <f t="shared" si="2"/>
        <v>300</v>
      </c>
      <c r="F1437" s="10"/>
    </row>
    <row r="1438" hidden="1">
      <c r="A1438" s="6" t="s">
        <v>105</v>
      </c>
      <c r="B1438" s="13" t="s">
        <v>336</v>
      </c>
      <c r="C1438" s="38" t="s">
        <v>330</v>
      </c>
      <c r="D1438" s="15">
        <v>3.0</v>
      </c>
      <c r="E1438" s="10">
        <f t="shared" si="2"/>
        <v>150</v>
      </c>
      <c r="F1438" s="10"/>
    </row>
    <row r="1439" hidden="1">
      <c r="A1439" s="6" t="s">
        <v>105</v>
      </c>
      <c r="B1439" s="13" t="s">
        <v>324</v>
      </c>
      <c r="C1439" s="38" t="s">
        <v>328</v>
      </c>
      <c r="D1439" s="15">
        <v>2.0</v>
      </c>
      <c r="E1439" s="10">
        <f t="shared" si="2"/>
        <v>100</v>
      </c>
      <c r="F1439" s="10"/>
    </row>
    <row r="1440" hidden="1">
      <c r="A1440" s="6" t="s">
        <v>105</v>
      </c>
      <c r="B1440" s="13" t="s">
        <v>250</v>
      </c>
      <c r="C1440" s="38" t="s">
        <v>137</v>
      </c>
      <c r="D1440" s="15">
        <v>2.0</v>
      </c>
      <c r="E1440" s="10">
        <f t="shared" si="2"/>
        <v>100</v>
      </c>
      <c r="F1440" s="10"/>
    </row>
    <row r="1441" hidden="1">
      <c r="A1441" s="6" t="s">
        <v>105</v>
      </c>
      <c r="B1441" s="13" t="s">
        <v>331</v>
      </c>
      <c r="C1441" s="38" t="s">
        <v>133</v>
      </c>
      <c r="D1441" s="15">
        <v>8.0</v>
      </c>
      <c r="E1441" s="10">
        <f t="shared" si="2"/>
        <v>400</v>
      </c>
      <c r="F1441" s="10"/>
    </row>
    <row r="1442" hidden="1">
      <c r="A1442" s="6" t="s">
        <v>105</v>
      </c>
      <c r="B1442" s="13" t="s">
        <v>260</v>
      </c>
      <c r="C1442" s="38" t="s">
        <v>261</v>
      </c>
      <c r="D1442" s="15">
        <v>16.0</v>
      </c>
      <c r="E1442" s="10">
        <f t="shared" si="2"/>
        <v>800</v>
      </c>
      <c r="F1442" s="10"/>
    </row>
    <row r="1443" hidden="1">
      <c r="A1443" s="6" t="s">
        <v>106</v>
      </c>
      <c r="B1443" s="13" t="s">
        <v>160</v>
      </c>
      <c r="C1443" s="38" t="s">
        <v>140</v>
      </c>
      <c r="D1443" s="15">
        <v>32.0</v>
      </c>
      <c r="E1443" s="10">
        <f t="shared" si="2"/>
        <v>1600</v>
      </c>
      <c r="F1443" s="10"/>
    </row>
    <row r="1444" hidden="1">
      <c r="A1444" s="6" t="s">
        <v>106</v>
      </c>
      <c r="B1444" s="13" t="s">
        <v>161</v>
      </c>
      <c r="C1444" s="38" t="s">
        <v>152</v>
      </c>
      <c r="D1444" s="15">
        <v>32.0</v>
      </c>
      <c r="E1444" s="10">
        <f t="shared" si="2"/>
        <v>1600</v>
      </c>
      <c r="F1444" s="10"/>
    </row>
    <row r="1445" hidden="1">
      <c r="A1445" s="6" t="s">
        <v>106</v>
      </c>
      <c r="B1445" s="13" t="s">
        <v>162</v>
      </c>
      <c r="C1445" s="38" t="s">
        <v>163</v>
      </c>
      <c r="D1445" s="15">
        <v>36.0</v>
      </c>
      <c r="E1445" s="10">
        <f t="shared" si="2"/>
        <v>1800</v>
      </c>
      <c r="F1445" s="10"/>
    </row>
    <row r="1446" hidden="1">
      <c r="A1446" s="6" t="s">
        <v>106</v>
      </c>
      <c r="B1446" s="13" t="s">
        <v>164</v>
      </c>
      <c r="C1446" s="38" t="s">
        <v>158</v>
      </c>
      <c r="D1446" s="15">
        <v>42.0</v>
      </c>
      <c r="E1446" s="10">
        <f t="shared" si="2"/>
        <v>2100</v>
      </c>
      <c r="F1446" s="10"/>
    </row>
    <row r="1447" hidden="1">
      <c r="A1447" s="6" t="s">
        <v>106</v>
      </c>
      <c r="B1447" s="13" t="s">
        <v>165</v>
      </c>
      <c r="C1447" s="38" t="s">
        <v>166</v>
      </c>
      <c r="D1447" s="15">
        <v>50.0</v>
      </c>
      <c r="E1447" s="10">
        <f t="shared" si="2"/>
        <v>2500</v>
      </c>
      <c r="F1447" s="10"/>
    </row>
    <row r="1448" hidden="1">
      <c r="A1448" s="6" t="s">
        <v>106</v>
      </c>
      <c r="B1448" s="13" t="s">
        <v>167</v>
      </c>
      <c r="C1448" s="38" t="s">
        <v>157</v>
      </c>
      <c r="D1448" s="15">
        <v>35.0</v>
      </c>
      <c r="E1448" s="10">
        <f t="shared" si="2"/>
        <v>1750</v>
      </c>
      <c r="F1448" s="10"/>
    </row>
    <row r="1449" hidden="1">
      <c r="A1449" s="6" t="s">
        <v>106</v>
      </c>
      <c r="B1449" s="13" t="s">
        <v>168</v>
      </c>
      <c r="C1449" s="38" t="s">
        <v>169</v>
      </c>
      <c r="D1449" s="15">
        <v>33.0</v>
      </c>
      <c r="E1449" s="10">
        <f t="shared" si="2"/>
        <v>1650</v>
      </c>
      <c r="F1449" s="10"/>
    </row>
    <row r="1450" hidden="1">
      <c r="A1450" s="6" t="s">
        <v>106</v>
      </c>
      <c r="B1450" s="13" t="s">
        <v>170</v>
      </c>
      <c r="C1450" s="38" t="s">
        <v>171</v>
      </c>
      <c r="D1450" s="15">
        <v>11.0</v>
      </c>
      <c r="E1450" s="10">
        <f t="shared" si="2"/>
        <v>550</v>
      </c>
      <c r="F1450" s="10"/>
    </row>
    <row r="1451" hidden="1">
      <c r="A1451" s="6" t="s">
        <v>106</v>
      </c>
      <c r="B1451" s="13" t="s">
        <v>295</v>
      </c>
      <c r="C1451" s="38" t="s">
        <v>296</v>
      </c>
      <c r="D1451" s="15">
        <v>35.0</v>
      </c>
      <c r="E1451" s="10">
        <f t="shared" si="2"/>
        <v>1750</v>
      </c>
      <c r="F1451" s="10"/>
    </row>
    <row r="1452" hidden="1">
      <c r="A1452" s="6" t="s">
        <v>106</v>
      </c>
      <c r="B1452" s="13" t="s">
        <v>172</v>
      </c>
      <c r="C1452" s="38" t="s">
        <v>173</v>
      </c>
      <c r="D1452" s="15">
        <v>34.0</v>
      </c>
      <c r="E1452" s="10">
        <f t="shared" si="2"/>
        <v>1700</v>
      </c>
      <c r="F1452" s="10"/>
    </row>
    <row r="1453" hidden="1">
      <c r="A1453" s="6" t="s">
        <v>106</v>
      </c>
      <c r="B1453" s="13" t="s">
        <v>322</v>
      </c>
      <c r="C1453" s="38" t="s">
        <v>323</v>
      </c>
      <c r="D1453" s="15">
        <v>52.0</v>
      </c>
      <c r="E1453" s="10">
        <f t="shared" si="2"/>
        <v>2600</v>
      </c>
      <c r="F1453" s="10"/>
    </row>
    <row r="1454" hidden="1">
      <c r="A1454" s="6" t="s">
        <v>106</v>
      </c>
      <c r="B1454" s="13" t="s">
        <v>297</v>
      </c>
      <c r="C1454" s="38" t="s">
        <v>153</v>
      </c>
      <c r="D1454" s="15">
        <v>29.0</v>
      </c>
      <c r="E1454" s="10">
        <f t="shared" si="2"/>
        <v>1450</v>
      </c>
      <c r="F1454" s="10"/>
    </row>
    <row r="1455" hidden="1">
      <c r="A1455" s="6" t="s">
        <v>106</v>
      </c>
      <c r="B1455" s="13" t="s">
        <v>174</v>
      </c>
      <c r="C1455" s="38" t="s">
        <v>175</v>
      </c>
      <c r="D1455" s="15">
        <v>26.0</v>
      </c>
      <c r="E1455" s="10">
        <f t="shared" si="2"/>
        <v>1300</v>
      </c>
      <c r="F1455" s="10"/>
    </row>
    <row r="1456" hidden="1">
      <c r="A1456" s="6" t="s">
        <v>106</v>
      </c>
      <c r="B1456" s="13" t="s">
        <v>176</v>
      </c>
      <c r="C1456" s="38" t="s">
        <v>130</v>
      </c>
      <c r="D1456" s="15">
        <v>36.0</v>
      </c>
      <c r="E1456" s="10">
        <f t="shared" si="2"/>
        <v>1800</v>
      </c>
      <c r="F1456" s="10"/>
    </row>
    <row r="1457" hidden="1">
      <c r="A1457" s="6" t="s">
        <v>106</v>
      </c>
      <c r="B1457" s="13" t="s">
        <v>252</v>
      </c>
      <c r="C1457" s="38" t="s">
        <v>139</v>
      </c>
      <c r="D1457" s="15">
        <v>47.0</v>
      </c>
      <c r="E1457" s="10">
        <f t="shared" si="2"/>
        <v>2350</v>
      </c>
      <c r="F1457" s="10"/>
    </row>
    <row r="1458" hidden="1">
      <c r="A1458" s="6" t="s">
        <v>106</v>
      </c>
      <c r="B1458" s="13" t="s">
        <v>177</v>
      </c>
      <c r="C1458" s="38" t="s">
        <v>144</v>
      </c>
      <c r="D1458" s="15">
        <v>27.0</v>
      </c>
      <c r="E1458" s="10">
        <f t="shared" si="2"/>
        <v>1350</v>
      </c>
      <c r="F1458" s="10"/>
    </row>
    <row r="1459" hidden="1">
      <c r="A1459" s="6" t="s">
        <v>106</v>
      </c>
      <c r="B1459" s="13" t="s">
        <v>270</v>
      </c>
      <c r="C1459" s="38" t="s">
        <v>126</v>
      </c>
      <c r="D1459" s="15">
        <v>25.0</v>
      </c>
      <c r="E1459" s="10">
        <f t="shared" si="2"/>
        <v>1250</v>
      </c>
      <c r="F1459" s="10"/>
    </row>
    <row r="1460" hidden="1">
      <c r="A1460" s="6" t="s">
        <v>106</v>
      </c>
      <c r="B1460" s="13" t="s">
        <v>178</v>
      </c>
      <c r="C1460" s="38" t="s">
        <v>179</v>
      </c>
      <c r="D1460" s="15">
        <v>37.0</v>
      </c>
      <c r="E1460" s="10">
        <f t="shared" si="2"/>
        <v>1850</v>
      </c>
      <c r="F1460" s="10"/>
    </row>
    <row r="1461" hidden="1">
      <c r="A1461" s="6" t="s">
        <v>106</v>
      </c>
      <c r="B1461" s="13" t="s">
        <v>363</v>
      </c>
      <c r="C1461" s="38" t="s">
        <v>364</v>
      </c>
      <c r="D1461" s="15">
        <v>14.0</v>
      </c>
      <c r="E1461" s="10">
        <f t="shared" si="2"/>
        <v>700</v>
      </c>
      <c r="F1461" s="10"/>
    </row>
    <row r="1462" hidden="1">
      <c r="A1462" s="6" t="s">
        <v>106</v>
      </c>
      <c r="B1462" s="13" t="s">
        <v>180</v>
      </c>
      <c r="C1462" s="38" t="s">
        <v>181</v>
      </c>
      <c r="D1462" s="15">
        <v>61.0</v>
      </c>
      <c r="E1462" s="10">
        <f t="shared" si="2"/>
        <v>3050</v>
      </c>
      <c r="F1462" s="10"/>
    </row>
    <row r="1463" hidden="1">
      <c r="A1463" s="6" t="s">
        <v>106</v>
      </c>
      <c r="B1463" s="13" t="s">
        <v>236</v>
      </c>
      <c r="C1463" s="38" t="s">
        <v>159</v>
      </c>
      <c r="D1463" s="15">
        <v>29.0</v>
      </c>
      <c r="E1463" s="10">
        <f t="shared" si="2"/>
        <v>1450</v>
      </c>
      <c r="F1463" s="10"/>
    </row>
    <row r="1464" hidden="1">
      <c r="A1464" s="6" t="s">
        <v>106</v>
      </c>
      <c r="B1464" s="13" t="s">
        <v>182</v>
      </c>
      <c r="C1464" s="38" t="s">
        <v>183</v>
      </c>
      <c r="D1464" s="15">
        <v>12.0</v>
      </c>
      <c r="E1464" s="10">
        <f t="shared" si="2"/>
        <v>600</v>
      </c>
      <c r="F1464" s="10"/>
    </row>
    <row r="1465" hidden="1">
      <c r="A1465" s="6" t="s">
        <v>106</v>
      </c>
      <c r="B1465" s="13" t="s">
        <v>184</v>
      </c>
      <c r="C1465" s="38" t="s">
        <v>185</v>
      </c>
      <c r="D1465" s="15">
        <v>30.0</v>
      </c>
      <c r="E1465" s="10">
        <f t="shared" si="2"/>
        <v>1500</v>
      </c>
      <c r="F1465" s="10"/>
    </row>
    <row r="1466" hidden="1">
      <c r="A1466" s="6" t="s">
        <v>106</v>
      </c>
      <c r="B1466" s="13" t="s">
        <v>212</v>
      </c>
      <c r="C1466" s="38" t="s">
        <v>213</v>
      </c>
      <c r="D1466" s="15">
        <v>26.0</v>
      </c>
      <c r="E1466" s="10">
        <f t="shared" si="2"/>
        <v>1300</v>
      </c>
      <c r="F1466" s="10"/>
    </row>
    <row r="1467" hidden="1">
      <c r="A1467" s="6" t="s">
        <v>106</v>
      </c>
      <c r="B1467" s="13" t="s">
        <v>186</v>
      </c>
      <c r="C1467" s="38" t="s">
        <v>187</v>
      </c>
      <c r="D1467" s="15">
        <v>45.0</v>
      </c>
      <c r="E1467" s="10">
        <f t="shared" si="2"/>
        <v>2250</v>
      </c>
      <c r="F1467" s="10"/>
    </row>
    <row r="1468" hidden="1">
      <c r="A1468" s="6" t="s">
        <v>106</v>
      </c>
      <c r="B1468" s="13" t="s">
        <v>188</v>
      </c>
      <c r="C1468" s="38" t="s">
        <v>189</v>
      </c>
      <c r="D1468" s="15">
        <v>24.0</v>
      </c>
      <c r="E1468" s="10">
        <f t="shared" si="2"/>
        <v>1200</v>
      </c>
      <c r="F1468" s="10"/>
    </row>
    <row r="1469" hidden="1">
      <c r="A1469" s="6" t="s">
        <v>106</v>
      </c>
      <c r="B1469" s="13" t="s">
        <v>190</v>
      </c>
      <c r="C1469" s="38" t="s">
        <v>191</v>
      </c>
      <c r="D1469" s="15">
        <v>12.0</v>
      </c>
      <c r="E1469" s="10">
        <f t="shared" si="2"/>
        <v>600</v>
      </c>
      <c r="F1469" s="10"/>
    </row>
    <row r="1470" hidden="1">
      <c r="A1470" s="6" t="s">
        <v>106</v>
      </c>
      <c r="B1470" s="13" t="s">
        <v>192</v>
      </c>
      <c r="C1470" s="38" t="s">
        <v>193</v>
      </c>
      <c r="D1470" s="15">
        <v>12.0</v>
      </c>
      <c r="E1470" s="10">
        <f t="shared" si="2"/>
        <v>600</v>
      </c>
      <c r="F1470" s="10"/>
    </row>
    <row r="1471" hidden="1">
      <c r="A1471" s="6" t="s">
        <v>106</v>
      </c>
      <c r="B1471" s="13" t="s">
        <v>253</v>
      </c>
      <c r="C1471" s="38" t="s">
        <v>254</v>
      </c>
      <c r="D1471" s="15">
        <v>14.0</v>
      </c>
      <c r="E1471" s="10">
        <f t="shared" si="2"/>
        <v>700</v>
      </c>
      <c r="F1471" s="10"/>
    </row>
    <row r="1472" hidden="1">
      <c r="A1472" s="6" t="s">
        <v>106</v>
      </c>
      <c r="B1472" s="13" t="s">
        <v>317</v>
      </c>
      <c r="C1472" s="38" t="s">
        <v>329</v>
      </c>
      <c r="D1472" s="15">
        <v>11.0</v>
      </c>
      <c r="E1472" s="10">
        <f t="shared" si="2"/>
        <v>550</v>
      </c>
      <c r="F1472" s="10"/>
    </row>
    <row r="1473" hidden="1">
      <c r="A1473" s="6" t="s">
        <v>106</v>
      </c>
      <c r="B1473" s="13" t="s">
        <v>365</v>
      </c>
      <c r="C1473" s="38" t="s">
        <v>366</v>
      </c>
      <c r="D1473" s="15">
        <v>5.0</v>
      </c>
      <c r="E1473" s="10">
        <f t="shared" si="2"/>
        <v>250</v>
      </c>
      <c r="F1473" s="10"/>
    </row>
    <row r="1474" hidden="1">
      <c r="A1474" s="6" t="s">
        <v>106</v>
      </c>
      <c r="B1474" s="13" t="s">
        <v>367</v>
      </c>
      <c r="C1474" s="38" t="s">
        <v>368</v>
      </c>
      <c r="D1474" s="15">
        <v>12.0</v>
      </c>
      <c r="E1474" s="10">
        <f t="shared" si="2"/>
        <v>600</v>
      </c>
      <c r="F1474" s="10"/>
    </row>
    <row r="1475" hidden="1">
      <c r="A1475" s="6" t="s">
        <v>106</v>
      </c>
      <c r="B1475" s="13" t="s">
        <v>326</v>
      </c>
      <c r="C1475" s="38" t="s">
        <v>327</v>
      </c>
      <c r="D1475" s="15">
        <v>5.0</v>
      </c>
      <c r="E1475" s="10">
        <f t="shared" si="2"/>
        <v>250</v>
      </c>
      <c r="F1475" s="10"/>
    </row>
    <row r="1476" hidden="1">
      <c r="A1476" s="6" t="s">
        <v>106</v>
      </c>
      <c r="B1476" s="13" t="s">
        <v>279</v>
      </c>
      <c r="C1476" s="38" t="s">
        <v>369</v>
      </c>
      <c r="D1476" s="15">
        <v>3.0</v>
      </c>
      <c r="E1476" s="10">
        <f t="shared" si="2"/>
        <v>150</v>
      </c>
      <c r="F1476" s="10"/>
    </row>
    <row r="1477" hidden="1">
      <c r="A1477" s="6" t="s">
        <v>106</v>
      </c>
      <c r="B1477" s="13" t="s">
        <v>332</v>
      </c>
      <c r="C1477" s="38" t="s">
        <v>333</v>
      </c>
      <c r="D1477" s="15">
        <v>4.0</v>
      </c>
      <c r="E1477" s="10">
        <f t="shared" si="2"/>
        <v>200</v>
      </c>
      <c r="F1477" s="10"/>
    </row>
    <row r="1478" hidden="1">
      <c r="A1478" s="6" t="s">
        <v>106</v>
      </c>
      <c r="B1478" s="13" t="s">
        <v>283</v>
      </c>
      <c r="C1478" s="38" t="s">
        <v>314</v>
      </c>
      <c r="D1478" s="15">
        <v>1.0</v>
      </c>
      <c r="E1478" s="10">
        <f t="shared" si="2"/>
        <v>50</v>
      </c>
      <c r="F1478" s="10"/>
    </row>
    <row r="1479" hidden="1">
      <c r="A1479" s="6" t="s">
        <v>106</v>
      </c>
      <c r="B1479" s="13" t="s">
        <v>331</v>
      </c>
      <c r="C1479" s="38" t="s">
        <v>133</v>
      </c>
      <c r="D1479" s="15">
        <v>16.0</v>
      </c>
      <c r="E1479" s="10">
        <f t="shared" si="2"/>
        <v>800</v>
      </c>
      <c r="F1479" s="10"/>
    </row>
    <row r="1480" hidden="1">
      <c r="A1480" s="6" t="s">
        <v>106</v>
      </c>
      <c r="B1480" s="13" t="s">
        <v>260</v>
      </c>
      <c r="C1480" s="38" t="s">
        <v>261</v>
      </c>
      <c r="D1480" s="15">
        <v>24.0</v>
      </c>
      <c r="E1480" s="10">
        <f t="shared" si="2"/>
        <v>1200</v>
      </c>
      <c r="F1480" s="10"/>
    </row>
    <row r="1481" hidden="1">
      <c r="A1481" s="6" t="s">
        <v>107</v>
      </c>
      <c r="B1481" s="13" t="s">
        <v>365</v>
      </c>
      <c r="C1481" s="38" t="s">
        <v>366</v>
      </c>
      <c r="D1481" s="15">
        <v>11.0</v>
      </c>
      <c r="E1481" s="10">
        <f t="shared" si="2"/>
        <v>550</v>
      </c>
      <c r="F1481" s="10"/>
    </row>
    <row r="1482" hidden="1">
      <c r="A1482" s="6" t="s">
        <v>107</v>
      </c>
      <c r="B1482" s="13" t="s">
        <v>270</v>
      </c>
      <c r="C1482" s="38" t="s">
        <v>126</v>
      </c>
      <c r="D1482" s="15">
        <v>17.0</v>
      </c>
      <c r="E1482" s="10">
        <f t="shared" si="2"/>
        <v>850</v>
      </c>
      <c r="F1482" s="10"/>
    </row>
    <row r="1483" hidden="1">
      <c r="A1483" s="6" t="s">
        <v>107</v>
      </c>
      <c r="B1483" s="13" t="s">
        <v>279</v>
      </c>
      <c r="C1483" s="38" t="s">
        <v>369</v>
      </c>
      <c r="D1483" s="15">
        <v>7.0</v>
      </c>
      <c r="E1483" s="10">
        <f t="shared" si="2"/>
        <v>350</v>
      </c>
      <c r="F1483" s="10"/>
    </row>
    <row r="1484" hidden="1">
      <c r="A1484" s="6" t="s">
        <v>107</v>
      </c>
      <c r="B1484" s="13" t="s">
        <v>184</v>
      </c>
      <c r="C1484" s="38" t="s">
        <v>185</v>
      </c>
      <c r="D1484" s="15">
        <v>21.0</v>
      </c>
      <c r="E1484" s="10">
        <f t="shared" si="2"/>
        <v>1050</v>
      </c>
      <c r="F1484" s="10"/>
    </row>
    <row r="1485" hidden="1">
      <c r="A1485" s="6" t="s">
        <v>107</v>
      </c>
      <c r="B1485" s="13" t="s">
        <v>167</v>
      </c>
      <c r="C1485" s="38" t="s">
        <v>157</v>
      </c>
      <c r="D1485" s="15">
        <v>31.0</v>
      </c>
      <c r="E1485" s="10">
        <f t="shared" si="2"/>
        <v>1550</v>
      </c>
      <c r="F1485" s="10"/>
    </row>
    <row r="1486" hidden="1">
      <c r="A1486" s="6" t="s">
        <v>107</v>
      </c>
      <c r="B1486" s="13" t="s">
        <v>164</v>
      </c>
      <c r="C1486" s="38" t="s">
        <v>158</v>
      </c>
      <c r="D1486" s="15">
        <v>26.0</v>
      </c>
      <c r="E1486" s="10">
        <f t="shared" si="2"/>
        <v>1300</v>
      </c>
      <c r="F1486" s="10"/>
    </row>
    <row r="1487" hidden="1">
      <c r="A1487" s="6" t="s">
        <v>107</v>
      </c>
      <c r="B1487" s="13" t="s">
        <v>176</v>
      </c>
      <c r="C1487" s="38" t="s">
        <v>130</v>
      </c>
      <c r="D1487" s="15">
        <v>28.0</v>
      </c>
      <c r="E1487" s="10">
        <f t="shared" si="2"/>
        <v>1400</v>
      </c>
      <c r="F1487" s="10"/>
    </row>
    <row r="1488" hidden="1">
      <c r="A1488" s="6" t="s">
        <v>107</v>
      </c>
      <c r="B1488" s="13" t="s">
        <v>236</v>
      </c>
      <c r="C1488" s="38" t="s">
        <v>159</v>
      </c>
      <c r="D1488" s="15">
        <v>20.0</v>
      </c>
      <c r="E1488" s="10">
        <f t="shared" si="2"/>
        <v>1000</v>
      </c>
      <c r="F1488" s="10"/>
    </row>
    <row r="1489" hidden="1">
      <c r="A1489" s="6" t="s">
        <v>107</v>
      </c>
      <c r="B1489" s="13" t="s">
        <v>363</v>
      </c>
      <c r="C1489" s="38" t="s">
        <v>364</v>
      </c>
      <c r="D1489" s="15">
        <v>18.0</v>
      </c>
      <c r="E1489" s="10">
        <f t="shared" si="2"/>
        <v>900</v>
      </c>
      <c r="F1489" s="10"/>
    </row>
    <row r="1490" hidden="1">
      <c r="A1490" s="6" t="s">
        <v>107</v>
      </c>
      <c r="B1490" s="13" t="s">
        <v>326</v>
      </c>
      <c r="C1490" s="38" t="s">
        <v>327</v>
      </c>
      <c r="D1490" s="15">
        <v>8.0</v>
      </c>
      <c r="E1490" s="10">
        <f t="shared" si="2"/>
        <v>400</v>
      </c>
      <c r="F1490" s="10"/>
    </row>
    <row r="1491" hidden="1">
      <c r="A1491" s="6" t="s">
        <v>107</v>
      </c>
      <c r="B1491" s="13" t="s">
        <v>331</v>
      </c>
      <c r="C1491" s="38" t="s">
        <v>133</v>
      </c>
      <c r="D1491" s="15">
        <v>14.0</v>
      </c>
      <c r="E1491" s="10">
        <f t="shared" si="2"/>
        <v>700</v>
      </c>
      <c r="F1491" s="10"/>
    </row>
    <row r="1492" hidden="1">
      <c r="A1492" s="6" t="s">
        <v>107</v>
      </c>
      <c r="B1492" s="13" t="s">
        <v>172</v>
      </c>
      <c r="C1492" s="38" t="s">
        <v>173</v>
      </c>
      <c r="D1492" s="15">
        <v>25.0</v>
      </c>
      <c r="E1492" s="10">
        <f t="shared" si="2"/>
        <v>1250</v>
      </c>
      <c r="F1492" s="10"/>
    </row>
    <row r="1493" hidden="1">
      <c r="A1493" s="6" t="s">
        <v>107</v>
      </c>
      <c r="B1493" s="13" t="s">
        <v>332</v>
      </c>
      <c r="C1493" s="38" t="s">
        <v>333</v>
      </c>
      <c r="D1493" s="15">
        <v>9.0</v>
      </c>
      <c r="E1493" s="10">
        <f t="shared" si="2"/>
        <v>450</v>
      </c>
      <c r="F1493" s="10"/>
    </row>
    <row r="1494" hidden="1">
      <c r="A1494" s="6" t="s">
        <v>107</v>
      </c>
      <c r="B1494" s="13" t="s">
        <v>253</v>
      </c>
      <c r="C1494" s="38" t="s">
        <v>254</v>
      </c>
      <c r="D1494" s="15">
        <v>10.0</v>
      </c>
      <c r="E1494" s="10">
        <f t="shared" si="2"/>
        <v>500</v>
      </c>
      <c r="F1494" s="10"/>
    </row>
    <row r="1495" hidden="1">
      <c r="A1495" s="6" t="s">
        <v>107</v>
      </c>
      <c r="B1495" s="13" t="s">
        <v>165</v>
      </c>
      <c r="C1495" s="38" t="s">
        <v>166</v>
      </c>
      <c r="D1495" s="15">
        <v>33.0</v>
      </c>
      <c r="E1495" s="10">
        <f t="shared" si="2"/>
        <v>1650</v>
      </c>
      <c r="F1495" s="10"/>
    </row>
    <row r="1496" hidden="1">
      <c r="A1496" s="6" t="s">
        <v>107</v>
      </c>
      <c r="B1496" s="13" t="s">
        <v>186</v>
      </c>
      <c r="C1496" s="38" t="s">
        <v>187</v>
      </c>
      <c r="D1496" s="15">
        <v>38.0</v>
      </c>
      <c r="E1496" s="10">
        <f t="shared" si="2"/>
        <v>1900</v>
      </c>
      <c r="F1496" s="10"/>
    </row>
    <row r="1497" hidden="1">
      <c r="A1497" s="6" t="s">
        <v>107</v>
      </c>
      <c r="B1497" s="13" t="s">
        <v>170</v>
      </c>
      <c r="C1497" s="38" t="s">
        <v>171</v>
      </c>
      <c r="D1497" s="15">
        <v>4.0</v>
      </c>
      <c r="E1497" s="10">
        <f t="shared" si="2"/>
        <v>200</v>
      </c>
      <c r="F1497" s="10"/>
    </row>
    <row r="1498" hidden="1">
      <c r="A1498" s="6" t="s">
        <v>107</v>
      </c>
      <c r="B1498" s="13" t="s">
        <v>192</v>
      </c>
      <c r="C1498" s="38" t="s">
        <v>193</v>
      </c>
      <c r="D1498" s="15">
        <v>18.0</v>
      </c>
      <c r="E1498" s="10">
        <f t="shared" si="2"/>
        <v>900</v>
      </c>
      <c r="F1498" s="10"/>
    </row>
    <row r="1499" hidden="1">
      <c r="A1499" s="6" t="s">
        <v>107</v>
      </c>
      <c r="B1499" s="13" t="s">
        <v>180</v>
      </c>
      <c r="C1499" s="38" t="s">
        <v>181</v>
      </c>
      <c r="D1499" s="15">
        <v>24.0</v>
      </c>
      <c r="E1499" s="10">
        <f t="shared" si="2"/>
        <v>1200</v>
      </c>
      <c r="F1499" s="10"/>
    </row>
    <row r="1500" hidden="1">
      <c r="A1500" s="6" t="s">
        <v>107</v>
      </c>
      <c r="B1500" s="13" t="s">
        <v>252</v>
      </c>
      <c r="C1500" s="38" t="s">
        <v>139</v>
      </c>
      <c r="D1500" s="15">
        <v>43.0</v>
      </c>
      <c r="E1500" s="10">
        <f t="shared" si="2"/>
        <v>2150</v>
      </c>
      <c r="F1500" s="10"/>
    </row>
    <row r="1501" hidden="1">
      <c r="A1501" s="6" t="s">
        <v>107</v>
      </c>
      <c r="B1501" s="13" t="s">
        <v>160</v>
      </c>
      <c r="C1501" s="38" t="s">
        <v>140</v>
      </c>
      <c r="D1501" s="15">
        <v>23.0</v>
      </c>
      <c r="E1501" s="10">
        <f t="shared" si="2"/>
        <v>1150</v>
      </c>
      <c r="F1501" s="10"/>
    </row>
    <row r="1502" hidden="1">
      <c r="A1502" s="6" t="s">
        <v>107</v>
      </c>
      <c r="B1502" s="13" t="s">
        <v>212</v>
      </c>
      <c r="C1502" s="38" t="s">
        <v>213</v>
      </c>
      <c r="D1502" s="15">
        <v>19.0</v>
      </c>
      <c r="E1502" s="10">
        <f t="shared" si="2"/>
        <v>950</v>
      </c>
      <c r="F1502" s="10"/>
    </row>
    <row r="1503" hidden="1">
      <c r="A1503" s="6" t="s">
        <v>107</v>
      </c>
      <c r="B1503" s="13" t="s">
        <v>367</v>
      </c>
      <c r="C1503" s="38" t="s">
        <v>368</v>
      </c>
      <c r="D1503" s="15">
        <v>10.0</v>
      </c>
      <c r="E1503" s="10">
        <f t="shared" si="2"/>
        <v>500</v>
      </c>
      <c r="F1503" s="10"/>
    </row>
    <row r="1504" hidden="1">
      <c r="A1504" s="6" t="s">
        <v>107</v>
      </c>
      <c r="B1504" s="13" t="s">
        <v>168</v>
      </c>
      <c r="C1504" s="38" t="s">
        <v>169</v>
      </c>
      <c r="D1504" s="15">
        <v>21.0</v>
      </c>
      <c r="E1504" s="10">
        <f t="shared" si="2"/>
        <v>1050</v>
      </c>
      <c r="F1504" s="10"/>
    </row>
    <row r="1505" hidden="1">
      <c r="A1505" s="6" t="s">
        <v>107</v>
      </c>
      <c r="B1505" s="13" t="s">
        <v>177</v>
      </c>
      <c r="C1505" s="38" t="s">
        <v>144</v>
      </c>
      <c r="D1505" s="15">
        <v>16.0</v>
      </c>
      <c r="E1505" s="10">
        <f t="shared" si="2"/>
        <v>800</v>
      </c>
      <c r="F1505" s="10"/>
    </row>
    <row r="1506" hidden="1">
      <c r="A1506" s="6" t="s">
        <v>107</v>
      </c>
      <c r="B1506" s="13" t="s">
        <v>162</v>
      </c>
      <c r="C1506" s="38" t="s">
        <v>163</v>
      </c>
      <c r="D1506" s="15">
        <v>24.0</v>
      </c>
      <c r="E1506" s="10">
        <f t="shared" si="2"/>
        <v>1200</v>
      </c>
      <c r="F1506" s="10"/>
    </row>
    <row r="1507" hidden="1">
      <c r="A1507" s="6" t="s">
        <v>107</v>
      </c>
      <c r="B1507" s="13" t="s">
        <v>188</v>
      </c>
      <c r="C1507" s="38" t="s">
        <v>189</v>
      </c>
      <c r="D1507" s="15">
        <v>17.0</v>
      </c>
      <c r="E1507" s="10">
        <f t="shared" si="2"/>
        <v>850</v>
      </c>
      <c r="F1507" s="10"/>
    </row>
    <row r="1508" hidden="1">
      <c r="A1508" s="6" t="s">
        <v>107</v>
      </c>
      <c r="B1508" s="13" t="s">
        <v>260</v>
      </c>
      <c r="C1508" s="38" t="s">
        <v>261</v>
      </c>
      <c r="D1508" s="15">
        <v>14.0</v>
      </c>
      <c r="E1508" s="10">
        <f t="shared" si="2"/>
        <v>700</v>
      </c>
      <c r="F1508" s="10"/>
    </row>
    <row r="1509" hidden="1">
      <c r="A1509" s="6" t="s">
        <v>107</v>
      </c>
      <c r="B1509" s="13" t="s">
        <v>190</v>
      </c>
      <c r="C1509" s="38" t="s">
        <v>191</v>
      </c>
      <c r="D1509" s="15">
        <v>7.0</v>
      </c>
      <c r="E1509" s="10">
        <f t="shared" si="2"/>
        <v>350</v>
      </c>
      <c r="F1509" s="10"/>
    </row>
    <row r="1510" hidden="1">
      <c r="A1510" s="6" t="s">
        <v>107</v>
      </c>
      <c r="B1510" s="13" t="s">
        <v>317</v>
      </c>
      <c r="C1510" s="38" t="s">
        <v>329</v>
      </c>
      <c r="D1510" s="15">
        <v>20.0</v>
      </c>
      <c r="E1510" s="10">
        <f t="shared" si="2"/>
        <v>1000</v>
      </c>
      <c r="F1510" s="10"/>
    </row>
    <row r="1511" hidden="1">
      <c r="A1511" s="6" t="s">
        <v>107</v>
      </c>
      <c r="B1511" s="13" t="s">
        <v>178</v>
      </c>
      <c r="C1511" s="38" t="s">
        <v>179</v>
      </c>
      <c r="D1511" s="15">
        <v>27.0</v>
      </c>
      <c r="E1511" s="10">
        <f t="shared" si="2"/>
        <v>1350</v>
      </c>
      <c r="F1511" s="10"/>
    </row>
    <row r="1512" hidden="1">
      <c r="A1512" s="6" t="s">
        <v>107</v>
      </c>
      <c r="B1512" s="13" t="s">
        <v>174</v>
      </c>
      <c r="C1512" s="38" t="s">
        <v>175</v>
      </c>
      <c r="D1512" s="15">
        <v>30.0</v>
      </c>
      <c r="E1512" s="10">
        <f t="shared" si="2"/>
        <v>1500</v>
      </c>
      <c r="F1512" s="10"/>
    </row>
    <row r="1513" hidden="1">
      <c r="A1513" s="6" t="s">
        <v>107</v>
      </c>
      <c r="B1513" s="13" t="s">
        <v>322</v>
      </c>
      <c r="C1513" s="38" t="s">
        <v>323</v>
      </c>
      <c r="D1513" s="15">
        <v>30.0</v>
      </c>
      <c r="E1513" s="10">
        <f t="shared" si="2"/>
        <v>1500</v>
      </c>
      <c r="F1513" s="10"/>
    </row>
    <row r="1514" hidden="1">
      <c r="A1514" s="6" t="s">
        <v>107</v>
      </c>
      <c r="B1514" s="13" t="s">
        <v>182</v>
      </c>
      <c r="C1514" s="38" t="s">
        <v>183</v>
      </c>
      <c r="D1514" s="15">
        <v>12.0</v>
      </c>
      <c r="E1514" s="10">
        <f t="shared" si="2"/>
        <v>600</v>
      </c>
      <c r="F1514" s="10"/>
    </row>
    <row r="1515" hidden="1">
      <c r="A1515" s="6" t="s">
        <v>107</v>
      </c>
      <c r="B1515" s="13" t="s">
        <v>161</v>
      </c>
      <c r="C1515" s="38" t="s">
        <v>152</v>
      </c>
      <c r="D1515" s="15">
        <v>26.0</v>
      </c>
      <c r="E1515" s="10">
        <f t="shared" si="2"/>
        <v>1300</v>
      </c>
      <c r="F1515" s="10"/>
    </row>
    <row r="1516" hidden="1">
      <c r="A1516" s="6" t="s">
        <v>107</v>
      </c>
      <c r="B1516" s="13" t="s">
        <v>297</v>
      </c>
      <c r="C1516" s="38" t="s">
        <v>153</v>
      </c>
      <c r="D1516" s="15">
        <v>18.0</v>
      </c>
      <c r="E1516" s="10">
        <f t="shared" si="2"/>
        <v>900</v>
      </c>
      <c r="F1516" s="10"/>
    </row>
    <row r="1517" hidden="1">
      <c r="A1517" s="6" t="s">
        <v>107</v>
      </c>
      <c r="B1517" s="13" t="s">
        <v>295</v>
      </c>
      <c r="C1517" s="38" t="s">
        <v>296</v>
      </c>
      <c r="D1517" s="15">
        <v>56.0</v>
      </c>
      <c r="E1517" s="10">
        <f t="shared" si="2"/>
        <v>2800</v>
      </c>
      <c r="F1517" s="10"/>
    </row>
    <row r="1518" hidden="1">
      <c r="A1518" s="6" t="s">
        <v>108</v>
      </c>
      <c r="B1518" s="7" t="s">
        <v>270</v>
      </c>
      <c r="C1518" s="38" t="s">
        <v>126</v>
      </c>
      <c r="D1518" s="15">
        <v>24.0</v>
      </c>
      <c r="E1518" s="10">
        <f t="shared" si="2"/>
        <v>1200</v>
      </c>
      <c r="F1518" s="10"/>
    </row>
    <row r="1519" hidden="1">
      <c r="A1519" s="6" t="s">
        <v>108</v>
      </c>
      <c r="B1519" s="7" t="s">
        <v>184</v>
      </c>
      <c r="C1519" s="38" t="s">
        <v>185</v>
      </c>
      <c r="D1519" s="15">
        <v>24.0</v>
      </c>
      <c r="E1519" s="10">
        <f t="shared" si="2"/>
        <v>1200</v>
      </c>
      <c r="F1519" s="10"/>
    </row>
    <row r="1520" hidden="1">
      <c r="A1520" s="6" t="s">
        <v>108</v>
      </c>
      <c r="B1520" s="7" t="s">
        <v>167</v>
      </c>
      <c r="C1520" s="38" t="s">
        <v>157</v>
      </c>
      <c r="D1520" s="15">
        <v>46.0</v>
      </c>
      <c r="E1520" s="10">
        <f t="shared" si="2"/>
        <v>2300</v>
      </c>
      <c r="F1520" s="10"/>
    </row>
    <row r="1521" hidden="1">
      <c r="A1521" s="6" t="s">
        <v>108</v>
      </c>
      <c r="B1521" s="7" t="s">
        <v>164</v>
      </c>
      <c r="C1521" s="38" t="s">
        <v>158</v>
      </c>
      <c r="D1521" s="15">
        <v>46.0</v>
      </c>
      <c r="E1521" s="10">
        <f t="shared" si="2"/>
        <v>2300</v>
      </c>
      <c r="F1521" s="10"/>
    </row>
    <row r="1522" hidden="1">
      <c r="A1522" s="6" t="s">
        <v>108</v>
      </c>
      <c r="B1522" s="7" t="s">
        <v>176</v>
      </c>
      <c r="C1522" s="38" t="s">
        <v>130</v>
      </c>
      <c r="D1522" s="15">
        <v>22.0</v>
      </c>
      <c r="E1522" s="10">
        <f t="shared" si="2"/>
        <v>1100</v>
      </c>
      <c r="F1522" s="10"/>
    </row>
    <row r="1523" hidden="1">
      <c r="A1523" s="6" t="s">
        <v>108</v>
      </c>
      <c r="B1523" s="7" t="s">
        <v>236</v>
      </c>
      <c r="C1523" s="38" t="s">
        <v>159</v>
      </c>
      <c r="D1523" s="15">
        <v>28.0</v>
      </c>
      <c r="E1523" s="10">
        <f t="shared" si="2"/>
        <v>1400</v>
      </c>
      <c r="F1523" s="10"/>
    </row>
    <row r="1524" hidden="1">
      <c r="A1524" s="6" t="s">
        <v>108</v>
      </c>
      <c r="B1524" s="7" t="s">
        <v>363</v>
      </c>
      <c r="C1524" s="38" t="s">
        <v>364</v>
      </c>
      <c r="D1524" s="15">
        <v>22.0</v>
      </c>
      <c r="E1524" s="10">
        <f t="shared" si="2"/>
        <v>1100</v>
      </c>
      <c r="F1524" s="10"/>
    </row>
    <row r="1525" hidden="1">
      <c r="A1525" s="6" t="s">
        <v>108</v>
      </c>
      <c r="B1525" s="7" t="s">
        <v>331</v>
      </c>
      <c r="C1525" s="38" t="s">
        <v>133</v>
      </c>
      <c r="D1525" s="15">
        <v>42.0</v>
      </c>
      <c r="E1525" s="10">
        <f t="shared" si="2"/>
        <v>2100</v>
      </c>
      <c r="F1525" s="10"/>
    </row>
    <row r="1526" hidden="1">
      <c r="A1526" s="6" t="s">
        <v>108</v>
      </c>
      <c r="B1526" s="7" t="s">
        <v>172</v>
      </c>
      <c r="C1526" s="38" t="s">
        <v>173</v>
      </c>
      <c r="D1526" s="15">
        <v>35.0</v>
      </c>
      <c r="E1526" s="10">
        <f t="shared" si="2"/>
        <v>1750</v>
      </c>
      <c r="F1526" s="10"/>
    </row>
    <row r="1527" hidden="1">
      <c r="A1527" s="6" t="s">
        <v>108</v>
      </c>
      <c r="B1527" s="7" t="s">
        <v>253</v>
      </c>
      <c r="C1527" s="38" t="s">
        <v>254</v>
      </c>
      <c r="D1527" s="15">
        <v>20.0</v>
      </c>
      <c r="E1527" s="10">
        <f t="shared" si="2"/>
        <v>1000</v>
      </c>
      <c r="F1527" s="10"/>
    </row>
    <row r="1528" hidden="1">
      <c r="A1528" s="6" t="s">
        <v>108</v>
      </c>
      <c r="B1528" s="7" t="s">
        <v>165</v>
      </c>
      <c r="C1528" s="38" t="s">
        <v>166</v>
      </c>
      <c r="D1528" s="15">
        <v>50.0</v>
      </c>
      <c r="E1528" s="10">
        <f t="shared" si="2"/>
        <v>2500</v>
      </c>
      <c r="F1528" s="10"/>
    </row>
    <row r="1529" hidden="1">
      <c r="A1529" s="6" t="s">
        <v>108</v>
      </c>
      <c r="B1529" s="7" t="s">
        <v>186</v>
      </c>
      <c r="C1529" s="38" t="s">
        <v>187</v>
      </c>
      <c r="D1529" s="15">
        <v>52.0</v>
      </c>
      <c r="E1529" s="10">
        <f t="shared" si="2"/>
        <v>2600</v>
      </c>
      <c r="F1529" s="10"/>
    </row>
    <row r="1530" hidden="1">
      <c r="A1530" s="6" t="s">
        <v>108</v>
      </c>
      <c r="B1530" s="7" t="s">
        <v>170</v>
      </c>
      <c r="C1530" s="38" t="s">
        <v>171</v>
      </c>
      <c r="D1530" s="15">
        <v>3.0</v>
      </c>
      <c r="E1530" s="10">
        <f t="shared" si="2"/>
        <v>150</v>
      </c>
      <c r="F1530" s="10"/>
    </row>
    <row r="1531" hidden="1">
      <c r="A1531" s="6" t="s">
        <v>108</v>
      </c>
      <c r="B1531" s="7" t="s">
        <v>192</v>
      </c>
      <c r="C1531" s="38" t="s">
        <v>193</v>
      </c>
      <c r="D1531" s="15">
        <v>21.0</v>
      </c>
      <c r="E1531" s="10">
        <f t="shared" si="2"/>
        <v>1050</v>
      </c>
      <c r="F1531" s="10"/>
    </row>
    <row r="1532" hidden="1">
      <c r="A1532" s="6" t="s">
        <v>108</v>
      </c>
      <c r="B1532" s="7" t="s">
        <v>180</v>
      </c>
      <c r="C1532" s="38" t="s">
        <v>181</v>
      </c>
      <c r="D1532" s="15">
        <v>52.0</v>
      </c>
      <c r="E1532" s="10">
        <f t="shared" si="2"/>
        <v>2600</v>
      </c>
      <c r="F1532" s="10"/>
    </row>
    <row r="1533" hidden="1">
      <c r="A1533" s="6" t="s">
        <v>108</v>
      </c>
      <c r="B1533" s="7" t="s">
        <v>252</v>
      </c>
      <c r="C1533" s="38" t="s">
        <v>139</v>
      </c>
      <c r="D1533" s="15">
        <v>50.0</v>
      </c>
      <c r="E1533" s="10">
        <f t="shared" si="2"/>
        <v>2500</v>
      </c>
      <c r="F1533" s="10"/>
    </row>
    <row r="1534" hidden="1">
      <c r="A1534" s="6" t="s">
        <v>108</v>
      </c>
      <c r="B1534" s="7" t="s">
        <v>160</v>
      </c>
      <c r="C1534" s="38" t="s">
        <v>140</v>
      </c>
      <c r="D1534" s="15">
        <v>39.0</v>
      </c>
      <c r="E1534" s="10">
        <f t="shared" si="2"/>
        <v>1950</v>
      </c>
      <c r="F1534" s="10"/>
    </row>
    <row r="1535" hidden="1">
      <c r="A1535" s="6" t="s">
        <v>108</v>
      </c>
      <c r="B1535" s="7" t="s">
        <v>212</v>
      </c>
      <c r="C1535" s="38" t="s">
        <v>213</v>
      </c>
      <c r="D1535" s="15">
        <v>23.0</v>
      </c>
      <c r="E1535" s="10">
        <f t="shared" si="2"/>
        <v>1150</v>
      </c>
      <c r="F1535" s="10"/>
    </row>
    <row r="1536" hidden="1">
      <c r="A1536" s="6" t="s">
        <v>108</v>
      </c>
      <c r="B1536" s="7" t="s">
        <v>168</v>
      </c>
      <c r="C1536" s="38" t="s">
        <v>169</v>
      </c>
      <c r="D1536" s="15">
        <v>28.0</v>
      </c>
      <c r="E1536" s="10">
        <f t="shared" si="2"/>
        <v>1400</v>
      </c>
      <c r="F1536" s="10"/>
    </row>
    <row r="1537" hidden="1">
      <c r="A1537" s="6" t="s">
        <v>108</v>
      </c>
      <c r="B1537" s="7" t="s">
        <v>177</v>
      </c>
      <c r="C1537" s="38" t="s">
        <v>144</v>
      </c>
      <c r="D1537" s="15">
        <v>32.0</v>
      </c>
      <c r="E1537" s="10">
        <f t="shared" si="2"/>
        <v>1600</v>
      </c>
      <c r="F1537" s="10"/>
    </row>
    <row r="1538" hidden="1">
      <c r="A1538" s="6" t="s">
        <v>108</v>
      </c>
      <c r="B1538" s="7" t="s">
        <v>162</v>
      </c>
      <c r="C1538" s="38" t="s">
        <v>163</v>
      </c>
      <c r="D1538" s="15">
        <v>10.0</v>
      </c>
      <c r="E1538" s="10">
        <f t="shared" si="2"/>
        <v>500</v>
      </c>
      <c r="F1538" s="10"/>
    </row>
    <row r="1539" hidden="1">
      <c r="A1539" s="6" t="s">
        <v>108</v>
      </c>
      <c r="B1539" s="7" t="s">
        <v>188</v>
      </c>
      <c r="C1539" s="38" t="s">
        <v>189</v>
      </c>
      <c r="D1539" s="15">
        <v>20.0</v>
      </c>
      <c r="E1539" s="10">
        <f t="shared" si="2"/>
        <v>1000</v>
      </c>
      <c r="F1539" s="10"/>
    </row>
    <row r="1540" hidden="1">
      <c r="A1540" s="6" t="s">
        <v>108</v>
      </c>
      <c r="B1540" s="7" t="s">
        <v>260</v>
      </c>
      <c r="C1540" s="38" t="s">
        <v>261</v>
      </c>
      <c r="D1540" s="15">
        <v>18.0</v>
      </c>
      <c r="E1540" s="10">
        <f t="shared" si="2"/>
        <v>900</v>
      </c>
      <c r="F1540" s="10"/>
    </row>
    <row r="1541" hidden="1">
      <c r="A1541" s="6" t="s">
        <v>108</v>
      </c>
      <c r="B1541" s="7" t="s">
        <v>190</v>
      </c>
      <c r="C1541" s="38" t="s">
        <v>191</v>
      </c>
      <c r="D1541" s="15">
        <v>10.0</v>
      </c>
      <c r="E1541" s="10">
        <f t="shared" si="2"/>
        <v>500</v>
      </c>
      <c r="F1541" s="10"/>
    </row>
    <row r="1542" hidden="1">
      <c r="A1542" s="6" t="s">
        <v>108</v>
      </c>
      <c r="B1542" s="7" t="s">
        <v>178</v>
      </c>
      <c r="C1542" s="38" t="s">
        <v>179</v>
      </c>
      <c r="D1542" s="15">
        <v>40.0</v>
      </c>
      <c r="E1542" s="10">
        <f t="shared" si="2"/>
        <v>2000</v>
      </c>
      <c r="F1542" s="10"/>
    </row>
    <row r="1543" hidden="1">
      <c r="A1543" s="6" t="s">
        <v>108</v>
      </c>
      <c r="B1543" s="7" t="s">
        <v>174</v>
      </c>
      <c r="C1543" s="38" t="s">
        <v>175</v>
      </c>
      <c r="D1543" s="15">
        <v>37.0</v>
      </c>
      <c r="E1543" s="10">
        <f t="shared" si="2"/>
        <v>1850</v>
      </c>
      <c r="F1543" s="10"/>
    </row>
    <row r="1544" hidden="1">
      <c r="A1544" s="6" t="s">
        <v>108</v>
      </c>
      <c r="B1544" s="7" t="s">
        <v>322</v>
      </c>
      <c r="C1544" s="38" t="s">
        <v>323</v>
      </c>
      <c r="D1544" s="15">
        <v>50.0</v>
      </c>
      <c r="E1544" s="10">
        <f t="shared" si="2"/>
        <v>2500</v>
      </c>
      <c r="F1544" s="10"/>
    </row>
    <row r="1545" hidden="1">
      <c r="A1545" s="6" t="s">
        <v>108</v>
      </c>
      <c r="B1545" s="7" t="s">
        <v>182</v>
      </c>
      <c r="C1545" s="38" t="s">
        <v>183</v>
      </c>
      <c r="D1545" s="15">
        <v>31.0</v>
      </c>
      <c r="E1545" s="10">
        <f t="shared" si="2"/>
        <v>1550</v>
      </c>
      <c r="F1545" s="10"/>
    </row>
    <row r="1546" hidden="1">
      <c r="A1546" s="6" t="s">
        <v>108</v>
      </c>
      <c r="B1546" s="7" t="s">
        <v>161</v>
      </c>
      <c r="C1546" s="38" t="s">
        <v>152</v>
      </c>
      <c r="D1546" s="15">
        <v>27.0</v>
      </c>
      <c r="E1546" s="10">
        <f t="shared" si="2"/>
        <v>1350</v>
      </c>
      <c r="F1546" s="10"/>
    </row>
    <row r="1547" hidden="1">
      <c r="A1547" s="6" t="s">
        <v>108</v>
      </c>
      <c r="B1547" s="7" t="s">
        <v>297</v>
      </c>
      <c r="C1547" s="38" t="s">
        <v>153</v>
      </c>
      <c r="D1547" s="15">
        <v>23.0</v>
      </c>
      <c r="E1547" s="10">
        <f t="shared" si="2"/>
        <v>1150</v>
      </c>
      <c r="F1547" s="10"/>
    </row>
    <row r="1548" hidden="1">
      <c r="A1548" s="6" t="s">
        <v>108</v>
      </c>
      <c r="B1548" s="7" t="s">
        <v>295</v>
      </c>
      <c r="C1548" s="38" t="s">
        <v>296</v>
      </c>
      <c r="D1548" s="15">
        <v>48.0</v>
      </c>
      <c r="E1548" s="10">
        <f t="shared" si="2"/>
        <v>2400</v>
      </c>
      <c r="F1548" s="10"/>
    </row>
    <row r="1549" hidden="1">
      <c r="A1549" s="6" t="s">
        <v>109</v>
      </c>
      <c r="B1549" s="7" t="s">
        <v>160</v>
      </c>
      <c r="C1549" s="38" t="s">
        <v>140</v>
      </c>
      <c r="D1549" s="15">
        <v>32.0</v>
      </c>
      <c r="E1549" s="10">
        <f t="shared" si="2"/>
        <v>1600</v>
      </c>
      <c r="F1549" s="10"/>
    </row>
    <row r="1550" hidden="1">
      <c r="A1550" s="6" t="s">
        <v>109</v>
      </c>
      <c r="B1550" s="7" t="s">
        <v>161</v>
      </c>
      <c r="C1550" s="38" t="s">
        <v>152</v>
      </c>
      <c r="D1550" s="15">
        <v>29.0</v>
      </c>
      <c r="E1550" s="10">
        <f t="shared" si="2"/>
        <v>1450</v>
      </c>
      <c r="F1550" s="10"/>
    </row>
    <row r="1551" hidden="1">
      <c r="A1551" s="6" t="s">
        <v>109</v>
      </c>
      <c r="B1551" s="7" t="s">
        <v>162</v>
      </c>
      <c r="C1551" s="38" t="s">
        <v>163</v>
      </c>
      <c r="D1551" s="15">
        <v>29.0</v>
      </c>
      <c r="E1551" s="10">
        <f t="shared" si="2"/>
        <v>1450</v>
      </c>
      <c r="F1551" s="10"/>
    </row>
    <row r="1552" hidden="1">
      <c r="A1552" s="6" t="s">
        <v>109</v>
      </c>
      <c r="B1552" s="7" t="s">
        <v>164</v>
      </c>
      <c r="C1552" s="38" t="s">
        <v>158</v>
      </c>
      <c r="D1552" s="15">
        <v>37.0</v>
      </c>
      <c r="E1552" s="10">
        <f t="shared" si="2"/>
        <v>1850</v>
      </c>
      <c r="F1552" s="10"/>
    </row>
    <row r="1553" hidden="1">
      <c r="A1553" s="6" t="s">
        <v>109</v>
      </c>
      <c r="B1553" s="7" t="s">
        <v>165</v>
      </c>
      <c r="C1553" s="38" t="s">
        <v>166</v>
      </c>
      <c r="D1553" s="15">
        <v>37.0</v>
      </c>
      <c r="E1553" s="10">
        <f t="shared" si="2"/>
        <v>1850</v>
      </c>
      <c r="F1553" s="10"/>
    </row>
    <row r="1554" hidden="1">
      <c r="A1554" s="6" t="s">
        <v>109</v>
      </c>
      <c r="B1554" s="7" t="s">
        <v>167</v>
      </c>
      <c r="C1554" s="38" t="s">
        <v>157</v>
      </c>
      <c r="D1554" s="15">
        <v>35.0</v>
      </c>
      <c r="E1554" s="10">
        <f t="shared" si="2"/>
        <v>1750</v>
      </c>
      <c r="F1554" s="10"/>
    </row>
    <row r="1555" hidden="1">
      <c r="A1555" s="6" t="s">
        <v>109</v>
      </c>
      <c r="B1555" s="7" t="s">
        <v>168</v>
      </c>
      <c r="C1555" s="38" t="s">
        <v>169</v>
      </c>
      <c r="D1555" s="15">
        <v>26.0</v>
      </c>
      <c r="E1555" s="10">
        <f t="shared" si="2"/>
        <v>1300</v>
      </c>
      <c r="F1555" s="10"/>
    </row>
    <row r="1556" hidden="1">
      <c r="A1556" s="6" t="s">
        <v>109</v>
      </c>
      <c r="B1556" s="7" t="s">
        <v>170</v>
      </c>
      <c r="C1556" s="38" t="s">
        <v>171</v>
      </c>
      <c r="D1556" s="15">
        <v>4.0</v>
      </c>
      <c r="E1556" s="10">
        <f t="shared" si="2"/>
        <v>200</v>
      </c>
      <c r="F1556" s="10"/>
    </row>
    <row r="1557" hidden="1">
      <c r="A1557" s="6" t="s">
        <v>109</v>
      </c>
      <c r="B1557" s="7" t="s">
        <v>295</v>
      </c>
      <c r="C1557" s="38" t="s">
        <v>296</v>
      </c>
      <c r="D1557" s="15">
        <v>50.0</v>
      </c>
      <c r="E1557" s="10">
        <f t="shared" si="2"/>
        <v>2500</v>
      </c>
      <c r="F1557" s="10"/>
    </row>
    <row r="1558" hidden="1">
      <c r="A1558" s="6" t="s">
        <v>109</v>
      </c>
      <c r="B1558" s="7" t="s">
        <v>172</v>
      </c>
      <c r="C1558" s="38" t="s">
        <v>173</v>
      </c>
      <c r="D1558" s="15">
        <v>21.0</v>
      </c>
      <c r="E1558" s="10">
        <f t="shared" si="2"/>
        <v>1050</v>
      </c>
      <c r="F1558" s="10"/>
    </row>
    <row r="1559" hidden="1">
      <c r="A1559" s="6" t="s">
        <v>109</v>
      </c>
      <c r="B1559" s="7" t="s">
        <v>322</v>
      </c>
      <c r="C1559" s="38" t="s">
        <v>323</v>
      </c>
      <c r="D1559" s="15">
        <v>60.0</v>
      </c>
      <c r="E1559" s="10">
        <f t="shared" si="2"/>
        <v>3000</v>
      </c>
      <c r="F1559" s="10"/>
    </row>
    <row r="1560" hidden="1">
      <c r="A1560" s="6" t="s">
        <v>109</v>
      </c>
      <c r="B1560" s="7" t="s">
        <v>297</v>
      </c>
      <c r="C1560" s="38" t="s">
        <v>153</v>
      </c>
      <c r="D1560" s="15">
        <v>28.0</v>
      </c>
      <c r="E1560" s="10">
        <f t="shared" si="2"/>
        <v>1400</v>
      </c>
      <c r="F1560" s="10"/>
    </row>
    <row r="1561" hidden="1">
      <c r="A1561" s="6" t="s">
        <v>109</v>
      </c>
      <c r="B1561" s="7" t="s">
        <v>174</v>
      </c>
      <c r="C1561" s="38" t="s">
        <v>175</v>
      </c>
      <c r="D1561" s="15">
        <v>30.0</v>
      </c>
      <c r="E1561" s="10">
        <f t="shared" si="2"/>
        <v>1500</v>
      </c>
      <c r="F1561" s="10"/>
    </row>
    <row r="1562" hidden="1">
      <c r="A1562" s="6" t="s">
        <v>109</v>
      </c>
      <c r="B1562" s="7" t="s">
        <v>176</v>
      </c>
      <c r="C1562" s="38" t="s">
        <v>130</v>
      </c>
      <c r="D1562" s="15">
        <v>49.0</v>
      </c>
      <c r="E1562" s="10">
        <f t="shared" si="2"/>
        <v>2450</v>
      </c>
      <c r="F1562" s="10"/>
    </row>
    <row r="1563" hidden="1">
      <c r="A1563" s="6" t="s">
        <v>109</v>
      </c>
      <c r="B1563" s="7" t="s">
        <v>252</v>
      </c>
      <c r="C1563" s="38" t="s">
        <v>139</v>
      </c>
      <c r="D1563" s="15">
        <v>42.0</v>
      </c>
      <c r="E1563" s="10">
        <f t="shared" si="2"/>
        <v>2100</v>
      </c>
      <c r="F1563" s="10"/>
    </row>
    <row r="1564" hidden="1">
      <c r="A1564" s="6" t="s">
        <v>109</v>
      </c>
      <c r="B1564" s="7" t="s">
        <v>177</v>
      </c>
      <c r="C1564" s="38" t="s">
        <v>144</v>
      </c>
      <c r="D1564" s="15">
        <v>29.0</v>
      </c>
      <c r="E1564" s="10">
        <f t="shared" si="2"/>
        <v>1450</v>
      </c>
      <c r="F1564" s="10"/>
    </row>
    <row r="1565" hidden="1">
      <c r="A1565" s="6" t="s">
        <v>109</v>
      </c>
      <c r="B1565" s="7" t="s">
        <v>270</v>
      </c>
      <c r="C1565" s="38" t="s">
        <v>126</v>
      </c>
      <c r="D1565" s="15">
        <v>28.0</v>
      </c>
      <c r="E1565" s="10">
        <f t="shared" si="2"/>
        <v>1400</v>
      </c>
      <c r="F1565" s="10"/>
    </row>
    <row r="1566" hidden="1">
      <c r="A1566" s="6" t="s">
        <v>109</v>
      </c>
      <c r="B1566" s="7" t="s">
        <v>178</v>
      </c>
      <c r="C1566" s="38" t="s">
        <v>179</v>
      </c>
      <c r="D1566" s="15">
        <v>34.0</v>
      </c>
      <c r="E1566" s="10">
        <f t="shared" si="2"/>
        <v>1700</v>
      </c>
      <c r="F1566" s="10"/>
    </row>
    <row r="1567" hidden="1">
      <c r="A1567" s="6" t="s">
        <v>109</v>
      </c>
      <c r="B1567" s="7" t="s">
        <v>363</v>
      </c>
      <c r="C1567" s="38" t="s">
        <v>364</v>
      </c>
      <c r="D1567" s="15">
        <v>21.0</v>
      </c>
      <c r="E1567" s="10">
        <f t="shared" si="2"/>
        <v>1050</v>
      </c>
      <c r="F1567" s="10"/>
    </row>
    <row r="1568" hidden="1">
      <c r="A1568" s="6" t="s">
        <v>109</v>
      </c>
      <c r="B1568" s="7" t="s">
        <v>180</v>
      </c>
      <c r="C1568" s="38" t="s">
        <v>181</v>
      </c>
      <c r="D1568" s="15">
        <v>37.0</v>
      </c>
      <c r="E1568" s="10">
        <f t="shared" si="2"/>
        <v>1850</v>
      </c>
      <c r="F1568" s="10"/>
    </row>
    <row r="1569" hidden="1">
      <c r="A1569" s="6" t="s">
        <v>109</v>
      </c>
      <c r="B1569" s="7" t="s">
        <v>236</v>
      </c>
      <c r="C1569" s="38" t="s">
        <v>159</v>
      </c>
      <c r="D1569" s="15">
        <v>20.0</v>
      </c>
      <c r="E1569" s="10">
        <f t="shared" si="2"/>
        <v>1000</v>
      </c>
      <c r="F1569" s="10"/>
    </row>
    <row r="1570" hidden="1">
      <c r="A1570" s="6" t="s">
        <v>109</v>
      </c>
      <c r="B1570" s="7" t="s">
        <v>182</v>
      </c>
      <c r="C1570" s="38" t="s">
        <v>183</v>
      </c>
      <c r="D1570" s="15">
        <v>34.0</v>
      </c>
      <c r="E1570" s="10">
        <f t="shared" si="2"/>
        <v>1700</v>
      </c>
      <c r="F1570" s="10"/>
    </row>
    <row r="1571" hidden="1">
      <c r="A1571" s="6" t="s">
        <v>109</v>
      </c>
      <c r="B1571" s="7" t="s">
        <v>184</v>
      </c>
      <c r="C1571" s="38" t="s">
        <v>185</v>
      </c>
      <c r="D1571" s="15">
        <v>26.0</v>
      </c>
      <c r="E1571" s="10">
        <f t="shared" si="2"/>
        <v>1300</v>
      </c>
      <c r="F1571" s="10"/>
    </row>
    <row r="1572" hidden="1">
      <c r="A1572" s="6" t="s">
        <v>109</v>
      </c>
      <c r="B1572" s="7" t="s">
        <v>212</v>
      </c>
      <c r="C1572" s="38" t="s">
        <v>213</v>
      </c>
      <c r="D1572" s="15">
        <v>25.0</v>
      </c>
      <c r="E1572" s="10">
        <f t="shared" si="2"/>
        <v>1250</v>
      </c>
      <c r="F1572" s="10"/>
    </row>
    <row r="1573" hidden="1">
      <c r="A1573" s="6" t="s">
        <v>109</v>
      </c>
      <c r="B1573" s="7" t="s">
        <v>186</v>
      </c>
      <c r="C1573" s="38" t="s">
        <v>187</v>
      </c>
      <c r="D1573" s="15">
        <v>41.0</v>
      </c>
      <c r="E1573" s="10">
        <f t="shared" si="2"/>
        <v>2050</v>
      </c>
      <c r="F1573" s="10"/>
    </row>
    <row r="1574" hidden="1">
      <c r="A1574" s="6" t="s">
        <v>109</v>
      </c>
      <c r="B1574" s="7" t="s">
        <v>188</v>
      </c>
      <c r="C1574" s="38" t="s">
        <v>189</v>
      </c>
      <c r="D1574" s="15">
        <v>31.0</v>
      </c>
      <c r="E1574" s="10">
        <f t="shared" si="2"/>
        <v>1550</v>
      </c>
      <c r="F1574" s="10"/>
    </row>
    <row r="1575" hidden="1">
      <c r="A1575" s="6" t="s">
        <v>109</v>
      </c>
      <c r="B1575" s="35" t="s">
        <v>190</v>
      </c>
      <c r="C1575" s="38" t="s">
        <v>191</v>
      </c>
      <c r="D1575" s="15">
        <v>8.0</v>
      </c>
      <c r="E1575" s="10">
        <f t="shared" si="2"/>
        <v>400</v>
      </c>
      <c r="F1575" s="10"/>
    </row>
    <row r="1576" hidden="1">
      <c r="A1576" s="6" t="s">
        <v>109</v>
      </c>
      <c r="B1576" s="13" t="s">
        <v>192</v>
      </c>
      <c r="C1576" s="38" t="s">
        <v>193</v>
      </c>
      <c r="D1576" s="15">
        <v>22.0</v>
      </c>
      <c r="E1576" s="10">
        <f t="shared" si="2"/>
        <v>1100</v>
      </c>
      <c r="F1576" s="10"/>
    </row>
    <row r="1577" hidden="1">
      <c r="A1577" s="6" t="s">
        <v>109</v>
      </c>
      <c r="B1577" s="7" t="s">
        <v>253</v>
      </c>
      <c r="C1577" s="38" t="s">
        <v>254</v>
      </c>
      <c r="D1577" s="15">
        <v>19.0</v>
      </c>
      <c r="E1577" s="10">
        <f t="shared" si="2"/>
        <v>950</v>
      </c>
      <c r="F1577" s="10"/>
    </row>
    <row r="1578" hidden="1">
      <c r="A1578" s="6" t="s">
        <v>109</v>
      </c>
      <c r="B1578" s="33" t="s">
        <v>331</v>
      </c>
      <c r="C1578" s="38" t="s">
        <v>133</v>
      </c>
      <c r="D1578" s="15">
        <v>4.0</v>
      </c>
      <c r="E1578" s="10">
        <f t="shared" si="2"/>
        <v>200</v>
      </c>
      <c r="F1578" s="10"/>
    </row>
    <row r="1579" hidden="1">
      <c r="A1579" s="6" t="s">
        <v>109</v>
      </c>
      <c r="B1579" s="33" t="s">
        <v>260</v>
      </c>
      <c r="C1579" s="38" t="s">
        <v>261</v>
      </c>
      <c r="D1579" s="15">
        <v>14.0</v>
      </c>
      <c r="E1579" s="10">
        <f t="shared" si="2"/>
        <v>700</v>
      </c>
      <c r="F1579" s="10"/>
    </row>
    <row r="1580" hidden="1">
      <c r="A1580" s="6" t="s">
        <v>110</v>
      </c>
      <c r="B1580" s="7" t="s">
        <v>270</v>
      </c>
      <c r="C1580" s="38" t="s">
        <v>126</v>
      </c>
      <c r="D1580" s="15">
        <v>19.0</v>
      </c>
      <c r="E1580" s="10">
        <f t="shared" si="2"/>
        <v>950</v>
      </c>
      <c r="F1580" s="10"/>
    </row>
    <row r="1581" hidden="1">
      <c r="A1581" s="6" t="s">
        <v>110</v>
      </c>
      <c r="B1581" s="7" t="s">
        <v>184</v>
      </c>
      <c r="C1581" s="38" t="s">
        <v>185</v>
      </c>
      <c r="D1581" s="15">
        <v>24.0</v>
      </c>
      <c r="E1581" s="10">
        <f t="shared" si="2"/>
        <v>1200</v>
      </c>
      <c r="F1581" s="10"/>
    </row>
    <row r="1582" hidden="1">
      <c r="A1582" s="6" t="s">
        <v>110</v>
      </c>
      <c r="B1582" s="7" t="s">
        <v>167</v>
      </c>
      <c r="C1582" s="38" t="s">
        <v>157</v>
      </c>
      <c r="D1582" s="15">
        <v>33.0</v>
      </c>
      <c r="E1582" s="10">
        <f t="shared" si="2"/>
        <v>1650</v>
      </c>
      <c r="F1582" s="10"/>
    </row>
    <row r="1583" hidden="1">
      <c r="A1583" s="6" t="s">
        <v>110</v>
      </c>
      <c r="B1583" s="7" t="s">
        <v>164</v>
      </c>
      <c r="C1583" s="38" t="s">
        <v>158</v>
      </c>
      <c r="D1583" s="15">
        <v>43.0</v>
      </c>
      <c r="E1583" s="10">
        <f t="shared" si="2"/>
        <v>2150</v>
      </c>
      <c r="F1583" s="10"/>
    </row>
    <row r="1584" hidden="1">
      <c r="A1584" s="6" t="s">
        <v>110</v>
      </c>
      <c r="B1584" s="7" t="s">
        <v>176</v>
      </c>
      <c r="C1584" s="38" t="s">
        <v>130</v>
      </c>
      <c r="D1584" s="15">
        <v>44.0</v>
      </c>
      <c r="E1584" s="10">
        <f t="shared" si="2"/>
        <v>2200</v>
      </c>
      <c r="F1584" s="10"/>
    </row>
    <row r="1585" hidden="1">
      <c r="A1585" s="6" t="s">
        <v>110</v>
      </c>
      <c r="B1585" s="7" t="s">
        <v>236</v>
      </c>
      <c r="C1585" s="38" t="s">
        <v>159</v>
      </c>
      <c r="D1585" s="15">
        <v>32.0</v>
      </c>
      <c r="E1585" s="10">
        <f t="shared" si="2"/>
        <v>1600</v>
      </c>
      <c r="F1585" s="10"/>
    </row>
    <row r="1586" hidden="1">
      <c r="A1586" s="6" t="s">
        <v>110</v>
      </c>
      <c r="B1586" s="7" t="s">
        <v>363</v>
      </c>
      <c r="C1586" s="38" t="s">
        <v>364</v>
      </c>
      <c r="D1586" s="15">
        <v>17.0</v>
      </c>
      <c r="E1586" s="10">
        <f t="shared" si="2"/>
        <v>850</v>
      </c>
      <c r="F1586" s="10"/>
    </row>
    <row r="1587" hidden="1">
      <c r="A1587" s="6" t="s">
        <v>110</v>
      </c>
      <c r="B1587" s="33" t="s">
        <v>331</v>
      </c>
      <c r="C1587" s="38" t="s">
        <v>133</v>
      </c>
      <c r="D1587" s="15">
        <v>6.0</v>
      </c>
      <c r="E1587" s="10">
        <f t="shared" si="2"/>
        <v>300</v>
      </c>
      <c r="F1587" s="10"/>
    </row>
    <row r="1588" hidden="1">
      <c r="A1588" s="6" t="s">
        <v>110</v>
      </c>
      <c r="B1588" s="7" t="s">
        <v>172</v>
      </c>
      <c r="C1588" s="38" t="s">
        <v>173</v>
      </c>
      <c r="D1588" s="15">
        <v>18.0</v>
      </c>
      <c r="E1588" s="10">
        <f t="shared" si="2"/>
        <v>900</v>
      </c>
      <c r="F1588" s="10"/>
    </row>
    <row r="1589" hidden="1">
      <c r="A1589" s="6" t="s">
        <v>110</v>
      </c>
      <c r="B1589" s="7" t="s">
        <v>253</v>
      </c>
      <c r="C1589" s="38" t="s">
        <v>254</v>
      </c>
      <c r="D1589" s="15">
        <v>19.0</v>
      </c>
      <c r="E1589" s="10">
        <f t="shared" si="2"/>
        <v>950</v>
      </c>
      <c r="F1589" s="10"/>
    </row>
    <row r="1590" hidden="1">
      <c r="A1590" s="6" t="s">
        <v>110</v>
      </c>
      <c r="B1590" s="7" t="s">
        <v>165</v>
      </c>
      <c r="C1590" s="38" t="s">
        <v>166</v>
      </c>
      <c r="D1590" s="15">
        <v>28.0</v>
      </c>
      <c r="E1590" s="10">
        <f t="shared" si="2"/>
        <v>1400</v>
      </c>
      <c r="F1590" s="10"/>
    </row>
    <row r="1591" hidden="1">
      <c r="A1591" s="6" t="s">
        <v>110</v>
      </c>
      <c r="B1591" s="7" t="s">
        <v>186</v>
      </c>
      <c r="C1591" s="38" t="s">
        <v>187</v>
      </c>
      <c r="D1591" s="15">
        <v>25.0</v>
      </c>
      <c r="E1591" s="10">
        <f t="shared" si="2"/>
        <v>1250</v>
      </c>
      <c r="F1591" s="10"/>
    </row>
    <row r="1592" hidden="1">
      <c r="A1592" s="6" t="s">
        <v>110</v>
      </c>
      <c r="B1592" s="7" t="s">
        <v>170</v>
      </c>
      <c r="C1592" s="38" t="s">
        <v>171</v>
      </c>
      <c r="D1592" s="15">
        <v>6.0</v>
      </c>
      <c r="E1592" s="10">
        <f t="shared" si="2"/>
        <v>300</v>
      </c>
      <c r="F1592" s="10"/>
    </row>
    <row r="1593" hidden="1">
      <c r="A1593" s="6" t="s">
        <v>110</v>
      </c>
      <c r="B1593" s="38" t="s">
        <v>250</v>
      </c>
      <c r="C1593" s="38" t="s">
        <v>137</v>
      </c>
      <c r="D1593" s="15">
        <v>2.0</v>
      </c>
      <c r="E1593" s="10">
        <f t="shared" si="2"/>
        <v>100</v>
      </c>
      <c r="F1593" s="10"/>
    </row>
    <row r="1594" hidden="1">
      <c r="A1594" s="6" t="s">
        <v>110</v>
      </c>
      <c r="B1594" s="13" t="s">
        <v>192</v>
      </c>
      <c r="C1594" s="38" t="s">
        <v>193</v>
      </c>
      <c r="D1594" s="15">
        <v>10.0</v>
      </c>
      <c r="E1594" s="10">
        <f t="shared" si="2"/>
        <v>500</v>
      </c>
      <c r="F1594" s="10"/>
    </row>
    <row r="1595" hidden="1">
      <c r="A1595" s="6" t="s">
        <v>110</v>
      </c>
      <c r="B1595" s="7" t="s">
        <v>180</v>
      </c>
      <c r="C1595" s="38" t="s">
        <v>181</v>
      </c>
      <c r="D1595" s="15">
        <v>29.0</v>
      </c>
      <c r="E1595" s="10">
        <f t="shared" si="2"/>
        <v>1450</v>
      </c>
      <c r="F1595" s="10"/>
    </row>
    <row r="1596" hidden="1">
      <c r="A1596" s="6" t="s">
        <v>110</v>
      </c>
      <c r="B1596" s="7" t="s">
        <v>252</v>
      </c>
      <c r="C1596" s="38" t="s">
        <v>139</v>
      </c>
      <c r="D1596" s="15">
        <v>42.0</v>
      </c>
      <c r="E1596" s="10">
        <f t="shared" si="2"/>
        <v>2100</v>
      </c>
      <c r="F1596" s="10"/>
    </row>
    <row r="1597" hidden="1">
      <c r="A1597" s="6" t="s">
        <v>110</v>
      </c>
      <c r="B1597" s="7" t="s">
        <v>160</v>
      </c>
      <c r="C1597" s="38" t="s">
        <v>140</v>
      </c>
      <c r="D1597" s="15">
        <v>19.0</v>
      </c>
      <c r="E1597" s="10">
        <f t="shared" si="2"/>
        <v>950</v>
      </c>
      <c r="F1597" s="10"/>
    </row>
    <row r="1598" hidden="1">
      <c r="A1598" s="6" t="s">
        <v>110</v>
      </c>
      <c r="B1598" s="7" t="s">
        <v>212</v>
      </c>
      <c r="C1598" s="38" t="s">
        <v>213</v>
      </c>
      <c r="D1598" s="15">
        <v>32.0</v>
      </c>
      <c r="E1598" s="10">
        <f t="shared" si="2"/>
        <v>1600</v>
      </c>
      <c r="F1598" s="10"/>
    </row>
    <row r="1599" hidden="1">
      <c r="A1599" s="6" t="s">
        <v>110</v>
      </c>
      <c r="B1599" s="7" t="s">
        <v>168</v>
      </c>
      <c r="C1599" s="38" t="s">
        <v>169</v>
      </c>
      <c r="D1599" s="15">
        <v>25.0</v>
      </c>
      <c r="E1599" s="10">
        <f t="shared" si="2"/>
        <v>1250</v>
      </c>
      <c r="F1599" s="10"/>
    </row>
    <row r="1600" hidden="1">
      <c r="A1600" s="6" t="s">
        <v>110</v>
      </c>
      <c r="B1600" s="7" t="s">
        <v>177</v>
      </c>
      <c r="C1600" s="38" t="s">
        <v>144</v>
      </c>
      <c r="D1600" s="15">
        <v>31.0</v>
      </c>
      <c r="E1600" s="10">
        <f t="shared" si="2"/>
        <v>1550</v>
      </c>
      <c r="F1600" s="10"/>
    </row>
    <row r="1601" hidden="1">
      <c r="A1601" s="6" t="s">
        <v>110</v>
      </c>
      <c r="B1601" s="7" t="s">
        <v>162</v>
      </c>
      <c r="C1601" s="38" t="s">
        <v>163</v>
      </c>
      <c r="D1601" s="15">
        <v>42.0</v>
      </c>
      <c r="E1601" s="10">
        <f t="shared" si="2"/>
        <v>2100</v>
      </c>
      <c r="F1601" s="10"/>
    </row>
    <row r="1602" hidden="1">
      <c r="A1602" s="6" t="s">
        <v>110</v>
      </c>
      <c r="B1602" s="7" t="s">
        <v>188</v>
      </c>
      <c r="C1602" s="38" t="s">
        <v>189</v>
      </c>
      <c r="D1602" s="15">
        <v>23.0</v>
      </c>
      <c r="E1602" s="10">
        <f t="shared" si="2"/>
        <v>1150</v>
      </c>
      <c r="F1602" s="10"/>
    </row>
    <row r="1603" hidden="1">
      <c r="A1603" s="6" t="s">
        <v>110</v>
      </c>
      <c r="B1603" s="33" t="s">
        <v>260</v>
      </c>
      <c r="C1603" s="38" t="s">
        <v>261</v>
      </c>
      <c r="D1603" s="15">
        <v>20.0</v>
      </c>
      <c r="E1603" s="10">
        <f t="shared" si="2"/>
        <v>1000</v>
      </c>
      <c r="F1603" s="10"/>
    </row>
    <row r="1604" hidden="1">
      <c r="A1604" s="6" t="s">
        <v>110</v>
      </c>
      <c r="B1604" s="35" t="s">
        <v>190</v>
      </c>
      <c r="C1604" s="38" t="s">
        <v>191</v>
      </c>
      <c r="D1604" s="15">
        <v>12.0</v>
      </c>
      <c r="E1604" s="10">
        <f t="shared" si="2"/>
        <v>600</v>
      </c>
      <c r="F1604" s="10"/>
    </row>
    <row r="1605" hidden="1">
      <c r="A1605" s="6" t="s">
        <v>110</v>
      </c>
      <c r="B1605" s="7" t="s">
        <v>178</v>
      </c>
      <c r="C1605" s="38" t="s">
        <v>179</v>
      </c>
      <c r="D1605" s="15">
        <v>21.0</v>
      </c>
      <c r="E1605" s="10">
        <f t="shared" si="2"/>
        <v>1050</v>
      </c>
      <c r="F1605" s="10"/>
    </row>
    <row r="1606" hidden="1">
      <c r="A1606" s="6" t="s">
        <v>110</v>
      </c>
      <c r="B1606" s="7" t="s">
        <v>174</v>
      </c>
      <c r="C1606" s="38" t="s">
        <v>175</v>
      </c>
      <c r="D1606" s="15">
        <v>31.0</v>
      </c>
      <c r="E1606" s="10">
        <f t="shared" si="2"/>
        <v>1550</v>
      </c>
      <c r="F1606" s="10"/>
    </row>
    <row r="1607" hidden="1">
      <c r="A1607" s="6" t="s">
        <v>110</v>
      </c>
      <c r="B1607" s="7" t="s">
        <v>322</v>
      </c>
      <c r="C1607" s="38" t="s">
        <v>323</v>
      </c>
      <c r="D1607" s="15">
        <v>32.0</v>
      </c>
      <c r="E1607" s="10">
        <f t="shared" si="2"/>
        <v>1600</v>
      </c>
      <c r="F1607" s="10"/>
    </row>
    <row r="1608" hidden="1">
      <c r="A1608" s="6" t="s">
        <v>110</v>
      </c>
      <c r="B1608" s="7" t="s">
        <v>182</v>
      </c>
      <c r="C1608" s="38" t="s">
        <v>183</v>
      </c>
      <c r="D1608" s="15">
        <v>17.0</v>
      </c>
      <c r="E1608" s="10">
        <f t="shared" si="2"/>
        <v>850</v>
      </c>
      <c r="F1608" s="10"/>
    </row>
    <row r="1609" hidden="1">
      <c r="A1609" s="6" t="s">
        <v>110</v>
      </c>
      <c r="B1609" s="7" t="s">
        <v>161</v>
      </c>
      <c r="C1609" s="38" t="s">
        <v>152</v>
      </c>
      <c r="D1609" s="15">
        <v>49.0</v>
      </c>
      <c r="E1609" s="10">
        <f t="shared" si="2"/>
        <v>2450</v>
      </c>
      <c r="F1609" s="10"/>
    </row>
    <row r="1610" hidden="1">
      <c r="A1610" s="6" t="s">
        <v>110</v>
      </c>
      <c r="B1610" s="7" t="s">
        <v>297</v>
      </c>
      <c r="C1610" s="38" t="s">
        <v>153</v>
      </c>
      <c r="D1610" s="15">
        <v>22.0</v>
      </c>
      <c r="E1610" s="10">
        <f t="shared" si="2"/>
        <v>1100</v>
      </c>
      <c r="F1610" s="10"/>
    </row>
    <row r="1611" hidden="1">
      <c r="A1611" s="6" t="s">
        <v>110</v>
      </c>
      <c r="B1611" s="7" t="s">
        <v>295</v>
      </c>
      <c r="C1611" s="38" t="s">
        <v>296</v>
      </c>
      <c r="D1611" s="15">
        <v>47.0</v>
      </c>
      <c r="E1611" s="10">
        <f t="shared" si="2"/>
        <v>2350</v>
      </c>
      <c r="F1611" s="10"/>
    </row>
    <row r="1612" hidden="1">
      <c r="A1612" s="6" t="s">
        <v>10</v>
      </c>
      <c r="B1612" s="7" t="s">
        <v>160</v>
      </c>
      <c r="C1612" s="30" t="s">
        <v>140</v>
      </c>
      <c r="D1612" s="25">
        <v>21.0</v>
      </c>
      <c r="E1612" s="10">
        <f t="shared" si="2"/>
        <v>1050</v>
      </c>
      <c r="F1612" s="10"/>
    </row>
    <row r="1613" hidden="1">
      <c r="A1613" s="6" t="s">
        <v>10</v>
      </c>
      <c r="B1613" s="7" t="s">
        <v>161</v>
      </c>
      <c r="C1613" s="30" t="s">
        <v>152</v>
      </c>
      <c r="D1613" s="25">
        <v>23.0</v>
      </c>
      <c r="E1613" s="10">
        <f t="shared" si="2"/>
        <v>1150</v>
      </c>
      <c r="F1613" s="10"/>
    </row>
    <row r="1614" hidden="1">
      <c r="A1614" s="6" t="s">
        <v>10</v>
      </c>
      <c r="B1614" s="7" t="s">
        <v>162</v>
      </c>
      <c r="C1614" s="30" t="s">
        <v>163</v>
      </c>
      <c r="D1614" s="25">
        <v>48.0</v>
      </c>
      <c r="E1614" s="10">
        <f t="shared" si="2"/>
        <v>2400</v>
      </c>
      <c r="F1614" s="10"/>
    </row>
    <row r="1615" hidden="1">
      <c r="A1615" s="6" t="s">
        <v>10</v>
      </c>
      <c r="B1615" s="7" t="s">
        <v>164</v>
      </c>
      <c r="C1615" s="30" t="s">
        <v>158</v>
      </c>
      <c r="D1615" s="25">
        <v>34.0</v>
      </c>
      <c r="E1615" s="10">
        <f t="shared" si="2"/>
        <v>1700</v>
      </c>
      <c r="F1615" s="10"/>
    </row>
    <row r="1616" hidden="1">
      <c r="A1616" s="6" t="s">
        <v>10</v>
      </c>
      <c r="B1616" s="7" t="s">
        <v>165</v>
      </c>
      <c r="C1616" s="30" t="s">
        <v>166</v>
      </c>
      <c r="D1616" s="25">
        <v>23.0</v>
      </c>
      <c r="E1616" s="10">
        <f t="shared" si="2"/>
        <v>1150</v>
      </c>
      <c r="F1616" s="10"/>
    </row>
    <row r="1617" hidden="1">
      <c r="A1617" s="6" t="s">
        <v>10</v>
      </c>
      <c r="B1617" s="7" t="s">
        <v>167</v>
      </c>
      <c r="C1617" s="30" t="s">
        <v>157</v>
      </c>
      <c r="D1617" s="25">
        <v>40.0</v>
      </c>
      <c r="E1617" s="10">
        <f t="shared" si="2"/>
        <v>2000</v>
      </c>
      <c r="F1617" s="10"/>
    </row>
    <row r="1618" hidden="1">
      <c r="A1618" s="6" t="s">
        <v>10</v>
      </c>
      <c r="B1618" s="7" t="s">
        <v>168</v>
      </c>
      <c r="C1618" s="30" t="s">
        <v>169</v>
      </c>
      <c r="D1618" s="25">
        <v>29.0</v>
      </c>
      <c r="E1618" s="10">
        <f t="shared" si="2"/>
        <v>1450</v>
      </c>
      <c r="F1618" s="10"/>
    </row>
    <row r="1619" hidden="1">
      <c r="A1619" s="6" t="s">
        <v>10</v>
      </c>
      <c r="B1619" s="13" t="s">
        <v>170</v>
      </c>
      <c r="C1619" s="30" t="s">
        <v>171</v>
      </c>
      <c r="D1619" s="25">
        <v>8.0</v>
      </c>
      <c r="E1619" s="10">
        <f t="shared" si="2"/>
        <v>400</v>
      </c>
      <c r="F1619" s="10"/>
    </row>
    <row r="1620" hidden="1">
      <c r="A1620" s="6" t="s">
        <v>10</v>
      </c>
      <c r="B1620" s="7" t="s">
        <v>295</v>
      </c>
      <c r="C1620" s="30" t="s">
        <v>296</v>
      </c>
      <c r="D1620" s="25">
        <v>45.0</v>
      </c>
      <c r="E1620" s="10">
        <f t="shared" si="2"/>
        <v>2250</v>
      </c>
      <c r="F1620" s="10"/>
    </row>
    <row r="1621" hidden="1">
      <c r="A1621" s="6" t="s">
        <v>10</v>
      </c>
      <c r="B1621" s="7" t="s">
        <v>172</v>
      </c>
      <c r="C1621" s="30" t="s">
        <v>173</v>
      </c>
      <c r="D1621" s="25">
        <v>13.0</v>
      </c>
      <c r="E1621" s="10">
        <f t="shared" si="2"/>
        <v>650</v>
      </c>
      <c r="F1621" s="10"/>
    </row>
    <row r="1622" hidden="1">
      <c r="A1622" s="6" t="s">
        <v>10</v>
      </c>
      <c r="B1622" s="7" t="s">
        <v>322</v>
      </c>
      <c r="C1622" s="30" t="s">
        <v>323</v>
      </c>
      <c r="D1622" s="25">
        <v>52.0</v>
      </c>
      <c r="E1622" s="10">
        <f t="shared" si="2"/>
        <v>2600</v>
      </c>
      <c r="F1622" s="10"/>
    </row>
    <row r="1623" hidden="1">
      <c r="A1623" s="6" t="s">
        <v>10</v>
      </c>
      <c r="B1623" s="7" t="s">
        <v>297</v>
      </c>
      <c r="C1623" s="30" t="s">
        <v>153</v>
      </c>
      <c r="D1623" s="25">
        <v>42.0</v>
      </c>
      <c r="E1623" s="10">
        <f t="shared" si="2"/>
        <v>2100</v>
      </c>
      <c r="F1623" s="10"/>
    </row>
    <row r="1624" hidden="1">
      <c r="A1624" s="6" t="s">
        <v>10</v>
      </c>
      <c r="B1624" s="7" t="s">
        <v>174</v>
      </c>
      <c r="C1624" s="30" t="s">
        <v>175</v>
      </c>
      <c r="D1624" s="25">
        <v>32.0</v>
      </c>
      <c r="E1624" s="10">
        <f t="shared" si="2"/>
        <v>1600</v>
      </c>
      <c r="F1624" s="10"/>
    </row>
    <row r="1625" hidden="1">
      <c r="A1625" s="6" t="s">
        <v>10</v>
      </c>
      <c r="B1625" s="7" t="s">
        <v>176</v>
      </c>
      <c r="C1625" s="30" t="s">
        <v>130</v>
      </c>
      <c r="D1625" s="25">
        <v>40.0</v>
      </c>
      <c r="E1625" s="10">
        <f t="shared" si="2"/>
        <v>2000</v>
      </c>
      <c r="F1625" s="10"/>
    </row>
    <row r="1626" hidden="1">
      <c r="A1626" s="6" t="s">
        <v>10</v>
      </c>
      <c r="B1626" s="7" t="s">
        <v>252</v>
      </c>
      <c r="C1626" s="30" t="s">
        <v>139</v>
      </c>
      <c r="D1626" s="25">
        <v>44.0</v>
      </c>
      <c r="E1626" s="10">
        <f t="shared" si="2"/>
        <v>2200</v>
      </c>
      <c r="F1626" s="10"/>
    </row>
    <row r="1627" hidden="1">
      <c r="A1627" s="6" t="s">
        <v>10</v>
      </c>
      <c r="B1627" s="7" t="s">
        <v>177</v>
      </c>
      <c r="C1627" s="30" t="s">
        <v>144</v>
      </c>
      <c r="D1627" s="25">
        <v>28.0</v>
      </c>
      <c r="E1627" s="10">
        <f t="shared" si="2"/>
        <v>1400</v>
      </c>
      <c r="F1627" s="10"/>
    </row>
    <row r="1628" hidden="1">
      <c r="A1628" s="6" t="s">
        <v>10</v>
      </c>
      <c r="B1628" s="7" t="s">
        <v>270</v>
      </c>
      <c r="C1628" s="30" t="s">
        <v>126</v>
      </c>
      <c r="D1628" s="25">
        <v>35.0</v>
      </c>
      <c r="E1628" s="10">
        <f t="shared" si="2"/>
        <v>1750</v>
      </c>
      <c r="F1628" s="10"/>
    </row>
    <row r="1629" hidden="1">
      <c r="A1629" s="6" t="s">
        <v>10</v>
      </c>
      <c r="B1629" s="7" t="s">
        <v>178</v>
      </c>
      <c r="C1629" s="30" t="s">
        <v>179</v>
      </c>
      <c r="D1629" s="25">
        <v>34.0</v>
      </c>
      <c r="E1629" s="10">
        <f t="shared" si="2"/>
        <v>1700</v>
      </c>
      <c r="F1629" s="10"/>
    </row>
    <row r="1630" hidden="1">
      <c r="A1630" s="6" t="s">
        <v>10</v>
      </c>
      <c r="B1630" s="7" t="s">
        <v>363</v>
      </c>
      <c r="C1630" s="30" t="s">
        <v>364</v>
      </c>
      <c r="D1630" s="25">
        <v>15.0</v>
      </c>
      <c r="E1630" s="10">
        <f t="shared" si="2"/>
        <v>750</v>
      </c>
      <c r="F1630" s="10"/>
    </row>
    <row r="1631" hidden="1">
      <c r="A1631" s="6" t="s">
        <v>10</v>
      </c>
      <c r="B1631" s="7" t="s">
        <v>180</v>
      </c>
      <c r="C1631" s="30" t="s">
        <v>181</v>
      </c>
      <c r="D1631" s="25">
        <v>33.0</v>
      </c>
      <c r="E1631" s="10">
        <f t="shared" si="2"/>
        <v>1650</v>
      </c>
      <c r="F1631" s="10"/>
    </row>
    <row r="1632" hidden="1">
      <c r="A1632" s="6" t="s">
        <v>10</v>
      </c>
      <c r="B1632" s="7" t="s">
        <v>236</v>
      </c>
      <c r="C1632" s="30" t="s">
        <v>159</v>
      </c>
      <c r="D1632" s="25">
        <v>34.0</v>
      </c>
      <c r="E1632" s="10">
        <f t="shared" si="2"/>
        <v>1700</v>
      </c>
      <c r="F1632" s="10"/>
    </row>
    <row r="1633" hidden="1">
      <c r="A1633" s="6" t="s">
        <v>10</v>
      </c>
      <c r="B1633" s="7" t="s">
        <v>182</v>
      </c>
      <c r="C1633" s="30" t="s">
        <v>183</v>
      </c>
      <c r="D1633" s="25">
        <v>20.0</v>
      </c>
      <c r="E1633" s="10">
        <f t="shared" si="2"/>
        <v>1000</v>
      </c>
      <c r="F1633" s="10"/>
    </row>
    <row r="1634" hidden="1">
      <c r="A1634" s="6" t="s">
        <v>10</v>
      </c>
      <c r="B1634" s="7" t="s">
        <v>184</v>
      </c>
      <c r="C1634" s="30" t="s">
        <v>185</v>
      </c>
      <c r="D1634" s="25">
        <v>25.0</v>
      </c>
      <c r="E1634" s="10">
        <f t="shared" si="2"/>
        <v>1250</v>
      </c>
      <c r="F1634" s="10"/>
    </row>
    <row r="1635" hidden="1">
      <c r="A1635" s="6" t="s">
        <v>10</v>
      </c>
      <c r="B1635" s="7" t="s">
        <v>212</v>
      </c>
      <c r="C1635" s="30" t="s">
        <v>213</v>
      </c>
      <c r="D1635" s="25">
        <v>15.0</v>
      </c>
      <c r="E1635" s="10">
        <f t="shared" si="2"/>
        <v>750</v>
      </c>
      <c r="F1635" s="10"/>
    </row>
    <row r="1636" hidden="1">
      <c r="A1636" s="6" t="s">
        <v>10</v>
      </c>
      <c r="B1636" s="7" t="s">
        <v>186</v>
      </c>
      <c r="C1636" s="30" t="s">
        <v>187</v>
      </c>
      <c r="D1636" s="25">
        <v>30.0</v>
      </c>
      <c r="E1636" s="10">
        <f t="shared" si="2"/>
        <v>1500</v>
      </c>
      <c r="F1636" s="10"/>
    </row>
    <row r="1637" hidden="1">
      <c r="A1637" s="6" t="s">
        <v>10</v>
      </c>
      <c r="B1637" s="7" t="s">
        <v>188</v>
      </c>
      <c r="C1637" s="30" t="s">
        <v>189</v>
      </c>
      <c r="D1637" s="25">
        <v>23.0</v>
      </c>
      <c r="E1637" s="10">
        <f t="shared" si="2"/>
        <v>1150</v>
      </c>
      <c r="F1637" s="10"/>
    </row>
    <row r="1638" hidden="1">
      <c r="A1638" s="6" t="s">
        <v>10</v>
      </c>
      <c r="B1638" s="35" t="s">
        <v>370</v>
      </c>
      <c r="C1638" s="30" t="s">
        <v>371</v>
      </c>
      <c r="D1638" s="25">
        <v>2.0</v>
      </c>
      <c r="E1638" s="10">
        <f t="shared" si="2"/>
        <v>100</v>
      </c>
      <c r="F1638" s="10"/>
    </row>
    <row r="1639" hidden="1">
      <c r="A1639" s="6" t="s">
        <v>10</v>
      </c>
      <c r="B1639" s="13" t="s">
        <v>190</v>
      </c>
      <c r="C1639" s="30" t="s">
        <v>191</v>
      </c>
      <c r="D1639" s="25">
        <v>19.0</v>
      </c>
      <c r="E1639" s="10">
        <f t="shared" si="2"/>
        <v>950</v>
      </c>
      <c r="F1639" s="10"/>
    </row>
    <row r="1640" hidden="1">
      <c r="A1640" s="6" t="s">
        <v>10</v>
      </c>
      <c r="B1640" s="13" t="s">
        <v>253</v>
      </c>
      <c r="C1640" s="30" t="s">
        <v>254</v>
      </c>
      <c r="D1640" s="25">
        <v>4.0</v>
      </c>
      <c r="E1640" s="10">
        <f t="shared" si="2"/>
        <v>200</v>
      </c>
      <c r="F1640" s="10"/>
    </row>
    <row r="1641" hidden="1">
      <c r="A1641" s="6" t="s">
        <v>10</v>
      </c>
      <c r="B1641" s="30" t="s">
        <v>286</v>
      </c>
      <c r="C1641" s="30" t="s">
        <v>287</v>
      </c>
      <c r="D1641" s="25">
        <v>3.0</v>
      </c>
      <c r="E1641" s="10">
        <f t="shared" si="2"/>
        <v>150</v>
      </c>
      <c r="F1641" s="10"/>
    </row>
    <row r="1642" hidden="1">
      <c r="A1642" s="6" t="s">
        <v>10</v>
      </c>
      <c r="B1642" s="30" t="s">
        <v>372</v>
      </c>
      <c r="C1642" s="30" t="s">
        <v>373</v>
      </c>
      <c r="D1642" s="25">
        <v>2.0</v>
      </c>
      <c r="E1642" s="10">
        <f t="shared" si="2"/>
        <v>100</v>
      </c>
      <c r="F1642" s="10"/>
    </row>
    <row r="1643" hidden="1">
      <c r="A1643" s="6" t="s">
        <v>10</v>
      </c>
      <c r="B1643" s="30" t="s">
        <v>374</v>
      </c>
      <c r="C1643" s="30" t="s">
        <v>375</v>
      </c>
      <c r="D1643" s="25">
        <v>2.0</v>
      </c>
      <c r="E1643" s="10">
        <f t="shared" si="2"/>
        <v>100</v>
      </c>
      <c r="F1643" s="10"/>
    </row>
    <row r="1644" hidden="1">
      <c r="A1644" s="6" t="s">
        <v>10</v>
      </c>
      <c r="B1644" s="30" t="s">
        <v>376</v>
      </c>
      <c r="C1644" s="30" t="s">
        <v>377</v>
      </c>
      <c r="D1644" s="25">
        <v>8.0</v>
      </c>
      <c r="E1644" s="10">
        <f t="shared" si="2"/>
        <v>400</v>
      </c>
      <c r="F1644" s="10"/>
    </row>
    <row r="1645" hidden="1">
      <c r="A1645" s="6" t="s">
        <v>10</v>
      </c>
      <c r="B1645" s="7" t="s">
        <v>331</v>
      </c>
      <c r="C1645" s="30" t="s">
        <v>133</v>
      </c>
      <c r="D1645" s="25">
        <v>10.0</v>
      </c>
      <c r="E1645" s="10">
        <f t="shared" si="2"/>
        <v>500</v>
      </c>
      <c r="F1645" s="10"/>
    </row>
    <row r="1646" hidden="1">
      <c r="A1646" s="6" t="s">
        <v>10</v>
      </c>
      <c r="B1646" s="7" t="s">
        <v>260</v>
      </c>
      <c r="C1646" s="30" t="s">
        <v>261</v>
      </c>
      <c r="D1646" s="25">
        <v>16.0</v>
      </c>
      <c r="E1646" s="10">
        <f t="shared" si="2"/>
        <v>800</v>
      </c>
      <c r="F1646" s="10"/>
    </row>
    <row r="1647" hidden="1">
      <c r="A1647" s="6" t="s">
        <v>24</v>
      </c>
      <c r="B1647" s="7" t="s">
        <v>270</v>
      </c>
      <c r="C1647" s="30" t="s">
        <v>126</v>
      </c>
      <c r="D1647" s="25">
        <v>31.0</v>
      </c>
      <c r="E1647" s="10">
        <f t="shared" si="2"/>
        <v>1550</v>
      </c>
      <c r="F1647" s="10"/>
    </row>
    <row r="1648" hidden="1">
      <c r="A1648" s="6" t="s">
        <v>24</v>
      </c>
      <c r="B1648" s="7" t="s">
        <v>184</v>
      </c>
      <c r="C1648" s="30" t="s">
        <v>156</v>
      </c>
      <c r="D1648" s="25">
        <v>21.0</v>
      </c>
      <c r="E1648" s="10">
        <f t="shared" si="2"/>
        <v>1050</v>
      </c>
      <c r="F1648" s="10"/>
    </row>
    <row r="1649" hidden="1">
      <c r="A1649" s="6" t="s">
        <v>24</v>
      </c>
      <c r="B1649" s="7" t="s">
        <v>167</v>
      </c>
      <c r="C1649" s="30" t="s">
        <v>157</v>
      </c>
      <c r="D1649" s="25">
        <v>21.0</v>
      </c>
      <c r="E1649" s="10">
        <f t="shared" si="2"/>
        <v>1050</v>
      </c>
      <c r="F1649" s="10"/>
    </row>
    <row r="1650" hidden="1">
      <c r="A1650" s="6" t="s">
        <v>24</v>
      </c>
      <c r="B1650" s="7" t="s">
        <v>164</v>
      </c>
      <c r="C1650" s="30" t="s">
        <v>158</v>
      </c>
      <c r="D1650" s="25">
        <v>24.0</v>
      </c>
      <c r="E1650" s="10">
        <f t="shared" si="2"/>
        <v>1200</v>
      </c>
      <c r="F1650" s="10"/>
    </row>
    <row r="1651" hidden="1">
      <c r="A1651" s="6" t="s">
        <v>24</v>
      </c>
      <c r="B1651" s="7" t="s">
        <v>176</v>
      </c>
      <c r="C1651" s="30" t="s">
        <v>130</v>
      </c>
      <c r="D1651" s="25">
        <v>29.0</v>
      </c>
      <c r="E1651" s="10">
        <f t="shared" si="2"/>
        <v>1450</v>
      </c>
      <c r="F1651" s="10"/>
    </row>
    <row r="1652" hidden="1">
      <c r="A1652" s="6" t="s">
        <v>24</v>
      </c>
      <c r="B1652" s="7" t="s">
        <v>236</v>
      </c>
      <c r="C1652" s="30" t="s">
        <v>159</v>
      </c>
      <c r="D1652" s="25">
        <v>42.0</v>
      </c>
      <c r="E1652" s="10">
        <f t="shared" si="2"/>
        <v>2100</v>
      </c>
      <c r="F1652" s="10"/>
    </row>
    <row r="1653" hidden="1">
      <c r="A1653" s="6" t="s">
        <v>24</v>
      </c>
      <c r="B1653" s="7" t="s">
        <v>363</v>
      </c>
      <c r="C1653" s="30" t="s">
        <v>364</v>
      </c>
      <c r="D1653" s="25">
        <v>49.0</v>
      </c>
      <c r="E1653" s="10">
        <f t="shared" si="2"/>
        <v>2450</v>
      </c>
      <c r="F1653" s="10"/>
    </row>
    <row r="1654" hidden="1">
      <c r="A1654" s="6" t="s">
        <v>24</v>
      </c>
      <c r="B1654" s="30" t="s">
        <v>374</v>
      </c>
      <c r="C1654" s="30" t="s">
        <v>375</v>
      </c>
      <c r="D1654" s="25">
        <v>4.0</v>
      </c>
      <c r="E1654" s="10">
        <f t="shared" si="2"/>
        <v>200</v>
      </c>
      <c r="F1654" s="10"/>
    </row>
    <row r="1655" hidden="1">
      <c r="A1655" s="6" t="s">
        <v>24</v>
      </c>
      <c r="B1655" s="7" t="s">
        <v>331</v>
      </c>
      <c r="C1655" s="30" t="s">
        <v>133</v>
      </c>
      <c r="D1655" s="25">
        <v>8.0</v>
      </c>
      <c r="E1655" s="10">
        <f t="shared" si="2"/>
        <v>400</v>
      </c>
      <c r="F1655" s="10"/>
    </row>
    <row r="1656" hidden="1">
      <c r="A1656" s="6" t="s">
        <v>24</v>
      </c>
      <c r="B1656" s="7" t="s">
        <v>172</v>
      </c>
      <c r="C1656" s="30" t="s">
        <v>173</v>
      </c>
      <c r="D1656" s="25">
        <v>22.0</v>
      </c>
      <c r="E1656" s="10">
        <f t="shared" si="2"/>
        <v>1100</v>
      </c>
      <c r="F1656" s="10"/>
    </row>
    <row r="1657" hidden="1">
      <c r="A1657" s="6" t="s">
        <v>24</v>
      </c>
      <c r="B1657" s="30" t="s">
        <v>376</v>
      </c>
      <c r="C1657" s="30" t="s">
        <v>377</v>
      </c>
      <c r="D1657" s="25">
        <v>6.0</v>
      </c>
      <c r="E1657" s="10">
        <f t="shared" si="2"/>
        <v>300</v>
      </c>
      <c r="F1657" s="10"/>
    </row>
    <row r="1658" hidden="1">
      <c r="A1658" s="6" t="s">
        <v>24</v>
      </c>
      <c r="B1658" s="30" t="s">
        <v>253</v>
      </c>
      <c r="C1658" s="30" t="s">
        <v>254</v>
      </c>
      <c r="D1658" s="25">
        <v>10.0</v>
      </c>
      <c r="E1658" s="10">
        <f t="shared" si="2"/>
        <v>500</v>
      </c>
      <c r="F1658" s="10"/>
    </row>
    <row r="1659" hidden="1">
      <c r="A1659" s="6" t="s">
        <v>24</v>
      </c>
      <c r="B1659" s="7" t="s">
        <v>165</v>
      </c>
      <c r="C1659" s="30" t="s">
        <v>166</v>
      </c>
      <c r="D1659" s="25">
        <v>47.0</v>
      </c>
      <c r="E1659" s="10">
        <f t="shared" si="2"/>
        <v>2350</v>
      </c>
      <c r="F1659" s="10"/>
    </row>
    <row r="1660" hidden="1">
      <c r="A1660" s="6" t="s">
        <v>24</v>
      </c>
      <c r="B1660" s="30" t="s">
        <v>286</v>
      </c>
      <c r="C1660" s="30" t="s">
        <v>287</v>
      </c>
      <c r="D1660" s="25">
        <v>4.0</v>
      </c>
      <c r="E1660" s="10">
        <f t="shared" si="2"/>
        <v>200</v>
      </c>
      <c r="F1660" s="10"/>
    </row>
    <row r="1661" hidden="1">
      <c r="A1661" s="6" t="s">
        <v>24</v>
      </c>
      <c r="B1661" s="7" t="s">
        <v>186</v>
      </c>
      <c r="C1661" s="30" t="s">
        <v>187</v>
      </c>
      <c r="D1661" s="25">
        <v>23.0</v>
      </c>
      <c r="E1661" s="10">
        <f t="shared" si="2"/>
        <v>1150</v>
      </c>
      <c r="F1661" s="10"/>
    </row>
    <row r="1662" hidden="1">
      <c r="A1662" s="6" t="s">
        <v>24</v>
      </c>
      <c r="B1662" s="13" t="s">
        <v>170</v>
      </c>
      <c r="C1662" s="30" t="s">
        <v>171</v>
      </c>
      <c r="D1662" s="25">
        <v>10.0</v>
      </c>
      <c r="E1662" s="10">
        <f t="shared" si="2"/>
        <v>500</v>
      </c>
      <c r="F1662" s="10"/>
    </row>
    <row r="1663" hidden="1">
      <c r="A1663" s="6" t="s">
        <v>24</v>
      </c>
      <c r="B1663" s="13" t="s">
        <v>250</v>
      </c>
      <c r="C1663" s="30" t="s">
        <v>137</v>
      </c>
      <c r="D1663" s="25">
        <v>2.0</v>
      </c>
      <c r="E1663" s="10">
        <f t="shared" si="2"/>
        <v>100</v>
      </c>
      <c r="F1663" s="10"/>
    </row>
    <row r="1664" hidden="1">
      <c r="A1664" s="6" t="s">
        <v>24</v>
      </c>
      <c r="B1664" s="7" t="s">
        <v>180</v>
      </c>
      <c r="C1664" s="30" t="s">
        <v>181</v>
      </c>
      <c r="D1664" s="25">
        <v>25.0</v>
      </c>
      <c r="E1664" s="10">
        <f t="shared" si="2"/>
        <v>1250</v>
      </c>
      <c r="F1664" s="10"/>
    </row>
    <row r="1665" hidden="1">
      <c r="A1665" s="6" t="s">
        <v>24</v>
      </c>
      <c r="B1665" s="30" t="s">
        <v>372</v>
      </c>
      <c r="C1665" s="30" t="s">
        <v>373</v>
      </c>
      <c r="D1665" s="25">
        <v>4.0</v>
      </c>
      <c r="E1665" s="10">
        <f t="shared" si="2"/>
        <v>200</v>
      </c>
      <c r="F1665" s="10"/>
    </row>
    <row r="1666" hidden="1">
      <c r="A1666" s="6" t="s">
        <v>24</v>
      </c>
      <c r="B1666" s="7" t="s">
        <v>252</v>
      </c>
      <c r="C1666" s="30" t="s">
        <v>139</v>
      </c>
      <c r="D1666" s="25">
        <v>41.0</v>
      </c>
      <c r="E1666" s="10">
        <f t="shared" si="2"/>
        <v>2050</v>
      </c>
      <c r="F1666" s="10"/>
    </row>
    <row r="1667" hidden="1">
      <c r="A1667" s="6" t="s">
        <v>24</v>
      </c>
      <c r="B1667" s="7" t="s">
        <v>160</v>
      </c>
      <c r="C1667" s="30" t="s">
        <v>140</v>
      </c>
      <c r="D1667" s="25">
        <v>31.0</v>
      </c>
      <c r="E1667" s="10">
        <f t="shared" si="2"/>
        <v>1550</v>
      </c>
      <c r="F1667" s="10"/>
    </row>
    <row r="1668" hidden="1">
      <c r="A1668" s="6" t="s">
        <v>24</v>
      </c>
      <c r="B1668" s="7" t="s">
        <v>212</v>
      </c>
      <c r="C1668" s="30" t="s">
        <v>213</v>
      </c>
      <c r="D1668" s="25">
        <v>26.0</v>
      </c>
      <c r="E1668" s="10">
        <f t="shared" si="2"/>
        <v>1300</v>
      </c>
      <c r="F1668" s="10"/>
    </row>
    <row r="1669" hidden="1">
      <c r="A1669" s="6" t="s">
        <v>24</v>
      </c>
      <c r="B1669" s="7" t="s">
        <v>168</v>
      </c>
      <c r="C1669" s="30" t="s">
        <v>169</v>
      </c>
      <c r="D1669" s="25">
        <v>20.0</v>
      </c>
      <c r="E1669" s="10">
        <f t="shared" si="2"/>
        <v>1000</v>
      </c>
      <c r="F1669" s="10"/>
    </row>
    <row r="1670" hidden="1">
      <c r="A1670" s="6" t="s">
        <v>24</v>
      </c>
      <c r="B1670" s="7" t="s">
        <v>177</v>
      </c>
      <c r="C1670" s="30" t="s">
        <v>144</v>
      </c>
      <c r="D1670" s="25">
        <v>41.0</v>
      </c>
      <c r="E1670" s="10">
        <f t="shared" si="2"/>
        <v>2050</v>
      </c>
      <c r="F1670" s="10"/>
    </row>
    <row r="1671" hidden="1">
      <c r="A1671" s="6" t="s">
        <v>24</v>
      </c>
      <c r="B1671" s="7" t="s">
        <v>162</v>
      </c>
      <c r="C1671" s="30" t="s">
        <v>163</v>
      </c>
      <c r="D1671" s="25">
        <v>38.0</v>
      </c>
      <c r="E1671" s="10">
        <f t="shared" si="2"/>
        <v>1900</v>
      </c>
      <c r="F1671" s="10"/>
    </row>
    <row r="1672" hidden="1">
      <c r="A1672" s="6" t="s">
        <v>24</v>
      </c>
      <c r="B1672" s="7" t="s">
        <v>188</v>
      </c>
      <c r="C1672" s="30" t="s">
        <v>189</v>
      </c>
      <c r="D1672" s="25">
        <v>22.0</v>
      </c>
      <c r="E1672" s="10">
        <f t="shared" si="2"/>
        <v>1100</v>
      </c>
      <c r="F1672" s="10"/>
    </row>
    <row r="1673" hidden="1">
      <c r="A1673" s="6" t="s">
        <v>24</v>
      </c>
      <c r="B1673" s="7" t="s">
        <v>260</v>
      </c>
      <c r="C1673" s="30" t="s">
        <v>378</v>
      </c>
      <c r="D1673" s="25">
        <v>14.0</v>
      </c>
      <c r="E1673" s="10">
        <f t="shared" si="2"/>
        <v>700</v>
      </c>
      <c r="F1673" s="10"/>
    </row>
    <row r="1674" hidden="1">
      <c r="A1674" s="6" t="s">
        <v>24</v>
      </c>
      <c r="B1674" s="13" t="s">
        <v>190</v>
      </c>
      <c r="C1674" s="30" t="s">
        <v>191</v>
      </c>
      <c r="D1674" s="25">
        <v>6.0</v>
      </c>
      <c r="E1674" s="10">
        <f t="shared" si="2"/>
        <v>300</v>
      </c>
      <c r="F1674" s="10"/>
    </row>
    <row r="1675" hidden="1">
      <c r="A1675" s="6" t="s">
        <v>24</v>
      </c>
      <c r="B1675" s="7" t="s">
        <v>178</v>
      </c>
      <c r="C1675" s="30" t="s">
        <v>179</v>
      </c>
      <c r="D1675" s="25">
        <v>25.0</v>
      </c>
      <c r="E1675" s="10">
        <f t="shared" si="2"/>
        <v>1250</v>
      </c>
      <c r="F1675" s="10"/>
    </row>
    <row r="1676" hidden="1">
      <c r="A1676" s="6" t="s">
        <v>24</v>
      </c>
      <c r="B1676" s="7" t="s">
        <v>174</v>
      </c>
      <c r="C1676" s="30" t="s">
        <v>175</v>
      </c>
      <c r="D1676" s="25">
        <v>36.0</v>
      </c>
      <c r="E1676" s="10">
        <f t="shared" si="2"/>
        <v>1800</v>
      </c>
      <c r="F1676" s="10"/>
    </row>
    <row r="1677" hidden="1">
      <c r="A1677" s="6" t="s">
        <v>24</v>
      </c>
      <c r="B1677" s="7" t="s">
        <v>322</v>
      </c>
      <c r="C1677" s="30" t="s">
        <v>323</v>
      </c>
      <c r="D1677" s="25">
        <v>44.0</v>
      </c>
      <c r="E1677" s="10">
        <f t="shared" si="2"/>
        <v>2200</v>
      </c>
      <c r="F1677" s="10"/>
    </row>
    <row r="1678" hidden="1">
      <c r="A1678" s="6" t="s">
        <v>24</v>
      </c>
      <c r="B1678" s="7" t="s">
        <v>182</v>
      </c>
      <c r="C1678" s="30" t="s">
        <v>183</v>
      </c>
      <c r="D1678" s="25">
        <v>29.0</v>
      </c>
      <c r="E1678" s="10">
        <f t="shared" si="2"/>
        <v>1450</v>
      </c>
      <c r="F1678" s="10"/>
    </row>
    <row r="1679" hidden="1">
      <c r="A1679" s="6" t="s">
        <v>24</v>
      </c>
      <c r="B1679" s="7" t="s">
        <v>161</v>
      </c>
      <c r="C1679" s="30" t="s">
        <v>152</v>
      </c>
      <c r="D1679" s="25">
        <v>16.0</v>
      </c>
      <c r="E1679" s="10">
        <f t="shared" si="2"/>
        <v>800</v>
      </c>
      <c r="F1679" s="10"/>
    </row>
    <row r="1680" hidden="1">
      <c r="A1680" s="6" t="s">
        <v>24</v>
      </c>
      <c r="B1680" s="7" t="s">
        <v>297</v>
      </c>
      <c r="C1680" s="30" t="s">
        <v>153</v>
      </c>
      <c r="D1680" s="25">
        <v>32.0</v>
      </c>
      <c r="E1680" s="10">
        <f t="shared" si="2"/>
        <v>1600</v>
      </c>
      <c r="F1680" s="10"/>
    </row>
    <row r="1681" hidden="1">
      <c r="A1681" s="6" t="s">
        <v>24</v>
      </c>
      <c r="B1681" s="7" t="s">
        <v>295</v>
      </c>
      <c r="C1681" s="30" t="s">
        <v>296</v>
      </c>
      <c r="D1681" s="25">
        <v>59.0</v>
      </c>
      <c r="E1681" s="10">
        <f t="shared" si="2"/>
        <v>2950</v>
      </c>
      <c r="F1681" s="10"/>
    </row>
    <row r="1682" hidden="1">
      <c r="A1682" s="6" t="s">
        <v>25</v>
      </c>
      <c r="B1682" s="7" t="s">
        <v>270</v>
      </c>
      <c r="C1682" s="13" t="s">
        <v>126</v>
      </c>
      <c r="D1682" s="39">
        <v>28.0</v>
      </c>
      <c r="E1682" s="10">
        <f t="shared" si="2"/>
        <v>1400</v>
      </c>
      <c r="F1682" s="10"/>
    </row>
    <row r="1683" hidden="1">
      <c r="A1683" s="6" t="s">
        <v>25</v>
      </c>
      <c r="B1683" s="7" t="s">
        <v>184</v>
      </c>
      <c r="C1683" s="13" t="s">
        <v>156</v>
      </c>
      <c r="D1683" s="39">
        <v>22.0</v>
      </c>
      <c r="E1683" s="10">
        <f t="shared" si="2"/>
        <v>1100</v>
      </c>
      <c r="F1683" s="10"/>
    </row>
    <row r="1684" hidden="1">
      <c r="A1684" s="6" t="s">
        <v>25</v>
      </c>
      <c r="B1684" s="7" t="s">
        <v>167</v>
      </c>
      <c r="C1684" s="13" t="s">
        <v>157</v>
      </c>
      <c r="D1684" s="39">
        <v>23.0</v>
      </c>
      <c r="E1684" s="10">
        <f t="shared" si="2"/>
        <v>1150</v>
      </c>
      <c r="F1684" s="10"/>
    </row>
    <row r="1685" hidden="1">
      <c r="A1685" s="6" t="s">
        <v>25</v>
      </c>
      <c r="B1685" s="7" t="s">
        <v>164</v>
      </c>
      <c r="C1685" s="13" t="s">
        <v>158</v>
      </c>
      <c r="D1685" s="39">
        <v>35.0</v>
      </c>
      <c r="E1685" s="10">
        <f t="shared" si="2"/>
        <v>1750</v>
      </c>
      <c r="F1685" s="10"/>
    </row>
    <row r="1686" hidden="1">
      <c r="A1686" s="6" t="s">
        <v>25</v>
      </c>
      <c r="B1686" s="7" t="s">
        <v>176</v>
      </c>
      <c r="C1686" s="13" t="s">
        <v>130</v>
      </c>
      <c r="D1686" s="39">
        <v>46.0</v>
      </c>
      <c r="E1686" s="10">
        <f t="shared" si="2"/>
        <v>2300</v>
      </c>
      <c r="F1686" s="10"/>
    </row>
    <row r="1687" hidden="1">
      <c r="A1687" s="6" t="s">
        <v>25</v>
      </c>
      <c r="B1687" s="7" t="s">
        <v>236</v>
      </c>
      <c r="C1687" s="13" t="s">
        <v>159</v>
      </c>
      <c r="D1687" s="39">
        <v>18.0</v>
      </c>
      <c r="E1687" s="10">
        <f t="shared" si="2"/>
        <v>900</v>
      </c>
      <c r="F1687" s="10"/>
    </row>
    <row r="1688" hidden="1">
      <c r="A1688" s="6" t="s">
        <v>25</v>
      </c>
      <c r="B1688" s="7" t="s">
        <v>363</v>
      </c>
      <c r="C1688" s="13" t="s">
        <v>364</v>
      </c>
      <c r="D1688" s="39">
        <v>41.0</v>
      </c>
      <c r="E1688" s="10">
        <f t="shared" si="2"/>
        <v>2050</v>
      </c>
      <c r="F1688" s="10"/>
    </row>
    <row r="1689" hidden="1">
      <c r="A1689" s="6" t="s">
        <v>25</v>
      </c>
      <c r="B1689" s="7" t="s">
        <v>331</v>
      </c>
      <c r="C1689" s="13" t="s">
        <v>133</v>
      </c>
      <c r="D1689" s="39">
        <v>40.0</v>
      </c>
      <c r="E1689" s="10">
        <f t="shared" si="2"/>
        <v>2000</v>
      </c>
      <c r="F1689" s="10"/>
    </row>
    <row r="1690" hidden="1">
      <c r="A1690" s="6" t="s">
        <v>25</v>
      </c>
      <c r="B1690" s="7" t="s">
        <v>172</v>
      </c>
      <c r="C1690" s="13" t="s">
        <v>173</v>
      </c>
      <c r="D1690" s="39">
        <v>64.0</v>
      </c>
      <c r="E1690" s="10">
        <f t="shared" si="2"/>
        <v>3200</v>
      </c>
      <c r="F1690" s="10"/>
    </row>
    <row r="1691" hidden="1">
      <c r="A1691" s="6" t="s">
        <v>25</v>
      </c>
      <c r="B1691" s="7" t="s">
        <v>165</v>
      </c>
      <c r="C1691" s="13" t="s">
        <v>166</v>
      </c>
      <c r="D1691" s="39">
        <v>48.0</v>
      </c>
      <c r="E1691" s="10">
        <f t="shared" si="2"/>
        <v>2400</v>
      </c>
      <c r="F1691" s="10"/>
    </row>
    <row r="1692" hidden="1">
      <c r="A1692" s="6" t="s">
        <v>25</v>
      </c>
      <c r="B1692" s="7" t="s">
        <v>186</v>
      </c>
      <c r="C1692" s="13" t="s">
        <v>187</v>
      </c>
      <c r="D1692" s="39">
        <v>31.0</v>
      </c>
      <c r="E1692" s="10">
        <f t="shared" si="2"/>
        <v>1550</v>
      </c>
      <c r="F1692" s="10"/>
    </row>
    <row r="1693" hidden="1">
      <c r="A1693" s="6" t="s">
        <v>25</v>
      </c>
      <c r="B1693" s="13" t="s">
        <v>170</v>
      </c>
      <c r="C1693" s="13" t="s">
        <v>171</v>
      </c>
      <c r="D1693" s="39">
        <v>12.0</v>
      </c>
      <c r="E1693" s="10">
        <f t="shared" si="2"/>
        <v>600</v>
      </c>
      <c r="F1693" s="10"/>
    </row>
    <row r="1694" hidden="1">
      <c r="A1694" s="6" t="s">
        <v>25</v>
      </c>
      <c r="B1694" s="13" t="s">
        <v>250</v>
      </c>
      <c r="C1694" s="13" t="s">
        <v>137</v>
      </c>
      <c r="D1694" s="39">
        <v>2.0</v>
      </c>
      <c r="E1694" s="10">
        <f t="shared" si="2"/>
        <v>100</v>
      </c>
      <c r="F1694" s="10"/>
    </row>
    <row r="1695" hidden="1">
      <c r="A1695" s="6" t="s">
        <v>25</v>
      </c>
      <c r="B1695" s="7" t="s">
        <v>180</v>
      </c>
      <c r="C1695" s="13" t="s">
        <v>181</v>
      </c>
      <c r="D1695" s="39">
        <v>45.0</v>
      </c>
      <c r="E1695" s="10">
        <f t="shared" si="2"/>
        <v>2250</v>
      </c>
      <c r="F1695" s="10"/>
    </row>
    <row r="1696" hidden="1">
      <c r="A1696" s="6" t="s">
        <v>25</v>
      </c>
      <c r="B1696" s="7" t="s">
        <v>252</v>
      </c>
      <c r="C1696" s="13" t="s">
        <v>139</v>
      </c>
      <c r="D1696" s="39">
        <v>34.0</v>
      </c>
      <c r="E1696" s="10">
        <f t="shared" si="2"/>
        <v>1700</v>
      </c>
      <c r="F1696" s="10"/>
    </row>
    <row r="1697" hidden="1">
      <c r="A1697" s="6" t="s">
        <v>25</v>
      </c>
      <c r="B1697" s="7" t="s">
        <v>160</v>
      </c>
      <c r="C1697" s="13" t="s">
        <v>140</v>
      </c>
      <c r="D1697" s="39">
        <v>26.0</v>
      </c>
      <c r="E1697" s="10">
        <f t="shared" si="2"/>
        <v>1300</v>
      </c>
      <c r="F1697" s="10"/>
    </row>
    <row r="1698" hidden="1">
      <c r="A1698" s="6" t="s">
        <v>25</v>
      </c>
      <c r="B1698" s="7" t="s">
        <v>212</v>
      </c>
      <c r="C1698" s="13" t="s">
        <v>213</v>
      </c>
      <c r="D1698" s="39">
        <v>26.0</v>
      </c>
      <c r="E1698" s="10">
        <f t="shared" si="2"/>
        <v>1300</v>
      </c>
      <c r="F1698" s="10"/>
    </row>
    <row r="1699" hidden="1">
      <c r="A1699" s="6" t="s">
        <v>25</v>
      </c>
      <c r="B1699" s="7" t="s">
        <v>168</v>
      </c>
      <c r="C1699" s="13" t="s">
        <v>169</v>
      </c>
      <c r="D1699" s="39">
        <v>11.0</v>
      </c>
      <c r="E1699" s="10">
        <f t="shared" si="2"/>
        <v>550</v>
      </c>
      <c r="F1699" s="10"/>
    </row>
    <row r="1700" hidden="1">
      <c r="A1700" s="6" t="s">
        <v>25</v>
      </c>
      <c r="B1700" s="7" t="s">
        <v>177</v>
      </c>
      <c r="C1700" s="13" t="s">
        <v>144</v>
      </c>
      <c r="D1700" s="39">
        <v>30.0</v>
      </c>
      <c r="E1700" s="10">
        <f t="shared" si="2"/>
        <v>1500</v>
      </c>
      <c r="F1700" s="10"/>
    </row>
    <row r="1701" hidden="1">
      <c r="A1701" s="6" t="s">
        <v>25</v>
      </c>
      <c r="B1701" s="7" t="s">
        <v>162</v>
      </c>
      <c r="C1701" s="13" t="s">
        <v>163</v>
      </c>
      <c r="D1701" s="39">
        <v>51.0</v>
      </c>
      <c r="E1701" s="10">
        <f t="shared" si="2"/>
        <v>2550</v>
      </c>
      <c r="F1701" s="10"/>
    </row>
    <row r="1702" hidden="1">
      <c r="A1702" s="6" t="s">
        <v>25</v>
      </c>
      <c r="B1702" s="7" t="s">
        <v>188</v>
      </c>
      <c r="C1702" s="13" t="s">
        <v>189</v>
      </c>
      <c r="D1702" s="39">
        <v>11.0</v>
      </c>
      <c r="E1702" s="10">
        <f t="shared" si="2"/>
        <v>550</v>
      </c>
      <c r="F1702" s="10"/>
    </row>
    <row r="1703" hidden="1">
      <c r="A1703" s="6" t="s">
        <v>25</v>
      </c>
      <c r="B1703" s="7" t="s">
        <v>260</v>
      </c>
      <c r="C1703" s="13" t="s">
        <v>378</v>
      </c>
      <c r="D1703" s="39">
        <v>4.0</v>
      </c>
      <c r="E1703" s="10">
        <f t="shared" si="2"/>
        <v>200</v>
      </c>
      <c r="F1703" s="10"/>
    </row>
    <row r="1704" hidden="1">
      <c r="A1704" s="6" t="s">
        <v>25</v>
      </c>
      <c r="B1704" s="13" t="s">
        <v>190</v>
      </c>
      <c r="C1704" s="13" t="s">
        <v>191</v>
      </c>
      <c r="D1704" s="39">
        <v>12.0</v>
      </c>
      <c r="E1704" s="10">
        <f t="shared" si="2"/>
        <v>600</v>
      </c>
      <c r="F1704" s="10"/>
    </row>
    <row r="1705" hidden="1">
      <c r="A1705" s="6" t="s">
        <v>25</v>
      </c>
      <c r="B1705" s="7" t="s">
        <v>178</v>
      </c>
      <c r="C1705" s="13" t="s">
        <v>179</v>
      </c>
      <c r="D1705" s="39">
        <v>38.0</v>
      </c>
      <c r="E1705" s="10">
        <f t="shared" si="2"/>
        <v>1900</v>
      </c>
      <c r="F1705" s="10"/>
    </row>
    <row r="1706" hidden="1">
      <c r="A1706" s="6" t="s">
        <v>25</v>
      </c>
      <c r="B1706" s="7" t="s">
        <v>174</v>
      </c>
      <c r="C1706" s="13" t="s">
        <v>175</v>
      </c>
      <c r="D1706" s="39">
        <v>32.0</v>
      </c>
      <c r="E1706" s="10">
        <f t="shared" si="2"/>
        <v>1600</v>
      </c>
      <c r="F1706" s="10"/>
    </row>
    <row r="1707" hidden="1">
      <c r="A1707" s="6" t="s">
        <v>25</v>
      </c>
      <c r="B1707" s="7" t="s">
        <v>322</v>
      </c>
      <c r="C1707" s="13" t="s">
        <v>323</v>
      </c>
      <c r="D1707" s="39">
        <v>59.0</v>
      </c>
      <c r="E1707" s="10">
        <f t="shared" si="2"/>
        <v>2950</v>
      </c>
      <c r="F1707" s="10"/>
    </row>
    <row r="1708" hidden="1">
      <c r="A1708" s="6" t="s">
        <v>25</v>
      </c>
      <c r="B1708" s="7" t="s">
        <v>182</v>
      </c>
      <c r="C1708" s="13" t="s">
        <v>183</v>
      </c>
      <c r="D1708" s="39">
        <v>30.0</v>
      </c>
      <c r="E1708" s="10">
        <f t="shared" si="2"/>
        <v>1500</v>
      </c>
      <c r="F1708" s="10"/>
    </row>
    <row r="1709" hidden="1">
      <c r="A1709" s="6" t="s">
        <v>25</v>
      </c>
      <c r="B1709" s="7" t="s">
        <v>161</v>
      </c>
      <c r="C1709" s="13" t="s">
        <v>152</v>
      </c>
      <c r="D1709" s="39">
        <v>30.0</v>
      </c>
      <c r="E1709" s="10">
        <f t="shared" si="2"/>
        <v>1500</v>
      </c>
      <c r="F1709" s="10"/>
    </row>
    <row r="1710" hidden="1">
      <c r="A1710" s="6" t="s">
        <v>25</v>
      </c>
      <c r="B1710" s="7" t="s">
        <v>297</v>
      </c>
      <c r="C1710" s="13" t="s">
        <v>153</v>
      </c>
      <c r="D1710" s="39">
        <v>33.0</v>
      </c>
      <c r="E1710" s="10">
        <f t="shared" si="2"/>
        <v>1650</v>
      </c>
      <c r="F1710" s="10"/>
    </row>
    <row r="1711" hidden="1">
      <c r="A1711" s="6" t="s">
        <v>25</v>
      </c>
      <c r="B1711" s="7" t="s">
        <v>295</v>
      </c>
      <c r="C1711" s="13" t="s">
        <v>296</v>
      </c>
      <c r="D1711" s="39">
        <v>36.0</v>
      </c>
      <c r="E1711" s="10">
        <f t="shared" si="2"/>
        <v>1800</v>
      </c>
      <c r="F1711" s="10"/>
    </row>
    <row r="1712" hidden="1">
      <c r="A1712" s="6" t="s">
        <v>26</v>
      </c>
      <c r="B1712" s="7" t="s">
        <v>160</v>
      </c>
      <c r="C1712" s="13" t="s">
        <v>140</v>
      </c>
      <c r="D1712" s="39">
        <v>26.0</v>
      </c>
      <c r="E1712" s="10">
        <f t="shared" si="2"/>
        <v>1300</v>
      </c>
      <c r="F1712" s="10"/>
    </row>
    <row r="1713" hidden="1">
      <c r="A1713" s="6" t="s">
        <v>26</v>
      </c>
      <c r="B1713" s="7" t="s">
        <v>161</v>
      </c>
      <c r="C1713" s="13" t="s">
        <v>152</v>
      </c>
      <c r="D1713" s="39">
        <v>28.0</v>
      </c>
      <c r="E1713" s="10">
        <f t="shared" si="2"/>
        <v>1400</v>
      </c>
      <c r="F1713" s="10"/>
    </row>
    <row r="1714" hidden="1">
      <c r="A1714" s="6" t="s">
        <v>26</v>
      </c>
      <c r="B1714" s="7" t="s">
        <v>162</v>
      </c>
      <c r="C1714" s="13" t="s">
        <v>163</v>
      </c>
      <c r="D1714" s="39">
        <v>57.0</v>
      </c>
      <c r="E1714" s="10">
        <f t="shared" si="2"/>
        <v>2850</v>
      </c>
      <c r="F1714" s="10"/>
    </row>
    <row r="1715" hidden="1">
      <c r="A1715" s="6" t="s">
        <v>26</v>
      </c>
      <c r="B1715" s="7" t="s">
        <v>164</v>
      </c>
      <c r="C1715" s="13" t="s">
        <v>158</v>
      </c>
      <c r="D1715" s="39">
        <v>45.0</v>
      </c>
      <c r="E1715" s="10">
        <f t="shared" si="2"/>
        <v>2250</v>
      </c>
      <c r="F1715" s="10"/>
    </row>
    <row r="1716" hidden="1">
      <c r="A1716" s="6" t="s">
        <v>26</v>
      </c>
      <c r="B1716" s="7" t="s">
        <v>165</v>
      </c>
      <c r="C1716" s="13" t="s">
        <v>166</v>
      </c>
      <c r="D1716" s="39">
        <v>46.0</v>
      </c>
      <c r="E1716" s="10">
        <f t="shared" si="2"/>
        <v>2300</v>
      </c>
      <c r="F1716" s="10"/>
    </row>
    <row r="1717" hidden="1">
      <c r="A1717" s="6" t="s">
        <v>26</v>
      </c>
      <c r="B1717" s="7" t="s">
        <v>167</v>
      </c>
      <c r="C1717" s="13" t="s">
        <v>157</v>
      </c>
      <c r="D1717" s="39">
        <v>26.0</v>
      </c>
      <c r="E1717" s="10">
        <f t="shared" si="2"/>
        <v>1300</v>
      </c>
      <c r="F1717" s="10"/>
    </row>
    <row r="1718" hidden="1">
      <c r="A1718" s="6" t="s">
        <v>26</v>
      </c>
      <c r="B1718" s="7" t="s">
        <v>168</v>
      </c>
      <c r="C1718" s="13" t="s">
        <v>169</v>
      </c>
      <c r="D1718" s="39">
        <v>34.0</v>
      </c>
      <c r="E1718" s="10">
        <f t="shared" si="2"/>
        <v>1700</v>
      </c>
      <c r="F1718" s="10"/>
    </row>
    <row r="1719" hidden="1">
      <c r="A1719" s="6" t="s">
        <v>26</v>
      </c>
      <c r="B1719" s="13" t="s">
        <v>170</v>
      </c>
      <c r="C1719" s="13" t="s">
        <v>171</v>
      </c>
      <c r="D1719" s="39">
        <v>9.0</v>
      </c>
      <c r="E1719" s="10">
        <f t="shared" si="2"/>
        <v>450</v>
      </c>
      <c r="F1719" s="10"/>
    </row>
    <row r="1720" hidden="1">
      <c r="A1720" s="6" t="s">
        <v>26</v>
      </c>
      <c r="B1720" s="7" t="s">
        <v>295</v>
      </c>
      <c r="C1720" s="13" t="s">
        <v>296</v>
      </c>
      <c r="D1720" s="39">
        <v>39.0</v>
      </c>
      <c r="E1720" s="10">
        <f t="shared" si="2"/>
        <v>1950</v>
      </c>
      <c r="F1720" s="10"/>
    </row>
    <row r="1721" hidden="1">
      <c r="A1721" s="6" t="s">
        <v>26</v>
      </c>
      <c r="B1721" s="7" t="s">
        <v>172</v>
      </c>
      <c r="C1721" s="13" t="s">
        <v>173</v>
      </c>
      <c r="D1721" s="39">
        <v>42.0</v>
      </c>
      <c r="E1721" s="10">
        <f t="shared" si="2"/>
        <v>2100</v>
      </c>
      <c r="F1721" s="10"/>
    </row>
    <row r="1722" hidden="1">
      <c r="A1722" s="6" t="s">
        <v>26</v>
      </c>
      <c r="B1722" s="7" t="s">
        <v>322</v>
      </c>
      <c r="C1722" s="13" t="s">
        <v>323</v>
      </c>
      <c r="D1722" s="39">
        <v>46.0</v>
      </c>
      <c r="E1722" s="10">
        <f t="shared" si="2"/>
        <v>2300</v>
      </c>
      <c r="F1722" s="10"/>
    </row>
    <row r="1723" hidden="1">
      <c r="A1723" s="6" t="s">
        <v>26</v>
      </c>
      <c r="B1723" s="7" t="s">
        <v>297</v>
      </c>
      <c r="C1723" s="13" t="s">
        <v>153</v>
      </c>
      <c r="D1723" s="39">
        <v>23.0</v>
      </c>
      <c r="E1723" s="10">
        <f t="shared" si="2"/>
        <v>1150</v>
      </c>
      <c r="F1723" s="10"/>
    </row>
    <row r="1724" hidden="1">
      <c r="A1724" s="6" t="s">
        <v>26</v>
      </c>
      <c r="B1724" s="7" t="s">
        <v>174</v>
      </c>
      <c r="C1724" s="13" t="s">
        <v>175</v>
      </c>
      <c r="D1724" s="39">
        <v>27.0</v>
      </c>
      <c r="E1724" s="10">
        <f t="shared" si="2"/>
        <v>1350</v>
      </c>
      <c r="F1724" s="10"/>
    </row>
    <row r="1725" hidden="1">
      <c r="A1725" s="6" t="s">
        <v>26</v>
      </c>
      <c r="B1725" s="7" t="s">
        <v>176</v>
      </c>
      <c r="C1725" s="13" t="s">
        <v>130</v>
      </c>
      <c r="D1725" s="39">
        <v>51.0</v>
      </c>
      <c r="E1725" s="10">
        <f t="shared" si="2"/>
        <v>2550</v>
      </c>
      <c r="F1725" s="10"/>
    </row>
    <row r="1726" hidden="1">
      <c r="A1726" s="6" t="s">
        <v>26</v>
      </c>
      <c r="B1726" s="7" t="s">
        <v>252</v>
      </c>
      <c r="C1726" s="13" t="s">
        <v>139</v>
      </c>
      <c r="D1726" s="39">
        <v>28.0</v>
      </c>
      <c r="E1726" s="10">
        <f t="shared" si="2"/>
        <v>1400</v>
      </c>
      <c r="F1726" s="10"/>
    </row>
    <row r="1727" hidden="1">
      <c r="A1727" s="6" t="s">
        <v>26</v>
      </c>
      <c r="B1727" s="7" t="s">
        <v>177</v>
      </c>
      <c r="C1727" s="13" t="s">
        <v>144</v>
      </c>
      <c r="D1727" s="39">
        <v>28.0</v>
      </c>
      <c r="E1727" s="10">
        <f t="shared" si="2"/>
        <v>1400</v>
      </c>
      <c r="F1727" s="10"/>
    </row>
    <row r="1728" hidden="1">
      <c r="A1728" s="6" t="s">
        <v>26</v>
      </c>
      <c r="B1728" s="7" t="s">
        <v>270</v>
      </c>
      <c r="C1728" s="13" t="s">
        <v>126</v>
      </c>
      <c r="D1728" s="39">
        <v>24.0</v>
      </c>
      <c r="E1728" s="10">
        <f t="shared" si="2"/>
        <v>1200</v>
      </c>
      <c r="F1728" s="10"/>
    </row>
    <row r="1729" hidden="1">
      <c r="A1729" s="6" t="s">
        <v>26</v>
      </c>
      <c r="B1729" s="7" t="s">
        <v>178</v>
      </c>
      <c r="C1729" s="13" t="s">
        <v>179</v>
      </c>
      <c r="D1729" s="39">
        <v>38.0</v>
      </c>
      <c r="E1729" s="10">
        <f t="shared" si="2"/>
        <v>1900</v>
      </c>
      <c r="F1729" s="10"/>
    </row>
    <row r="1730" hidden="1">
      <c r="A1730" s="6" t="s">
        <v>26</v>
      </c>
      <c r="B1730" s="7" t="s">
        <v>363</v>
      </c>
      <c r="C1730" s="13" t="s">
        <v>364</v>
      </c>
      <c r="D1730" s="39">
        <v>39.0</v>
      </c>
      <c r="E1730" s="10">
        <f t="shared" si="2"/>
        <v>1950</v>
      </c>
      <c r="F1730" s="10"/>
    </row>
    <row r="1731" hidden="1">
      <c r="A1731" s="6" t="s">
        <v>26</v>
      </c>
      <c r="B1731" s="7" t="s">
        <v>180</v>
      </c>
      <c r="C1731" s="13" t="s">
        <v>181</v>
      </c>
      <c r="D1731" s="39">
        <v>33.0</v>
      </c>
      <c r="E1731" s="10">
        <f t="shared" si="2"/>
        <v>1650</v>
      </c>
      <c r="F1731" s="10"/>
    </row>
    <row r="1732" hidden="1">
      <c r="A1732" s="6" t="s">
        <v>26</v>
      </c>
      <c r="B1732" s="7" t="s">
        <v>236</v>
      </c>
      <c r="C1732" s="13" t="s">
        <v>159</v>
      </c>
      <c r="D1732" s="39">
        <v>25.0</v>
      </c>
      <c r="E1732" s="10">
        <f t="shared" si="2"/>
        <v>1250</v>
      </c>
      <c r="F1732" s="10"/>
    </row>
    <row r="1733" hidden="1">
      <c r="A1733" s="6" t="s">
        <v>26</v>
      </c>
      <c r="B1733" s="7" t="s">
        <v>182</v>
      </c>
      <c r="C1733" s="13" t="s">
        <v>183</v>
      </c>
      <c r="D1733" s="39">
        <v>22.0</v>
      </c>
      <c r="E1733" s="10">
        <f t="shared" si="2"/>
        <v>1100</v>
      </c>
      <c r="F1733" s="10"/>
    </row>
    <row r="1734" hidden="1">
      <c r="A1734" s="6" t="s">
        <v>26</v>
      </c>
      <c r="B1734" s="7" t="s">
        <v>184</v>
      </c>
      <c r="C1734" s="13" t="s">
        <v>156</v>
      </c>
      <c r="D1734" s="39">
        <v>23.0</v>
      </c>
      <c r="E1734" s="10">
        <f t="shared" si="2"/>
        <v>1150</v>
      </c>
      <c r="F1734" s="10"/>
    </row>
    <row r="1735" hidden="1">
      <c r="A1735" s="6" t="s">
        <v>26</v>
      </c>
      <c r="B1735" s="7" t="s">
        <v>212</v>
      </c>
      <c r="C1735" s="13" t="s">
        <v>213</v>
      </c>
      <c r="D1735" s="39">
        <v>23.0</v>
      </c>
      <c r="E1735" s="10">
        <f t="shared" si="2"/>
        <v>1150</v>
      </c>
      <c r="F1735" s="10"/>
    </row>
    <row r="1736" hidden="1">
      <c r="A1736" s="6" t="s">
        <v>26</v>
      </c>
      <c r="B1736" s="7" t="s">
        <v>186</v>
      </c>
      <c r="C1736" s="13" t="s">
        <v>187</v>
      </c>
      <c r="D1736" s="39">
        <v>35.0</v>
      </c>
      <c r="E1736" s="10">
        <f t="shared" si="2"/>
        <v>1750</v>
      </c>
      <c r="F1736" s="10"/>
    </row>
    <row r="1737" hidden="1">
      <c r="A1737" s="6" t="s">
        <v>26</v>
      </c>
      <c r="B1737" s="7" t="s">
        <v>188</v>
      </c>
      <c r="C1737" s="13" t="s">
        <v>189</v>
      </c>
      <c r="D1737" s="39">
        <v>11.0</v>
      </c>
      <c r="E1737" s="10">
        <f t="shared" si="2"/>
        <v>550</v>
      </c>
      <c r="F1737" s="10"/>
    </row>
    <row r="1738" hidden="1">
      <c r="A1738" s="6" t="s">
        <v>26</v>
      </c>
      <c r="B1738" s="7" t="s">
        <v>370</v>
      </c>
      <c r="C1738" s="13" t="s">
        <v>191</v>
      </c>
      <c r="D1738" s="39">
        <v>8.0</v>
      </c>
      <c r="E1738" s="10">
        <f t="shared" si="2"/>
        <v>400</v>
      </c>
      <c r="F1738" s="10"/>
    </row>
    <row r="1739" hidden="1">
      <c r="A1739" s="6" t="s">
        <v>26</v>
      </c>
      <c r="B1739" s="7" t="s">
        <v>190</v>
      </c>
      <c r="C1739" s="13" t="s">
        <v>137</v>
      </c>
      <c r="D1739" s="39">
        <v>4.0</v>
      </c>
      <c r="E1739" s="10">
        <f t="shared" si="2"/>
        <v>200</v>
      </c>
      <c r="F1739" s="10"/>
    </row>
    <row r="1740" hidden="1">
      <c r="A1740" s="6" t="s">
        <v>26</v>
      </c>
      <c r="B1740" s="7" t="s">
        <v>331</v>
      </c>
      <c r="C1740" s="13" t="s">
        <v>133</v>
      </c>
      <c r="D1740" s="39">
        <v>28.0</v>
      </c>
      <c r="E1740" s="10">
        <f t="shared" si="2"/>
        <v>1400</v>
      </c>
      <c r="F1740" s="10"/>
    </row>
    <row r="1741" hidden="1">
      <c r="A1741" s="6" t="s">
        <v>26</v>
      </c>
      <c r="B1741" s="7" t="s">
        <v>260</v>
      </c>
      <c r="C1741" s="13" t="s">
        <v>378</v>
      </c>
      <c r="D1741" s="39">
        <v>17.0</v>
      </c>
      <c r="E1741" s="10">
        <f t="shared" si="2"/>
        <v>850</v>
      </c>
      <c r="F1741" s="10"/>
    </row>
    <row r="1742" hidden="1">
      <c r="A1742" s="6" t="s">
        <v>27</v>
      </c>
      <c r="B1742" s="13" t="s">
        <v>160</v>
      </c>
      <c r="C1742" s="25" t="s">
        <v>140</v>
      </c>
      <c r="D1742" s="30">
        <v>17.0</v>
      </c>
      <c r="E1742" s="10">
        <f t="shared" si="2"/>
        <v>850</v>
      </c>
      <c r="F1742" s="10"/>
    </row>
    <row r="1743" hidden="1">
      <c r="A1743" s="6" t="s">
        <v>27</v>
      </c>
      <c r="B1743" s="13" t="s">
        <v>161</v>
      </c>
      <c r="C1743" s="25" t="s">
        <v>152</v>
      </c>
      <c r="D1743" s="30">
        <v>29.0</v>
      </c>
      <c r="E1743" s="10">
        <f t="shared" si="2"/>
        <v>1450</v>
      </c>
      <c r="F1743" s="10"/>
    </row>
    <row r="1744" hidden="1">
      <c r="A1744" s="6" t="s">
        <v>27</v>
      </c>
      <c r="B1744" s="13" t="s">
        <v>162</v>
      </c>
      <c r="C1744" s="25" t="s">
        <v>163</v>
      </c>
      <c r="D1744" s="30">
        <v>39.0</v>
      </c>
      <c r="E1744" s="10">
        <f t="shared" si="2"/>
        <v>1950</v>
      </c>
      <c r="F1744" s="10"/>
    </row>
    <row r="1745" hidden="1">
      <c r="A1745" s="6" t="s">
        <v>27</v>
      </c>
      <c r="B1745" s="13" t="s">
        <v>164</v>
      </c>
      <c r="C1745" s="25" t="s">
        <v>158</v>
      </c>
      <c r="D1745" s="30">
        <v>31.0</v>
      </c>
      <c r="E1745" s="10">
        <f t="shared" si="2"/>
        <v>1550</v>
      </c>
      <c r="F1745" s="10"/>
    </row>
    <row r="1746" hidden="1">
      <c r="A1746" s="6" t="s">
        <v>27</v>
      </c>
      <c r="B1746" s="13" t="s">
        <v>165</v>
      </c>
      <c r="C1746" s="25" t="s">
        <v>166</v>
      </c>
      <c r="D1746" s="30">
        <v>35.0</v>
      </c>
      <c r="E1746" s="10">
        <f t="shared" si="2"/>
        <v>1750</v>
      </c>
      <c r="F1746" s="10"/>
    </row>
    <row r="1747" hidden="1">
      <c r="A1747" s="6" t="s">
        <v>27</v>
      </c>
      <c r="B1747" s="13" t="s">
        <v>167</v>
      </c>
      <c r="C1747" s="25" t="s">
        <v>157</v>
      </c>
      <c r="D1747" s="30">
        <v>30.0</v>
      </c>
      <c r="E1747" s="10">
        <f t="shared" si="2"/>
        <v>1500</v>
      </c>
      <c r="F1747" s="10"/>
    </row>
    <row r="1748" hidden="1">
      <c r="A1748" s="6" t="s">
        <v>27</v>
      </c>
      <c r="B1748" s="13" t="s">
        <v>168</v>
      </c>
      <c r="C1748" s="25" t="s">
        <v>169</v>
      </c>
      <c r="D1748" s="30">
        <v>22.0</v>
      </c>
      <c r="E1748" s="10">
        <f t="shared" si="2"/>
        <v>1100</v>
      </c>
      <c r="F1748" s="10"/>
    </row>
    <row r="1749" hidden="1">
      <c r="A1749" s="6" t="s">
        <v>27</v>
      </c>
      <c r="B1749" s="13" t="s">
        <v>295</v>
      </c>
      <c r="C1749" s="25" t="s">
        <v>296</v>
      </c>
      <c r="D1749" s="30">
        <v>49.0</v>
      </c>
      <c r="E1749" s="10">
        <f t="shared" si="2"/>
        <v>2450</v>
      </c>
      <c r="F1749" s="10"/>
    </row>
    <row r="1750" hidden="1">
      <c r="A1750" s="6" t="s">
        <v>27</v>
      </c>
      <c r="B1750" s="13" t="s">
        <v>172</v>
      </c>
      <c r="C1750" s="25" t="s">
        <v>173</v>
      </c>
      <c r="D1750" s="30">
        <v>69.0</v>
      </c>
      <c r="E1750" s="10">
        <f t="shared" si="2"/>
        <v>3450</v>
      </c>
      <c r="F1750" s="10"/>
    </row>
    <row r="1751" hidden="1">
      <c r="A1751" s="6" t="s">
        <v>27</v>
      </c>
      <c r="B1751" s="13" t="s">
        <v>322</v>
      </c>
      <c r="C1751" s="25" t="s">
        <v>323</v>
      </c>
      <c r="D1751" s="30">
        <v>69.0</v>
      </c>
      <c r="E1751" s="10">
        <f t="shared" si="2"/>
        <v>3450</v>
      </c>
      <c r="F1751" s="10"/>
    </row>
    <row r="1752" hidden="1">
      <c r="A1752" s="6" t="s">
        <v>27</v>
      </c>
      <c r="B1752" s="13" t="s">
        <v>297</v>
      </c>
      <c r="C1752" s="25" t="s">
        <v>153</v>
      </c>
      <c r="D1752" s="30">
        <v>31.0</v>
      </c>
      <c r="E1752" s="10">
        <f t="shared" si="2"/>
        <v>1550</v>
      </c>
      <c r="F1752" s="10"/>
    </row>
    <row r="1753" hidden="1">
      <c r="A1753" s="6" t="s">
        <v>27</v>
      </c>
      <c r="B1753" s="13" t="s">
        <v>174</v>
      </c>
      <c r="C1753" s="25" t="s">
        <v>175</v>
      </c>
      <c r="D1753" s="30">
        <v>30.0</v>
      </c>
      <c r="E1753" s="10">
        <f t="shared" si="2"/>
        <v>1500</v>
      </c>
      <c r="F1753" s="10"/>
    </row>
    <row r="1754" hidden="1">
      <c r="A1754" s="6" t="s">
        <v>27</v>
      </c>
      <c r="B1754" s="13" t="s">
        <v>176</v>
      </c>
      <c r="C1754" s="25" t="s">
        <v>130</v>
      </c>
      <c r="D1754" s="30">
        <v>52.0</v>
      </c>
      <c r="E1754" s="10">
        <f t="shared" si="2"/>
        <v>2600</v>
      </c>
      <c r="F1754" s="10"/>
    </row>
    <row r="1755" hidden="1">
      <c r="A1755" s="6" t="s">
        <v>27</v>
      </c>
      <c r="B1755" s="13" t="s">
        <v>252</v>
      </c>
      <c r="C1755" s="25" t="s">
        <v>139</v>
      </c>
      <c r="D1755" s="30">
        <v>42.0</v>
      </c>
      <c r="E1755" s="10">
        <f t="shared" si="2"/>
        <v>2100</v>
      </c>
      <c r="F1755" s="10"/>
    </row>
    <row r="1756" hidden="1">
      <c r="A1756" s="6" t="s">
        <v>27</v>
      </c>
      <c r="B1756" s="13" t="s">
        <v>177</v>
      </c>
      <c r="C1756" s="25" t="s">
        <v>144</v>
      </c>
      <c r="D1756" s="30">
        <v>34.0</v>
      </c>
      <c r="E1756" s="10">
        <f t="shared" si="2"/>
        <v>1700</v>
      </c>
      <c r="F1756" s="10"/>
    </row>
    <row r="1757" hidden="1">
      <c r="A1757" s="6" t="s">
        <v>27</v>
      </c>
      <c r="B1757" s="13" t="s">
        <v>270</v>
      </c>
      <c r="C1757" s="25" t="s">
        <v>126</v>
      </c>
      <c r="D1757" s="30">
        <v>27.0</v>
      </c>
      <c r="E1757" s="10">
        <f t="shared" si="2"/>
        <v>1350</v>
      </c>
      <c r="F1757" s="10"/>
    </row>
    <row r="1758" hidden="1">
      <c r="A1758" s="6" t="s">
        <v>27</v>
      </c>
      <c r="B1758" s="13" t="s">
        <v>178</v>
      </c>
      <c r="C1758" s="25" t="s">
        <v>179</v>
      </c>
      <c r="D1758" s="30">
        <v>30.0</v>
      </c>
      <c r="E1758" s="10">
        <f t="shared" si="2"/>
        <v>1500</v>
      </c>
      <c r="F1758" s="10"/>
    </row>
    <row r="1759" hidden="1">
      <c r="A1759" s="6" t="s">
        <v>27</v>
      </c>
      <c r="B1759" s="13" t="s">
        <v>363</v>
      </c>
      <c r="C1759" s="25" t="s">
        <v>364</v>
      </c>
      <c r="D1759" s="30">
        <v>42.0</v>
      </c>
      <c r="E1759" s="10">
        <f t="shared" si="2"/>
        <v>2100</v>
      </c>
      <c r="F1759" s="10"/>
    </row>
    <row r="1760" hidden="1">
      <c r="A1760" s="6" t="s">
        <v>27</v>
      </c>
      <c r="B1760" s="13" t="s">
        <v>180</v>
      </c>
      <c r="C1760" s="25" t="s">
        <v>181</v>
      </c>
      <c r="D1760" s="30">
        <v>33.0</v>
      </c>
      <c r="E1760" s="10">
        <f t="shared" si="2"/>
        <v>1650</v>
      </c>
      <c r="F1760" s="10"/>
    </row>
    <row r="1761" hidden="1">
      <c r="A1761" s="6" t="s">
        <v>27</v>
      </c>
      <c r="B1761" s="13" t="s">
        <v>236</v>
      </c>
      <c r="C1761" s="25" t="s">
        <v>159</v>
      </c>
      <c r="D1761" s="30">
        <v>17.0</v>
      </c>
      <c r="E1761" s="10">
        <f t="shared" si="2"/>
        <v>850</v>
      </c>
      <c r="F1761" s="10"/>
    </row>
    <row r="1762" hidden="1">
      <c r="A1762" s="6" t="s">
        <v>27</v>
      </c>
      <c r="B1762" s="13" t="s">
        <v>182</v>
      </c>
      <c r="C1762" s="25" t="s">
        <v>183</v>
      </c>
      <c r="D1762" s="30">
        <v>17.0</v>
      </c>
      <c r="E1762" s="10">
        <f t="shared" si="2"/>
        <v>850</v>
      </c>
      <c r="F1762" s="10"/>
    </row>
    <row r="1763" hidden="1">
      <c r="A1763" s="6" t="s">
        <v>27</v>
      </c>
      <c r="B1763" s="13" t="s">
        <v>184</v>
      </c>
      <c r="C1763" s="25" t="s">
        <v>156</v>
      </c>
      <c r="D1763" s="30">
        <v>20.0</v>
      </c>
      <c r="E1763" s="10">
        <f t="shared" si="2"/>
        <v>1000</v>
      </c>
      <c r="F1763" s="10"/>
    </row>
    <row r="1764" hidden="1">
      <c r="A1764" s="6" t="s">
        <v>27</v>
      </c>
      <c r="B1764" s="13" t="s">
        <v>212</v>
      </c>
      <c r="C1764" s="25" t="s">
        <v>213</v>
      </c>
      <c r="D1764" s="30">
        <v>26.0</v>
      </c>
      <c r="E1764" s="10">
        <f t="shared" si="2"/>
        <v>1300</v>
      </c>
      <c r="F1764" s="10"/>
    </row>
    <row r="1765" hidden="1">
      <c r="A1765" s="6" t="s">
        <v>27</v>
      </c>
      <c r="B1765" s="13" t="s">
        <v>186</v>
      </c>
      <c r="C1765" s="25" t="s">
        <v>187</v>
      </c>
      <c r="D1765" s="30">
        <v>39.0</v>
      </c>
      <c r="E1765" s="10">
        <f t="shared" si="2"/>
        <v>1950</v>
      </c>
      <c r="F1765" s="10"/>
    </row>
    <row r="1766" hidden="1">
      <c r="A1766" s="6" t="s">
        <v>27</v>
      </c>
      <c r="B1766" s="13" t="s">
        <v>188</v>
      </c>
      <c r="C1766" s="25" t="s">
        <v>189</v>
      </c>
      <c r="D1766" s="30">
        <v>19.0</v>
      </c>
      <c r="E1766" s="10">
        <f t="shared" si="2"/>
        <v>950</v>
      </c>
      <c r="F1766" s="10"/>
    </row>
    <row r="1767" hidden="1">
      <c r="A1767" s="6" t="s">
        <v>27</v>
      </c>
      <c r="B1767" s="13" t="s">
        <v>370</v>
      </c>
      <c r="C1767" s="25" t="s">
        <v>371</v>
      </c>
      <c r="D1767" s="30">
        <v>2.0</v>
      </c>
      <c r="E1767" s="10">
        <f t="shared" si="2"/>
        <v>100</v>
      </c>
      <c r="F1767" s="10"/>
    </row>
    <row r="1768" hidden="1">
      <c r="A1768" s="6" t="s">
        <v>27</v>
      </c>
      <c r="B1768" s="13" t="s">
        <v>190</v>
      </c>
      <c r="C1768" s="25" t="s">
        <v>191</v>
      </c>
      <c r="D1768" s="30">
        <v>9.0</v>
      </c>
      <c r="E1768" s="10">
        <f t="shared" si="2"/>
        <v>450</v>
      </c>
      <c r="F1768" s="10"/>
    </row>
    <row r="1769" hidden="1">
      <c r="A1769" s="6" t="s">
        <v>27</v>
      </c>
      <c r="B1769" s="7" t="s">
        <v>331</v>
      </c>
      <c r="C1769" s="25" t="s">
        <v>133</v>
      </c>
      <c r="D1769" s="30">
        <v>30.0</v>
      </c>
      <c r="E1769" s="10">
        <f t="shared" si="2"/>
        <v>1500</v>
      </c>
      <c r="F1769" s="10"/>
    </row>
    <row r="1770" hidden="1">
      <c r="A1770" s="6" t="s">
        <v>27</v>
      </c>
      <c r="B1770" s="7" t="s">
        <v>260</v>
      </c>
      <c r="C1770" s="25" t="s">
        <v>378</v>
      </c>
      <c r="D1770" s="30">
        <v>12.0</v>
      </c>
      <c r="E1770" s="10">
        <f t="shared" si="2"/>
        <v>600</v>
      </c>
      <c r="F1770" s="10"/>
    </row>
    <row r="1771" hidden="1">
      <c r="A1771" s="6" t="s">
        <v>28</v>
      </c>
      <c r="B1771" s="7" t="s">
        <v>160</v>
      </c>
      <c r="C1771" s="7" t="s">
        <v>140</v>
      </c>
      <c r="D1771" s="34">
        <v>18.0</v>
      </c>
      <c r="E1771" s="10">
        <f t="shared" si="2"/>
        <v>900</v>
      </c>
      <c r="F1771" s="10"/>
    </row>
    <row r="1772" hidden="1">
      <c r="A1772" s="6" t="s">
        <v>28</v>
      </c>
      <c r="B1772" s="7" t="s">
        <v>161</v>
      </c>
      <c r="C1772" s="7" t="s">
        <v>152</v>
      </c>
      <c r="D1772" s="34">
        <v>38.0</v>
      </c>
      <c r="E1772" s="10">
        <f t="shared" si="2"/>
        <v>1900</v>
      </c>
      <c r="F1772" s="10"/>
    </row>
    <row r="1773" hidden="1">
      <c r="A1773" s="6" t="s">
        <v>28</v>
      </c>
      <c r="B1773" s="7" t="s">
        <v>162</v>
      </c>
      <c r="C1773" s="7" t="s">
        <v>163</v>
      </c>
      <c r="D1773" s="34">
        <v>63.0</v>
      </c>
      <c r="E1773" s="10">
        <f t="shared" si="2"/>
        <v>3150</v>
      </c>
      <c r="F1773" s="10"/>
    </row>
    <row r="1774" hidden="1">
      <c r="A1774" s="6" t="s">
        <v>28</v>
      </c>
      <c r="B1774" s="7" t="s">
        <v>164</v>
      </c>
      <c r="C1774" s="7" t="s">
        <v>158</v>
      </c>
      <c r="D1774" s="34">
        <v>35.0</v>
      </c>
      <c r="E1774" s="10">
        <f t="shared" si="2"/>
        <v>1750</v>
      </c>
      <c r="F1774" s="10"/>
    </row>
    <row r="1775" hidden="1">
      <c r="A1775" s="6" t="s">
        <v>28</v>
      </c>
      <c r="B1775" s="7" t="s">
        <v>165</v>
      </c>
      <c r="C1775" s="7" t="s">
        <v>166</v>
      </c>
      <c r="D1775" s="34">
        <v>44.0</v>
      </c>
      <c r="E1775" s="10">
        <f t="shared" si="2"/>
        <v>2200</v>
      </c>
      <c r="F1775" s="10"/>
    </row>
    <row r="1776" hidden="1">
      <c r="A1776" s="6" t="s">
        <v>28</v>
      </c>
      <c r="B1776" s="7" t="s">
        <v>167</v>
      </c>
      <c r="C1776" s="7" t="s">
        <v>157</v>
      </c>
      <c r="D1776" s="34">
        <v>38.0</v>
      </c>
      <c r="E1776" s="10">
        <f t="shared" si="2"/>
        <v>1900</v>
      </c>
      <c r="F1776" s="10"/>
    </row>
    <row r="1777" hidden="1">
      <c r="A1777" s="6" t="s">
        <v>28</v>
      </c>
      <c r="B1777" s="7" t="s">
        <v>168</v>
      </c>
      <c r="C1777" s="7" t="s">
        <v>169</v>
      </c>
      <c r="D1777" s="34">
        <v>30.0</v>
      </c>
      <c r="E1777" s="10">
        <f t="shared" si="2"/>
        <v>1500</v>
      </c>
      <c r="F1777" s="10"/>
    </row>
    <row r="1778" hidden="1">
      <c r="A1778" s="6" t="s">
        <v>28</v>
      </c>
      <c r="B1778" s="7" t="s">
        <v>295</v>
      </c>
      <c r="C1778" s="7" t="s">
        <v>296</v>
      </c>
      <c r="D1778" s="34">
        <v>41.0</v>
      </c>
      <c r="E1778" s="10">
        <f t="shared" si="2"/>
        <v>2050</v>
      </c>
      <c r="F1778" s="10"/>
    </row>
    <row r="1779" hidden="1">
      <c r="A1779" s="6" t="s">
        <v>28</v>
      </c>
      <c r="B1779" s="7" t="s">
        <v>172</v>
      </c>
      <c r="C1779" s="7" t="s">
        <v>173</v>
      </c>
      <c r="D1779" s="34">
        <v>47.0</v>
      </c>
      <c r="E1779" s="10">
        <f t="shared" si="2"/>
        <v>2350</v>
      </c>
      <c r="F1779" s="10"/>
    </row>
    <row r="1780" hidden="1">
      <c r="A1780" s="6" t="s">
        <v>28</v>
      </c>
      <c r="B1780" s="7" t="s">
        <v>322</v>
      </c>
      <c r="C1780" s="7" t="s">
        <v>323</v>
      </c>
      <c r="D1780" s="34">
        <v>51.0</v>
      </c>
      <c r="E1780" s="10">
        <f t="shared" si="2"/>
        <v>2550</v>
      </c>
      <c r="F1780" s="10"/>
    </row>
    <row r="1781" hidden="1">
      <c r="A1781" s="6" t="s">
        <v>28</v>
      </c>
      <c r="B1781" s="7" t="s">
        <v>297</v>
      </c>
      <c r="C1781" s="7" t="s">
        <v>153</v>
      </c>
      <c r="D1781" s="34">
        <v>25.0</v>
      </c>
      <c r="E1781" s="10">
        <f t="shared" si="2"/>
        <v>1250</v>
      </c>
      <c r="F1781" s="10"/>
    </row>
    <row r="1782" hidden="1">
      <c r="A1782" s="6" t="s">
        <v>28</v>
      </c>
      <c r="B1782" s="7" t="s">
        <v>174</v>
      </c>
      <c r="C1782" s="7" t="s">
        <v>175</v>
      </c>
      <c r="D1782" s="34">
        <v>32.0</v>
      </c>
      <c r="E1782" s="10">
        <f t="shared" si="2"/>
        <v>1600</v>
      </c>
      <c r="F1782" s="10"/>
    </row>
    <row r="1783" hidden="1">
      <c r="A1783" s="6" t="s">
        <v>28</v>
      </c>
      <c r="B1783" s="7" t="s">
        <v>176</v>
      </c>
      <c r="C1783" s="7" t="s">
        <v>130</v>
      </c>
      <c r="D1783" s="34">
        <v>35.0</v>
      </c>
      <c r="E1783" s="10">
        <f t="shared" si="2"/>
        <v>1750</v>
      </c>
      <c r="F1783" s="10"/>
    </row>
    <row r="1784" hidden="1">
      <c r="A1784" s="6" t="s">
        <v>28</v>
      </c>
      <c r="B1784" s="7" t="s">
        <v>252</v>
      </c>
      <c r="C1784" s="7" t="s">
        <v>139</v>
      </c>
      <c r="D1784" s="34">
        <v>35.0</v>
      </c>
      <c r="E1784" s="10">
        <f t="shared" si="2"/>
        <v>1750</v>
      </c>
      <c r="F1784" s="10"/>
    </row>
    <row r="1785" hidden="1">
      <c r="A1785" s="6" t="s">
        <v>28</v>
      </c>
      <c r="B1785" s="7" t="s">
        <v>177</v>
      </c>
      <c r="C1785" s="7" t="s">
        <v>144</v>
      </c>
      <c r="D1785" s="34">
        <v>39.0</v>
      </c>
      <c r="E1785" s="10">
        <f t="shared" si="2"/>
        <v>1950</v>
      </c>
      <c r="F1785" s="10"/>
    </row>
    <row r="1786" hidden="1">
      <c r="A1786" s="6" t="s">
        <v>28</v>
      </c>
      <c r="B1786" s="7" t="s">
        <v>270</v>
      </c>
      <c r="C1786" s="7" t="s">
        <v>126</v>
      </c>
      <c r="D1786" s="34">
        <v>20.0</v>
      </c>
      <c r="E1786" s="10">
        <f t="shared" si="2"/>
        <v>1000</v>
      </c>
      <c r="F1786" s="10"/>
    </row>
    <row r="1787" hidden="1">
      <c r="A1787" s="6" t="s">
        <v>28</v>
      </c>
      <c r="B1787" s="7" t="s">
        <v>178</v>
      </c>
      <c r="C1787" s="7" t="s">
        <v>179</v>
      </c>
      <c r="D1787" s="34">
        <v>41.0</v>
      </c>
      <c r="E1787" s="10">
        <f t="shared" si="2"/>
        <v>2050</v>
      </c>
      <c r="F1787" s="10"/>
    </row>
    <row r="1788" hidden="1">
      <c r="A1788" s="6" t="s">
        <v>28</v>
      </c>
      <c r="B1788" s="7" t="s">
        <v>236</v>
      </c>
      <c r="C1788" s="7" t="s">
        <v>364</v>
      </c>
      <c r="D1788" s="34">
        <v>41.0</v>
      </c>
      <c r="E1788" s="10">
        <f t="shared" si="2"/>
        <v>2050</v>
      </c>
      <c r="F1788" s="10"/>
    </row>
    <row r="1789" hidden="1">
      <c r="A1789" s="6" t="s">
        <v>28</v>
      </c>
      <c r="B1789" s="7" t="s">
        <v>180</v>
      </c>
      <c r="C1789" s="7" t="s">
        <v>181</v>
      </c>
      <c r="D1789" s="34">
        <v>25.0</v>
      </c>
      <c r="E1789" s="10">
        <f t="shared" si="2"/>
        <v>1250</v>
      </c>
      <c r="F1789" s="10"/>
    </row>
    <row r="1790" hidden="1">
      <c r="A1790" s="6" t="s">
        <v>28</v>
      </c>
      <c r="B1790" s="7" t="s">
        <v>236</v>
      </c>
      <c r="C1790" s="7" t="s">
        <v>159</v>
      </c>
      <c r="D1790" s="34">
        <v>24.0</v>
      </c>
      <c r="E1790" s="10">
        <f t="shared" si="2"/>
        <v>1200</v>
      </c>
      <c r="F1790" s="10"/>
    </row>
    <row r="1791" hidden="1">
      <c r="A1791" s="6" t="s">
        <v>28</v>
      </c>
      <c r="B1791" s="7" t="s">
        <v>182</v>
      </c>
      <c r="C1791" s="7" t="s">
        <v>183</v>
      </c>
      <c r="D1791" s="34">
        <v>31.0</v>
      </c>
      <c r="E1791" s="10">
        <f t="shared" si="2"/>
        <v>1550</v>
      </c>
      <c r="F1791" s="10"/>
    </row>
    <row r="1792" hidden="1">
      <c r="A1792" s="6" t="s">
        <v>28</v>
      </c>
      <c r="B1792" s="7" t="s">
        <v>184</v>
      </c>
      <c r="C1792" s="7" t="s">
        <v>156</v>
      </c>
      <c r="D1792" s="34">
        <v>21.0</v>
      </c>
      <c r="E1792" s="10">
        <f t="shared" si="2"/>
        <v>1050</v>
      </c>
      <c r="F1792" s="10"/>
    </row>
    <row r="1793" hidden="1">
      <c r="A1793" s="6" t="s">
        <v>28</v>
      </c>
      <c r="B1793" s="7" t="s">
        <v>212</v>
      </c>
      <c r="C1793" s="7" t="s">
        <v>213</v>
      </c>
      <c r="D1793" s="34">
        <v>21.0</v>
      </c>
      <c r="E1793" s="10">
        <f t="shared" si="2"/>
        <v>1050</v>
      </c>
      <c r="F1793" s="10"/>
    </row>
    <row r="1794" hidden="1">
      <c r="A1794" s="6" t="s">
        <v>28</v>
      </c>
      <c r="B1794" s="7" t="s">
        <v>186</v>
      </c>
      <c r="C1794" s="7" t="s">
        <v>187</v>
      </c>
      <c r="D1794" s="34">
        <v>39.0</v>
      </c>
      <c r="E1794" s="10">
        <f t="shared" si="2"/>
        <v>1950</v>
      </c>
      <c r="F1794" s="10"/>
    </row>
    <row r="1795" hidden="1">
      <c r="A1795" s="6" t="s">
        <v>28</v>
      </c>
      <c r="B1795" s="7" t="s">
        <v>188</v>
      </c>
      <c r="C1795" s="7" t="s">
        <v>189</v>
      </c>
      <c r="D1795" s="34">
        <v>17.0</v>
      </c>
      <c r="E1795" s="10">
        <f t="shared" si="2"/>
        <v>850</v>
      </c>
      <c r="F1795" s="10"/>
    </row>
    <row r="1796" hidden="1">
      <c r="A1796" s="6" t="s">
        <v>28</v>
      </c>
      <c r="B1796" s="7" t="s">
        <v>370</v>
      </c>
      <c r="C1796" s="7" t="s">
        <v>371</v>
      </c>
      <c r="D1796" s="34">
        <v>4.0</v>
      </c>
      <c r="E1796" s="10">
        <f t="shared" si="2"/>
        <v>200</v>
      </c>
      <c r="F1796" s="10"/>
    </row>
    <row r="1797" hidden="1">
      <c r="A1797" s="6" t="s">
        <v>28</v>
      </c>
      <c r="B1797" s="7" t="s">
        <v>379</v>
      </c>
      <c r="C1797" s="7" t="s">
        <v>380</v>
      </c>
      <c r="D1797" s="34">
        <v>6.0</v>
      </c>
      <c r="E1797" s="10">
        <f t="shared" si="2"/>
        <v>300</v>
      </c>
      <c r="F1797" s="10"/>
    </row>
    <row r="1798" hidden="1">
      <c r="A1798" s="6" t="s">
        <v>28</v>
      </c>
      <c r="B1798" s="7" t="s">
        <v>381</v>
      </c>
      <c r="C1798" s="7" t="s">
        <v>382</v>
      </c>
      <c r="D1798" s="34">
        <v>8.0</v>
      </c>
      <c r="E1798" s="10">
        <f t="shared" si="2"/>
        <v>400</v>
      </c>
      <c r="F1798" s="10"/>
    </row>
    <row r="1799" hidden="1">
      <c r="A1799" s="6" t="s">
        <v>28</v>
      </c>
      <c r="B1799" s="7" t="s">
        <v>190</v>
      </c>
      <c r="C1799" s="7" t="s">
        <v>191</v>
      </c>
      <c r="D1799" s="34">
        <v>6.0</v>
      </c>
      <c r="E1799" s="10">
        <f t="shared" si="2"/>
        <v>300</v>
      </c>
      <c r="F1799" s="10"/>
    </row>
    <row r="1800" hidden="1">
      <c r="A1800" s="6" t="s">
        <v>28</v>
      </c>
      <c r="B1800" s="7" t="s">
        <v>250</v>
      </c>
      <c r="C1800" s="7" t="s">
        <v>137</v>
      </c>
      <c r="D1800" s="34">
        <v>2.0</v>
      </c>
      <c r="E1800" s="10">
        <f t="shared" si="2"/>
        <v>100</v>
      </c>
      <c r="F1800" s="10"/>
    </row>
    <row r="1801" hidden="1">
      <c r="A1801" s="6" t="s">
        <v>28</v>
      </c>
      <c r="B1801" s="7" t="s">
        <v>331</v>
      </c>
      <c r="C1801" s="7" t="s">
        <v>133</v>
      </c>
      <c r="D1801" s="34">
        <v>28.0</v>
      </c>
      <c r="E1801" s="10">
        <f t="shared" si="2"/>
        <v>1400</v>
      </c>
      <c r="F1801" s="10"/>
    </row>
    <row r="1802" hidden="1">
      <c r="A1802" s="6" t="s">
        <v>28</v>
      </c>
      <c r="B1802" s="7" t="s">
        <v>260</v>
      </c>
      <c r="C1802" s="7" t="s">
        <v>378</v>
      </c>
      <c r="D1802" s="34">
        <v>12.0</v>
      </c>
      <c r="E1802" s="10">
        <f t="shared" si="2"/>
        <v>600</v>
      </c>
      <c r="F1802" s="10"/>
    </row>
    <row r="1803" hidden="1">
      <c r="A1803" s="6" t="s">
        <v>111</v>
      </c>
      <c r="B1803" s="38"/>
      <c r="C1803" s="38" t="s">
        <v>126</v>
      </c>
      <c r="D1803" s="15">
        <v>33.0</v>
      </c>
      <c r="E1803" s="10">
        <f t="shared" si="2"/>
        <v>1650</v>
      </c>
      <c r="F1803" s="10"/>
    </row>
    <row r="1804" hidden="1">
      <c r="A1804" s="6" t="s">
        <v>111</v>
      </c>
      <c r="B1804" s="38"/>
      <c r="C1804" s="38" t="s">
        <v>156</v>
      </c>
      <c r="D1804" s="15">
        <v>23.0</v>
      </c>
      <c r="E1804" s="10">
        <f t="shared" si="2"/>
        <v>1150</v>
      </c>
      <c r="F1804" s="10"/>
    </row>
    <row r="1805" hidden="1">
      <c r="A1805" s="6" t="s">
        <v>111</v>
      </c>
      <c r="B1805" s="38"/>
      <c r="C1805" s="38" t="s">
        <v>157</v>
      </c>
      <c r="D1805" s="15">
        <v>24.0</v>
      </c>
      <c r="E1805" s="10">
        <f t="shared" si="2"/>
        <v>1200</v>
      </c>
      <c r="F1805" s="10"/>
    </row>
    <row r="1806" hidden="1">
      <c r="A1806" s="6" t="s">
        <v>111</v>
      </c>
      <c r="B1806" s="38"/>
      <c r="C1806" s="38" t="s">
        <v>158</v>
      </c>
      <c r="D1806" s="15">
        <v>41.0</v>
      </c>
      <c r="E1806" s="10">
        <f t="shared" si="2"/>
        <v>2050</v>
      </c>
      <c r="F1806" s="10"/>
    </row>
    <row r="1807" hidden="1">
      <c r="A1807" s="6" t="s">
        <v>111</v>
      </c>
      <c r="B1807" s="38"/>
      <c r="C1807" s="38" t="s">
        <v>130</v>
      </c>
      <c r="D1807" s="15">
        <v>35.0</v>
      </c>
      <c r="E1807" s="10">
        <f t="shared" si="2"/>
        <v>1750</v>
      </c>
      <c r="F1807" s="10"/>
    </row>
    <row r="1808" hidden="1">
      <c r="A1808" s="6" t="s">
        <v>111</v>
      </c>
      <c r="B1808" s="38"/>
      <c r="C1808" s="38" t="s">
        <v>159</v>
      </c>
      <c r="D1808" s="15">
        <v>37.0</v>
      </c>
      <c r="E1808" s="10">
        <f t="shared" si="2"/>
        <v>1850</v>
      </c>
      <c r="F1808" s="10"/>
    </row>
    <row r="1809" hidden="1">
      <c r="A1809" s="6" t="s">
        <v>111</v>
      </c>
      <c r="B1809" s="43"/>
      <c r="C1809" s="43" t="s">
        <v>371</v>
      </c>
      <c r="D1809" s="15">
        <v>2.0</v>
      </c>
      <c r="E1809" s="10">
        <f t="shared" si="2"/>
        <v>100</v>
      </c>
      <c r="F1809" s="10"/>
    </row>
    <row r="1810" hidden="1">
      <c r="A1810" s="6" t="s">
        <v>111</v>
      </c>
      <c r="B1810" s="38"/>
      <c r="C1810" s="38" t="s">
        <v>364</v>
      </c>
      <c r="D1810" s="15">
        <v>28.0</v>
      </c>
      <c r="E1810" s="10">
        <f t="shared" si="2"/>
        <v>1400</v>
      </c>
      <c r="F1810" s="10"/>
    </row>
    <row r="1811" hidden="1">
      <c r="A1811" s="6" t="s">
        <v>111</v>
      </c>
      <c r="B1811" s="38"/>
      <c r="C1811" s="38" t="s">
        <v>133</v>
      </c>
      <c r="D1811" s="15">
        <v>8.0</v>
      </c>
      <c r="E1811" s="10">
        <f t="shared" si="2"/>
        <v>400</v>
      </c>
      <c r="F1811" s="10"/>
    </row>
    <row r="1812" hidden="1">
      <c r="A1812" s="6" t="s">
        <v>111</v>
      </c>
      <c r="B1812" s="38"/>
      <c r="C1812" s="38" t="s">
        <v>173</v>
      </c>
      <c r="D1812" s="15">
        <v>52.0</v>
      </c>
      <c r="E1812" s="10">
        <f t="shared" si="2"/>
        <v>2600</v>
      </c>
      <c r="F1812" s="10"/>
    </row>
    <row r="1813" hidden="1">
      <c r="A1813" s="6" t="s">
        <v>111</v>
      </c>
      <c r="B1813" s="38"/>
      <c r="C1813" s="38" t="s">
        <v>166</v>
      </c>
      <c r="D1813" s="15">
        <v>45.0</v>
      </c>
      <c r="E1813" s="10">
        <f t="shared" si="2"/>
        <v>2250</v>
      </c>
      <c r="F1813" s="10"/>
    </row>
    <row r="1814" hidden="1">
      <c r="A1814" s="6" t="s">
        <v>111</v>
      </c>
      <c r="B1814" s="38"/>
      <c r="C1814" s="38" t="s">
        <v>187</v>
      </c>
      <c r="D1814" s="15">
        <v>18.0</v>
      </c>
      <c r="E1814" s="10">
        <f t="shared" si="2"/>
        <v>900</v>
      </c>
      <c r="F1814" s="10"/>
    </row>
    <row r="1815" hidden="1">
      <c r="A1815" s="6" t="s">
        <v>111</v>
      </c>
      <c r="B1815" s="38"/>
      <c r="C1815" s="38" t="s">
        <v>171</v>
      </c>
      <c r="D1815" s="15">
        <v>2.0</v>
      </c>
      <c r="E1815" s="10">
        <f t="shared" si="2"/>
        <v>100</v>
      </c>
      <c r="F1815" s="10"/>
    </row>
    <row r="1816" hidden="1">
      <c r="A1816" s="6" t="s">
        <v>111</v>
      </c>
      <c r="B1816" s="38"/>
      <c r="C1816" s="38" t="s">
        <v>181</v>
      </c>
      <c r="D1816" s="15">
        <v>36.0</v>
      </c>
      <c r="E1816" s="10">
        <f t="shared" si="2"/>
        <v>1800</v>
      </c>
      <c r="F1816" s="10"/>
    </row>
    <row r="1817" hidden="1">
      <c r="A1817" s="6" t="s">
        <v>111</v>
      </c>
      <c r="B1817" s="38"/>
      <c r="C1817" s="38" t="s">
        <v>380</v>
      </c>
      <c r="D1817" s="15">
        <v>8.0</v>
      </c>
      <c r="E1817" s="10">
        <f t="shared" si="2"/>
        <v>400</v>
      </c>
      <c r="F1817" s="10"/>
    </row>
    <row r="1818" hidden="1">
      <c r="A1818" s="6" t="s">
        <v>111</v>
      </c>
      <c r="B1818" s="38"/>
      <c r="C1818" s="38" t="s">
        <v>139</v>
      </c>
      <c r="D1818" s="15">
        <v>58.0</v>
      </c>
      <c r="E1818" s="10">
        <f t="shared" si="2"/>
        <v>2900</v>
      </c>
      <c r="F1818" s="10"/>
    </row>
    <row r="1819" hidden="1">
      <c r="A1819" s="6" t="s">
        <v>111</v>
      </c>
      <c r="B1819" s="38"/>
      <c r="C1819" s="38" t="s">
        <v>140</v>
      </c>
      <c r="D1819" s="15">
        <v>32.0</v>
      </c>
      <c r="E1819" s="10">
        <f t="shared" si="2"/>
        <v>1600</v>
      </c>
      <c r="F1819" s="10"/>
    </row>
    <row r="1820" hidden="1">
      <c r="A1820" s="6" t="s">
        <v>111</v>
      </c>
      <c r="B1820" s="38"/>
      <c r="C1820" s="38" t="s">
        <v>213</v>
      </c>
      <c r="D1820" s="15">
        <v>22.0</v>
      </c>
      <c r="E1820" s="10">
        <f t="shared" si="2"/>
        <v>1100</v>
      </c>
      <c r="F1820" s="10"/>
    </row>
    <row r="1821" hidden="1">
      <c r="A1821" s="6" t="s">
        <v>111</v>
      </c>
      <c r="B1821" s="38"/>
      <c r="C1821" s="38" t="s">
        <v>169</v>
      </c>
      <c r="D1821" s="15">
        <v>29.0</v>
      </c>
      <c r="E1821" s="10">
        <f t="shared" si="2"/>
        <v>1450</v>
      </c>
      <c r="F1821" s="10"/>
    </row>
    <row r="1822" hidden="1">
      <c r="A1822" s="6" t="s">
        <v>111</v>
      </c>
      <c r="B1822" s="38"/>
      <c r="C1822" s="38" t="s">
        <v>382</v>
      </c>
      <c r="D1822" s="15">
        <v>11.0</v>
      </c>
      <c r="E1822" s="10">
        <f t="shared" si="2"/>
        <v>550</v>
      </c>
      <c r="F1822" s="10"/>
    </row>
    <row r="1823" hidden="1">
      <c r="A1823" s="6" t="s">
        <v>111</v>
      </c>
      <c r="B1823" s="38"/>
      <c r="C1823" s="38" t="s">
        <v>144</v>
      </c>
      <c r="D1823" s="15">
        <v>38.0</v>
      </c>
      <c r="E1823" s="10">
        <f t="shared" si="2"/>
        <v>1900</v>
      </c>
      <c r="F1823" s="10"/>
    </row>
    <row r="1824" hidden="1">
      <c r="A1824" s="6" t="s">
        <v>111</v>
      </c>
      <c r="B1824" s="38"/>
      <c r="C1824" s="38" t="s">
        <v>163</v>
      </c>
      <c r="D1824" s="15">
        <v>61.0</v>
      </c>
      <c r="E1824" s="10">
        <f t="shared" si="2"/>
        <v>3050</v>
      </c>
      <c r="F1824" s="10"/>
    </row>
    <row r="1825" hidden="1">
      <c r="A1825" s="6" t="s">
        <v>111</v>
      </c>
      <c r="B1825" s="38"/>
      <c r="C1825" s="38" t="s">
        <v>189</v>
      </c>
      <c r="D1825" s="15">
        <v>22.0</v>
      </c>
      <c r="E1825" s="10">
        <f t="shared" si="2"/>
        <v>1100</v>
      </c>
      <c r="F1825" s="10"/>
    </row>
    <row r="1826" hidden="1">
      <c r="A1826" s="6" t="s">
        <v>111</v>
      </c>
      <c r="B1826" s="38"/>
      <c r="C1826" s="38" t="s">
        <v>378</v>
      </c>
      <c r="D1826" s="15">
        <v>8.0</v>
      </c>
      <c r="E1826" s="10">
        <f t="shared" si="2"/>
        <v>400</v>
      </c>
      <c r="F1826" s="10"/>
    </row>
    <row r="1827" hidden="1">
      <c r="A1827" s="6" t="s">
        <v>111</v>
      </c>
      <c r="B1827" s="38"/>
      <c r="C1827" s="38" t="s">
        <v>179</v>
      </c>
      <c r="D1827" s="15">
        <v>39.0</v>
      </c>
      <c r="E1827" s="10">
        <f t="shared" si="2"/>
        <v>1950</v>
      </c>
      <c r="F1827" s="10"/>
    </row>
    <row r="1828" hidden="1">
      <c r="A1828" s="6" t="s">
        <v>111</v>
      </c>
      <c r="B1828" s="38"/>
      <c r="C1828" s="38" t="s">
        <v>175</v>
      </c>
      <c r="D1828" s="15">
        <v>28.0</v>
      </c>
      <c r="E1828" s="10">
        <f t="shared" si="2"/>
        <v>1400</v>
      </c>
      <c r="F1828" s="10"/>
    </row>
    <row r="1829" hidden="1">
      <c r="A1829" s="6" t="s">
        <v>111</v>
      </c>
      <c r="B1829" s="38"/>
      <c r="C1829" s="38" t="s">
        <v>323</v>
      </c>
      <c r="D1829" s="15">
        <v>55.0</v>
      </c>
      <c r="E1829" s="10">
        <f t="shared" si="2"/>
        <v>2750</v>
      </c>
      <c r="F1829" s="10"/>
    </row>
    <row r="1830" hidden="1">
      <c r="A1830" s="6" t="s">
        <v>111</v>
      </c>
      <c r="B1830" s="38"/>
      <c r="C1830" s="38" t="s">
        <v>183</v>
      </c>
      <c r="D1830" s="15">
        <v>32.0</v>
      </c>
      <c r="E1830" s="10">
        <f t="shared" si="2"/>
        <v>1600</v>
      </c>
      <c r="F1830" s="10"/>
    </row>
    <row r="1831" hidden="1">
      <c r="A1831" s="6" t="s">
        <v>111</v>
      </c>
      <c r="B1831" s="38"/>
      <c r="C1831" s="38" t="s">
        <v>152</v>
      </c>
      <c r="D1831" s="15">
        <v>28.0</v>
      </c>
      <c r="E1831" s="10">
        <f t="shared" si="2"/>
        <v>1400</v>
      </c>
      <c r="F1831" s="10"/>
    </row>
    <row r="1832" hidden="1">
      <c r="A1832" s="6" t="s">
        <v>111</v>
      </c>
      <c r="B1832" s="38"/>
      <c r="C1832" s="38" t="s">
        <v>153</v>
      </c>
      <c r="D1832" s="15">
        <v>34.0</v>
      </c>
      <c r="E1832" s="10">
        <f t="shared" si="2"/>
        <v>1700</v>
      </c>
      <c r="F1832" s="10"/>
    </row>
    <row r="1833" hidden="1">
      <c r="A1833" s="6" t="s">
        <v>111</v>
      </c>
      <c r="B1833" s="38"/>
      <c r="C1833" s="38" t="s">
        <v>296</v>
      </c>
      <c r="D1833" s="15">
        <v>39.0</v>
      </c>
      <c r="E1833" s="10">
        <f t="shared" si="2"/>
        <v>1950</v>
      </c>
      <c r="F1833" s="10"/>
    </row>
    <row r="1834" hidden="1">
      <c r="A1834" s="6" t="s">
        <v>112</v>
      </c>
      <c r="B1834" s="33"/>
      <c r="C1834" s="33" t="s">
        <v>126</v>
      </c>
      <c r="D1834" s="15">
        <v>12.0</v>
      </c>
      <c r="E1834" s="10">
        <f t="shared" si="2"/>
        <v>600</v>
      </c>
      <c r="F1834" s="10"/>
    </row>
    <row r="1835" hidden="1">
      <c r="A1835" s="6" t="s">
        <v>112</v>
      </c>
      <c r="B1835" s="33"/>
      <c r="C1835" s="33" t="s">
        <v>156</v>
      </c>
      <c r="D1835" s="15">
        <v>24.0</v>
      </c>
      <c r="E1835" s="10">
        <f t="shared" si="2"/>
        <v>1200</v>
      </c>
      <c r="F1835" s="10"/>
    </row>
    <row r="1836" hidden="1">
      <c r="A1836" s="6" t="s">
        <v>112</v>
      </c>
      <c r="B1836" s="33"/>
      <c r="C1836" s="33" t="s">
        <v>157</v>
      </c>
      <c r="D1836" s="15">
        <v>22.0</v>
      </c>
      <c r="E1836" s="10">
        <f t="shared" si="2"/>
        <v>1100</v>
      </c>
      <c r="F1836" s="10"/>
    </row>
    <row r="1837" hidden="1">
      <c r="A1837" s="6" t="s">
        <v>112</v>
      </c>
      <c r="B1837" s="33"/>
      <c r="C1837" s="33" t="s">
        <v>158</v>
      </c>
      <c r="D1837" s="15">
        <v>34.0</v>
      </c>
      <c r="E1837" s="10">
        <f t="shared" si="2"/>
        <v>1700</v>
      </c>
      <c r="F1837" s="10"/>
    </row>
    <row r="1838" hidden="1">
      <c r="A1838" s="6" t="s">
        <v>112</v>
      </c>
      <c r="B1838" s="33"/>
      <c r="C1838" s="33" t="s">
        <v>130</v>
      </c>
      <c r="D1838" s="15">
        <v>50.0</v>
      </c>
      <c r="E1838" s="10">
        <f t="shared" si="2"/>
        <v>2500</v>
      </c>
      <c r="F1838" s="10"/>
    </row>
    <row r="1839" hidden="1">
      <c r="A1839" s="6" t="s">
        <v>112</v>
      </c>
      <c r="B1839" s="33"/>
      <c r="C1839" s="33" t="s">
        <v>159</v>
      </c>
      <c r="D1839" s="15">
        <v>33.0</v>
      </c>
      <c r="E1839" s="10">
        <f t="shared" si="2"/>
        <v>1650</v>
      </c>
      <c r="F1839" s="10"/>
    </row>
    <row r="1840" hidden="1">
      <c r="A1840" s="6" t="s">
        <v>112</v>
      </c>
      <c r="B1840" s="33"/>
      <c r="C1840" s="33" t="s">
        <v>364</v>
      </c>
      <c r="D1840" s="15">
        <v>33.0</v>
      </c>
      <c r="E1840" s="10">
        <f t="shared" si="2"/>
        <v>1650</v>
      </c>
      <c r="F1840" s="10"/>
    </row>
    <row r="1841" hidden="1">
      <c r="A1841" s="6" t="s">
        <v>112</v>
      </c>
      <c r="B1841" s="33"/>
      <c r="C1841" s="33" t="s">
        <v>133</v>
      </c>
      <c r="D1841" s="15">
        <v>18.0</v>
      </c>
      <c r="E1841" s="10">
        <f t="shared" si="2"/>
        <v>900</v>
      </c>
      <c r="F1841" s="10"/>
    </row>
    <row r="1842" hidden="1">
      <c r="A1842" s="6" t="s">
        <v>112</v>
      </c>
      <c r="B1842" s="33"/>
      <c r="C1842" s="33" t="s">
        <v>173</v>
      </c>
      <c r="D1842" s="15">
        <v>64.0</v>
      </c>
      <c r="E1842" s="10">
        <f t="shared" si="2"/>
        <v>3200</v>
      </c>
      <c r="F1842" s="10"/>
    </row>
    <row r="1843" hidden="1">
      <c r="A1843" s="6" t="s">
        <v>112</v>
      </c>
      <c r="B1843" s="33"/>
      <c r="C1843" s="33" t="s">
        <v>166</v>
      </c>
      <c r="D1843" s="15">
        <v>46.0</v>
      </c>
      <c r="E1843" s="10">
        <f t="shared" si="2"/>
        <v>2300</v>
      </c>
      <c r="F1843" s="10"/>
    </row>
    <row r="1844" hidden="1">
      <c r="A1844" s="6" t="s">
        <v>112</v>
      </c>
      <c r="B1844" s="33"/>
      <c r="C1844" s="33" t="s">
        <v>187</v>
      </c>
      <c r="D1844" s="15">
        <v>38.0</v>
      </c>
      <c r="E1844" s="10">
        <f t="shared" si="2"/>
        <v>1900</v>
      </c>
      <c r="F1844" s="10"/>
    </row>
    <row r="1845" hidden="1">
      <c r="A1845" s="6" t="s">
        <v>112</v>
      </c>
      <c r="B1845" s="33"/>
      <c r="C1845" s="33" t="s">
        <v>171</v>
      </c>
      <c r="D1845" s="15">
        <v>6.0</v>
      </c>
      <c r="E1845" s="10">
        <f t="shared" si="2"/>
        <v>300</v>
      </c>
      <c r="F1845" s="10"/>
    </row>
    <row r="1846" hidden="1">
      <c r="A1846" s="6" t="s">
        <v>112</v>
      </c>
      <c r="B1846" s="38"/>
      <c r="C1846" s="38" t="s">
        <v>137</v>
      </c>
      <c r="D1846" s="15">
        <v>2.0</v>
      </c>
      <c r="E1846" s="10">
        <f t="shared" si="2"/>
        <v>100</v>
      </c>
      <c r="F1846" s="10"/>
    </row>
    <row r="1847" hidden="1">
      <c r="A1847" s="6" t="s">
        <v>112</v>
      </c>
      <c r="B1847" s="33"/>
      <c r="C1847" s="33" t="s">
        <v>181</v>
      </c>
      <c r="D1847" s="15">
        <v>48.0</v>
      </c>
      <c r="E1847" s="10">
        <f t="shared" si="2"/>
        <v>2400</v>
      </c>
      <c r="F1847" s="10"/>
    </row>
    <row r="1848" hidden="1">
      <c r="A1848" s="6" t="s">
        <v>112</v>
      </c>
      <c r="B1848" s="33"/>
      <c r="C1848" s="33" t="s">
        <v>139</v>
      </c>
      <c r="D1848" s="15">
        <v>39.0</v>
      </c>
      <c r="E1848" s="10">
        <f t="shared" si="2"/>
        <v>1950</v>
      </c>
      <c r="F1848" s="10"/>
    </row>
    <row r="1849" hidden="1">
      <c r="A1849" s="6" t="s">
        <v>112</v>
      </c>
      <c r="B1849" s="33"/>
      <c r="C1849" s="33" t="s">
        <v>140</v>
      </c>
      <c r="D1849" s="15">
        <v>21.0</v>
      </c>
      <c r="E1849" s="10">
        <f t="shared" si="2"/>
        <v>1050</v>
      </c>
      <c r="F1849" s="10"/>
    </row>
    <row r="1850" hidden="1">
      <c r="A1850" s="6" t="s">
        <v>112</v>
      </c>
      <c r="B1850" s="33"/>
      <c r="C1850" s="33" t="s">
        <v>213</v>
      </c>
      <c r="D1850" s="15">
        <v>20.0</v>
      </c>
      <c r="E1850" s="10">
        <f t="shared" si="2"/>
        <v>1000</v>
      </c>
      <c r="F1850" s="10"/>
    </row>
    <row r="1851" hidden="1">
      <c r="A1851" s="6" t="s">
        <v>112</v>
      </c>
      <c r="B1851" s="33"/>
      <c r="C1851" s="33" t="s">
        <v>169</v>
      </c>
      <c r="D1851" s="15">
        <v>36.0</v>
      </c>
      <c r="E1851" s="10">
        <f t="shared" si="2"/>
        <v>1800</v>
      </c>
      <c r="F1851" s="10"/>
    </row>
    <row r="1852" hidden="1">
      <c r="A1852" s="6" t="s">
        <v>112</v>
      </c>
      <c r="B1852" s="33"/>
      <c r="C1852" s="33" t="s">
        <v>144</v>
      </c>
      <c r="D1852" s="15">
        <v>31.0</v>
      </c>
      <c r="E1852" s="10">
        <f t="shared" si="2"/>
        <v>1550</v>
      </c>
      <c r="F1852" s="10"/>
    </row>
    <row r="1853" hidden="1">
      <c r="A1853" s="6" t="s">
        <v>112</v>
      </c>
      <c r="B1853" s="33"/>
      <c r="C1853" s="33" t="s">
        <v>163</v>
      </c>
      <c r="D1853" s="15">
        <v>47.0</v>
      </c>
      <c r="E1853" s="10">
        <f t="shared" si="2"/>
        <v>2350</v>
      </c>
      <c r="F1853" s="10"/>
    </row>
    <row r="1854" hidden="1">
      <c r="A1854" s="6" t="s">
        <v>112</v>
      </c>
      <c r="B1854" s="33"/>
      <c r="C1854" s="33" t="s">
        <v>378</v>
      </c>
      <c r="D1854" s="15">
        <v>8.0</v>
      </c>
      <c r="E1854" s="10">
        <f t="shared" si="2"/>
        <v>400</v>
      </c>
      <c r="F1854" s="10"/>
    </row>
    <row r="1855" hidden="1">
      <c r="A1855" s="6" t="s">
        <v>112</v>
      </c>
      <c r="B1855" s="33"/>
      <c r="C1855" s="33" t="s">
        <v>179</v>
      </c>
      <c r="D1855" s="15">
        <v>40.0</v>
      </c>
      <c r="E1855" s="10">
        <f t="shared" si="2"/>
        <v>2000</v>
      </c>
      <c r="F1855" s="10"/>
    </row>
    <row r="1856" hidden="1">
      <c r="A1856" s="6" t="s">
        <v>112</v>
      </c>
      <c r="B1856" s="33"/>
      <c r="C1856" s="33" t="s">
        <v>175</v>
      </c>
      <c r="D1856" s="15">
        <v>19.0</v>
      </c>
      <c r="E1856" s="10">
        <f t="shared" si="2"/>
        <v>950</v>
      </c>
      <c r="F1856" s="10"/>
    </row>
    <row r="1857" hidden="1">
      <c r="A1857" s="6" t="s">
        <v>112</v>
      </c>
      <c r="B1857" s="33"/>
      <c r="C1857" s="33" t="s">
        <v>323</v>
      </c>
      <c r="D1857" s="15">
        <v>52.0</v>
      </c>
      <c r="E1857" s="10">
        <f t="shared" si="2"/>
        <v>2600</v>
      </c>
      <c r="F1857" s="10"/>
    </row>
    <row r="1858" hidden="1">
      <c r="A1858" s="6" t="s">
        <v>112</v>
      </c>
      <c r="B1858" s="33"/>
      <c r="C1858" s="33" t="s">
        <v>183</v>
      </c>
      <c r="D1858" s="15">
        <v>20.0</v>
      </c>
      <c r="E1858" s="10">
        <f t="shared" si="2"/>
        <v>1000</v>
      </c>
      <c r="F1858" s="10"/>
    </row>
    <row r="1859" hidden="1">
      <c r="A1859" s="6" t="s">
        <v>112</v>
      </c>
      <c r="B1859" s="33"/>
      <c r="C1859" s="33" t="s">
        <v>152</v>
      </c>
      <c r="D1859" s="15">
        <v>34.0</v>
      </c>
      <c r="E1859" s="10">
        <f t="shared" si="2"/>
        <v>1700</v>
      </c>
      <c r="F1859" s="10"/>
    </row>
    <row r="1860" hidden="1">
      <c r="A1860" s="6" t="s">
        <v>112</v>
      </c>
      <c r="B1860" s="33"/>
      <c r="C1860" s="33" t="s">
        <v>153</v>
      </c>
      <c r="D1860" s="15">
        <v>26.0</v>
      </c>
      <c r="E1860" s="10">
        <f t="shared" si="2"/>
        <v>1300</v>
      </c>
      <c r="F1860" s="10"/>
    </row>
    <row r="1861" hidden="1">
      <c r="A1861" s="6" t="s">
        <v>112</v>
      </c>
      <c r="B1861" s="33"/>
      <c r="C1861" s="33" t="s">
        <v>296</v>
      </c>
      <c r="D1861" s="15">
        <v>34.0</v>
      </c>
      <c r="E1861" s="10">
        <f t="shared" si="2"/>
        <v>1700</v>
      </c>
      <c r="F1861" s="10"/>
    </row>
    <row r="1862" hidden="1">
      <c r="A1862" s="6" t="s">
        <v>114</v>
      </c>
      <c r="B1862" s="33"/>
      <c r="C1862" s="33" t="s">
        <v>126</v>
      </c>
      <c r="D1862" s="15">
        <v>36.0</v>
      </c>
      <c r="E1862" s="10">
        <f t="shared" si="2"/>
        <v>1800</v>
      </c>
      <c r="F1862" s="10"/>
    </row>
    <row r="1863" hidden="1">
      <c r="A1863" s="6" t="s">
        <v>114</v>
      </c>
      <c r="B1863" s="33"/>
      <c r="C1863" s="33" t="s">
        <v>156</v>
      </c>
      <c r="D1863" s="15">
        <v>23.0</v>
      </c>
      <c r="E1863" s="10">
        <f t="shared" si="2"/>
        <v>1150</v>
      </c>
      <c r="F1863" s="10"/>
    </row>
    <row r="1864" hidden="1">
      <c r="A1864" s="6" t="s">
        <v>114</v>
      </c>
      <c r="B1864" s="33"/>
      <c r="C1864" s="33" t="s">
        <v>157</v>
      </c>
      <c r="D1864" s="15">
        <v>33.0</v>
      </c>
      <c r="E1864" s="10">
        <f t="shared" si="2"/>
        <v>1650</v>
      </c>
      <c r="F1864" s="10"/>
    </row>
    <row r="1865" hidden="1">
      <c r="A1865" s="6" t="s">
        <v>114</v>
      </c>
      <c r="B1865" s="33"/>
      <c r="C1865" s="33" t="s">
        <v>158</v>
      </c>
      <c r="D1865" s="15">
        <v>37.0</v>
      </c>
      <c r="E1865" s="10">
        <f t="shared" si="2"/>
        <v>1850</v>
      </c>
      <c r="F1865" s="10"/>
    </row>
    <row r="1866" hidden="1">
      <c r="A1866" s="6" t="s">
        <v>114</v>
      </c>
      <c r="B1866" s="33"/>
      <c r="C1866" s="33" t="s">
        <v>130</v>
      </c>
      <c r="D1866" s="15">
        <v>68.0</v>
      </c>
      <c r="E1866" s="10">
        <f t="shared" si="2"/>
        <v>3400</v>
      </c>
      <c r="F1866" s="10"/>
    </row>
    <row r="1867" hidden="1">
      <c r="A1867" s="6" t="s">
        <v>114</v>
      </c>
      <c r="B1867" s="33"/>
      <c r="C1867" s="33" t="s">
        <v>159</v>
      </c>
      <c r="D1867" s="15">
        <v>29.0</v>
      </c>
      <c r="E1867" s="10">
        <f t="shared" si="2"/>
        <v>1450</v>
      </c>
      <c r="F1867" s="10"/>
    </row>
    <row r="1868" hidden="1">
      <c r="A1868" s="6" t="s">
        <v>114</v>
      </c>
      <c r="B1868" s="33"/>
      <c r="C1868" s="33" t="s">
        <v>364</v>
      </c>
      <c r="D1868" s="15">
        <v>41.0</v>
      </c>
      <c r="E1868" s="10">
        <f t="shared" si="2"/>
        <v>2050</v>
      </c>
      <c r="F1868" s="10"/>
    </row>
    <row r="1869" hidden="1">
      <c r="A1869" s="6" t="s">
        <v>114</v>
      </c>
      <c r="B1869" s="33"/>
      <c r="C1869" s="33" t="s">
        <v>133</v>
      </c>
      <c r="D1869" s="15">
        <v>20.0</v>
      </c>
      <c r="E1869" s="10">
        <f t="shared" si="2"/>
        <v>1000</v>
      </c>
      <c r="F1869" s="10"/>
    </row>
    <row r="1870" hidden="1">
      <c r="A1870" s="6" t="s">
        <v>114</v>
      </c>
      <c r="B1870" s="33"/>
      <c r="C1870" s="33" t="s">
        <v>173</v>
      </c>
      <c r="D1870" s="15">
        <v>55.0</v>
      </c>
      <c r="E1870" s="10">
        <f t="shared" si="2"/>
        <v>2750</v>
      </c>
      <c r="F1870" s="10"/>
    </row>
    <row r="1871" hidden="1">
      <c r="A1871" s="6" t="s">
        <v>114</v>
      </c>
      <c r="B1871" s="33"/>
      <c r="C1871" s="33" t="s">
        <v>166</v>
      </c>
      <c r="D1871" s="15">
        <v>70.0</v>
      </c>
      <c r="E1871" s="10">
        <f t="shared" si="2"/>
        <v>3500</v>
      </c>
      <c r="F1871" s="10"/>
    </row>
    <row r="1872" hidden="1">
      <c r="A1872" s="6" t="s">
        <v>114</v>
      </c>
      <c r="B1872" s="33"/>
      <c r="C1872" s="33" t="s">
        <v>187</v>
      </c>
      <c r="D1872" s="15">
        <v>47.0</v>
      </c>
      <c r="E1872" s="10">
        <f t="shared" si="2"/>
        <v>2350</v>
      </c>
      <c r="F1872" s="10"/>
    </row>
    <row r="1873" hidden="1">
      <c r="A1873" s="6" t="s">
        <v>114</v>
      </c>
      <c r="B1873" s="33"/>
      <c r="C1873" s="33" t="s">
        <v>171</v>
      </c>
      <c r="D1873" s="15">
        <v>4.0</v>
      </c>
      <c r="E1873" s="10">
        <f t="shared" si="2"/>
        <v>200</v>
      </c>
      <c r="F1873" s="10"/>
    </row>
    <row r="1874" hidden="1">
      <c r="A1874" s="6" t="s">
        <v>114</v>
      </c>
      <c r="B1874" s="33"/>
      <c r="C1874" s="33" t="s">
        <v>181</v>
      </c>
      <c r="D1874" s="15">
        <v>44.0</v>
      </c>
      <c r="E1874" s="10">
        <f t="shared" si="2"/>
        <v>2200</v>
      </c>
      <c r="F1874" s="10"/>
    </row>
    <row r="1875" hidden="1">
      <c r="A1875" s="6" t="s">
        <v>114</v>
      </c>
      <c r="B1875" s="33"/>
      <c r="C1875" s="33" t="s">
        <v>139</v>
      </c>
      <c r="D1875" s="15">
        <v>56.0</v>
      </c>
      <c r="E1875" s="10">
        <f t="shared" si="2"/>
        <v>2800</v>
      </c>
      <c r="F1875" s="10"/>
    </row>
    <row r="1876" hidden="1">
      <c r="A1876" s="6" t="s">
        <v>114</v>
      </c>
      <c r="B1876" s="33"/>
      <c r="C1876" s="33" t="s">
        <v>140</v>
      </c>
      <c r="D1876" s="15">
        <v>29.0</v>
      </c>
      <c r="E1876" s="10">
        <f t="shared" si="2"/>
        <v>1450</v>
      </c>
      <c r="F1876" s="10"/>
    </row>
    <row r="1877" hidden="1">
      <c r="A1877" s="6" t="s">
        <v>114</v>
      </c>
      <c r="B1877" s="33"/>
      <c r="C1877" s="33" t="s">
        <v>213</v>
      </c>
      <c r="D1877" s="15">
        <v>27.0</v>
      </c>
      <c r="E1877" s="10">
        <f t="shared" si="2"/>
        <v>1350</v>
      </c>
      <c r="F1877" s="10"/>
    </row>
    <row r="1878" hidden="1">
      <c r="A1878" s="6" t="s">
        <v>114</v>
      </c>
      <c r="B1878" s="33"/>
      <c r="C1878" s="33" t="s">
        <v>169</v>
      </c>
      <c r="D1878" s="15">
        <v>32.0</v>
      </c>
      <c r="E1878" s="10">
        <f t="shared" si="2"/>
        <v>1600</v>
      </c>
      <c r="F1878" s="10"/>
    </row>
    <row r="1879" hidden="1">
      <c r="A1879" s="6" t="s">
        <v>114</v>
      </c>
      <c r="B1879" s="33"/>
      <c r="C1879" s="33" t="s">
        <v>144</v>
      </c>
      <c r="D1879" s="15">
        <v>34.0</v>
      </c>
      <c r="E1879" s="10">
        <f t="shared" si="2"/>
        <v>1700</v>
      </c>
      <c r="F1879" s="10"/>
    </row>
    <row r="1880" hidden="1">
      <c r="A1880" s="6" t="s">
        <v>114</v>
      </c>
      <c r="B1880" s="33"/>
      <c r="C1880" s="33" t="s">
        <v>163</v>
      </c>
      <c r="D1880" s="15">
        <v>51.0</v>
      </c>
      <c r="E1880" s="10">
        <f t="shared" si="2"/>
        <v>2550</v>
      </c>
      <c r="F1880" s="10"/>
    </row>
    <row r="1881" hidden="1">
      <c r="A1881" s="6" t="s">
        <v>114</v>
      </c>
      <c r="B1881" s="33"/>
      <c r="C1881" s="33" t="s">
        <v>378</v>
      </c>
      <c r="D1881" s="15">
        <v>12.0</v>
      </c>
      <c r="E1881" s="10">
        <f t="shared" si="2"/>
        <v>600</v>
      </c>
      <c r="F1881" s="10"/>
    </row>
    <row r="1882" hidden="1">
      <c r="A1882" s="6" t="s">
        <v>114</v>
      </c>
      <c r="B1882" s="33"/>
      <c r="C1882" s="33" t="s">
        <v>179</v>
      </c>
      <c r="D1882" s="15">
        <v>45.0</v>
      </c>
      <c r="E1882" s="10">
        <f t="shared" si="2"/>
        <v>2250</v>
      </c>
      <c r="F1882" s="10"/>
    </row>
    <row r="1883" hidden="1">
      <c r="A1883" s="6" t="s">
        <v>114</v>
      </c>
      <c r="B1883" s="33"/>
      <c r="C1883" s="33" t="s">
        <v>175</v>
      </c>
      <c r="D1883" s="15">
        <v>20.0</v>
      </c>
      <c r="E1883" s="10">
        <f t="shared" si="2"/>
        <v>1000</v>
      </c>
      <c r="F1883" s="10"/>
    </row>
    <row r="1884" hidden="1">
      <c r="A1884" s="6" t="s">
        <v>114</v>
      </c>
      <c r="B1884" s="33"/>
      <c r="C1884" s="33" t="s">
        <v>323</v>
      </c>
      <c r="D1884" s="15">
        <v>52.0</v>
      </c>
      <c r="E1884" s="10">
        <f t="shared" si="2"/>
        <v>2600</v>
      </c>
      <c r="F1884" s="10"/>
    </row>
    <row r="1885" hidden="1">
      <c r="A1885" s="6" t="s">
        <v>114</v>
      </c>
      <c r="B1885" s="33"/>
      <c r="C1885" s="33" t="s">
        <v>183</v>
      </c>
      <c r="D1885" s="15">
        <v>26.0</v>
      </c>
      <c r="E1885" s="10">
        <f t="shared" si="2"/>
        <v>1300</v>
      </c>
      <c r="F1885" s="10"/>
    </row>
    <row r="1886" hidden="1">
      <c r="A1886" s="6" t="s">
        <v>114</v>
      </c>
      <c r="B1886" s="33"/>
      <c r="C1886" s="33" t="s">
        <v>152</v>
      </c>
      <c r="D1886" s="15">
        <v>34.0</v>
      </c>
      <c r="E1886" s="10">
        <f t="shared" si="2"/>
        <v>1700</v>
      </c>
      <c r="F1886" s="10"/>
    </row>
    <row r="1887" hidden="1">
      <c r="A1887" s="6" t="s">
        <v>114</v>
      </c>
      <c r="B1887" s="33"/>
      <c r="C1887" s="33" t="s">
        <v>153</v>
      </c>
      <c r="D1887" s="15">
        <v>17.0</v>
      </c>
      <c r="E1887" s="10">
        <f t="shared" si="2"/>
        <v>850</v>
      </c>
      <c r="F1887" s="10"/>
    </row>
    <row r="1888" hidden="1">
      <c r="A1888" s="6" t="s">
        <v>114</v>
      </c>
      <c r="B1888" s="33"/>
      <c r="C1888" s="33" t="s">
        <v>296</v>
      </c>
      <c r="D1888" s="15">
        <v>40.0</v>
      </c>
      <c r="E1888" s="10">
        <f t="shared" si="2"/>
        <v>2000</v>
      </c>
      <c r="F1888" s="10"/>
    </row>
    <row r="1889" hidden="1">
      <c r="A1889" s="20" t="s">
        <v>383</v>
      </c>
      <c r="B1889" s="33"/>
      <c r="C1889" s="33" t="s">
        <v>126</v>
      </c>
      <c r="D1889" s="15">
        <v>29.0</v>
      </c>
      <c r="E1889" s="10">
        <f t="shared" si="2"/>
        <v>1450</v>
      </c>
      <c r="F1889" s="10"/>
    </row>
    <row r="1890" hidden="1">
      <c r="A1890" s="20" t="s">
        <v>383</v>
      </c>
      <c r="B1890" s="33"/>
      <c r="C1890" s="33" t="s">
        <v>156</v>
      </c>
      <c r="D1890" s="15">
        <v>24.0</v>
      </c>
      <c r="E1890" s="10">
        <f t="shared" si="2"/>
        <v>1200</v>
      </c>
      <c r="F1890" s="10"/>
    </row>
    <row r="1891" hidden="1">
      <c r="A1891" s="20" t="s">
        <v>383</v>
      </c>
      <c r="B1891" s="33"/>
      <c r="C1891" s="33" t="s">
        <v>157</v>
      </c>
      <c r="D1891" s="15">
        <v>29.0</v>
      </c>
      <c r="E1891" s="10">
        <f t="shared" si="2"/>
        <v>1450</v>
      </c>
      <c r="F1891" s="10"/>
    </row>
    <row r="1892" hidden="1">
      <c r="A1892" s="20" t="s">
        <v>383</v>
      </c>
      <c r="B1892" s="33"/>
      <c r="C1892" s="33" t="s">
        <v>158</v>
      </c>
      <c r="D1892" s="34">
        <v>41.0</v>
      </c>
      <c r="E1892" s="10">
        <f t="shared" si="2"/>
        <v>2050</v>
      </c>
      <c r="F1892" s="10"/>
    </row>
    <row r="1893" hidden="1">
      <c r="A1893" s="20" t="s">
        <v>383</v>
      </c>
      <c r="B1893" s="33"/>
      <c r="C1893" s="33" t="s">
        <v>130</v>
      </c>
      <c r="D1893" s="15">
        <v>37.0</v>
      </c>
      <c r="E1893" s="10">
        <f t="shared" si="2"/>
        <v>1850</v>
      </c>
      <c r="F1893" s="10"/>
    </row>
    <row r="1894" hidden="1">
      <c r="A1894" s="20" t="s">
        <v>383</v>
      </c>
      <c r="B1894" s="33"/>
      <c r="C1894" s="33" t="s">
        <v>159</v>
      </c>
      <c r="D1894" s="15">
        <v>33.0</v>
      </c>
      <c r="E1894" s="10">
        <f t="shared" si="2"/>
        <v>1650</v>
      </c>
      <c r="F1894" s="10"/>
    </row>
    <row r="1895" hidden="1">
      <c r="A1895" s="20" t="s">
        <v>383</v>
      </c>
      <c r="B1895" s="33"/>
      <c r="C1895" s="33" t="s">
        <v>364</v>
      </c>
      <c r="D1895" s="15">
        <v>59.0</v>
      </c>
      <c r="E1895" s="10">
        <f t="shared" si="2"/>
        <v>2950</v>
      </c>
      <c r="F1895" s="10"/>
    </row>
    <row r="1896" hidden="1">
      <c r="A1896" s="20" t="s">
        <v>383</v>
      </c>
      <c r="B1896" s="33"/>
      <c r="C1896" s="33" t="s">
        <v>133</v>
      </c>
      <c r="D1896" s="15">
        <v>30.0</v>
      </c>
      <c r="E1896" s="10">
        <f t="shared" si="2"/>
        <v>1500</v>
      </c>
      <c r="F1896" s="10"/>
    </row>
    <row r="1897" hidden="1">
      <c r="A1897" s="20" t="s">
        <v>383</v>
      </c>
      <c r="B1897" s="33"/>
      <c r="C1897" s="33" t="s">
        <v>173</v>
      </c>
      <c r="D1897" s="15">
        <v>56.0</v>
      </c>
      <c r="E1897" s="10">
        <f t="shared" si="2"/>
        <v>2800</v>
      </c>
      <c r="F1897" s="10"/>
    </row>
    <row r="1898" hidden="1">
      <c r="A1898" s="20" t="s">
        <v>383</v>
      </c>
      <c r="B1898" s="33"/>
      <c r="C1898" s="33" t="s">
        <v>166</v>
      </c>
      <c r="D1898" s="15">
        <v>53.0</v>
      </c>
      <c r="E1898" s="10">
        <f t="shared" si="2"/>
        <v>2650</v>
      </c>
      <c r="F1898" s="10"/>
    </row>
    <row r="1899" hidden="1">
      <c r="A1899" s="20" t="s">
        <v>383</v>
      </c>
      <c r="B1899" s="33"/>
      <c r="C1899" s="33" t="s">
        <v>187</v>
      </c>
      <c r="D1899" s="15">
        <v>56.0</v>
      </c>
      <c r="E1899" s="10">
        <f t="shared" si="2"/>
        <v>2800</v>
      </c>
      <c r="F1899" s="10"/>
    </row>
    <row r="1900" hidden="1">
      <c r="A1900" s="20" t="s">
        <v>383</v>
      </c>
      <c r="B1900" s="33"/>
      <c r="C1900" s="33" t="s">
        <v>171</v>
      </c>
      <c r="D1900" s="15">
        <v>0.0</v>
      </c>
      <c r="E1900" s="10">
        <f t="shared" si="2"/>
        <v>0</v>
      </c>
      <c r="F1900" s="10"/>
    </row>
    <row r="1901" hidden="1">
      <c r="A1901" s="20" t="s">
        <v>383</v>
      </c>
      <c r="B1901" s="33"/>
      <c r="C1901" s="33" t="s">
        <v>181</v>
      </c>
      <c r="D1901" s="15">
        <v>44.0</v>
      </c>
      <c r="E1901" s="10">
        <f t="shared" si="2"/>
        <v>2200</v>
      </c>
      <c r="F1901" s="10"/>
    </row>
    <row r="1902" hidden="1">
      <c r="A1902" s="20" t="s">
        <v>383</v>
      </c>
      <c r="B1902" s="33"/>
      <c r="C1902" s="33" t="s">
        <v>139</v>
      </c>
      <c r="D1902" s="15">
        <v>26.0</v>
      </c>
      <c r="E1902" s="10">
        <f t="shared" si="2"/>
        <v>1300</v>
      </c>
      <c r="F1902" s="10"/>
    </row>
    <row r="1903" hidden="1">
      <c r="A1903" s="20" t="s">
        <v>383</v>
      </c>
      <c r="B1903" s="33"/>
      <c r="C1903" s="33" t="s">
        <v>140</v>
      </c>
      <c r="D1903" s="15">
        <v>26.0</v>
      </c>
      <c r="E1903" s="10">
        <f t="shared" si="2"/>
        <v>1300</v>
      </c>
      <c r="F1903" s="10"/>
    </row>
    <row r="1904" hidden="1">
      <c r="A1904" s="20" t="s">
        <v>383</v>
      </c>
      <c r="B1904" s="33"/>
      <c r="C1904" s="33" t="s">
        <v>213</v>
      </c>
      <c r="D1904" s="15">
        <v>27.0</v>
      </c>
      <c r="E1904" s="10">
        <f t="shared" si="2"/>
        <v>1350</v>
      </c>
      <c r="F1904" s="10"/>
    </row>
    <row r="1905" hidden="1">
      <c r="A1905" s="20" t="s">
        <v>383</v>
      </c>
      <c r="B1905" s="33"/>
      <c r="C1905" s="33" t="s">
        <v>169</v>
      </c>
      <c r="D1905" s="15">
        <v>18.0</v>
      </c>
      <c r="E1905" s="10">
        <f t="shared" si="2"/>
        <v>900</v>
      </c>
      <c r="F1905" s="10"/>
    </row>
    <row r="1906" hidden="1">
      <c r="A1906" s="20" t="s">
        <v>383</v>
      </c>
      <c r="B1906" s="33"/>
      <c r="C1906" s="33" t="s">
        <v>144</v>
      </c>
      <c r="D1906" s="15">
        <v>46.0</v>
      </c>
      <c r="E1906" s="10">
        <f t="shared" si="2"/>
        <v>2300</v>
      </c>
      <c r="F1906" s="10"/>
    </row>
    <row r="1907" hidden="1">
      <c r="A1907" s="20" t="s">
        <v>383</v>
      </c>
      <c r="B1907" s="33"/>
      <c r="C1907" s="33" t="s">
        <v>163</v>
      </c>
      <c r="D1907" s="15">
        <v>53.0</v>
      </c>
      <c r="E1907" s="10">
        <f t="shared" si="2"/>
        <v>2650</v>
      </c>
      <c r="F1907" s="10"/>
    </row>
    <row r="1908" hidden="1">
      <c r="A1908" s="20" t="s">
        <v>383</v>
      </c>
      <c r="B1908" s="33"/>
      <c r="C1908" s="33" t="s">
        <v>378</v>
      </c>
      <c r="D1908" s="15">
        <v>12.0</v>
      </c>
      <c r="E1908" s="10">
        <f t="shared" si="2"/>
        <v>600</v>
      </c>
      <c r="F1908" s="10"/>
    </row>
    <row r="1909" hidden="1">
      <c r="A1909" s="20" t="s">
        <v>383</v>
      </c>
      <c r="B1909" s="33"/>
      <c r="C1909" s="33" t="s">
        <v>179</v>
      </c>
      <c r="D1909" s="15">
        <v>38.0</v>
      </c>
      <c r="E1909" s="10">
        <f t="shared" si="2"/>
        <v>1900</v>
      </c>
      <c r="F1909" s="10"/>
    </row>
    <row r="1910" hidden="1">
      <c r="A1910" s="20" t="s">
        <v>383</v>
      </c>
      <c r="B1910" s="33"/>
      <c r="C1910" s="33" t="s">
        <v>175</v>
      </c>
      <c r="D1910" s="15">
        <v>22.0</v>
      </c>
      <c r="E1910" s="10">
        <f t="shared" si="2"/>
        <v>1100</v>
      </c>
      <c r="F1910" s="10"/>
    </row>
    <row r="1911" hidden="1">
      <c r="A1911" s="20" t="s">
        <v>383</v>
      </c>
      <c r="B1911" s="33"/>
      <c r="C1911" s="33" t="s">
        <v>323</v>
      </c>
      <c r="D1911" s="15">
        <v>57.0</v>
      </c>
      <c r="E1911" s="10">
        <f t="shared" si="2"/>
        <v>2850</v>
      </c>
      <c r="F1911" s="10"/>
    </row>
    <row r="1912" hidden="1">
      <c r="A1912" s="20" t="s">
        <v>383</v>
      </c>
      <c r="B1912" s="33"/>
      <c r="C1912" s="33" t="s">
        <v>183</v>
      </c>
      <c r="D1912" s="15">
        <v>12.0</v>
      </c>
      <c r="E1912" s="10">
        <f t="shared" si="2"/>
        <v>600</v>
      </c>
      <c r="F1912" s="10"/>
    </row>
    <row r="1913" hidden="1">
      <c r="A1913" s="20" t="s">
        <v>383</v>
      </c>
      <c r="B1913" s="33"/>
      <c r="C1913" s="33" t="s">
        <v>152</v>
      </c>
      <c r="D1913" s="15">
        <v>30.0</v>
      </c>
      <c r="E1913" s="10">
        <f t="shared" si="2"/>
        <v>1500</v>
      </c>
      <c r="F1913" s="10"/>
    </row>
    <row r="1914" hidden="1">
      <c r="A1914" s="20" t="s">
        <v>383</v>
      </c>
      <c r="B1914" s="33"/>
      <c r="C1914" s="33" t="s">
        <v>153</v>
      </c>
      <c r="D1914" s="15">
        <v>6.0</v>
      </c>
      <c r="E1914" s="10">
        <f t="shared" si="2"/>
        <v>300</v>
      </c>
      <c r="F1914" s="10"/>
    </row>
    <row r="1915" hidden="1">
      <c r="A1915" s="20" t="s">
        <v>383</v>
      </c>
      <c r="B1915" s="33"/>
      <c r="C1915" s="33" t="s">
        <v>296</v>
      </c>
      <c r="D1915" s="15">
        <v>40.0</v>
      </c>
      <c r="E1915" s="10">
        <f t="shared" si="2"/>
        <v>2000</v>
      </c>
      <c r="F1915" s="10"/>
    </row>
    <row r="1916" hidden="1">
      <c r="A1916" s="24" t="s">
        <v>116</v>
      </c>
      <c r="B1916" s="30"/>
      <c r="C1916" s="30" t="s">
        <v>126</v>
      </c>
      <c r="D1916" s="25">
        <v>36.0</v>
      </c>
      <c r="E1916" s="3">
        <f t="shared" si="2"/>
        <v>1800</v>
      </c>
      <c r="F1916" s="3"/>
    </row>
    <row r="1917" hidden="1">
      <c r="A1917" s="24" t="s">
        <v>116</v>
      </c>
      <c r="B1917" s="30"/>
      <c r="C1917" s="30" t="s">
        <v>156</v>
      </c>
      <c r="D1917" s="25">
        <v>24.0</v>
      </c>
      <c r="E1917" s="3">
        <f t="shared" si="2"/>
        <v>1200</v>
      </c>
      <c r="F1917" s="3"/>
    </row>
    <row r="1918" hidden="1">
      <c r="A1918" s="24" t="s">
        <v>116</v>
      </c>
      <c r="B1918" s="30"/>
      <c r="C1918" s="30" t="s">
        <v>157</v>
      </c>
      <c r="D1918" s="25">
        <v>30.0</v>
      </c>
      <c r="E1918" s="3">
        <f t="shared" si="2"/>
        <v>1500</v>
      </c>
      <c r="F1918" s="3"/>
    </row>
    <row r="1919" hidden="1">
      <c r="A1919" s="24" t="s">
        <v>116</v>
      </c>
      <c r="B1919" s="30"/>
      <c r="C1919" s="30" t="s">
        <v>158</v>
      </c>
      <c r="D1919" s="25">
        <v>41.0</v>
      </c>
      <c r="E1919" s="3">
        <f t="shared" si="2"/>
        <v>2050</v>
      </c>
      <c r="F1919" s="3"/>
    </row>
    <row r="1920" hidden="1">
      <c r="A1920" s="24" t="s">
        <v>116</v>
      </c>
      <c r="B1920" s="30"/>
      <c r="C1920" s="30" t="s">
        <v>130</v>
      </c>
      <c r="D1920" s="25">
        <v>55.0</v>
      </c>
      <c r="E1920" s="3">
        <f t="shared" si="2"/>
        <v>2750</v>
      </c>
      <c r="F1920" s="3"/>
    </row>
    <row r="1921" hidden="1">
      <c r="A1921" s="24" t="s">
        <v>116</v>
      </c>
      <c r="B1921" s="30"/>
      <c r="C1921" s="30" t="s">
        <v>159</v>
      </c>
      <c r="D1921" s="25">
        <v>24.0</v>
      </c>
      <c r="E1921" s="3">
        <f t="shared" si="2"/>
        <v>1200</v>
      </c>
      <c r="F1921" s="3"/>
    </row>
    <row r="1922" hidden="1">
      <c r="A1922" s="24" t="s">
        <v>116</v>
      </c>
      <c r="B1922" s="30"/>
      <c r="C1922" s="30" t="s">
        <v>364</v>
      </c>
      <c r="D1922" s="25">
        <v>36.0</v>
      </c>
      <c r="E1922" s="3">
        <f t="shared" si="2"/>
        <v>1800</v>
      </c>
      <c r="F1922" s="3"/>
    </row>
    <row r="1923" hidden="1">
      <c r="A1923" s="24" t="s">
        <v>116</v>
      </c>
      <c r="B1923" s="30"/>
      <c r="C1923" s="30" t="s">
        <v>133</v>
      </c>
      <c r="D1923" s="25">
        <v>38.0</v>
      </c>
      <c r="E1923" s="3">
        <f t="shared" si="2"/>
        <v>1900</v>
      </c>
      <c r="F1923" s="3"/>
    </row>
    <row r="1924" hidden="1">
      <c r="A1924" s="24" t="s">
        <v>116</v>
      </c>
      <c r="B1924" s="30"/>
      <c r="C1924" s="30" t="s">
        <v>173</v>
      </c>
      <c r="D1924" s="25">
        <v>35.0</v>
      </c>
      <c r="E1924" s="3">
        <f t="shared" si="2"/>
        <v>1750</v>
      </c>
      <c r="F1924" s="3"/>
    </row>
    <row r="1925" hidden="1">
      <c r="A1925" s="24" t="s">
        <v>116</v>
      </c>
      <c r="B1925" s="30"/>
      <c r="C1925" s="30" t="s">
        <v>166</v>
      </c>
      <c r="D1925" s="25">
        <v>44.0</v>
      </c>
      <c r="E1925" s="3">
        <f t="shared" si="2"/>
        <v>2200</v>
      </c>
      <c r="F1925" s="3"/>
    </row>
    <row r="1926" hidden="1">
      <c r="A1926" s="24" t="s">
        <v>116</v>
      </c>
      <c r="B1926" s="30"/>
      <c r="C1926" s="30" t="s">
        <v>187</v>
      </c>
      <c r="D1926" s="25">
        <v>28.0</v>
      </c>
      <c r="E1926" s="3">
        <f t="shared" si="2"/>
        <v>1400</v>
      </c>
      <c r="F1926" s="3"/>
    </row>
    <row r="1927" hidden="1">
      <c r="A1927" s="24" t="s">
        <v>116</v>
      </c>
      <c r="B1927" s="30"/>
      <c r="C1927" s="30" t="s">
        <v>171</v>
      </c>
      <c r="D1927" s="25">
        <v>16.0</v>
      </c>
      <c r="E1927" s="3">
        <f t="shared" si="2"/>
        <v>800</v>
      </c>
      <c r="F1927" s="3"/>
    </row>
    <row r="1928" hidden="1">
      <c r="A1928" s="24" t="s">
        <v>116</v>
      </c>
      <c r="B1928" s="30"/>
      <c r="C1928" s="30" t="s">
        <v>181</v>
      </c>
      <c r="D1928" s="25">
        <v>51.0</v>
      </c>
      <c r="E1928" s="3">
        <f t="shared" si="2"/>
        <v>2550</v>
      </c>
      <c r="F1928" s="3"/>
    </row>
    <row r="1929" hidden="1">
      <c r="A1929" s="24" t="s">
        <v>116</v>
      </c>
      <c r="B1929" s="30"/>
      <c r="C1929" s="30" t="s">
        <v>139</v>
      </c>
      <c r="D1929" s="25">
        <v>38.0</v>
      </c>
      <c r="E1929" s="3">
        <f t="shared" si="2"/>
        <v>1900</v>
      </c>
      <c r="F1929" s="3"/>
    </row>
    <row r="1930" hidden="1">
      <c r="A1930" s="24" t="s">
        <v>116</v>
      </c>
      <c r="B1930" s="30"/>
      <c r="C1930" s="30" t="s">
        <v>140</v>
      </c>
      <c r="D1930" s="25">
        <v>25.0</v>
      </c>
      <c r="E1930" s="3">
        <f t="shared" si="2"/>
        <v>1250</v>
      </c>
      <c r="F1930" s="3"/>
    </row>
    <row r="1931" hidden="1">
      <c r="A1931" s="24" t="s">
        <v>116</v>
      </c>
      <c r="B1931" s="30"/>
      <c r="C1931" s="30" t="s">
        <v>213</v>
      </c>
      <c r="D1931" s="25">
        <v>34.0</v>
      </c>
      <c r="E1931" s="3">
        <f t="shared" si="2"/>
        <v>1700</v>
      </c>
      <c r="F1931" s="3"/>
    </row>
    <row r="1932" hidden="1">
      <c r="A1932" s="24" t="s">
        <v>116</v>
      </c>
      <c r="B1932" s="30"/>
      <c r="C1932" s="30" t="s">
        <v>169</v>
      </c>
      <c r="D1932" s="25">
        <v>32.0</v>
      </c>
      <c r="E1932" s="3">
        <f t="shared" si="2"/>
        <v>1600</v>
      </c>
      <c r="F1932" s="3"/>
    </row>
    <row r="1933" hidden="1">
      <c r="A1933" s="24" t="s">
        <v>116</v>
      </c>
      <c r="B1933" s="30"/>
      <c r="C1933" s="30" t="s">
        <v>144</v>
      </c>
      <c r="D1933" s="25">
        <v>39.0</v>
      </c>
      <c r="E1933" s="3">
        <f t="shared" si="2"/>
        <v>1950</v>
      </c>
      <c r="F1933" s="3"/>
    </row>
    <row r="1934" hidden="1">
      <c r="A1934" s="24" t="s">
        <v>116</v>
      </c>
      <c r="B1934" s="30"/>
      <c r="C1934" s="30" t="s">
        <v>163</v>
      </c>
      <c r="D1934" s="25">
        <v>30.0</v>
      </c>
      <c r="E1934" s="3">
        <f t="shared" si="2"/>
        <v>1500</v>
      </c>
      <c r="F1934" s="3"/>
    </row>
    <row r="1935" hidden="1">
      <c r="A1935" s="24" t="s">
        <v>116</v>
      </c>
      <c r="B1935" s="30"/>
      <c r="C1935" s="30" t="s">
        <v>378</v>
      </c>
      <c r="D1935" s="25">
        <v>14.0</v>
      </c>
      <c r="E1935" s="3">
        <f t="shared" si="2"/>
        <v>700</v>
      </c>
      <c r="F1935" s="3"/>
    </row>
    <row r="1936" hidden="1">
      <c r="A1936" s="24" t="s">
        <v>116</v>
      </c>
      <c r="B1936" s="30"/>
      <c r="C1936" s="30" t="s">
        <v>179</v>
      </c>
      <c r="D1936" s="25">
        <v>48.0</v>
      </c>
      <c r="E1936" s="3">
        <f t="shared" si="2"/>
        <v>2400</v>
      </c>
      <c r="F1936" s="3"/>
    </row>
    <row r="1937" hidden="1">
      <c r="A1937" s="24" t="s">
        <v>116</v>
      </c>
      <c r="B1937" s="30"/>
      <c r="C1937" s="30" t="s">
        <v>175</v>
      </c>
      <c r="D1937" s="25">
        <v>24.0</v>
      </c>
      <c r="E1937" s="3">
        <f t="shared" si="2"/>
        <v>1200</v>
      </c>
      <c r="F1937" s="3"/>
    </row>
    <row r="1938" hidden="1">
      <c r="A1938" s="24" t="s">
        <v>116</v>
      </c>
      <c r="B1938" s="30"/>
      <c r="C1938" s="30" t="s">
        <v>323</v>
      </c>
      <c r="D1938" s="25">
        <v>46.0</v>
      </c>
      <c r="E1938" s="3">
        <f t="shared" si="2"/>
        <v>2300</v>
      </c>
      <c r="F1938" s="3"/>
    </row>
    <row r="1939" hidden="1">
      <c r="A1939" s="24" t="s">
        <v>116</v>
      </c>
      <c r="B1939" s="30"/>
      <c r="C1939" s="30" t="s">
        <v>183</v>
      </c>
      <c r="D1939" s="25">
        <v>20.0</v>
      </c>
      <c r="E1939" s="3">
        <f t="shared" si="2"/>
        <v>1000</v>
      </c>
      <c r="F1939" s="3"/>
    </row>
    <row r="1940" hidden="1">
      <c r="A1940" s="24" t="s">
        <v>116</v>
      </c>
      <c r="B1940" s="30"/>
      <c r="C1940" s="30" t="s">
        <v>152</v>
      </c>
      <c r="D1940" s="25">
        <v>56.0</v>
      </c>
      <c r="E1940" s="3">
        <f t="shared" si="2"/>
        <v>2800</v>
      </c>
      <c r="F1940" s="3"/>
    </row>
    <row r="1941" hidden="1">
      <c r="A1941" s="24" t="s">
        <v>116</v>
      </c>
      <c r="B1941" s="30"/>
      <c r="C1941" s="30" t="s">
        <v>153</v>
      </c>
      <c r="D1941" s="25">
        <v>12.0</v>
      </c>
      <c r="E1941" s="3">
        <f t="shared" si="2"/>
        <v>600</v>
      </c>
      <c r="F1941" s="3"/>
    </row>
    <row r="1942" hidden="1">
      <c r="A1942" s="24" t="s">
        <v>116</v>
      </c>
      <c r="B1942" s="30"/>
      <c r="C1942" s="30" t="s">
        <v>296</v>
      </c>
      <c r="D1942" s="25">
        <v>47.0</v>
      </c>
      <c r="E1942" s="3">
        <f t="shared" si="2"/>
        <v>2350</v>
      </c>
      <c r="F1942" s="3"/>
    </row>
    <row r="1943" hidden="1">
      <c r="A1943" s="24" t="s">
        <v>119</v>
      </c>
      <c r="B1943" s="30"/>
      <c r="C1943" s="30" t="s">
        <v>126</v>
      </c>
      <c r="D1943" s="25">
        <v>34.0</v>
      </c>
      <c r="E1943" s="3">
        <f t="shared" si="2"/>
        <v>1700</v>
      </c>
      <c r="F1943" s="3"/>
    </row>
    <row r="1944" hidden="1">
      <c r="A1944" s="24" t="s">
        <v>119</v>
      </c>
      <c r="B1944" s="30"/>
      <c r="C1944" s="30" t="s">
        <v>156</v>
      </c>
      <c r="D1944" s="25">
        <v>24.0</v>
      </c>
      <c r="E1944" s="3">
        <f t="shared" si="2"/>
        <v>1200</v>
      </c>
      <c r="F1944" s="3"/>
    </row>
    <row r="1945" hidden="1">
      <c r="A1945" s="24" t="s">
        <v>119</v>
      </c>
      <c r="B1945" s="30"/>
      <c r="C1945" s="30" t="s">
        <v>157</v>
      </c>
      <c r="D1945" s="25">
        <v>49.0</v>
      </c>
      <c r="E1945" s="3">
        <f t="shared" si="2"/>
        <v>2450</v>
      </c>
      <c r="F1945" s="3"/>
    </row>
    <row r="1946" hidden="1">
      <c r="A1946" s="24" t="s">
        <v>119</v>
      </c>
      <c r="B1946" s="30"/>
      <c r="C1946" s="30" t="s">
        <v>158</v>
      </c>
      <c r="D1946" s="25">
        <v>44.0</v>
      </c>
      <c r="E1946" s="3">
        <f t="shared" si="2"/>
        <v>2200</v>
      </c>
      <c r="F1946" s="3"/>
    </row>
    <row r="1947" hidden="1">
      <c r="A1947" s="24" t="s">
        <v>119</v>
      </c>
      <c r="B1947" s="30"/>
      <c r="C1947" s="30" t="s">
        <v>130</v>
      </c>
      <c r="D1947" s="25">
        <v>54.0</v>
      </c>
      <c r="E1947" s="3">
        <f t="shared" si="2"/>
        <v>2700</v>
      </c>
      <c r="F1947" s="3"/>
    </row>
    <row r="1948" hidden="1">
      <c r="A1948" s="24" t="s">
        <v>119</v>
      </c>
      <c r="B1948" s="30"/>
      <c r="C1948" s="30" t="s">
        <v>159</v>
      </c>
      <c r="D1948" s="25">
        <v>39.0</v>
      </c>
      <c r="E1948" s="3">
        <f t="shared" si="2"/>
        <v>1950</v>
      </c>
      <c r="F1948" s="3"/>
    </row>
    <row r="1949" hidden="1">
      <c r="A1949" s="24" t="s">
        <v>119</v>
      </c>
      <c r="B1949" s="30"/>
      <c r="C1949" s="30" t="s">
        <v>364</v>
      </c>
      <c r="D1949" s="25">
        <v>56.0</v>
      </c>
      <c r="E1949" s="3">
        <f t="shared" si="2"/>
        <v>2800</v>
      </c>
      <c r="F1949" s="3"/>
    </row>
    <row r="1950" hidden="1">
      <c r="A1950" s="24" t="s">
        <v>119</v>
      </c>
      <c r="B1950" s="30"/>
      <c r="C1950" s="30" t="s">
        <v>133</v>
      </c>
      <c r="D1950" s="25">
        <v>34.0</v>
      </c>
      <c r="E1950" s="3">
        <f t="shared" si="2"/>
        <v>1700</v>
      </c>
      <c r="F1950" s="3"/>
    </row>
    <row r="1951" hidden="1">
      <c r="A1951" s="24" t="s">
        <v>119</v>
      </c>
      <c r="B1951" s="30"/>
      <c r="C1951" s="30" t="s">
        <v>173</v>
      </c>
      <c r="D1951" s="25">
        <v>27.0</v>
      </c>
      <c r="E1951" s="3">
        <f t="shared" si="2"/>
        <v>1350</v>
      </c>
      <c r="F1951" s="3"/>
    </row>
    <row r="1952" hidden="1">
      <c r="A1952" s="24" t="s">
        <v>119</v>
      </c>
      <c r="B1952" s="30"/>
      <c r="C1952" s="30" t="s">
        <v>166</v>
      </c>
      <c r="D1952" s="25">
        <v>49.0</v>
      </c>
      <c r="E1952" s="3">
        <f t="shared" si="2"/>
        <v>2450</v>
      </c>
      <c r="F1952" s="3"/>
    </row>
    <row r="1953" hidden="1">
      <c r="A1953" s="24" t="s">
        <v>119</v>
      </c>
      <c r="B1953" s="30"/>
      <c r="C1953" s="30" t="s">
        <v>187</v>
      </c>
      <c r="D1953" s="25">
        <v>44.0</v>
      </c>
      <c r="E1953" s="3">
        <f t="shared" si="2"/>
        <v>2200</v>
      </c>
      <c r="F1953" s="3"/>
    </row>
    <row r="1954" hidden="1">
      <c r="A1954" s="24" t="s">
        <v>119</v>
      </c>
      <c r="B1954" s="30"/>
      <c r="C1954" s="30" t="s">
        <v>171</v>
      </c>
      <c r="D1954" s="25">
        <v>4.0</v>
      </c>
      <c r="E1954" s="3">
        <f t="shared" si="2"/>
        <v>200</v>
      </c>
      <c r="F1954" s="3"/>
    </row>
    <row r="1955" hidden="1">
      <c r="A1955" s="24" t="s">
        <v>119</v>
      </c>
      <c r="B1955" s="30"/>
      <c r="C1955" s="30" t="s">
        <v>181</v>
      </c>
      <c r="D1955" s="25">
        <v>58.0</v>
      </c>
      <c r="E1955" s="3">
        <f t="shared" si="2"/>
        <v>2900</v>
      </c>
      <c r="F1955" s="3"/>
    </row>
    <row r="1956" hidden="1">
      <c r="A1956" s="24" t="s">
        <v>119</v>
      </c>
      <c r="B1956" s="30"/>
      <c r="C1956" s="30" t="s">
        <v>139</v>
      </c>
      <c r="D1956" s="25">
        <v>71.0</v>
      </c>
      <c r="E1956" s="3">
        <f t="shared" si="2"/>
        <v>3550</v>
      </c>
      <c r="F1956" s="3"/>
    </row>
    <row r="1957" hidden="1">
      <c r="A1957" s="24" t="s">
        <v>119</v>
      </c>
      <c r="B1957" s="30"/>
      <c r="C1957" s="30" t="s">
        <v>140</v>
      </c>
      <c r="D1957" s="25">
        <v>50.0</v>
      </c>
      <c r="E1957" s="3">
        <f t="shared" si="2"/>
        <v>2500</v>
      </c>
      <c r="F1957" s="3"/>
    </row>
    <row r="1958" hidden="1">
      <c r="A1958" s="24" t="s">
        <v>119</v>
      </c>
      <c r="B1958" s="30"/>
      <c r="C1958" s="30" t="s">
        <v>213</v>
      </c>
      <c r="D1958" s="25">
        <v>32.0</v>
      </c>
      <c r="E1958" s="3">
        <f t="shared" si="2"/>
        <v>1600</v>
      </c>
      <c r="F1958" s="3"/>
    </row>
    <row r="1959" hidden="1">
      <c r="A1959" s="24" t="s">
        <v>119</v>
      </c>
      <c r="B1959" s="30"/>
      <c r="C1959" s="30" t="s">
        <v>169</v>
      </c>
      <c r="D1959" s="25">
        <v>20.0</v>
      </c>
      <c r="E1959" s="3">
        <f t="shared" si="2"/>
        <v>1000</v>
      </c>
      <c r="F1959" s="3"/>
    </row>
    <row r="1960" hidden="1">
      <c r="A1960" s="24" t="s">
        <v>119</v>
      </c>
      <c r="B1960" s="30"/>
      <c r="C1960" s="30" t="s">
        <v>144</v>
      </c>
      <c r="D1960" s="25">
        <v>36.0</v>
      </c>
      <c r="E1960" s="3">
        <f t="shared" si="2"/>
        <v>1800</v>
      </c>
      <c r="F1960" s="3"/>
    </row>
    <row r="1961" hidden="1">
      <c r="A1961" s="24" t="s">
        <v>119</v>
      </c>
      <c r="B1961" s="30"/>
      <c r="C1961" s="30" t="s">
        <v>163</v>
      </c>
      <c r="D1961" s="25">
        <v>34.0</v>
      </c>
      <c r="E1961" s="3">
        <f t="shared" si="2"/>
        <v>1700</v>
      </c>
      <c r="F1961" s="3"/>
    </row>
    <row r="1962" hidden="1">
      <c r="A1962" s="24" t="s">
        <v>119</v>
      </c>
      <c r="B1962" s="30"/>
      <c r="C1962" s="30" t="s">
        <v>378</v>
      </c>
      <c r="D1962" s="25">
        <v>16.0</v>
      </c>
      <c r="E1962" s="3">
        <f t="shared" si="2"/>
        <v>800</v>
      </c>
      <c r="F1962" s="3"/>
    </row>
    <row r="1963" hidden="1">
      <c r="A1963" s="24" t="s">
        <v>119</v>
      </c>
      <c r="B1963" s="30"/>
      <c r="C1963" s="30" t="s">
        <v>179</v>
      </c>
      <c r="D1963" s="25">
        <v>34.0</v>
      </c>
      <c r="E1963" s="3">
        <f t="shared" si="2"/>
        <v>1700</v>
      </c>
      <c r="F1963" s="3"/>
    </row>
    <row r="1964" hidden="1">
      <c r="A1964" s="24" t="s">
        <v>119</v>
      </c>
      <c r="B1964" s="30"/>
      <c r="C1964" s="30" t="s">
        <v>175</v>
      </c>
      <c r="D1964" s="25">
        <v>15.0</v>
      </c>
      <c r="E1964" s="3">
        <f t="shared" si="2"/>
        <v>750</v>
      </c>
      <c r="F1964" s="3"/>
    </row>
    <row r="1965" hidden="1">
      <c r="A1965" s="24" t="s">
        <v>119</v>
      </c>
      <c r="B1965" s="30"/>
      <c r="C1965" s="30" t="s">
        <v>323</v>
      </c>
      <c r="D1965" s="25">
        <v>66.0</v>
      </c>
      <c r="E1965" s="3">
        <f t="shared" si="2"/>
        <v>3300</v>
      </c>
      <c r="F1965" s="3"/>
    </row>
    <row r="1966" hidden="1">
      <c r="A1966" s="24" t="s">
        <v>119</v>
      </c>
      <c r="B1966" s="30"/>
      <c r="C1966" s="30" t="s">
        <v>183</v>
      </c>
      <c r="D1966" s="25">
        <v>17.0</v>
      </c>
      <c r="E1966" s="3">
        <f t="shared" si="2"/>
        <v>850</v>
      </c>
      <c r="F1966" s="3"/>
    </row>
    <row r="1967" hidden="1">
      <c r="A1967" s="24" t="s">
        <v>119</v>
      </c>
      <c r="B1967" s="30"/>
      <c r="C1967" s="30" t="s">
        <v>152</v>
      </c>
      <c r="D1967" s="25">
        <v>42.0</v>
      </c>
      <c r="E1967" s="3">
        <f t="shared" si="2"/>
        <v>2100</v>
      </c>
      <c r="F1967" s="3"/>
    </row>
    <row r="1968" hidden="1">
      <c r="A1968" s="24" t="s">
        <v>119</v>
      </c>
      <c r="B1968" s="30"/>
      <c r="C1968" s="30" t="s">
        <v>153</v>
      </c>
      <c r="D1968" s="25">
        <v>14.0</v>
      </c>
      <c r="E1968" s="3">
        <f t="shared" si="2"/>
        <v>700</v>
      </c>
      <c r="F1968" s="3"/>
    </row>
    <row r="1969" hidden="1">
      <c r="A1969" s="24" t="s">
        <v>119</v>
      </c>
      <c r="B1969" s="30"/>
      <c r="C1969" s="30" t="s">
        <v>296</v>
      </c>
      <c r="D1969" s="25">
        <v>35.0</v>
      </c>
      <c r="E1969" s="3">
        <f t="shared" si="2"/>
        <v>1750</v>
      </c>
      <c r="F1969" s="3"/>
    </row>
    <row r="1970" hidden="1">
      <c r="A1970" s="6" t="s">
        <v>104</v>
      </c>
      <c r="B1970" s="30" t="s">
        <v>260</v>
      </c>
      <c r="C1970" s="30" t="s">
        <v>261</v>
      </c>
      <c r="D1970" s="25">
        <v>14.0</v>
      </c>
      <c r="E1970" s="10">
        <f t="shared" si="2"/>
        <v>700</v>
      </c>
      <c r="F1970" s="10"/>
    </row>
    <row r="1971" hidden="1">
      <c r="A1971" s="6" t="s">
        <v>92</v>
      </c>
      <c r="B1971" s="33" t="s">
        <v>260</v>
      </c>
      <c r="C1971" s="30" t="s">
        <v>261</v>
      </c>
      <c r="D1971" s="30">
        <v>8.0</v>
      </c>
      <c r="E1971" s="10">
        <f t="shared" si="2"/>
        <v>400</v>
      </c>
      <c r="F1971" s="10" t="str">
        <f t="shared" ref="F1971:F1975" si="4">D1971 &amp; " completed tickets"</f>
        <v>8 completed tickets</v>
      </c>
    </row>
    <row r="1972" hidden="1">
      <c r="A1972" s="6" t="s">
        <v>79</v>
      </c>
      <c r="B1972" s="30" t="s">
        <v>268</v>
      </c>
      <c r="C1972" s="30" t="s">
        <v>269</v>
      </c>
      <c r="D1972" s="25">
        <v>8.0</v>
      </c>
      <c r="E1972" s="10">
        <f t="shared" si="2"/>
        <v>400</v>
      </c>
      <c r="F1972" s="10" t="str">
        <f t="shared" si="4"/>
        <v>8 completed tickets</v>
      </c>
    </row>
    <row r="1973" hidden="1">
      <c r="A1973" s="16" t="s">
        <v>74</v>
      </c>
      <c r="B1973" s="30" t="s">
        <v>236</v>
      </c>
      <c r="C1973" s="30" t="s">
        <v>159</v>
      </c>
      <c r="D1973" s="25">
        <v>5.0</v>
      </c>
      <c r="E1973" s="10">
        <f t="shared" si="2"/>
        <v>250</v>
      </c>
      <c r="F1973" s="10" t="str">
        <f t="shared" si="4"/>
        <v>5 completed tickets</v>
      </c>
    </row>
    <row r="1974" hidden="1">
      <c r="A1974" s="16" t="s">
        <v>74</v>
      </c>
      <c r="B1974" s="13" t="s">
        <v>212</v>
      </c>
      <c r="C1974" s="30" t="s">
        <v>213</v>
      </c>
      <c r="D1974" s="25">
        <v>18.0</v>
      </c>
      <c r="E1974" s="10">
        <f t="shared" si="2"/>
        <v>900</v>
      </c>
      <c r="F1974" s="10" t="str">
        <f t="shared" si="4"/>
        <v>18 completed tickets</v>
      </c>
    </row>
    <row r="1975" hidden="1">
      <c r="A1975" s="16" t="s">
        <v>74</v>
      </c>
      <c r="B1975" s="13" t="s">
        <v>384</v>
      </c>
      <c r="C1975" s="30" t="s">
        <v>282</v>
      </c>
      <c r="D1975" s="25">
        <v>8.0</v>
      </c>
      <c r="E1975" s="10">
        <f t="shared" si="2"/>
        <v>400</v>
      </c>
      <c r="F1975" s="10" t="str">
        <f t="shared" si="4"/>
        <v>8 completed tickets</v>
      </c>
    </row>
    <row r="1976">
      <c r="B1976" s="13"/>
      <c r="C1976" s="30"/>
      <c r="E1976" s="3"/>
      <c r="F1976" s="3"/>
    </row>
    <row r="1977">
      <c r="B1977" s="13"/>
      <c r="C1977" s="30"/>
      <c r="E1977" s="3"/>
      <c r="F1977" s="3"/>
    </row>
    <row r="1978">
      <c r="B1978" s="13"/>
      <c r="C1978" s="30"/>
      <c r="E1978" s="3"/>
      <c r="F1978" s="3"/>
    </row>
    <row r="1979">
      <c r="B1979" s="13"/>
      <c r="C1979" s="30"/>
      <c r="E1979" s="3"/>
      <c r="F1979" s="3"/>
    </row>
    <row r="1980">
      <c r="B1980" s="13"/>
      <c r="C1980" s="30"/>
      <c r="E1980" s="3"/>
      <c r="F1980" s="3"/>
    </row>
    <row r="1981">
      <c r="B1981" s="13"/>
      <c r="C1981" s="30"/>
      <c r="E1981" s="3"/>
      <c r="F1981" s="3"/>
    </row>
    <row r="1982">
      <c r="B1982" s="13"/>
      <c r="C1982" s="30"/>
      <c r="E1982" s="3"/>
      <c r="F1982" s="3"/>
    </row>
    <row r="1983">
      <c r="B1983" s="7"/>
      <c r="C1983" s="30"/>
      <c r="E1983" s="3"/>
      <c r="F1983" s="3"/>
    </row>
    <row r="1984">
      <c r="B1984" s="7"/>
      <c r="C1984" s="30"/>
      <c r="E1984" s="3"/>
      <c r="F1984" s="3"/>
    </row>
    <row r="1985">
      <c r="B1985" s="7"/>
      <c r="C1985" s="30"/>
      <c r="E1985" s="3"/>
      <c r="F1985" s="3"/>
    </row>
    <row r="1986">
      <c r="B1986" s="7"/>
      <c r="C1986" s="13"/>
      <c r="D1986" s="30"/>
      <c r="E1986" s="3"/>
      <c r="F1986" s="3"/>
    </row>
    <row r="1987">
      <c r="B1987" s="7"/>
      <c r="C1987" s="13"/>
      <c r="D1987" s="30"/>
      <c r="E1987" s="3"/>
      <c r="F1987" s="3"/>
    </row>
    <row r="1988">
      <c r="B1988" s="7"/>
      <c r="C1988" s="13"/>
      <c r="D1988" s="30"/>
      <c r="E1988" s="3"/>
      <c r="F1988" s="3"/>
    </row>
    <row r="1989">
      <c r="B1989" s="7"/>
      <c r="C1989" s="13"/>
      <c r="D1989" s="30"/>
      <c r="E1989" s="3"/>
      <c r="F1989" s="3"/>
    </row>
    <row r="1990">
      <c r="B1990" s="7"/>
      <c r="C1990" s="13"/>
      <c r="D1990" s="30"/>
      <c r="E1990" s="3"/>
      <c r="F1990" s="3"/>
    </row>
    <row r="1991">
      <c r="B1991" s="7"/>
      <c r="C1991" s="13"/>
      <c r="D1991" s="30"/>
      <c r="E1991" s="3"/>
      <c r="F1991" s="3"/>
    </row>
    <row r="1992">
      <c r="A1992" s="7"/>
      <c r="B1992" s="7"/>
      <c r="C1992" s="13"/>
      <c r="D1992" s="30"/>
      <c r="E1992" s="3"/>
      <c r="F1992" s="3"/>
    </row>
    <row r="1993">
      <c r="B1993" s="7"/>
      <c r="C1993" s="13"/>
      <c r="D1993" s="30"/>
      <c r="E1993" s="3"/>
      <c r="F1993" s="3"/>
    </row>
    <row r="1994">
      <c r="B1994" s="7"/>
      <c r="C1994" s="13"/>
      <c r="D1994" s="30"/>
      <c r="E1994" s="3"/>
      <c r="F1994" s="3"/>
    </row>
    <row r="1995">
      <c r="B1995" s="7"/>
      <c r="C1995" s="13"/>
      <c r="D1995" s="30"/>
      <c r="E1995" s="3"/>
      <c r="F1995" s="3"/>
    </row>
    <row r="1996">
      <c r="B1996" s="7"/>
      <c r="C1996" s="13"/>
      <c r="D1996" s="30"/>
      <c r="E1996" s="3"/>
      <c r="F1996" s="3"/>
    </row>
    <row r="1997">
      <c r="B1997" s="7"/>
      <c r="C1997" s="13"/>
      <c r="D1997" s="30"/>
      <c r="E1997" s="3"/>
      <c r="F1997" s="3"/>
    </row>
    <row r="1998">
      <c r="B1998" s="7"/>
      <c r="C1998" s="13"/>
      <c r="D1998" s="30"/>
      <c r="E1998" s="3"/>
      <c r="F1998" s="3"/>
    </row>
    <row r="1999">
      <c r="B1999" s="7"/>
      <c r="C1999" s="13"/>
      <c r="D1999" s="30"/>
      <c r="E1999" s="3"/>
      <c r="F1999" s="3"/>
    </row>
    <row r="2000">
      <c r="B2000" s="7"/>
      <c r="C2000" s="13"/>
      <c r="D2000" s="30"/>
      <c r="E2000" s="3"/>
      <c r="F2000" s="3"/>
    </row>
    <row r="2001">
      <c r="B2001" s="13"/>
      <c r="C2001" s="13"/>
      <c r="D2001" s="30"/>
      <c r="E2001" s="3"/>
      <c r="F2001" s="3"/>
    </row>
    <row r="2002">
      <c r="B2002" s="7" t="s">
        <v>160</v>
      </c>
      <c r="C2002" s="13" t="s">
        <v>140</v>
      </c>
      <c r="D2002" s="30">
        <v>47.0</v>
      </c>
      <c r="E2002" s="3"/>
      <c r="F2002" s="3"/>
    </row>
    <row r="2003">
      <c r="B2003" s="35" t="s">
        <v>161</v>
      </c>
      <c r="C2003" s="13" t="s">
        <v>152</v>
      </c>
      <c r="D2003" s="30">
        <v>20.0</v>
      </c>
      <c r="E2003" s="3"/>
      <c r="F2003" s="3"/>
    </row>
    <row r="2004">
      <c r="B2004" s="7" t="s">
        <v>162</v>
      </c>
      <c r="C2004" s="13" t="s">
        <v>163</v>
      </c>
      <c r="D2004" s="30">
        <v>27.0</v>
      </c>
      <c r="E2004" s="3"/>
      <c r="F2004" s="3"/>
    </row>
    <row r="2005">
      <c r="B2005" s="7" t="s">
        <v>164</v>
      </c>
      <c r="C2005" s="13" t="s">
        <v>158</v>
      </c>
      <c r="D2005" s="30">
        <v>45.0</v>
      </c>
      <c r="E2005" s="3"/>
      <c r="F2005" s="3"/>
    </row>
    <row r="2006">
      <c r="B2006" s="7" t="s">
        <v>165</v>
      </c>
      <c r="C2006" s="13" t="s">
        <v>166</v>
      </c>
      <c r="D2006" s="30">
        <v>68.0</v>
      </c>
      <c r="E2006" s="3"/>
      <c r="F2006" s="3"/>
    </row>
    <row r="2007">
      <c r="B2007" s="7" t="s">
        <v>167</v>
      </c>
      <c r="C2007" s="13" t="s">
        <v>157</v>
      </c>
      <c r="D2007" s="30">
        <v>27.0</v>
      </c>
      <c r="E2007" s="3"/>
      <c r="F2007" s="3"/>
    </row>
    <row r="2008">
      <c r="B2008" s="7" t="s">
        <v>168</v>
      </c>
      <c r="C2008" s="13" t="s">
        <v>169</v>
      </c>
      <c r="D2008" s="30">
        <v>15.0</v>
      </c>
      <c r="E2008" s="3"/>
      <c r="F2008" s="3"/>
    </row>
    <row r="2009">
      <c r="B2009" s="36" t="s">
        <v>170</v>
      </c>
      <c r="C2009" s="13" t="s">
        <v>171</v>
      </c>
      <c r="D2009" s="30">
        <v>20.0</v>
      </c>
      <c r="E2009" s="3"/>
      <c r="F2009" s="3"/>
    </row>
    <row r="2010">
      <c r="B2010" s="35" t="s">
        <v>172</v>
      </c>
      <c r="C2010" s="13" t="s">
        <v>173</v>
      </c>
      <c r="D2010" s="30">
        <v>66.0</v>
      </c>
      <c r="E2010" s="3"/>
      <c r="F2010" s="3"/>
    </row>
    <row r="2011">
      <c r="A2011" s="36"/>
      <c r="B2011" s="33" t="s">
        <v>174</v>
      </c>
      <c r="C2011" s="13" t="s">
        <v>175</v>
      </c>
      <c r="D2011" s="30">
        <v>23.0</v>
      </c>
      <c r="E2011" s="3"/>
      <c r="F2011" s="3"/>
    </row>
    <row r="2012">
      <c r="A2012" s="38"/>
      <c r="B2012" s="33" t="s">
        <v>176</v>
      </c>
      <c r="C2012" s="13" t="s">
        <v>130</v>
      </c>
      <c r="D2012" s="30">
        <v>46.0</v>
      </c>
      <c r="E2012" s="3"/>
      <c r="F2012" s="3"/>
    </row>
    <row r="2013">
      <c r="A2013" s="38"/>
      <c r="B2013" s="35" t="s">
        <v>177</v>
      </c>
      <c r="C2013" s="13" t="s">
        <v>144</v>
      </c>
      <c r="D2013" s="30">
        <v>38.0</v>
      </c>
      <c r="E2013" s="3"/>
      <c r="F2013" s="3"/>
    </row>
    <row r="2014">
      <c r="A2014" s="38"/>
      <c r="B2014" s="35" t="s">
        <v>178</v>
      </c>
      <c r="C2014" s="30" t="s">
        <v>179</v>
      </c>
      <c r="D2014" s="30">
        <v>6.0</v>
      </c>
      <c r="E2014" s="3"/>
      <c r="F2014" s="3"/>
    </row>
    <row r="2015">
      <c r="A2015" s="38"/>
      <c r="B2015" s="35" t="s">
        <v>180</v>
      </c>
      <c r="C2015" s="30" t="s">
        <v>181</v>
      </c>
      <c r="D2015" s="30">
        <v>52.0</v>
      </c>
      <c r="E2015" s="3"/>
      <c r="F2015" s="3"/>
    </row>
    <row r="2016">
      <c r="A2016" s="38"/>
      <c r="B2016" s="35" t="s">
        <v>182</v>
      </c>
      <c r="C2016" s="30" t="s">
        <v>183</v>
      </c>
      <c r="D2016" s="30">
        <v>20.0</v>
      </c>
      <c r="E2016" s="3"/>
      <c r="F2016" s="3"/>
    </row>
    <row r="2017">
      <c r="A2017" s="38"/>
      <c r="B2017" s="37" t="s">
        <v>184</v>
      </c>
      <c r="C2017" s="30" t="s">
        <v>185</v>
      </c>
      <c r="D2017" s="30">
        <v>16.0</v>
      </c>
      <c r="E2017" s="3"/>
      <c r="F2017" s="3"/>
    </row>
    <row r="2018">
      <c r="A2018" s="30"/>
      <c r="B2018" s="30" t="s">
        <v>186</v>
      </c>
      <c r="C2018" s="30" t="s">
        <v>187</v>
      </c>
      <c r="D2018" s="30">
        <v>45.0</v>
      </c>
      <c r="E2018" s="3"/>
      <c r="F2018" s="3"/>
    </row>
    <row r="2019">
      <c r="A2019" s="36"/>
      <c r="B2019" s="38" t="s">
        <v>188</v>
      </c>
      <c r="C2019" s="30" t="s">
        <v>189</v>
      </c>
      <c r="D2019" s="25">
        <v>30.0</v>
      </c>
      <c r="E2019" s="3"/>
      <c r="F2019" s="3"/>
    </row>
    <row r="2020">
      <c r="A2020" s="36"/>
      <c r="B2020" s="37" t="s">
        <v>190</v>
      </c>
      <c r="C2020" s="30" t="s">
        <v>191</v>
      </c>
      <c r="D2020" s="25">
        <v>10.0</v>
      </c>
      <c r="E2020" s="3"/>
      <c r="F2020" s="3"/>
    </row>
    <row r="2021">
      <c r="A2021" s="36"/>
      <c r="B2021" s="37" t="s">
        <v>192</v>
      </c>
      <c r="C2021" s="30" t="s">
        <v>193</v>
      </c>
      <c r="D2021" s="25">
        <v>13.0</v>
      </c>
      <c r="E2021" s="3"/>
      <c r="F2021" s="3"/>
    </row>
    <row r="2022">
      <c r="A2022" s="30"/>
      <c r="B2022" s="37" t="s">
        <v>194</v>
      </c>
      <c r="C2022" s="30" t="s">
        <v>195</v>
      </c>
      <c r="D2022" s="25">
        <v>12.0</v>
      </c>
      <c r="E2022" s="3"/>
      <c r="F2022" s="3"/>
    </row>
    <row r="2023">
      <c r="A2023" s="30"/>
      <c r="B2023" s="30" t="s">
        <v>196</v>
      </c>
      <c r="C2023" s="30" t="s">
        <v>197</v>
      </c>
      <c r="D2023" s="25">
        <v>26.0</v>
      </c>
      <c r="E2023" s="3"/>
      <c r="F2023" s="3"/>
    </row>
    <row r="2024">
      <c r="A2024" s="30"/>
      <c r="B2024" s="30" t="s">
        <v>198</v>
      </c>
      <c r="C2024" s="30" t="s">
        <v>199</v>
      </c>
      <c r="D2024" s="25">
        <v>50.0</v>
      </c>
      <c r="E2024" s="3"/>
      <c r="F2024" s="3"/>
    </row>
    <row r="2025">
      <c r="A2025" s="30"/>
      <c r="B2025" s="30" t="s">
        <v>200</v>
      </c>
      <c r="C2025" s="30" t="s">
        <v>201</v>
      </c>
      <c r="D2025" s="25">
        <v>18.0</v>
      </c>
      <c r="E2025" s="3"/>
      <c r="F2025" s="3"/>
    </row>
    <row r="2026">
      <c r="A2026" s="30"/>
      <c r="B2026" s="38" t="s">
        <v>202</v>
      </c>
      <c r="C2026" s="30" t="s">
        <v>203</v>
      </c>
      <c r="D2026" s="25">
        <v>10.0</v>
      </c>
      <c r="E2026" s="3"/>
      <c r="F2026" s="3"/>
    </row>
    <row r="2027">
      <c r="B2027" s="30" t="s">
        <v>204</v>
      </c>
      <c r="C2027" s="30" t="s">
        <v>205</v>
      </c>
      <c r="D2027" s="25">
        <v>29.0</v>
      </c>
      <c r="E2027" s="3"/>
      <c r="F2027" s="3"/>
    </row>
    <row r="2028">
      <c r="B2028" s="36" t="s">
        <v>206</v>
      </c>
      <c r="C2028" s="30" t="s">
        <v>207</v>
      </c>
      <c r="D2028" s="25">
        <v>30.0</v>
      </c>
      <c r="E2028" s="3"/>
      <c r="F2028" s="3"/>
    </row>
    <row r="2029">
      <c r="B2029" s="30" t="s">
        <v>208</v>
      </c>
      <c r="C2029" s="30" t="s">
        <v>209</v>
      </c>
      <c r="D2029" s="25">
        <v>13.0</v>
      </c>
      <c r="E2029" s="3"/>
      <c r="F2029" s="3"/>
    </row>
    <row r="2030">
      <c r="B2030" s="30" t="s">
        <v>210</v>
      </c>
      <c r="C2030" s="30" t="s">
        <v>211</v>
      </c>
      <c r="D2030" s="25">
        <v>12.0</v>
      </c>
      <c r="E2030" s="3"/>
      <c r="F2030" s="3"/>
    </row>
    <row r="2031">
      <c r="B2031" s="30" t="s">
        <v>212</v>
      </c>
      <c r="C2031" s="30" t="s">
        <v>213</v>
      </c>
      <c r="D2031" s="25">
        <v>30.0</v>
      </c>
      <c r="E2031" s="3"/>
      <c r="F2031" s="3"/>
    </row>
    <row r="2032">
      <c r="B2032" s="30" t="s">
        <v>214</v>
      </c>
      <c r="C2032" s="30" t="s">
        <v>215</v>
      </c>
      <c r="D2032" s="25">
        <v>9.0</v>
      </c>
      <c r="E2032" s="3"/>
      <c r="F2032" s="3"/>
    </row>
    <row r="2033">
      <c r="B2033" s="25" t="s">
        <v>216</v>
      </c>
      <c r="C2033" s="30" t="s">
        <v>217</v>
      </c>
      <c r="D2033" s="25">
        <v>19.0</v>
      </c>
      <c r="E2033" s="3"/>
      <c r="F2033" s="3"/>
    </row>
    <row r="2034">
      <c r="B2034" s="30" t="s">
        <v>218</v>
      </c>
      <c r="C2034" s="30" t="s">
        <v>219</v>
      </c>
      <c r="D2034" s="25">
        <v>23.0</v>
      </c>
      <c r="E2034" s="3"/>
      <c r="F2034" s="3"/>
    </row>
    <row r="2035">
      <c r="B2035" s="25" t="s">
        <v>220</v>
      </c>
      <c r="C2035" s="30" t="s">
        <v>221</v>
      </c>
      <c r="D2035" s="25">
        <v>12.0</v>
      </c>
      <c r="E2035" s="3"/>
      <c r="F2035" s="3"/>
    </row>
    <row r="2036">
      <c r="B2036" s="25" t="s">
        <v>222</v>
      </c>
      <c r="C2036" s="30" t="s">
        <v>223</v>
      </c>
      <c r="D2036" s="25">
        <v>16.0</v>
      </c>
      <c r="E2036" s="3"/>
      <c r="F2036" s="3"/>
    </row>
    <row r="2037">
      <c r="B2037" s="30" t="s">
        <v>224</v>
      </c>
      <c r="C2037" s="30" t="s">
        <v>225</v>
      </c>
      <c r="D2037" s="25">
        <v>16.0</v>
      </c>
      <c r="E2037" s="3"/>
      <c r="F2037" s="3"/>
    </row>
    <row r="2038">
      <c r="B2038" s="30" t="s">
        <v>226</v>
      </c>
      <c r="C2038" s="30" t="s">
        <v>227</v>
      </c>
      <c r="D2038" s="25">
        <v>17.0</v>
      </c>
      <c r="E2038" s="3"/>
      <c r="F2038" s="3"/>
    </row>
    <row r="2039">
      <c r="B2039" s="30" t="s">
        <v>228</v>
      </c>
      <c r="C2039" s="30" t="s">
        <v>229</v>
      </c>
      <c r="D2039" s="25">
        <v>9.0</v>
      </c>
      <c r="E2039" s="3"/>
      <c r="F2039" s="3"/>
    </row>
    <row r="2040">
      <c r="B2040" s="30" t="s">
        <v>230</v>
      </c>
      <c r="C2040" s="30" t="s">
        <v>231</v>
      </c>
      <c r="D2040" s="25">
        <v>9.0</v>
      </c>
      <c r="E2040" s="3"/>
      <c r="F2040" s="3"/>
    </row>
    <row r="2041">
      <c r="B2041" s="30" t="s">
        <v>232</v>
      </c>
      <c r="C2041" s="30" t="s">
        <v>233</v>
      </c>
      <c r="D2041" s="25">
        <v>6.0</v>
      </c>
      <c r="E2041" s="3"/>
      <c r="F2041" s="3"/>
    </row>
    <row r="2042">
      <c r="B2042" s="25" t="s">
        <v>234</v>
      </c>
      <c r="C2042" s="30" t="s">
        <v>235</v>
      </c>
      <c r="D2042" s="25">
        <v>2.0</v>
      </c>
      <c r="E2042" s="3"/>
      <c r="F2042" s="3"/>
    </row>
    <row r="2043">
      <c r="B2043" s="30" t="s">
        <v>236</v>
      </c>
      <c r="C2043" s="30" t="s">
        <v>237</v>
      </c>
      <c r="D2043" s="25">
        <v>2.0</v>
      </c>
      <c r="E2043" s="3"/>
      <c r="F2043" s="3"/>
    </row>
    <row r="2044">
      <c r="B2044" s="30" t="s">
        <v>238</v>
      </c>
      <c r="C2044" s="30" t="s">
        <v>239</v>
      </c>
      <c r="D2044" s="25">
        <v>2.0</v>
      </c>
      <c r="E2044" s="3"/>
      <c r="F2044" s="3"/>
    </row>
    <row r="2045">
      <c r="B2045" s="30" t="s">
        <v>240</v>
      </c>
      <c r="C2045" s="30" t="s">
        <v>241</v>
      </c>
      <c r="D2045" s="25">
        <v>2.0</v>
      </c>
      <c r="E2045" s="3"/>
      <c r="F2045" s="3"/>
    </row>
    <row r="2046">
      <c r="B2046" s="30" t="s">
        <v>242</v>
      </c>
      <c r="C2046" s="30" t="s">
        <v>243</v>
      </c>
      <c r="D2046" s="25">
        <v>2.0</v>
      </c>
      <c r="E2046" s="3"/>
      <c r="F2046" s="3"/>
    </row>
    <row r="2047">
      <c r="B2047" s="30" t="s">
        <v>244</v>
      </c>
      <c r="C2047" s="30" t="s">
        <v>245</v>
      </c>
      <c r="D2047" s="25">
        <v>2.0</v>
      </c>
      <c r="E2047" s="3"/>
      <c r="F2047" s="3"/>
    </row>
    <row r="2048">
      <c r="B2048" s="30" t="s">
        <v>246</v>
      </c>
      <c r="C2048" s="30" t="s">
        <v>247</v>
      </c>
      <c r="D2048" s="25">
        <v>2.0</v>
      </c>
      <c r="E2048" s="3"/>
      <c r="F2048" s="3"/>
    </row>
    <row r="2049">
      <c r="B2049" s="30" t="s">
        <v>248</v>
      </c>
      <c r="C2049" s="30" t="s">
        <v>249</v>
      </c>
      <c r="D2049" s="25">
        <v>2.0</v>
      </c>
      <c r="E2049" s="3"/>
      <c r="F2049" s="3"/>
    </row>
    <row r="2050">
      <c r="B2050" s="30" t="s">
        <v>250</v>
      </c>
      <c r="C2050" s="30" t="s">
        <v>137</v>
      </c>
      <c r="D2050" s="25">
        <v>2.0</v>
      </c>
      <c r="E2050" s="3"/>
      <c r="F2050" s="3"/>
    </row>
    <row r="2051">
      <c r="B2051" s="30" t="s">
        <v>236</v>
      </c>
      <c r="C2051" s="30" t="s">
        <v>251</v>
      </c>
      <c r="D2051" s="25">
        <v>5.0</v>
      </c>
      <c r="E2051" s="3"/>
      <c r="F2051" s="3"/>
    </row>
    <row r="2052">
      <c r="B2052" s="28"/>
      <c r="C2052" s="28"/>
      <c r="E2052" s="3"/>
      <c r="F2052" s="3"/>
    </row>
    <row r="2053">
      <c r="B2053" s="28"/>
      <c r="C2053" s="28"/>
      <c r="E2053" s="3"/>
      <c r="F2053" s="3"/>
    </row>
    <row r="2054">
      <c r="B2054" s="28"/>
      <c r="C2054" s="28"/>
      <c r="E2054" s="3"/>
      <c r="F2054" s="3"/>
    </row>
    <row r="2055">
      <c r="B2055" s="28"/>
      <c r="C2055" s="28"/>
      <c r="E2055" s="3"/>
      <c r="F2055" s="3"/>
    </row>
    <row r="2056">
      <c r="B2056" s="28"/>
      <c r="C2056" s="28"/>
      <c r="E2056" s="3"/>
      <c r="F2056" s="3"/>
    </row>
    <row r="2057">
      <c r="B2057" s="28"/>
      <c r="C2057" s="28"/>
      <c r="E2057" s="3"/>
      <c r="F2057" s="3"/>
    </row>
    <row r="2058">
      <c r="B2058" s="28"/>
      <c r="C2058" s="28"/>
      <c r="E2058" s="3"/>
      <c r="F2058" s="3"/>
    </row>
    <row r="2059">
      <c r="B2059" s="28"/>
      <c r="C2059" s="28"/>
      <c r="E2059" s="3"/>
      <c r="F2059" s="3"/>
    </row>
    <row r="2060">
      <c r="B2060" s="28"/>
      <c r="C2060" s="28"/>
      <c r="E2060" s="3"/>
      <c r="F2060" s="3"/>
    </row>
    <row r="2061">
      <c r="B2061" s="28"/>
      <c r="C2061" s="28"/>
      <c r="E2061" s="3"/>
      <c r="F2061" s="3"/>
    </row>
    <row r="2062">
      <c r="B2062" s="28"/>
      <c r="C2062" s="28"/>
      <c r="E2062" s="3"/>
      <c r="F2062" s="3"/>
    </row>
    <row r="2063">
      <c r="B2063" s="28"/>
      <c r="C2063" s="28"/>
      <c r="E2063" s="3"/>
      <c r="F2063" s="3"/>
    </row>
    <row r="2064">
      <c r="B2064" s="28"/>
      <c r="C2064" s="28"/>
      <c r="E2064" s="3"/>
      <c r="F2064" s="3"/>
    </row>
    <row r="2065">
      <c r="B2065" s="28"/>
      <c r="C2065" s="28"/>
      <c r="E2065" s="3"/>
      <c r="F2065" s="3"/>
    </row>
    <row r="2066">
      <c r="B2066" s="28"/>
      <c r="C2066" s="28"/>
      <c r="E2066" s="3"/>
      <c r="F2066" s="3"/>
    </row>
    <row r="2067">
      <c r="B2067" s="28"/>
      <c r="C2067" s="28"/>
      <c r="E2067" s="3"/>
      <c r="F2067" s="3"/>
    </row>
    <row r="2068">
      <c r="B2068" s="28"/>
      <c r="C2068" s="28"/>
      <c r="E2068" s="3"/>
      <c r="F2068" s="3"/>
    </row>
    <row r="2069">
      <c r="B2069" s="28"/>
      <c r="C2069" s="28"/>
      <c r="E2069" s="3"/>
      <c r="F2069" s="3"/>
    </row>
    <row r="2070">
      <c r="B2070" s="28"/>
      <c r="C2070" s="28"/>
      <c r="E2070" s="3"/>
      <c r="F2070" s="3"/>
    </row>
    <row r="2071">
      <c r="B2071" s="28"/>
      <c r="C2071" s="28"/>
      <c r="E2071" s="3"/>
      <c r="F2071" s="3"/>
    </row>
    <row r="2072">
      <c r="B2072" s="28"/>
      <c r="C2072" s="28"/>
      <c r="E2072" s="3"/>
      <c r="F2072" s="3"/>
    </row>
    <row r="2073">
      <c r="B2073" s="28"/>
      <c r="C2073" s="28"/>
      <c r="E2073" s="3"/>
      <c r="F2073" s="3"/>
    </row>
    <row r="2074">
      <c r="B2074" s="28"/>
      <c r="C2074" s="28"/>
      <c r="E2074" s="3"/>
      <c r="F2074" s="3"/>
    </row>
    <row r="2075">
      <c r="B2075" s="28"/>
      <c r="C2075" s="28"/>
      <c r="E2075" s="3"/>
      <c r="F2075" s="3"/>
    </row>
    <row r="2076">
      <c r="B2076" s="28"/>
      <c r="C2076" s="28"/>
      <c r="E2076" s="3"/>
      <c r="F2076" s="3"/>
    </row>
    <row r="2077">
      <c r="B2077" s="28"/>
      <c r="C2077" s="28"/>
      <c r="E2077" s="3"/>
      <c r="F2077" s="3"/>
    </row>
    <row r="2078">
      <c r="B2078" s="28"/>
      <c r="C2078" s="28"/>
      <c r="E2078" s="3"/>
      <c r="F2078" s="3"/>
    </row>
    <row r="2079">
      <c r="B2079" s="28"/>
      <c r="C2079" s="28"/>
      <c r="E2079" s="3"/>
      <c r="F2079" s="3"/>
    </row>
    <row r="2080">
      <c r="B2080" s="28"/>
      <c r="C2080" s="28"/>
      <c r="E2080" s="3"/>
      <c r="F2080" s="3"/>
    </row>
    <row r="2081">
      <c r="B2081" s="28"/>
      <c r="C2081" s="28"/>
      <c r="E2081" s="3"/>
      <c r="F2081" s="3"/>
    </row>
    <row r="2082">
      <c r="B2082" s="28"/>
      <c r="C2082" s="28"/>
      <c r="E2082" s="3"/>
      <c r="F2082" s="3"/>
    </row>
    <row r="2083">
      <c r="B2083" s="28"/>
      <c r="C2083" s="28"/>
      <c r="E2083" s="3"/>
      <c r="F2083" s="3"/>
    </row>
    <row r="2084">
      <c r="B2084" s="28"/>
      <c r="C2084" s="28"/>
      <c r="E2084" s="3"/>
      <c r="F2084" s="3"/>
    </row>
    <row r="2085">
      <c r="B2085" s="28"/>
      <c r="C2085" s="28"/>
      <c r="E2085" s="3"/>
      <c r="F2085" s="3"/>
    </row>
    <row r="2086">
      <c r="B2086" s="28"/>
      <c r="C2086" s="28"/>
      <c r="E2086" s="3"/>
      <c r="F2086" s="3"/>
    </row>
    <row r="2087">
      <c r="B2087" s="28"/>
      <c r="C2087" s="28"/>
      <c r="E2087" s="3"/>
      <c r="F2087" s="3"/>
    </row>
    <row r="2088">
      <c r="B2088" s="28"/>
      <c r="C2088" s="28"/>
      <c r="E2088" s="3"/>
      <c r="F2088" s="3"/>
    </row>
    <row r="2089">
      <c r="B2089" s="28"/>
      <c r="C2089" s="28"/>
      <c r="E2089" s="3"/>
      <c r="F2089" s="3"/>
    </row>
    <row r="2090">
      <c r="B2090" s="28"/>
      <c r="C2090" s="28"/>
      <c r="E2090" s="3"/>
      <c r="F2090" s="3"/>
    </row>
    <row r="2091">
      <c r="B2091" s="28"/>
      <c r="C2091" s="28"/>
      <c r="E2091" s="3"/>
      <c r="F2091" s="3"/>
    </row>
    <row r="2092">
      <c r="B2092" s="28"/>
      <c r="C2092" s="28"/>
      <c r="E2092" s="3"/>
      <c r="F2092" s="3"/>
    </row>
    <row r="2093">
      <c r="B2093" s="28"/>
      <c r="C2093" s="28"/>
      <c r="E2093" s="3"/>
      <c r="F2093" s="3"/>
    </row>
    <row r="2094">
      <c r="B2094" s="28"/>
      <c r="C2094" s="28"/>
      <c r="E2094" s="3"/>
      <c r="F2094" s="3"/>
    </row>
    <row r="2095">
      <c r="B2095" s="28"/>
      <c r="C2095" s="28"/>
      <c r="E2095" s="3"/>
      <c r="F2095" s="3"/>
    </row>
    <row r="2096">
      <c r="B2096" s="28"/>
      <c r="C2096" s="28"/>
      <c r="E2096" s="3"/>
      <c r="F2096" s="3"/>
    </row>
    <row r="2097">
      <c r="B2097" s="28"/>
      <c r="C2097" s="28"/>
      <c r="E2097" s="3"/>
      <c r="F2097" s="3"/>
    </row>
    <row r="2098">
      <c r="B2098" s="28"/>
      <c r="C2098" s="28"/>
      <c r="E2098" s="3"/>
      <c r="F2098" s="3"/>
    </row>
    <row r="2099">
      <c r="B2099" s="28"/>
      <c r="C2099" s="28"/>
      <c r="E2099" s="3"/>
      <c r="F2099" s="3"/>
    </row>
    <row r="2100">
      <c r="B2100" s="28"/>
      <c r="C2100" s="28"/>
      <c r="E2100" s="3"/>
      <c r="F2100" s="3"/>
    </row>
    <row r="2101">
      <c r="B2101" s="28"/>
      <c r="C2101" s="28"/>
      <c r="E2101" s="3"/>
      <c r="F2101" s="3"/>
    </row>
    <row r="2102">
      <c r="B2102" s="28"/>
      <c r="C2102" s="28"/>
      <c r="E2102" s="3"/>
      <c r="F2102" s="3"/>
    </row>
    <row r="2103">
      <c r="B2103" s="28"/>
      <c r="C2103" s="28"/>
      <c r="E2103" s="3"/>
      <c r="F2103" s="3"/>
    </row>
    <row r="2104">
      <c r="B2104" s="28"/>
      <c r="C2104" s="28"/>
      <c r="E2104" s="3"/>
      <c r="F2104" s="3"/>
    </row>
    <row r="2105">
      <c r="B2105" s="28"/>
      <c r="C2105" s="28"/>
      <c r="E2105" s="3"/>
      <c r="F2105" s="3"/>
    </row>
    <row r="2106">
      <c r="B2106" s="28"/>
      <c r="C2106" s="28"/>
      <c r="E2106" s="3"/>
      <c r="F2106" s="3"/>
    </row>
    <row r="2107">
      <c r="B2107" s="28"/>
      <c r="C2107" s="28"/>
      <c r="E2107" s="3"/>
      <c r="F2107" s="3"/>
    </row>
    <row r="2108">
      <c r="B2108" s="28"/>
      <c r="C2108" s="28"/>
      <c r="E2108" s="3"/>
      <c r="F2108" s="3"/>
    </row>
    <row r="2109">
      <c r="B2109" s="28"/>
      <c r="C2109" s="28"/>
      <c r="E2109" s="3"/>
      <c r="F2109" s="3"/>
    </row>
    <row r="2110">
      <c r="B2110" s="28"/>
      <c r="C2110" s="28"/>
      <c r="E2110" s="3"/>
      <c r="F2110" s="3"/>
    </row>
    <row r="2111">
      <c r="B2111" s="28"/>
      <c r="C2111" s="28"/>
      <c r="E2111" s="3"/>
      <c r="F2111" s="3"/>
    </row>
    <row r="2112">
      <c r="B2112" s="28"/>
      <c r="C2112" s="28"/>
      <c r="E2112" s="3"/>
      <c r="F2112" s="3"/>
    </row>
    <row r="2113">
      <c r="B2113" s="28"/>
      <c r="C2113" s="28"/>
      <c r="E2113" s="3"/>
      <c r="F2113" s="3"/>
    </row>
    <row r="2114">
      <c r="B2114" s="28"/>
      <c r="C2114" s="28"/>
      <c r="E2114" s="3"/>
      <c r="F2114" s="3"/>
    </row>
    <row r="2115">
      <c r="B2115" s="28"/>
      <c r="C2115" s="28"/>
      <c r="E2115" s="3"/>
      <c r="F2115" s="3"/>
    </row>
    <row r="2116">
      <c r="B2116" s="28"/>
      <c r="C2116" s="28"/>
      <c r="E2116" s="3"/>
      <c r="F2116" s="3"/>
    </row>
    <row r="2117">
      <c r="B2117" s="28"/>
      <c r="C2117" s="28"/>
      <c r="E2117" s="3"/>
      <c r="F2117" s="3"/>
    </row>
    <row r="2118">
      <c r="B2118" s="28"/>
      <c r="C2118" s="28"/>
      <c r="E2118" s="3"/>
      <c r="F2118" s="3"/>
    </row>
    <row r="2119">
      <c r="B2119" s="28"/>
      <c r="C2119" s="28"/>
      <c r="E2119" s="3"/>
      <c r="F2119" s="3"/>
    </row>
    <row r="2120">
      <c r="B2120" s="28"/>
      <c r="C2120" s="28"/>
      <c r="E2120" s="3"/>
      <c r="F2120" s="3"/>
    </row>
    <row r="2121">
      <c r="B2121" s="28"/>
      <c r="C2121" s="28"/>
      <c r="E2121" s="3"/>
      <c r="F2121" s="3"/>
    </row>
    <row r="2122">
      <c r="B2122" s="28"/>
      <c r="C2122" s="28"/>
      <c r="E2122" s="3"/>
      <c r="F2122" s="3"/>
    </row>
    <row r="2123">
      <c r="B2123" s="28"/>
      <c r="C2123" s="28"/>
      <c r="E2123" s="3"/>
      <c r="F2123" s="3"/>
    </row>
    <row r="2124">
      <c r="B2124" s="28"/>
      <c r="C2124" s="28"/>
      <c r="E2124" s="3"/>
      <c r="F2124" s="3"/>
    </row>
    <row r="2125">
      <c r="B2125" s="28"/>
      <c r="C2125" s="28"/>
      <c r="E2125" s="3"/>
      <c r="F2125" s="3"/>
    </row>
    <row r="2126">
      <c r="B2126" s="28"/>
      <c r="C2126" s="28"/>
      <c r="E2126" s="3"/>
      <c r="F2126" s="3"/>
    </row>
    <row r="2127">
      <c r="B2127" s="28"/>
      <c r="C2127" s="28"/>
      <c r="E2127" s="3"/>
      <c r="F2127" s="3"/>
    </row>
    <row r="2128">
      <c r="B2128" s="28"/>
      <c r="C2128" s="28"/>
      <c r="E2128" s="3"/>
      <c r="F2128" s="3"/>
    </row>
    <row r="2129">
      <c r="B2129" s="28"/>
      <c r="C2129" s="28"/>
      <c r="E2129" s="3"/>
      <c r="F2129" s="3"/>
    </row>
    <row r="2130">
      <c r="B2130" s="28"/>
      <c r="C2130" s="28"/>
      <c r="E2130" s="3"/>
      <c r="F2130" s="3"/>
    </row>
    <row r="2131">
      <c r="B2131" s="28"/>
      <c r="C2131" s="28"/>
      <c r="E2131" s="3"/>
      <c r="F2131" s="3"/>
    </row>
    <row r="2132">
      <c r="B2132" s="28"/>
      <c r="C2132" s="28"/>
      <c r="E2132" s="3"/>
      <c r="F2132" s="3"/>
    </row>
    <row r="2133">
      <c r="B2133" s="28"/>
      <c r="C2133" s="28"/>
      <c r="E2133" s="3"/>
      <c r="F2133" s="3"/>
    </row>
    <row r="2134">
      <c r="B2134" s="28"/>
      <c r="C2134" s="28"/>
      <c r="E2134" s="3"/>
      <c r="F2134" s="3"/>
    </row>
    <row r="2135">
      <c r="B2135" s="28"/>
      <c r="C2135" s="28"/>
      <c r="E2135" s="3"/>
      <c r="F2135" s="3"/>
    </row>
    <row r="2136">
      <c r="B2136" s="28"/>
      <c r="C2136" s="28"/>
      <c r="E2136" s="3"/>
      <c r="F2136" s="3"/>
    </row>
    <row r="2137">
      <c r="B2137" s="28"/>
      <c r="C2137" s="28"/>
      <c r="E2137" s="3"/>
      <c r="F2137" s="3"/>
    </row>
    <row r="2138">
      <c r="B2138" s="28"/>
      <c r="C2138" s="28"/>
      <c r="E2138" s="3"/>
      <c r="F2138" s="3"/>
    </row>
    <row r="2139">
      <c r="B2139" s="28"/>
      <c r="C2139" s="28"/>
      <c r="E2139" s="3"/>
      <c r="F2139" s="3"/>
    </row>
    <row r="2140">
      <c r="B2140" s="28"/>
      <c r="C2140" s="28"/>
      <c r="E2140" s="3"/>
      <c r="F2140" s="3"/>
    </row>
    <row r="2141">
      <c r="B2141" s="28"/>
      <c r="C2141" s="28"/>
      <c r="E2141" s="3"/>
      <c r="F2141" s="3"/>
    </row>
    <row r="2142">
      <c r="B2142" s="28"/>
      <c r="C2142" s="28"/>
      <c r="E2142" s="3"/>
      <c r="F2142" s="3"/>
    </row>
    <row r="2143">
      <c r="B2143" s="28"/>
      <c r="C2143" s="28"/>
      <c r="E2143" s="3"/>
      <c r="F2143" s="3"/>
    </row>
    <row r="2144">
      <c r="B2144" s="28"/>
      <c r="C2144" s="28"/>
      <c r="E2144" s="3"/>
      <c r="F2144" s="3"/>
    </row>
    <row r="2145">
      <c r="B2145" s="28"/>
      <c r="C2145" s="28"/>
      <c r="E2145" s="3"/>
      <c r="F2145" s="3"/>
    </row>
    <row r="2146">
      <c r="B2146" s="28"/>
      <c r="C2146" s="28"/>
      <c r="E2146" s="3"/>
      <c r="F2146" s="3"/>
    </row>
    <row r="2147">
      <c r="B2147" s="28"/>
      <c r="C2147" s="28"/>
      <c r="E2147" s="3"/>
      <c r="F2147" s="3"/>
    </row>
    <row r="2148">
      <c r="B2148" s="28"/>
      <c r="C2148" s="28"/>
      <c r="E2148" s="3"/>
      <c r="F2148" s="3"/>
    </row>
    <row r="2149">
      <c r="B2149" s="28"/>
      <c r="C2149" s="28"/>
      <c r="E2149" s="3"/>
      <c r="F2149" s="3"/>
    </row>
    <row r="2150">
      <c r="B2150" s="28"/>
      <c r="C2150" s="28"/>
      <c r="E2150" s="3"/>
      <c r="F2150" s="3"/>
    </row>
    <row r="2151">
      <c r="B2151" s="28"/>
      <c r="C2151" s="28"/>
      <c r="E2151" s="3"/>
      <c r="F2151" s="3"/>
    </row>
    <row r="2152">
      <c r="B2152" s="28"/>
      <c r="C2152" s="28"/>
      <c r="E2152" s="3"/>
      <c r="F2152" s="3"/>
    </row>
    <row r="2153">
      <c r="B2153" s="28"/>
      <c r="C2153" s="28"/>
      <c r="E2153" s="3"/>
      <c r="F2153" s="3"/>
    </row>
    <row r="2154">
      <c r="B2154" s="28"/>
      <c r="C2154" s="28"/>
      <c r="E2154" s="3"/>
      <c r="F2154" s="3"/>
    </row>
    <row r="2155">
      <c r="B2155" s="28"/>
      <c r="C2155" s="28"/>
      <c r="E2155" s="3"/>
      <c r="F2155" s="3"/>
    </row>
    <row r="2156">
      <c r="B2156" s="28"/>
      <c r="C2156" s="28"/>
      <c r="E2156" s="3"/>
      <c r="F2156" s="3"/>
    </row>
    <row r="2157">
      <c r="B2157" s="28"/>
      <c r="C2157" s="28"/>
      <c r="E2157" s="3"/>
      <c r="F2157" s="3"/>
    </row>
    <row r="2158">
      <c r="B2158" s="28"/>
      <c r="C2158" s="28"/>
      <c r="E2158" s="3"/>
      <c r="F2158" s="3"/>
    </row>
    <row r="2159">
      <c r="B2159" s="28"/>
      <c r="C2159" s="28"/>
      <c r="E2159" s="3"/>
      <c r="F2159" s="3"/>
    </row>
    <row r="2160">
      <c r="B2160" s="28"/>
      <c r="C2160" s="28"/>
      <c r="E2160" s="3"/>
      <c r="F2160" s="3"/>
    </row>
    <row r="2161">
      <c r="B2161" s="28"/>
      <c r="C2161" s="28"/>
      <c r="E2161" s="3"/>
      <c r="F2161" s="3"/>
    </row>
    <row r="2162">
      <c r="B2162" s="28"/>
      <c r="C2162" s="28"/>
      <c r="E2162" s="3"/>
      <c r="F2162" s="3"/>
    </row>
    <row r="2163">
      <c r="B2163" s="28"/>
      <c r="C2163" s="28"/>
      <c r="E2163" s="3"/>
      <c r="F2163" s="3"/>
    </row>
    <row r="2164">
      <c r="B2164" s="28"/>
      <c r="C2164" s="28"/>
      <c r="E2164" s="3"/>
      <c r="F2164" s="3"/>
    </row>
    <row r="2165">
      <c r="B2165" s="28"/>
      <c r="C2165" s="28"/>
      <c r="E2165" s="3"/>
      <c r="F2165" s="3"/>
    </row>
    <row r="2166">
      <c r="B2166" s="28"/>
      <c r="C2166" s="28"/>
      <c r="E2166" s="3"/>
      <c r="F2166" s="3"/>
    </row>
    <row r="2167">
      <c r="B2167" s="28"/>
      <c r="C2167" s="28"/>
      <c r="E2167" s="3"/>
      <c r="F2167" s="3"/>
    </row>
    <row r="2168">
      <c r="B2168" s="28"/>
      <c r="C2168" s="28"/>
      <c r="E2168" s="3"/>
      <c r="F2168" s="3"/>
    </row>
    <row r="2169">
      <c r="B2169" s="28"/>
      <c r="C2169" s="28"/>
      <c r="E2169" s="3"/>
      <c r="F2169" s="3"/>
    </row>
    <row r="2170">
      <c r="B2170" s="28"/>
      <c r="C2170" s="28"/>
      <c r="E2170" s="3"/>
      <c r="F2170" s="3"/>
    </row>
    <row r="2171">
      <c r="B2171" s="28"/>
      <c r="C2171" s="28"/>
      <c r="E2171" s="3"/>
      <c r="F2171" s="3"/>
    </row>
    <row r="2172">
      <c r="B2172" s="28"/>
      <c r="C2172" s="28"/>
      <c r="E2172" s="3"/>
      <c r="F2172" s="3"/>
    </row>
    <row r="2173">
      <c r="B2173" s="28"/>
      <c r="C2173" s="28"/>
      <c r="E2173" s="3"/>
      <c r="F2173" s="3"/>
    </row>
    <row r="2174">
      <c r="B2174" s="28"/>
      <c r="C2174" s="28"/>
      <c r="E2174" s="3"/>
      <c r="F2174" s="3"/>
    </row>
    <row r="2175">
      <c r="B2175" s="28"/>
      <c r="C2175" s="28"/>
      <c r="E2175" s="3"/>
      <c r="F2175" s="3"/>
    </row>
    <row r="2176">
      <c r="B2176" s="28"/>
      <c r="C2176" s="28"/>
      <c r="E2176" s="3"/>
      <c r="F2176" s="3"/>
    </row>
    <row r="2177">
      <c r="B2177" s="28"/>
      <c r="C2177" s="28"/>
      <c r="E2177" s="3"/>
      <c r="F2177" s="3"/>
    </row>
    <row r="2178">
      <c r="B2178" s="28"/>
      <c r="C2178" s="28"/>
      <c r="E2178" s="3"/>
      <c r="F2178" s="3"/>
    </row>
    <row r="2179">
      <c r="B2179" s="28"/>
      <c r="C2179" s="28"/>
      <c r="E2179" s="3"/>
      <c r="F2179" s="3"/>
    </row>
    <row r="2180">
      <c r="B2180" s="28"/>
      <c r="C2180" s="28"/>
      <c r="E2180" s="3"/>
      <c r="F2180" s="3"/>
    </row>
    <row r="2181">
      <c r="B2181" s="28"/>
      <c r="C2181" s="28"/>
      <c r="E2181" s="3"/>
      <c r="F2181" s="3"/>
    </row>
    <row r="2182">
      <c r="B2182" s="28"/>
      <c r="C2182" s="28"/>
      <c r="E2182" s="3"/>
      <c r="F2182" s="3"/>
    </row>
    <row r="2183">
      <c r="B2183" s="28"/>
      <c r="C2183" s="28"/>
      <c r="E2183" s="3"/>
      <c r="F2183" s="3"/>
    </row>
    <row r="2184">
      <c r="B2184" s="28"/>
      <c r="C2184" s="28"/>
      <c r="E2184" s="3"/>
      <c r="F2184" s="3"/>
    </row>
    <row r="2185">
      <c r="B2185" s="28"/>
      <c r="C2185" s="28"/>
      <c r="E2185" s="3"/>
      <c r="F2185" s="3"/>
    </row>
    <row r="2186">
      <c r="B2186" s="28"/>
      <c r="C2186" s="28"/>
      <c r="E2186" s="3"/>
      <c r="F2186" s="3"/>
    </row>
    <row r="2187">
      <c r="B2187" s="28"/>
      <c r="C2187" s="28"/>
      <c r="E2187" s="3"/>
      <c r="F2187" s="3"/>
    </row>
    <row r="2188">
      <c r="B2188" s="28"/>
      <c r="C2188" s="28"/>
      <c r="E2188" s="3"/>
      <c r="F2188" s="3"/>
    </row>
    <row r="2189">
      <c r="B2189" s="28"/>
      <c r="C2189" s="28"/>
      <c r="E2189" s="3"/>
      <c r="F2189" s="3"/>
    </row>
    <row r="2190">
      <c r="B2190" s="28"/>
      <c r="C2190" s="28"/>
      <c r="E2190" s="3"/>
      <c r="F2190" s="3"/>
    </row>
    <row r="2191">
      <c r="B2191" s="28"/>
      <c r="C2191" s="28"/>
      <c r="E2191" s="3"/>
      <c r="F2191" s="3"/>
    </row>
    <row r="2192">
      <c r="B2192" s="28"/>
      <c r="C2192" s="28"/>
      <c r="E2192" s="3"/>
      <c r="F2192" s="3"/>
    </row>
    <row r="2193">
      <c r="B2193" s="28"/>
      <c r="C2193" s="28"/>
      <c r="E2193" s="3"/>
      <c r="F2193" s="3"/>
    </row>
    <row r="2194">
      <c r="B2194" s="28"/>
      <c r="C2194" s="28"/>
      <c r="E2194" s="3"/>
      <c r="F2194" s="3"/>
    </row>
    <row r="2195">
      <c r="B2195" s="28"/>
      <c r="C2195" s="28"/>
      <c r="E2195" s="3"/>
      <c r="F2195" s="3"/>
    </row>
    <row r="2196">
      <c r="B2196" s="28"/>
      <c r="C2196" s="28"/>
      <c r="E2196" s="3"/>
      <c r="F2196" s="3"/>
    </row>
    <row r="2197">
      <c r="B2197" s="28"/>
      <c r="C2197" s="28"/>
      <c r="E2197" s="3"/>
      <c r="F2197" s="3"/>
    </row>
    <row r="2198">
      <c r="B2198" s="28"/>
      <c r="C2198" s="28"/>
      <c r="E2198" s="3"/>
      <c r="F2198" s="3"/>
    </row>
    <row r="2199">
      <c r="B2199" s="28"/>
      <c r="C2199" s="28"/>
      <c r="E2199" s="3"/>
      <c r="F2199" s="3"/>
    </row>
    <row r="2200">
      <c r="B2200" s="28"/>
      <c r="C2200" s="28"/>
      <c r="E2200" s="3"/>
      <c r="F2200" s="3"/>
    </row>
    <row r="2201">
      <c r="B2201" s="28"/>
      <c r="C2201" s="28"/>
      <c r="E2201" s="3"/>
      <c r="F2201" s="3"/>
    </row>
    <row r="2202">
      <c r="B2202" s="28"/>
      <c r="C2202" s="28"/>
      <c r="E2202" s="3"/>
      <c r="F2202" s="3"/>
    </row>
    <row r="2203">
      <c r="B2203" s="28"/>
      <c r="C2203" s="28"/>
      <c r="E2203" s="3"/>
      <c r="F2203" s="3"/>
    </row>
    <row r="2204">
      <c r="B2204" s="28"/>
      <c r="C2204" s="28"/>
      <c r="E2204" s="3"/>
      <c r="F2204" s="3"/>
    </row>
    <row r="2205">
      <c r="B2205" s="28"/>
      <c r="C2205" s="28"/>
      <c r="E2205" s="3"/>
      <c r="F2205" s="3"/>
    </row>
    <row r="2206">
      <c r="B2206" s="28"/>
      <c r="C2206" s="28"/>
      <c r="E2206" s="3"/>
      <c r="F2206" s="3"/>
    </row>
    <row r="2207">
      <c r="B2207" s="28"/>
      <c r="C2207" s="28"/>
      <c r="E2207" s="3"/>
      <c r="F2207" s="3"/>
    </row>
    <row r="2208">
      <c r="B2208" s="28"/>
      <c r="C2208" s="28"/>
      <c r="E2208" s="3"/>
      <c r="F2208" s="3"/>
    </row>
    <row r="2209">
      <c r="B2209" s="28"/>
      <c r="C2209" s="28"/>
      <c r="E2209" s="3"/>
      <c r="F2209" s="3"/>
    </row>
    <row r="2210">
      <c r="B2210" s="28"/>
      <c r="C2210" s="28"/>
      <c r="E2210" s="3"/>
      <c r="F2210" s="3"/>
    </row>
    <row r="2211">
      <c r="B2211" s="28"/>
      <c r="C2211" s="28"/>
      <c r="E2211" s="3"/>
      <c r="F2211" s="3"/>
    </row>
    <row r="2212">
      <c r="B2212" s="28"/>
      <c r="C2212" s="28"/>
      <c r="E2212" s="3"/>
      <c r="F2212" s="3"/>
    </row>
    <row r="2213">
      <c r="B2213" s="28"/>
      <c r="C2213" s="28"/>
      <c r="E2213" s="3"/>
      <c r="F2213" s="3"/>
    </row>
    <row r="2214">
      <c r="B2214" s="28"/>
      <c r="C2214" s="28"/>
      <c r="E2214" s="3"/>
      <c r="F2214" s="3"/>
    </row>
    <row r="2215">
      <c r="B2215" s="28"/>
      <c r="C2215" s="28"/>
      <c r="E2215" s="3"/>
      <c r="F2215" s="3"/>
    </row>
    <row r="2216">
      <c r="B2216" s="28"/>
      <c r="C2216" s="28"/>
      <c r="E2216" s="3"/>
      <c r="F2216" s="3"/>
    </row>
    <row r="2217">
      <c r="B2217" s="28"/>
      <c r="C2217" s="28"/>
      <c r="E2217" s="3"/>
      <c r="F2217" s="3"/>
    </row>
    <row r="2218">
      <c r="B2218" s="28"/>
      <c r="C2218" s="28"/>
      <c r="E2218" s="3"/>
      <c r="F2218" s="3"/>
    </row>
    <row r="2219">
      <c r="B2219" s="28"/>
      <c r="C2219" s="28"/>
      <c r="E2219" s="3"/>
      <c r="F2219" s="3"/>
    </row>
    <row r="2220">
      <c r="B2220" s="28"/>
      <c r="C2220" s="28"/>
      <c r="E2220" s="3"/>
      <c r="F2220" s="3"/>
    </row>
    <row r="2221">
      <c r="B2221" s="28"/>
      <c r="C2221" s="28"/>
      <c r="E2221" s="3"/>
      <c r="F2221" s="3"/>
    </row>
    <row r="2222">
      <c r="B2222" s="28"/>
      <c r="C2222" s="28"/>
      <c r="E2222" s="3"/>
      <c r="F2222" s="3"/>
    </row>
    <row r="2223">
      <c r="B2223" s="28"/>
      <c r="C2223" s="28"/>
      <c r="E2223" s="3"/>
      <c r="F2223" s="3"/>
    </row>
    <row r="2224">
      <c r="B2224" s="28"/>
      <c r="C2224" s="28"/>
      <c r="E2224" s="3"/>
      <c r="F2224" s="3"/>
    </row>
    <row r="2225">
      <c r="B2225" s="28"/>
      <c r="C2225" s="28"/>
      <c r="E2225" s="3"/>
      <c r="F2225" s="3"/>
    </row>
    <row r="2226">
      <c r="B2226" s="28"/>
      <c r="C2226" s="28"/>
      <c r="E2226" s="3"/>
      <c r="F2226" s="3"/>
    </row>
    <row r="2227">
      <c r="B2227" s="28"/>
      <c r="C2227" s="28"/>
      <c r="E2227" s="3"/>
      <c r="F2227" s="3"/>
    </row>
    <row r="2228">
      <c r="B2228" s="28"/>
      <c r="C2228" s="28"/>
      <c r="E2228" s="3"/>
      <c r="F2228" s="3"/>
    </row>
    <row r="2229">
      <c r="B2229" s="28"/>
      <c r="C2229" s="28"/>
      <c r="E2229" s="3"/>
      <c r="F2229" s="3"/>
    </row>
    <row r="2230">
      <c r="B2230" s="28"/>
      <c r="C2230" s="28"/>
      <c r="E2230" s="3"/>
      <c r="F2230" s="3"/>
    </row>
    <row r="2231">
      <c r="B2231" s="28"/>
      <c r="C2231" s="28"/>
      <c r="E2231" s="3"/>
      <c r="F2231" s="3"/>
    </row>
    <row r="2232">
      <c r="B2232" s="28"/>
      <c r="C2232" s="28"/>
      <c r="E2232" s="3"/>
      <c r="F2232" s="3"/>
    </row>
    <row r="2233">
      <c r="B2233" s="28"/>
      <c r="C2233" s="28"/>
      <c r="E2233" s="3"/>
      <c r="F2233" s="3"/>
    </row>
    <row r="2234">
      <c r="B2234" s="28"/>
      <c r="C2234" s="28"/>
      <c r="E2234" s="3"/>
      <c r="F2234" s="3"/>
    </row>
    <row r="2235">
      <c r="B2235" s="28"/>
      <c r="C2235" s="28"/>
      <c r="E2235" s="3"/>
      <c r="F2235" s="3"/>
    </row>
    <row r="2236">
      <c r="B2236" s="28"/>
      <c r="C2236" s="28"/>
      <c r="E2236" s="3"/>
      <c r="F2236" s="3"/>
    </row>
    <row r="2237">
      <c r="B2237" s="28"/>
      <c r="C2237" s="28"/>
      <c r="E2237" s="3"/>
      <c r="F2237" s="3"/>
    </row>
    <row r="2238">
      <c r="B2238" s="28"/>
      <c r="C2238" s="28"/>
      <c r="E2238" s="3"/>
      <c r="F2238" s="3"/>
    </row>
    <row r="2239">
      <c r="B2239" s="28"/>
      <c r="C2239" s="28"/>
      <c r="E2239" s="3"/>
      <c r="F2239" s="3"/>
    </row>
    <row r="2240">
      <c r="B2240" s="28"/>
      <c r="C2240" s="28"/>
      <c r="E2240" s="3"/>
      <c r="F2240" s="3"/>
    </row>
    <row r="2241">
      <c r="B2241" s="28"/>
      <c r="C2241" s="28"/>
      <c r="E2241" s="3"/>
      <c r="F2241" s="3"/>
    </row>
    <row r="2242">
      <c r="B2242" s="28"/>
      <c r="C2242" s="28"/>
      <c r="E2242" s="3"/>
      <c r="F2242" s="3"/>
    </row>
    <row r="2243">
      <c r="B2243" s="28"/>
      <c r="C2243" s="28"/>
      <c r="E2243" s="3"/>
      <c r="F2243" s="3"/>
    </row>
    <row r="2244">
      <c r="B2244" s="28"/>
      <c r="C2244" s="28"/>
      <c r="E2244" s="3"/>
      <c r="F2244" s="3"/>
    </row>
    <row r="2245">
      <c r="B2245" s="28"/>
      <c r="C2245" s="28"/>
      <c r="E2245" s="3"/>
      <c r="F2245" s="3"/>
    </row>
    <row r="2246">
      <c r="B2246" s="28"/>
      <c r="C2246" s="28"/>
      <c r="E2246" s="3"/>
      <c r="F2246" s="3"/>
    </row>
    <row r="2247">
      <c r="B2247" s="28"/>
      <c r="C2247" s="28"/>
      <c r="E2247" s="3"/>
      <c r="F2247" s="3"/>
    </row>
    <row r="2248">
      <c r="B2248" s="28"/>
      <c r="C2248" s="28"/>
      <c r="E2248" s="3"/>
      <c r="F2248" s="3"/>
    </row>
    <row r="2249">
      <c r="B2249" s="28"/>
      <c r="C2249" s="28"/>
      <c r="E2249" s="3"/>
      <c r="F2249" s="3"/>
    </row>
    <row r="2250">
      <c r="B2250" s="28"/>
      <c r="C2250" s="28"/>
      <c r="E2250" s="3"/>
      <c r="F2250" s="3"/>
    </row>
    <row r="2251">
      <c r="B2251" s="28"/>
      <c r="C2251" s="28"/>
      <c r="E2251" s="3"/>
      <c r="F2251" s="3"/>
    </row>
    <row r="2252">
      <c r="B2252" s="28"/>
      <c r="C2252" s="28"/>
      <c r="E2252" s="3"/>
      <c r="F2252" s="3"/>
    </row>
    <row r="2253">
      <c r="B2253" s="28"/>
      <c r="C2253" s="28"/>
      <c r="E2253" s="3"/>
      <c r="F2253" s="3"/>
    </row>
    <row r="2254">
      <c r="B2254" s="28"/>
      <c r="C2254" s="28"/>
      <c r="E2254" s="3"/>
      <c r="F2254" s="3"/>
    </row>
    <row r="2255">
      <c r="B2255" s="28"/>
      <c r="C2255" s="28"/>
      <c r="E2255" s="3"/>
      <c r="F2255" s="3"/>
    </row>
    <row r="2256">
      <c r="B2256" s="28"/>
      <c r="C2256" s="28"/>
      <c r="E2256" s="3"/>
      <c r="F2256" s="3"/>
    </row>
    <row r="2257">
      <c r="B2257" s="28"/>
      <c r="C2257" s="28"/>
      <c r="E2257" s="3"/>
      <c r="F2257" s="3"/>
    </row>
    <row r="2258">
      <c r="B2258" s="28"/>
      <c r="C2258" s="28"/>
      <c r="E2258" s="3"/>
      <c r="F2258" s="3"/>
    </row>
    <row r="2259">
      <c r="B2259" s="28"/>
      <c r="C2259" s="28"/>
      <c r="E2259" s="3"/>
      <c r="F2259" s="3"/>
    </row>
    <row r="2260">
      <c r="B2260" s="28"/>
      <c r="C2260" s="28"/>
      <c r="E2260" s="3"/>
      <c r="F2260" s="3"/>
    </row>
    <row r="2261">
      <c r="B2261" s="28"/>
      <c r="C2261" s="28"/>
      <c r="E2261" s="3"/>
      <c r="F2261" s="3"/>
    </row>
    <row r="2262">
      <c r="B2262" s="28"/>
      <c r="C2262" s="28"/>
      <c r="E2262" s="3"/>
      <c r="F2262" s="3"/>
    </row>
    <row r="2263">
      <c r="B2263" s="28"/>
      <c r="C2263" s="28"/>
      <c r="E2263" s="3"/>
      <c r="F2263" s="3"/>
    </row>
    <row r="2264">
      <c r="B2264" s="28"/>
      <c r="C2264" s="28"/>
      <c r="E2264" s="3"/>
      <c r="F2264" s="3"/>
    </row>
    <row r="2265">
      <c r="B2265" s="28"/>
      <c r="C2265" s="28"/>
      <c r="E2265" s="3"/>
      <c r="F2265" s="3"/>
    </row>
    <row r="2266">
      <c r="B2266" s="28"/>
      <c r="C2266" s="28"/>
      <c r="E2266" s="3"/>
      <c r="F2266" s="3"/>
    </row>
    <row r="2267">
      <c r="B2267" s="28"/>
      <c r="C2267" s="28"/>
      <c r="E2267" s="3"/>
      <c r="F2267" s="3"/>
    </row>
    <row r="2268">
      <c r="B2268" s="28"/>
      <c r="C2268" s="28"/>
      <c r="E2268" s="3"/>
      <c r="F2268" s="3"/>
    </row>
    <row r="2269">
      <c r="B2269" s="28"/>
      <c r="C2269" s="28"/>
      <c r="E2269" s="3"/>
      <c r="F2269" s="3"/>
    </row>
    <row r="2270">
      <c r="B2270" s="28"/>
      <c r="C2270" s="28"/>
      <c r="E2270" s="3"/>
      <c r="F2270" s="3"/>
    </row>
    <row r="2271">
      <c r="B2271" s="28"/>
      <c r="C2271" s="28"/>
      <c r="E2271" s="3"/>
      <c r="F2271" s="3"/>
    </row>
    <row r="2272">
      <c r="B2272" s="28"/>
      <c r="C2272" s="28"/>
      <c r="E2272" s="3"/>
      <c r="F2272" s="3"/>
    </row>
    <row r="2273">
      <c r="B2273" s="28"/>
      <c r="C2273" s="28"/>
      <c r="E2273" s="3"/>
      <c r="F2273" s="3"/>
    </row>
    <row r="2274">
      <c r="B2274" s="28"/>
      <c r="C2274" s="28"/>
      <c r="E2274" s="3"/>
      <c r="F2274" s="3"/>
    </row>
    <row r="2275">
      <c r="B2275" s="28"/>
      <c r="C2275" s="28"/>
      <c r="E2275" s="3"/>
      <c r="F2275" s="3"/>
    </row>
    <row r="2276">
      <c r="B2276" s="28"/>
      <c r="C2276" s="28"/>
      <c r="E2276" s="3"/>
      <c r="F2276" s="3"/>
    </row>
    <row r="2277">
      <c r="B2277" s="28"/>
      <c r="C2277" s="28"/>
      <c r="E2277" s="3"/>
      <c r="F2277" s="3"/>
    </row>
    <row r="2278">
      <c r="B2278" s="28"/>
      <c r="C2278" s="28"/>
      <c r="E2278" s="3"/>
      <c r="F2278" s="3"/>
    </row>
    <row r="2279">
      <c r="B2279" s="28"/>
      <c r="C2279" s="28"/>
      <c r="E2279" s="3"/>
      <c r="F2279" s="3"/>
    </row>
    <row r="2280">
      <c r="B2280" s="28"/>
      <c r="C2280" s="28"/>
      <c r="E2280" s="3"/>
      <c r="F2280" s="3"/>
    </row>
    <row r="2281">
      <c r="B2281" s="28"/>
      <c r="C2281" s="28"/>
      <c r="E2281" s="3"/>
      <c r="F2281" s="3"/>
    </row>
    <row r="2282">
      <c r="B2282" s="28"/>
      <c r="C2282" s="28"/>
      <c r="E2282" s="3"/>
      <c r="F2282" s="3"/>
    </row>
    <row r="2283">
      <c r="B2283" s="28"/>
      <c r="C2283" s="28"/>
      <c r="E2283" s="3"/>
      <c r="F2283" s="3"/>
    </row>
    <row r="2284">
      <c r="B2284" s="28"/>
      <c r="C2284" s="28"/>
      <c r="E2284" s="3"/>
      <c r="F2284" s="3"/>
    </row>
    <row r="2285">
      <c r="B2285" s="28"/>
      <c r="C2285" s="28"/>
      <c r="E2285" s="3"/>
      <c r="F2285" s="3"/>
    </row>
    <row r="2286">
      <c r="B2286" s="28"/>
      <c r="C2286" s="28"/>
      <c r="E2286" s="3"/>
      <c r="F2286" s="3"/>
    </row>
    <row r="2287">
      <c r="B2287" s="28"/>
      <c r="C2287" s="28"/>
      <c r="E2287" s="3"/>
      <c r="F2287" s="3"/>
    </row>
    <row r="2288">
      <c r="B2288" s="28"/>
      <c r="C2288" s="28"/>
      <c r="E2288" s="3"/>
      <c r="F2288" s="3"/>
    </row>
    <row r="2289">
      <c r="B2289" s="28"/>
      <c r="C2289" s="28"/>
      <c r="E2289" s="3"/>
      <c r="F2289" s="3"/>
    </row>
    <row r="2290">
      <c r="B2290" s="28"/>
      <c r="C2290" s="28"/>
      <c r="E2290" s="3"/>
      <c r="F2290" s="3"/>
    </row>
    <row r="2291">
      <c r="B2291" s="28"/>
      <c r="C2291" s="28"/>
      <c r="E2291" s="3"/>
      <c r="F2291" s="3"/>
    </row>
    <row r="2292">
      <c r="B2292" s="28"/>
      <c r="C2292" s="28"/>
      <c r="E2292" s="3"/>
      <c r="F2292" s="3"/>
    </row>
    <row r="2293">
      <c r="B2293" s="28"/>
      <c r="C2293" s="28"/>
      <c r="E2293" s="3"/>
      <c r="F2293" s="3"/>
    </row>
    <row r="2294">
      <c r="B2294" s="28"/>
      <c r="C2294" s="28"/>
      <c r="E2294" s="3"/>
      <c r="F2294" s="3"/>
    </row>
    <row r="2295">
      <c r="B2295" s="28"/>
      <c r="C2295" s="28"/>
      <c r="E2295" s="3"/>
      <c r="F2295" s="3"/>
    </row>
    <row r="2296">
      <c r="B2296" s="28"/>
      <c r="C2296" s="28"/>
      <c r="E2296" s="3"/>
      <c r="F2296" s="3"/>
    </row>
    <row r="2297">
      <c r="B2297" s="28"/>
      <c r="C2297" s="28"/>
      <c r="E2297" s="3"/>
      <c r="F2297" s="3"/>
    </row>
    <row r="2298">
      <c r="B2298" s="28"/>
      <c r="C2298" s="28"/>
      <c r="E2298" s="3"/>
      <c r="F2298" s="3"/>
    </row>
    <row r="2299">
      <c r="B2299" s="28"/>
      <c r="C2299" s="28"/>
      <c r="E2299" s="3"/>
      <c r="F2299" s="3"/>
    </row>
    <row r="2300">
      <c r="B2300" s="28"/>
      <c r="C2300" s="28"/>
      <c r="E2300" s="3"/>
      <c r="F2300" s="3"/>
    </row>
    <row r="2301">
      <c r="B2301" s="28"/>
      <c r="C2301" s="28"/>
      <c r="E2301" s="3"/>
      <c r="F2301" s="3"/>
    </row>
    <row r="2302">
      <c r="B2302" s="28"/>
      <c r="C2302" s="28"/>
      <c r="E2302" s="3"/>
      <c r="F2302" s="3"/>
    </row>
    <row r="2303">
      <c r="B2303" s="28"/>
      <c r="C2303" s="28"/>
      <c r="E2303" s="3"/>
      <c r="F2303" s="3"/>
    </row>
    <row r="2304">
      <c r="B2304" s="28"/>
      <c r="C2304" s="28"/>
      <c r="E2304" s="3"/>
      <c r="F2304" s="3"/>
    </row>
    <row r="2305">
      <c r="B2305" s="28"/>
      <c r="C2305" s="28"/>
      <c r="E2305" s="3"/>
      <c r="F2305" s="3"/>
    </row>
    <row r="2306">
      <c r="B2306" s="28"/>
      <c r="C2306" s="28"/>
      <c r="E2306" s="3"/>
      <c r="F2306" s="3"/>
    </row>
    <row r="2307">
      <c r="B2307" s="28"/>
      <c r="C2307" s="28"/>
      <c r="E2307" s="3"/>
      <c r="F2307" s="3"/>
    </row>
    <row r="2308">
      <c r="B2308" s="28"/>
      <c r="C2308" s="28"/>
      <c r="E2308" s="3"/>
      <c r="F2308" s="3"/>
    </row>
    <row r="2309">
      <c r="B2309" s="28"/>
      <c r="C2309" s="28"/>
      <c r="E2309" s="3"/>
      <c r="F2309" s="3"/>
    </row>
    <row r="2310">
      <c r="B2310" s="28"/>
      <c r="C2310" s="28"/>
      <c r="E2310" s="3"/>
      <c r="F2310" s="3"/>
    </row>
    <row r="2311">
      <c r="B2311" s="28"/>
      <c r="C2311" s="28"/>
      <c r="E2311" s="3"/>
      <c r="F2311" s="3"/>
    </row>
    <row r="2312">
      <c r="B2312" s="28"/>
      <c r="C2312" s="28"/>
      <c r="E2312" s="3"/>
      <c r="F2312" s="3"/>
    </row>
    <row r="2313">
      <c r="B2313" s="28"/>
      <c r="C2313" s="28"/>
      <c r="E2313" s="3"/>
      <c r="F2313" s="3"/>
    </row>
    <row r="2314">
      <c r="B2314" s="28"/>
      <c r="C2314" s="28"/>
      <c r="E2314" s="3"/>
      <c r="F2314" s="3"/>
    </row>
    <row r="2315">
      <c r="B2315" s="28"/>
      <c r="C2315" s="28"/>
      <c r="E2315" s="3"/>
      <c r="F2315" s="3"/>
    </row>
    <row r="2316">
      <c r="B2316" s="28"/>
      <c r="C2316" s="28"/>
      <c r="E2316" s="3"/>
      <c r="F2316" s="3"/>
    </row>
    <row r="2317">
      <c r="B2317" s="28"/>
      <c r="C2317" s="28"/>
      <c r="E2317" s="3"/>
      <c r="F2317" s="3"/>
    </row>
    <row r="2318">
      <c r="B2318" s="28"/>
      <c r="C2318" s="28"/>
      <c r="E2318" s="3"/>
      <c r="F2318" s="3"/>
    </row>
    <row r="2319">
      <c r="B2319" s="28"/>
      <c r="C2319" s="28"/>
      <c r="E2319" s="3"/>
      <c r="F2319" s="3"/>
    </row>
    <row r="2320">
      <c r="B2320" s="28"/>
      <c r="C2320" s="28"/>
      <c r="E2320" s="3"/>
      <c r="F2320" s="3"/>
    </row>
    <row r="2321">
      <c r="B2321" s="28"/>
      <c r="C2321" s="28"/>
      <c r="E2321" s="3"/>
      <c r="F2321" s="3"/>
    </row>
    <row r="2322">
      <c r="B2322" s="28"/>
      <c r="C2322" s="28"/>
      <c r="E2322" s="3"/>
      <c r="F2322" s="3"/>
    </row>
    <row r="2323">
      <c r="B2323" s="28"/>
      <c r="C2323" s="28"/>
      <c r="E2323" s="3"/>
      <c r="F2323" s="3"/>
    </row>
    <row r="2324">
      <c r="B2324" s="28"/>
      <c r="C2324" s="28"/>
      <c r="E2324" s="3"/>
      <c r="F2324" s="3"/>
    </row>
    <row r="2325">
      <c r="B2325" s="28"/>
      <c r="C2325" s="28"/>
      <c r="E2325" s="3"/>
      <c r="F2325" s="3"/>
    </row>
    <row r="2326">
      <c r="B2326" s="28"/>
      <c r="C2326" s="28"/>
      <c r="E2326" s="3"/>
      <c r="F2326" s="3"/>
    </row>
    <row r="2327">
      <c r="B2327" s="28"/>
      <c r="C2327" s="28"/>
      <c r="E2327" s="3"/>
      <c r="F2327" s="3"/>
    </row>
    <row r="2328">
      <c r="B2328" s="28"/>
      <c r="C2328" s="28"/>
      <c r="E2328" s="3"/>
      <c r="F2328" s="3"/>
    </row>
    <row r="2329">
      <c r="B2329" s="28"/>
      <c r="C2329" s="28"/>
      <c r="E2329" s="3"/>
      <c r="F2329" s="3"/>
    </row>
    <row r="2330">
      <c r="B2330" s="28"/>
      <c r="C2330" s="28"/>
      <c r="E2330" s="3"/>
      <c r="F2330" s="3"/>
    </row>
    <row r="2331">
      <c r="B2331" s="28"/>
      <c r="C2331" s="28"/>
      <c r="E2331" s="3"/>
      <c r="F2331" s="3"/>
    </row>
    <row r="2332">
      <c r="B2332" s="28"/>
      <c r="C2332" s="28"/>
      <c r="E2332" s="3"/>
      <c r="F2332" s="3"/>
    </row>
    <row r="2333">
      <c r="B2333" s="28"/>
      <c r="C2333" s="28"/>
      <c r="E2333" s="3"/>
      <c r="F2333" s="3"/>
    </row>
    <row r="2334">
      <c r="B2334" s="28"/>
      <c r="C2334" s="28"/>
      <c r="E2334" s="3"/>
      <c r="F2334" s="3"/>
    </row>
    <row r="2335">
      <c r="B2335" s="28"/>
      <c r="C2335" s="28"/>
      <c r="E2335" s="3"/>
      <c r="F2335" s="3"/>
    </row>
    <row r="2336">
      <c r="B2336" s="28"/>
      <c r="C2336" s="28"/>
      <c r="E2336" s="3"/>
      <c r="F2336" s="3"/>
    </row>
    <row r="2337">
      <c r="B2337" s="28"/>
      <c r="C2337" s="28"/>
      <c r="E2337" s="3"/>
      <c r="F2337" s="3"/>
    </row>
    <row r="2338">
      <c r="B2338" s="28"/>
      <c r="C2338" s="28"/>
      <c r="E2338" s="3"/>
      <c r="F2338" s="3"/>
    </row>
    <row r="2339">
      <c r="B2339" s="28"/>
      <c r="C2339" s="28"/>
      <c r="E2339" s="3"/>
      <c r="F2339" s="3"/>
    </row>
    <row r="2340">
      <c r="B2340" s="28"/>
      <c r="C2340" s="28"/>
      <c r="E2340" s="3"/>
      <c r="F2340" s="3"/>
    </row>
    <row r="2341">
      <c r="B2341" s="28"/>
      <c r="C2341" s="28"/>
      <c r="E2341" s="3"/>
      <c r="F2341" s="3"/>
    </row>
    <row r="2342">
      <c r="B2342" s="28"/>
      <c r="C2342" s="28"/>
      <c r="E2342" s="3"/>
      <c r="F2342" s="3"/>
    </row>
    <row r="2343">
      <c r="B2343" s="28"/>
      <c r="C2343" s="28"/>
      <c r="E2343" s="3"/>
      <c r="F2343" s="3"/>
    </row>
    <row r="2344">
      <c r="B2344" s="28"/>
      <c r="C2344" s="28"/>
      <c r="E2344" s="3"/>
      <c r="F2344" s="3"/>
    </row>
    <row r="2345">
      <c r="B2345" s="28"/>
      <c r="C2345" s="28"/>
      <c r="E2345" s="3"/>
      <c r="F2345" s="3"/>
    </row>
    <row r="2346">
      <c r="B2346" s="28"/>
      <c r="C2346" s="28"/>
      <c r="E2346" s="3"/>
      <c r="F2346" s="3"/>
    </row>
    <row r="2347">
      <c r="B2347" s="28"/>
      <c r="C2347" s="28"/>
      <c r="E2347" s="3"/>
      <c r="F2347" s="3"/>
    </row>
    <row r="2348">
      <c r="B2348" s="28"/>
      <c r="C2348" s="28"/>
      <c r="E2348" s="3"/>
      <c r="F2348" s="3"/>
    </row>
    <row r="2349">
      <c r="B2349" s="28"/>
      <c r="C2349" s="28"/>
      <c r="E2349" s="3"/>
      <c r="F2349" s="3"/>
    </row>
    <row r="2350">
      <c r="B2350" s="28"/>
      <c r="C2350" s="28"/>
      <c r="E2350" s="3"/>
      <c r="F2350" s="3"/>
    </row>
    <row r="2351">
      <c r="B2351" s="28"/>
      <c r="C2351" s="28"/>
      <c r="E2351" s="3"/>
      <c r="F2351" s="3"/>
    </row>
    <row r="2352">
      <c r="B2352" s="28"/>
      <c r="C2352" s="28"/>
      <c r="E2352" s="3"/>
      <c r="F2352" s="3"/>
    </row>
    <row r="2353">
      <c r="B2353" s="28"/>
      <c r="C2353" s="28"/>
      <c r="E2353" s="3"/>
      <c r="F2353" s="3"/>
    </row>
    <row r="2354">
      <c r="B2354" s="28"/>
      <c r="C2354" s="28"/>
      <c r="E2354" s="3"/>
      <c r="F2354" s="3"/>
    </row>
    <row r="2355">
      <c r="B2355" s="28"/>
      <c r="C2355" s="28"/>
      <c r="E2355" s="3"/>
      <c r="F2355" s="3"/>
    </row>
    <row r="2356">
      <c r="B2356" s="28"/>
      <c r="C2356" s="28"/>
      <c r="E2356" s="3"/>
      <c r="F2356" s="3"/>
    </row>
    <row r="2357">
      <c r="B2357" s="28"/>
      <c r="C2357" s="28"/>
      <c r="E2357" s="3"/>
      <c r="F2357" s="3"/>
    </row>
    <row r="2358">
      <c r="B2358" s="28"/>
      <c r="C2358" s="28"/>
      <c r="E2358" s="3"/>
      <c r="F2358" s="3"/>
    </row>
    <row r="2359">
      <c r="B2359" s="28"/>
      <c r="C2359" s="28"/>
      <c r="E2359" s="3"/>
      <c r="F2359" s="3"/>
    </row>
    <row r="2360">
      <c r="B2360" s="28"/>
      <c r="C2360" s="28"/>
      <c r="E2360" s="3"/>
      <c r="F2360" s="3"/>
    </row>
    <row r="2361">
      <c r="B2361" s="28"/>
      <c r="C2361" s="28"/>
      <c r="E2361" s="3"/>
      <c r="F2361" s="3"/>
    </row>
    <row r="2362">
      <c r="B2362" s="28"/>
      <c r="C2362" s="28"/>
      <c r="E2362" s="3"/>
      <c r="F2362" s="3"/>
    </row>
    <row r="2363">
      <c r="B2363" s="28"/>
      <c r="C2363" s="28"/>
      <c r="E2363" s="3"/>
      <c r="F2363" s="3"/>
    </row>
    <row r="2364">
      <c r="B2364" s="28"/>
      <c r="C2364" s="28"/>
      <c r="E2364" s="3"/>
      <c r="F2364" s="3"/>
    </row>
    <row r="2365">
      <c r="B2365" s="28"/>
      <c r="C2365" s="28"/>
      <c r="E2365" s="3"/>
      <c r="F2365" s="3"/>
    </row>
    <row r="2366">
      <c r="B2366" s="28"/>
      <c r="C2366" s="28"/>
      <c r="E2366" s="3"/>
      <c r="F2366" s="3"/>
    </row>
    <row r="2367">
      <c r="B2367" s="28"/>
      <c r="C2367" s="28"/>
      <c r="E2367" s="3"/>
      <c r="F2367" s="3"/>
    </row>
    <row r="2368">
      <c r="B2368" s="28"/>
      <c r="C2368" s="28"/>
      <c r="E2368" s="3"/>
      <c r="F2368" s="3"/>
    </row>
    <row r="2369">
      <c r="B2369" s="28"/>
      <c r="C2369" s="28"/>
      <c r="E2369" s="3"/>
      <c r="F2369" s="3"/>
    </row>
    <row r="2370">
      <c r="B2370" s="28"/>
      <c r="C2370" s="28"/>
      <c r="E2370" s="3"/>
      <c r="F2370" s="3"/>
    </row>
    <row r="2371">
      <c r="B2371" s="28"/>
      <c r="C2371" s="28"/>
      <c r="E2371" s="3"/>
      <c r="F2371" s="3"/>
    </row>
    <row r="2372">
      <c r="B2372" s="28"/>
      <c r="C2372" s="28"/>
      <c r="E2372" s="3"/>
      <c r="F2372" s="3"/>
    </row>
    <row r="2373">
      <c r="B2373" s="28"/>
      <c r="C2373" s="28"/>
      <c r="E2373" s="3"/>
      <c r="F2373" s="3"/>
    </row>
    <row r="2374">
      <c r="B2374" s="28"/>
      <c r="C2374" s="28"/>
      <c r="E2374" s="3"/>
      <c r="F2374" s="3"/>
    </row>
    <row r="2375">
      <c r="B2375" s="28"/>
      <c r="C2375" s="28"/>
      <c r="E2375" s="3"/>
      <c r="F2375" s="3"/>
    </row>
    <row r="2376">
      <c r="B2376" s="28"/>
      <c r="C2376" s="28"/>
      <c r="E2376" s="3"/>
      <c r="F2376" s="3"/>
    </row>
    <row r="2377">
      <c r="B2377" s="28"/>
      <c r="C2377" s="28"/>
      <c r="E2377" s="3"/>
      <c r="F2377" s="3"/>
    </row>
    <row r="2378">
      <c r="B2378" s="28"/>
      <c r="C2378" s="28"/>
      <c r="E2378" s="3"/>
      <c r="F2378" s="3"/>
    </row>
    <row r="2379">
      <c r="B2379" s="28"/>
      <c r="C2379" s="28"/>
      <c r="E2379" s="3"/>
      <c r="F2379" s="3"/>
    </row>
    <row r="2380">
      <c r="B2380" s="28"/>
      <c r="C2380" s="28"/>
      <c r="E2380" s="3"/>
      <c r="F2380" s="3"/>
    </row>
    <row r="2381">
      <c r="B2381" s="28"/>
      <c r="C2381" s="28"/>
      <c r="E2381" s="3"/>
      <c r="F2381" s="3"/>
    </row>
    <row r="2382">
      <c r="B2382" s="28"/>
      <c r="C2382" s="28"/>
      <c r="E2382" s="3"/>
      <c r="F2382" s="3"/>
    </row>
    <row r="2383">
      <c r="B2383" s="28"/>
      <c r="C2383" s="28"/>
      <c r="E2383" s="3"/>
      <c r="F2383" s="3"/>
    </row>
    <row r="2384">
      <c r="B2384" s="28"/>
      <c r="C2384" s="28"/>
      <c r="E2384" s="3"/>
      <c r="F2384" s="3"/>
    </row>
    <row r="2385">
      <c r="B2385" s="28"/>
      <c r="C2385" s="28"/>
      <c r="E2385" s="3"/>
      <c r="F2385" s="3"/>
    </row>
    <row r="2386">
      <c r="B2386" s="28"/>
      <c r="C2386" s="28"/>
      <c r="E2386" s="3"/>
      <c r="F2386" s="3"/>
    </row>
    <row r="2387">
      <c r="B2387" s="28"/>
      <c r="C2387" s="28"/>
      <c r="E2387" s="3"/>
      <c r="F2387" s="3"/>
    </row>
    <row r="2388">
      <c r="B2388" s="28"/>
      <c r="C2388" s="28"/>
      <c r="E2388" s="3"/>
      <c r="F2388" s="3"/>
    </row>
    <row r="2389">
      <c r="B2389" s="28"/>
      <c r="C2389" s="28"/>
      <c r="E2389" s="3"/>
      <c r="F2389" s="3"/>
    </row>
    <row r="2390">
      <c r="B2390" s="28"/>
      <c r="C2390" s="28"/>
      <c r="E2390" s="3"/>
      <c r="F2390" s="3"/>
    </row>
    <row r="2391">
      <c r="B2391" s="28"/>
      <c r="C2391" s="28"/>
      <c r="E2391" s="3"/>
      <c r="F2391" s="3"/>
    </row>
    <row r="2392">
      <c r="B2392" s="28"/>
      <c r="C2392" s="28"/>
      <c r="E2392" s="3"/>
      <c r="F2392" s="3"/>
    </row>
    <row r="2393">
      <c r="B2393" s="28"/>
      <c r="C2393" s="28"/>
      <c r="E2393" s="3"/>
      <c r="F2393" s="3"/>
    </row>
    <row r="2394">
      <c r="B2394" s="28"/>
      <c r="C2394" s="28"/>
      <c r="E2394" s="3"/>
      <c r="F2394" s="3"/>
    </row>
    <row r="2395">
      <c r="B2395" s="28"/>
      <c r="C2395" s="28"/>
      <c r="E2395" s="3"/>
      <c r="F2395" s="3"/>
    </row>
    <row r="2396">
      <c r="B2396" s="28"/>
      <c r="C2396" s="28"/>
      <c r="E2396" s="3"/>
      <c r="F2396" s="3"/>
    </row>
    <row r="2397">
      <c r="B2397" s="28"/>
      <c r="C2397" s="28"/>
      <c r="E2397" s="3"/>
      <c r="F2397" s="3"/>
    </row>
    <row r="2398">
      <c r="B2398" s="28"/>
      <c r="C2398" s="28"/>
      <c r="E2398" s="3"/>
      <c r="F2398" s="3"/>
    </row>
    <row r="2399">
      <c r="B2399" s="28"/>
      <c r="C2399" s="28"/>
      <c r="E2399" s="3"/>
      <c r="F2399" s="3"/>
    </row>
    <row r="2400">
      <c r="B2400" s="28"/>
      <c r="C2400" s="28"/>
      <c r="E2400" s="3"/>
      <c r="F2400" s="3"/>
    </row>
    <row r="2401">
      <c r="B2401" s="28"/>
      <c r="C2401" s="28"/>
      <c r="E2401" s="3"/>
      <c r="F2401" s="3"/>
    </row>
    <row r="2402">
      <c r="B2402" s="28"/>
      <c r="C2402" s="28"/>
      <c r="E2402" s="3"/>
      <c r="F2402" s="3"/>
    </row>
    <row r="2403">
      <c r="B2403" s="28"/>
      <c r="C2403" s="28"/>
      <c r="E2403" s="3"/>
      <c r="F2403" s="3"/>
    </row>
    <row r="2404">
      <c r="B2404" s="28"/>
      <c r="C2404" s="28"/>
      <c r="E2404" s="3"/>
      <c r="F2404" s="3"/>
    </row>
    <row r="2405">
      <c r="B2405" s="28"/>
      <c r="C2405" s="28"/>
      <c r="E2405" s="3"/>
      <c r="F2405" s="3"/>
    </row>
    <row r="2406">
      <c r="B2406" s="28"/>
      <c r="C2406" s="28"/>
      <c r="E2406" s="3"/>
      <c r="F2406" s="3"/>
    </row>
    <row r="2407">
      <c r="B2407" s="28"/>
      <c r="C2407" s="28"/>
      <c r="E2407" s="3"/>
      <c r="F2407" s="3"/>
    </row>
    <row r="2408">
      <c r="B2408" s="28"/>
      <c r="C2408" s="28"/>
      <c r="E2408" s="3"/>
      <c r="F2408" s="3"/>
    </row>
    <row r="2409">
      <c r="B2409" s="28"/>
      <c r="C2409" s="28"/>
      <c r="E2409" s="3"/>
      <c r="F2409" s="3"/>
    </row>
    <row r="2410">
      <c r="B2410" s="28"/>
      <c r="C2410" s="28"/>
      <c r="E2410" s="3"/>
      <c r="F2410" s="3"/>
    </row>
    <row r="2411">
      <c r="B2411" s="28"/>
      <c r="C2411" s="28"/>
      <c r="E2411" s="3"/>
      <c r="F2411" s="3"/>
    </row>
    <row r="2412">
      <c r="B2412" s="28"/>
      <c r="C2412" s="28"/>
      <c r="E2412" s="3"/>
      <c r="F2412" s="3"/>
    </row>
    <row r="2413">
      <c r="B2413" s="28"/>
      <c r="C2413" s="28"/>
      <c r="E2413" s="3"/>
      <c r="F2413" s="3"/>
    </row>
    <row r="2414">
      <c r="B2414" s="28"/>
      <c r="C2414" s="28"/>
      <c r="E2414" s="3"/>
      <c r="F2414" s="3"/>
    </row>
    <row r="2415">
      <c r="B2415" s="28"/>
      <c r="C2415" s="28"/>
      <c r="E2415" s="3"/>
      <c r="F2415" s="3"/>
    </row>
    <row r="2416">
      <c r="B2416" s="28"/>
      <c r="C2416" s="28"/>
      <c r="E2416" s="3"/>
      <c r="F2416" s="3"/>
    </row>
    <row r="2417">
      <c r="B2417" s="28"/>
      <c r="C2417" s="28"/>
      <c r="E2417" s="3"/>
      <c r="F2417" s="3"/>
    </row>
    <row r="2418">
      <c r="B2418" s="28"/>
      <c r="C2418" s="28"/>
      <c r="E2418" s="3"/>
      <c r="F2418" s="3"/>
    </row>
    <row r="2419">
      <c r="B2419" s="28"/>
      <c r="C2419" s="28"/>
      <c r="E2419" s="3"/>
      <c r="F2419" s="3"/>
    </row>
    <row r="2420">
      <c r="B2420" s="28"/>
      <c r="C2420" s="28"/>
      <c r="E2420" s="3"/>
      <c r="F2420" s="3"/>
    </row>
    <row r="2421">
      <c r="B2421" s="28"/>
      <c r="C2421" s="28"/>
      <c r="E2421" s="3"/>
      <c r="F2421" s="3"/>
    </row>
    <row r="2422">
      <c r="B2422" s="28"/>
      <c r="C2422" s="28"/>
      <c r="E2422" s="3"/>
      <c r="F2422" s="3"/>
    </row>
    <row r="2423">
      <c r="B2423" s="28"/>
      <c r="C2423" s="28"/>
      <c r="E2423" s="3"/>
      <c r="F2423" s="3"/>
    </row>
    <row r="2424">
      <c r="B2424" s="28"/>
      <c r="C2424" s="28"/>
      <c r="E2424" s="3"/>
      <c r="F2424" s="3"/>
    </row>
    <row r="2425">
      <c r="B2425" s="28"/>
      <c r="C2425" s="28"/>
      <c r="E2425" s="3"/>
      <c r="F2425" s="3"/>
    </row>
    <row r="2426">
      <c r="B2426" s="28"/>
      <c r="C2426" s="28"/>
      <c r="E2426" s="3"/>
      <c r="F2426" s="3"/>
    </row>
    <row r="2427">
      <c r="B2427" s="28"/>
      <c r="C2427" s="28"/>
      <c r="E2427" s="3"/>
      <c r="F2427" s="3"/>
    </row>
    <row r="2428">
      <c r="B2428" s="28"/>
      <c r="C2428" s="28"/>
      <c r="E2428" s="3"/>
      <c r="F2428" s="3"/>
    </row>
    <row r="2429">
      <c r="B2429" s="28"/>
      <c r="C2429" s="28"/>
      <c r="E2429" s="3"/>
      <c r="F2429" s="3"/>
    </row>
    <row r="2430">
      <c r="B2430" s="28"/>
      <c r="C2430" s="28"/>
      <c r="E2430" s="3"/>
      <c r="F2430" s="3"/>
    </row>
    <row r="2431">
      <c r="B2431" s="28"/>
      <c r="C2431" s="28"/>
      <c r="E2431" s="3"/>
      <c r="F2431" s="3"/>
    </row>
    <row r="2432">
      <c r="B2432" s="28"/>
      <c r="C2432" s="28"/>
      <c r="E2432" s="3"/>
      <c r="F2432" s="3"/>
    </row>
    <row r="2433">
      <c r="B2433" s="28"/>
      <c r="C2433" s="28"/>
      <c r="E2433" s="3"/>
      <c r="F2433" s="3"/>
    </row>
    <row r="2434">
      <c r="B2434" s="28"/>
      <c r="C2434" s="28"/>
      <c r="E2434" s="3"/>
      <c r="F2434" s="3"/>
    </row>
    <row r="2435">
      <c r="B2435" s="28"/>
      <c r="C2435" s="28"/>
      <c r="E2435" s="3"/>
      <c r="F2435" s="3"/>
    </row>
    <row r="2436">
      <c r="B2436" s="28"/>
      <c r="C2436" s="28"/>
      <c r="E2436" s="3"/>
      <c r="F2436" s="3"/>
    </row>
    <row r="2437">
      <c r="B2437" s="28"/>
      <c r="C2437" s="28"/>
      <c r="E2437" s="3"/>
      <c r="F2437" s="3"/>
    </row>
    <row r="2438">
      <c r="B2438" s="28"/>
      <c r="C2438" s="28"/>
      <c r="E2438" s="3"/>
      <c r="F2438" s="3"/>
    </row>
    <row r="2439">
      <c r="B2439" s="28"/>
      <c r="C2439" s="28"/>
      <c r="E2439" s="3"/>
      <c r="F2439" s="3"/>
    </row>
    <row r="2440">
      <c r="B2440" s="28"/>
      <c r="C2440" s="28"/>
      <c r="E2440" s="3"/>
      <c r="F2440" s="3"/>
    </row>
    <row r="2441">
      <c r="B2441" s="28"/>
      <c r="C2441" s="28"/>
      <c r="E2441" s="3"/>
      <c r="F2441" s="3"/>
    </row>
    <row r="2442">
      <c r="B2442" s="28"/>
      <c r="C2442" s="28"/>
      <c r="E2442" s="3"/>
      <c r="F2442" s="3"/>
    </row>
    <row r="2443">
      <c r="B2443" s="28"/>
      <c r="C2443" s="28"/>
      <c r="E2443" s="3"/>
      <c r="F2443" s="3"/>
    </row>
    <row r="2444">
      <c r="B2444" s="28"/>
      <c r="C2444" s="28"/>
      <c r="E2444" s="3"/>
      <c r="F2444" s="3"/>
    </row>
    <row r="2445">
      <c r="B2445" s="28"/>
      <c r="C2445" s="28"/>
      <c r="E2445" s="3"/>
      <c r="F2445" s="3"/>
    </row>
    <row r="2446">
      <c r="B2446" s="28"/>
      <c r="C2446" s="28"/>
      <c r="E2446" s="3"/>
      <c r="F2446" s="3"/>
    </row>
    <row r="2447">
      <c r="B2447" s="28"/>
      <c r="C2447" s="28"/>
      <c r="E2447" s="3"/>
      <c r="F2447" s="3"/>
    </row>
    <row r="2448">
      <c r="B2448" s="28"/>
      <c r="C2448" s="28"/>
      <c r="E2448" s="3"/>
      <c r="F2448" s="3"/>
    </row>
    <row r="2449">
      <c r="B2449" s="28"/>
      <c r="C2449" s="28"/>
      <c r="E2449" s="3"/>
      <c r="F2449" s="3"/>
    </row>
    <row r="2450">
      <c r="B2450" s="28"/>
      <c r="C2450" s="28"/>
      <c r="E2450" s="3"/>
      <c r="F2450" s="3"/>
    </row>
    <row r="2451">
      <c r="B2451" s="28"/>
      <c r="C2451" s="28"/>
      <c r="E2451" s="3"/>
      <c r="F2451" s="3"/>
    </row>
    <row r="2452">
      <c r="B2452" s="28"/>
      <c r="C2452" s="28"/>
      <c r="E2452" s="3"/>
      <c r="F2452" s="3"/>
    </row>
    <row r="2453">
      <c r="B2453" s="28"/>
      <c r="C2453" s="28"/>
      <c r="E2453" s="3"/>
      <c r="F2453" s="3"/>
    </row>
    <row r="2454">
      <c r="B2454" s="28"/>
      <c r="C2454" s="28"/>
      <c r="E2454" s="3"/>
      <c r="F2454" s="3"/>
    </row>
    <row r="2455">
      <c r="B2455" s="28"/>
      <c r="C2455" s="28"/>
      <c r="E2455" s="3"/>
      <c r="F2455" s="3"/>
    </row>
    <row r="2456">
      <c r="B2456" s="28"/>
      <c r="C2456" s="28"/>
      <c r="E2456" s="3"/>
      <c r="F2456" s="3"/>
    </row>
    <row r="2457">
      <c r="B2457" s="28"/>
      <c r="C2457" s="28"/>
      <c r="E2457" s="3"/>
      <c r="F2457" s="3"/>
    </row>
    <row r="2458">
      <c r="B2458" s="28"/>
      <c r="C2458" s="28"/>
      <c r="E2458" s="3"/>
      <c r="F2458" s="3"/>
    </row>
    <row r="2459">
      <c r="B2459" s="28"/>
      <c r="C2459" s="28"/>
      <c r="E2459" s="3"/>
      <c r="F2459" s="3"/>
    </row>
    <row r="2460">
      <c r="B2460" s="28"/>
      <c r="C2460" s="28"/>
      <c r="E2460" s="3"/>
      <c r="F2460" s="3"/>
    </row>
    <row r="2461">
      <c r="B2461" s="28"/>
      <c r="C2461" s="28"/>
      <c r="E2461" s="3"/>
      <c r="F2461" s="3"/>
    </row>
    <row r="2462">
      <c r="B2462" s="28"/>
      <c r="C2462" s="28"/>
      <c r="E2462" s="3"/>
      <c r="F2462" s="3"/>
    </row>
    <row r="2463">
      <c r="B2463" s="28"/>
      <c r="C2463" s="28"/>
      <c r="E2463" s="3"/>
      <c r="F2463" s="3"/>
    </row>
    <row r="2464">
      <c r="B2464" s="28"/>
      <c r="C2464" s="28"/>
      <c r="E2464" s="3"/>
      <c r="F2464" s="3"/>
    </row>
    <row r="2465">
      <c r="B2465" s="28"/>
      <c r="C2465" s="28"/>
      <c r="E2465" s="3"/>
      <c r="F2465" s="3"/>
    </row>
    <row r="2466">
      <c r="B2466" s="28"/>
      <c r="C2466" s="28"/>
      <c r="E2466" s="3"/>
      <c r="F2466" s="3"/>
    </row>
    <row r="2467">
      <c r="B2467" s="28"/>
      <c r="C2467" s="28"/>
      <c r="E2467" s="3"/>
      <c r="F2467" s="3"/>
    </row>
    <row r="2468">
      <c r="B2468" s="28"/>
      <c r="C2468" s="28"/>
      <c r="E2468" s="3"/>
      <c r="F2468" s="3"/>
    </row>
    <row r="2469">
      <c r="B2469" s="28"/>
      <c r="C2469" s="28"/>
      <c r="E2469" s="3"/>
      <c r="F2469" s="3"/>
    </row>
    <row r="2470">
      <c r="B2470" s="28"/>
      <c r="C2470" s="28"/>
      <c r="E2470" s="3"/>
      <c r="F2470" s="3"/>
    </row>
    <row r="2471">
      <c r="B2471" s="28"/>
      <c r="C2471" s="28"/>
      <c r="E2471" s="3"/>
      <c r="F2471" s="3"/>
    </row>
    <row r="2472">
      <c r="B2472" s="28"/>
      <c r="C2472" s="28"/>
      <c r="E2472" s="3"/>
      <c r="F2472" s="3"/>
    </row>
    <row r="2473">
      <c r="B2473" s="28"/>
      <c r="C2473" s="28"/>
      <c r="E2473" s="3"/>
      <c r="F2473" s="3"/>
    </row>
    <row r="2474">
      <c r="B2474" s="28"/>
      <c r="C2474" s="28"/>
      <c r="E2474" s="3"/>
      <c r="F2474" s="3"/>
    </row>
    <row r="2475">
      <c r="B2475" s="28"/>
      <c r="C2475" s="28"/>
      <c r="E2475" s="3"/>
      <c r="F2475" s="3"/>
    </row>
    <row r="2476">
      <c r="B2476" s="28"/>
      <c r="C2476" s="28"/>
      <c r="E2476" s="3"/>
      <c r="F2476" s="3"/>
    </row>
    <row r="2477">
      <c r="B2477" s="28"/>
      <c r="C2477" s="28"/>
      <c r="E2477" s="3"/>
      <c r="F2477" s="3"/>
    </row>
    <row r="2478">
      <c r="B2478" s="28"/>
      <c r="C2478" s="28"/>
      <c r="E2478" s="3"/>
      <c r="F2478" s="3"/>
    </row>
    <row r="2479">
      <c r="B2479" s="28"/>
      <c r="C2479" s="28"/>
      <c r="E2479" s="3"/>
      <c r="F2479" s="3"/>
    </row>
    <row r="2480">
      <c r="B2480" s="28"/>
      <c r="C2480" s="28"/>
      <c r="E2480" s="3"/>
      <c r="F2480" s="3"/>
    </row>
    <row r="2481">
      <c r="B2481" s="28"/>
      <c r="C2481" s="28"/>
      <c r="E2481" s="3"/>
      <c r="F2481" s="3"/>
    </row>
    <row r="2482">
      <c r="B2482" s="28"/>
      <c r="C2482" s="28"/>
      <c r="E2482" s="3"/>
      <c r="F2482" s="3"/>
    </row>
    <row r="2483">
      <c r="B2483" s="28"/>
      <c r="C2483" s="28"/>
      <c r="E2483" s="3"/>
      <c r="F2483" s="3"/>
    </row>
    <row r="2484">
      <c r="B2484" s="28"/>
      <c r="C2484" s="28"/>
      <c r="E2484" s="3"/>
      <c r="F2484" s="3"/>
    </row>
    <row r="2485">
      <c r="B2485" s="28"/>
      <c r="C2485" s="28"/>
      <c r="E2485" s="3"/>
      <c r="F2485" s="3"/>
    </row>
    <row r="2486">
      <c r="B2486" s="28"/>
      <c r="C2486" s="28"/>
      <c r="E2486" s="3"/>
      <c r="F2486" s="3"/>
    </row>
    <row r="2487">
      <c r="B2487" s="28"/>
      <c r="C2487" s="28"/>
      <c r="E2487" s="3"/>
      <c r="F2487" s="3"/>
    </row>
    <row r="2488">
      <c r="B2488" s="28"/>
      <c r="C2488" s="28"/>
      <c r="E2488" s="3"/>
      <c r="F2488" s="3"/>
    </row>
    <row r="2489">
      <c r="B2489" s="28"/>
      <c r="C2489" s="28"/>
      <c r="E2489" s="3"/>
      <c r="F2489" s="3"/>
    </row>
    <row r="2490">
      <c r="B2490" s="28"/>
      <c r="C2490" s="28"/>
      <c r="E2490" s="3"/>
      <c r="F2490" s="3"/>
    </row>
    <row r="2491">
      <c r="B2491" s="28"/>
      <c r="C2491" s="28"/>
      <c r="E2491" s="3"/>
      <c r="F2491" s="3"/>
    </row>
    <row r="2492">
      <c r="B2492" s="28"/>
      <c r="C2492" s="28"/>
      <c r="E2492" s="3"/>
      <c r="F2492" s="3"/>
    </row>
    <row r="2493">
      <c r="B2493" s="28"/>
      <c r="C2493" s="28"/>
      <c r="E2493" s="3"/>
      <c r="F2493" s="3"/>
    </row>
    <row r="2494">
      <c r="B2494" s="28"/>
      <c r="C2494" s="28"/>
      <c r="E2494" s="3"/>
      <c r="F2494" s="3"/>
    </row>
    <row r="2495">
      <c r="B2495" s="28"/>
      <c r="C2495" s="28"/>
      <c r="E2495" s="3"/>
      <c r="F2495" s="3"/>
    </row>
    <row r="2496">
      <c r="B2496" s="28"/>
      <c r="C2496" s="28"/>
      <c r="E2496" s="3"/>
      <c r="F2496" s="3"/>
    </row>
    <row r="2497">
      <c r="B2497" s="28"/>
      <c r="C2497" s="28"/>
      <c r="E2497" s="3"/>
      <c r="F2497" s="3"/>
    </row>
    <row r="2498">
      <c r="B2498" s="28"/>
      <c r="C2498" s="28"/>
      <c r="E2498" s="3"/>
      <c r="F2498" s="3"/>
    </row>
    <row r="2499">
      <c r="B2499" s="28"/>
      <c r="C2499" s="28"/>
      <c r="E2499" s="3"/>
      <c r="F2499" s="3"/>
    </row>
    <row r="2500">
      <c r="B2500" s="28"/>
      <c r="C2500" s="28"/>
      <c r="E2500" s="3"/>
      <c r="F2500" s="3"/>
    </row>
    <row r="2501">
      <c r="B2501" s="28"/>
      <c r="C2501" s="28"/>
      <c r="E2501" s="3"/>
      <c r="F2501" s="3"/>
    </row>
    <row r="2502">
      <c r="B2502" s="28"/>
      <c r="C2502" s="28"/>
      <c r="E2502" s="3"/>
      <c r="F2502" s="3"/>
    </row>
    <row r="2503">
      <c r="B2503" s="28"/>
      <c r="C2503" s="28"/>
      <c r="E2503" s="3"/>
      <c r="F2503" s="3"/>
    </row>
    <row r="2504">
      <c r="B2504" s="28"/>
      <c r="C2504" s="28"/>
      <c r="E2504" s="3"/>
      <c r="F2504" s="3"/>
    </row>
    <row r="2505">
      <c r="B2505" s="28"/>
      <c r="C2505" s="28"/>
      <c r="E2505" s="3"/>
      <c r="F2505" s="3"/>
    </row>
    <row r="2506">
      <c r="B2506" s="28"/>
      <c r="C2506" s="28"/>
      <c r="E2506" s="3"/>
      <c r="F2506" s="3"/>
    </row>
    <row r="2507">
      <c r="B2507" s="28"/>
      <c r="C2507" s="28"/>
      <c r="E2507" s="3"/>
      <c r="F2507" s="3"/>
    </row>
    <row r="2508">
      <c r="B2508" s="28"/>
      <c r="C2508" s="28"/>
      <c r="E2508" s="3"/>
      <c r="F2508" s="3"/>
    </row>
    <row r="2509">
      <c r="B2509" s="28"/>
      <c r="C2509" s="28"/>
      <c r="E2509" s="3"/>
      <c r="F2509" s="3"/>
    </row>
    <row r="2510">
      <c r="B2510" s="28"/>
      <c r="C2510" s="28"/>
      <c r="E2510" s="3"/>
      <c r="F2510" s="3"/>
    </row>
    <row r="2511">
      <c r="B2511" s="28"/>
      <c r="C2511" s="28"/>
      <c r="E2511" s="3"/>
      <c r="F2511" s="3"/>
    </row>
    <row r="2512">
      <c r="B2512" s="28"/>
      <c r="C2512" s="28"/>
      <c r="E2512" s="3"/>
      <c r="F2512" s="3"/>
    </row>
    <row r="2513">
      <c r="B2513" s="28"/>
      <c r="C2513" s="28"/>
      <c r="E2513" s="3"/>
      <c r="F2513" s="3"/>
    </row>
    <row r="2514">
      <c r="B2514" s="28"/>
      <c r="C2514" s="28"/>
      <c r="E2514" s="3"/>
      <c r="F2514" s="3"/>
    </row>
    <row r="2515">
      <c r="B2515" s="28"/>
      <c r="C2515" s="28"/>
      <c r="E2515" s="3"/>
      <c r="F2515" s="3"/>
    </row>
    <row r="2516">
      <c r="B2516" s="28"/>
      <c r="C2516" s="28"/>
      <c r="E2516" s="3"/>
      <c r="F2516" s="3"/>
    </row>
    <row r="2517">
      <c r="B2517" s="28"/>
      <c r="C2517" s="28"/>
      <c r="E2517" s="3"/>
      <c r="F2517" s="3"/>
    </row>
    <row r="2518">
      <c r="B2518" s="28"/>
      <c r="C2518" s="28"/>
      <c r="E2518" s="3"/>
      <c r="F2518" s="3"/>
    </row>
    <row r="2519">
      <c r="B2519" s="28"/>
      <c r="C2519" s="28"/>
      <c r="E2519" s="3"/>
      <c r="F2519" s="3"/>
    </row>
    <row r="2520">
      <c r="B2520" s="28"/>
      <c r="C2520" s="28"/>
      <c r="E2520" s="3"/>
      <c r="F2520" s="3"/>
    </row>
    <row r="2521">
      <c r="B2521" s="28"/>
      <c r="C2521" s="28"/>
      <c r="E2521" s="3"/>
      <c r="F2521" s="3"/>
    </row>
    <row r="2522">
      <c r="B2522" s="28"/>
      <c r="C2522" s="28"/>
      <c r="E2522" s="3"/>
      <c r="F2522" s="3"/>
    </row>
    <row r="2523">
      <c r="B2523" s="28"/>
      <c r="C2523" s="28"/>
      <c r="E2523" s="3"/>
      <c r="F2523" s="3"/>
    </row>
    <row r="2524">
      <c r="B2524" s="28"/>
      <c r="C2524" s="28"/>
      <c r="E2524" s="3"/>
      <c r="F2524" s="3"/>
    </row>
    <row r="2525">
      <c r="B2525" s="28"/>
      <c r="C2525" s="28"/>
      <c r="E2525" s="3"/>
      <c r="F2525" s="3"/>
    </row>
    <row r="2526">
      <c r="B2526" s="28"/>
      <c r="C2526" s="28"/>
      <c r="E2526" s="3"/>
      <c r="F2526" s="3"/>
    </row>
    <row r="2527">
      <c r="B2527" s="28"/>
      <c r="C2527" s="28"/>
      <c r="E2527" s="3"/>
      <c r="F2527" s="3"/>
    </row>
    <row r="2528">
      <c r="B2528" s="28"/>
      <c r="C2528" s="28"/>
      <c r="E2528" s="3"/>
      <c r="F2528" s="3"/>
    </row>
    <row r="2529">
      <c r="B2529" s="28"/>
      <c r="C2529" s="28"/>
      <c r="E2529" s="3"/>
      <c r="F2529" s="3"/>
    </row>
    <row r="2530">
      <c r="B2530" s="28"/>
      <c r="C2530" s="28"/>
      <c r="E2530" s="3"/>
      <c r="F2530" s="3"/>
    </row>
    <row r="2531">
      <c r="B2531" s="28"/>
      <c r="C2531" s="28"/>
      <c r="E2531" s="3"/>
      <c r="F2531" s="3"/>
    </row>
    <row r="2532">
      <c r="B2532" s="28"/>
      <c r="C2532" s="28"/>
      <c r="E2532" s="3"/>
      <c r="F2532" s="3"/>
    </row>
    <row r="2533">
      <c r="B2533" s="28"/>
      <c r="C2533" s="28"/>
      <c r="E2533" s="3"/>
      <c r="F2533" s="3"/>
    </row>
    <row r="2534">
      <c r="B2534" s="28"/>
      <c r="C2534" s="28"/>
      <c r="E2534" s="3"/>
      <c r="F2534" s="3"/>
    </row>
    <row r="2535">
      <c r="B2535" s="28"/>
      <c r="C2535" s="28"/>
      <c r="E2535" s="3"/>
      <c r="F2535" s="3"/>
    </row>
    <row r="2536">
      <c r="B2536" s="28"/>
      <c r="C2536" s="28"/>
      <c r="E2536" s="3"/>
      <c r="F2536" s="3"/>
    </row>
    <row r="2537">
      <c r="B2537" s="28"/>
      <c r="C2537" s="28"/>
      <c r="E2537" s="3"/>
      <c r="F2537" s="3"/>
    </row>
    <row r="2538">
      <c r="B2538" s="28"/>
      <c r="C2538" s="28"/>
      <c r="E2538" s="3"/>
      <c r="F2538" s="3"/>
    </row>
    <row r="2539">
      <c r="B2539" s="28"/>
      <c r="C2539" s="28"/>
      <c r="E2539" s="3"/>
      <c r="F2539" s="3"/>
    </row>
    <row r="2540">
      <c r="B2540" s="28"/>
      <c r="C2540" s="28"/>
      <c r="E2540" s="3"/>
      <c r="F2540" s="3"/>
    </row>
    <row r="2541">
      <c r="B2541" s="28"/>
      <c r="C2541" s="28"/>
      <c r="E2541" s="3"/>
      <c r="F2541" s="3"/>
    </row>
    <row r="2542">
      <c r="B2542" s="28"/>
      <c r="C2542" s="28"/>
      <c r="E2542" s="3"/>
      <c r="F2542" s="3"/>
    </row>
    <row r="2543">
      <c r="B2543" s="28"/>
      <c r="C2543" s="28"/>
      <c r="E2543" s="3"/>
      <c r="F2543" s="3"/>
    </row>
    <row r="2544">
      <c r="B2544" s="28"/>
      <c r="C2544" s="28"/>
      <c r="E2544" s="3"/>
      <c r="F2544" s="3"/>
    </row>
    <row r="2545">
      <c r="B2545" s="28"/>
      <c r="C2545" s="28"/>
      <c r="E2545" s="3"/>
      <c r="F2545" s="3"/>
    </row>
    <row r="2546">
      <c r="B2546" s="28"/>
      <c r="C2546" s="28"/>
      <c r="E2546" s="3"/>
      <c r="F2546" s="3"/>
    </row>
    <row r="2547">
      <c r="B2547" s="28"/>
      <c r="C2547" s="28"/>
      <c r="E2547" s="3"/>
      <c r="F2547" s="3"/>
    </row>
    <row r="2548">
      <c r="B2548" s="28"/>
      <c r="C2548" s="28"/>
      <c r="E2548" s="3"/>
      <c r="F2548" s="3"/>
    </row>
    <row r="2549">
      <c r="B2549" s="28"/>
      <c r="C2549" s="28"/>
      <c r="E2549" s="3"/>
      <c r="F2549" s="3"/>
    </row>
    <row r="2550">
      <c r="B2550" s="28"/>
      <c r="C2550" s="28"/>
      <c r="E2550" s="3"/>
      <c r="F2550" s="3"/>
    </row>
    <row r="2551">
      <c r="B2551" s="28"/>
      <c r="C2551" s="28"/>
      <c r="E2551" s="3"/>
      <c r="F2551" s="3"/>
    </row>
    <row r="2552">
      <c r="B2552" s="28"/>
      <c r="C2552" s="28"/>
      <c r="E2552" s="3"/>
      <c r="F2552" s="3"/>
    </row>
    <row r="2553">
      <c r="B2553" s="28"/>
      <c r="C2553" s="28"/>
      <c r="E2553" s="3"/>
      <c r="F2553" s="3"/>
    </row>
    <row r="2554">
      <c r="B2554" s="28"/>
      <c r="C2554" s="28"/>
      <c r="E2554" s="3"/>
      <c r="F2554" s="3"/>
    </row>
    <row r="2555">
      <c r="B2555" s="28"/>
      <c r="C2555" s="28"/>
      <c r="E2555" s="3"/>
      <c r="F2555" s="3"/>
    </row>
    <row r="2556">
      <c r="B2556" s="28"/>
      <c r="C2556" s="28"/>
      <c r="E2556" s="3"/>
      <c r="F2556" s="3"/>
    </row>
    <row r="2557">
      <c r="B2557" s="28"/>
      <c r="C2557" s="28"/>
      <c r="E2557" s="3"/>
      <c r="F2557" s="3"/>
    </row>
    <row r="2558">
      <c r="B2558" s="28"/>
      <c r="C2558" s="28"/>
      <c r="E2558" s="3"/>
      <c r="F2558" s="3"/>
    </row>
    <row r="2559">
      <c r="B2559" s="28"/>
      <c r="C2559" s="28"/>
      <c r="E2559" s="3"/>
      <c r="F2559" s="3"/>
    </row>
    <row r="2560">
      <c r="B2560" s="28"/>
      <c r="C2560" s="28"/>
      <c r="E2560" s="3"/>
      <c r="F2560" s="3"/>
    </row>
    <row r="2561">
      <c r="B2561" s="28"/>
      <c r="C2561" s="28"/>
      <c r="E2561" s="3"/>
      <c r="F2561" s="3"/>
    </row>
    <row r="2562">
      <c r="B2562" s="28"/>
      <c r="C2562" s="28"/>
      <c r="E2562" s="3"/>
      <c r="F2562" s="3"/>
    </row>
    <row r="2563">
      <c r="B2563" s="28"/>
      <c r="C2563" s="28"/>
      <c r="E2563" s="3"/>
      <c r="F2563" s="3"/>
    </row>
    <row r="2564">
      <c r="B2564" s="28"/>
      <c r="C2564" s="28"/>
      <c r="E2564" s="3"/>
      <c r="F2564" s="3"/>
    </row>
    <row r="2565">
      <c r="B2565" s="28"/>
      <c r="C2565" s="28"/>
      <c r="E2565" s="3"/>
      <c r="F2565" s="3"/>
    </row>
    <row r="2566">
      <c r="B2566" s="28"/>
      <c r="C2566" s="28"/>
      <c r="E2566" s="3"/>
      <c r="F2566" s="3"/>
    </row>
    <row r="2567">
      <c r="B2567" s="28"/>
      <c r="C2567" s="28"/>
      <c r="E2567" s="3"/>
      <c r="F2567" s="3"/>
    </row>
    <row r="2568">
      <c r="B2568" s="28"/>
      <c r="C2568" s="28"/>
      <c r="E2568" s="3"/>
      <c r="F2568" s="3"/>
    </row>
    <row r="2569">
      <c r="B2569" s="28"/>
      <c r="C2569" s="28"/>
      <c r="E2569" s="3"/>
      <c r="F2569" s="3"/>
    </row>
    <row r="2570">
      <c r="B2570" s="28"/>
      <c r="C2570" s="28"/>
      <c r="E2570" s="3"/>
      <c r="F2570" s="3"/>
    </row>
    <row r="2571">
      <c r="B2571" s="28"/>
      <c r="C2571" s="28"/>
      <c r="E2571" s="3"/>
      <c r="F2571" s="3"/>
    </row>
    <row r="2572">
      <c r="B2572" s="28"/>
      <c r="C2572" s="28"/>
      <c r="E2572" s="3"/>
      <c r="F2572" s="3"/>
    </row>
    <row r="2573">
      <c r="B2573" s="28"/>
      <c r="C2573" s="28"/>
      <c r="E2573" s="3"/>
      <c r="F2573" s="3"/>
    </row>
    <row r="2574">
      <c r="B2574" s="28"/>
      <c r="C2574" s="28"/>
      <c r="E2574" s="3"/>
      <c r="F2574" s="3"/>
    </row>
    <row r="2575">
      <c r="B2575" s="28"/>
      <c r="C2575" s="28"/>
      <c r="E2575" s="3"/>
      <c r="F2575" s="3"/>
    </row>
    <row r="2576">
      <c r="B2576" s="28"/>
      <c r="C2576" s="28"/>
      <c r="E2576" s="3"/>
      <c r="F2576" s="3"/>
    </row>
    <row r="2577">
      <c r="B2577" s="28"/>
      <c r="C2577" s="28"/>
      <c r="E2577" s="3"/>
      <c r="F2577" s="3"/>
    </row>
    <row r="2578">
      <c r="B2578" s="28"/>
      <c r="C2578" s="28"/>
      <c r="E2578" s="3"/>
      <c r="F2578" s="3"/>
    </row>
    <row r="2579">
      <c r="B2579" s="28"/>
      <c r="C2579" s="28"/>
      <c r="E2579" s="3"/>
      <c r="F2579" s="3"/>
    </row>
    <row r="2580">
      <c r="B2580" s="28"/>
      <c r="C2580" s="28"/>
      <c r="E2580" s="3"/>
      <c r="F2580" s="3"/>
    </row>
    <row r="2581">
      <c r="B2581" s="28"/>
      <c r="C2581" s="28"/>
      <c r="E2581" s="3"/>
      <c r="F2581" s="3"/>
    </row>
    <row r="2582">
      <c r="B2582" s="28"/>
      <c r="C2582" s="28"/>
      <c r="E2582" s="3"/>
      <c r="F2582" s="3"/>
    </row>
    <row r="2583">
      <c r="B2583" s="28"/>
      <c r="C2583" s="28"/>
      <c r="E2583" s="3"/>
      <c r="F2583" s="3"/>
    </row>
    <row r="2584">
      <c r="B2584" s="28"/>
      <c r="C2584" s="28"/>
      <c r="E2584" s="3"/>
      <c r="F2584" s="3"/>
    </row>
    <row r="2585">
      <c r="B2585" s="28"/>
      <c r="C2585" s="28"/>
      <c r="E2585" s="3"/>
      <c r="F2585" s="3"/>
    </row>
    <row r="2586">
      <c r="B2586" s="28"/>
      <c r="C2586" s="28"/>
      <c r="E2586" s="3"/>
      <c r="F2586" s="3"/>
    </row>
    <row r="2587">
      <c r="B2587" s="28"/>
      <c r="C2587" s="28"/>
      <c r="E2587" s="3"/>
      <c r="F2587" s="3"/>
    </row>
    <row r="2588">
      <c r="B2588" s="28"/>
      <c r="C2588" s="28"/>
      <c r="E2588" s="3"/>
      <c r="F2588" s="3"/>
    </row>
    <row r="2589">
      <c r="B2589" s="28"/>
      <c r="C2589" s="28"/>
      <c r="E2589" s="3"/>
      <c r="F2589" s="3"/>
    </row>
    <row r="2590">
      <c r="B2590" s="28"/>
      <c r="C2590" s="28"/>
      <c r="E2590" s="3"/>
      <c r="F2590" s="3"/>
    </row>
    <row r="2591">
      <c r="B2591" s="28"/>
      <c r="C2591" s="28"/>
      <c r="E2591" s="3"/>
      <c r="F2591" s="3"/>
    </row>
    <row r="2592">
      <c r="B2592" s="28"/>
      <c r="C2592" s="28"/>
      <c r="E2592" s="3"/>
      <c r="F2592" s="3"/>
    </row>
    <row r="2593">
      <c r="B2593" s="28"/>
      <c r="C2593" s="28"/>
      <c r="E2593" s="3"/>
      <c r="F2593" s="3"/>
    </row>
    <row r="2594">
      <c r="B2594" s="28"/>
      <c r="C2594" s="28"/>
      <c r="E2594" s="3"/>
      <c r="F2594" s="3"/>
    </row>
    <row r="2595">
      <c r="B2595" s="28"/>
      <c r="C2595" s="28"/>
      <c r="E2595" s="3"/>
      <c r="F2595" s="3"/>
    </row>
    <row r="2596">
      <c r="B2596" s="28"/>
      <c r="C2596" s="28"/>
      <c r="E2596" s="3"/>
      <c r="F2596" s="3"/>
    </row>
    <row r="2597">
      <c r="B2597" s="28"/>
      <c r="C2597" s="28"/>
      <c r="E2597" s="3"/>
      <c r="F2597" s="3"/>
    </row>
    <row r="2598">
      <c r="B2598" s="28"/>
      <c r="C2598" s="28"/>
      <c r="E2598" s="3"/>
      <c r="F2598" s="3"/>
    </row>
    <row r="2599">
      <c r="B2599" s="28"/>
      <c r="C2599" s="28"/>
      <c r="E2599" s="3"/>
      <c r="F2599" s="3"/>
    </row>
    <row r="2600">
      <c r="B2600" s="28"/>
      <c r="C2600" s="28"/>
      <c r="E2600" s="3"/>
      <c r="F2600" s="3"/>
    </row>
    <row r="2601">
      <c r="B2601" s="28"/>
      <c r="C2601" s="28"/>
      <c r="E2601" s="3"/>
      <c r="F2601" s="3"/>
    </row>
    <row r="2602">
      <c r="B2602" s="28"/>
      <c r="C2602" s="28"/>
      <c r="E2602" s="3"/>
      <c r="F2602" s="3"/>
    </row>
    <row r="2603">
      <c r="B2603" s="28"/>
      <c r="C2603" s="28"/>
      <c r="E2603" s="3"/>
      <c r="F2603" s="3"/>
    </row>
    <row r="2604">
      <c r="B2604" s="28"/>
      <c r="C2604" s="28"/>
      <c r="E2604" s="3"/>
      <c r="F2604" s="3"/>
    </row>
    <row r="2605">
      <c r="B2605" s="28"/>
      <c r="C2605" s="28"/>
      <c r="E2605" s="3"/>
      <c r="F2605" s="3"/>
    </row>
    <row r="2606">
      <c r="B2606" s="28"/>
      <c r="C2606" s="28"/>
      <c r="E2606" s="3"/>
      <c r="F2606" s="3"/>
    </row>
    <row r="2607">
      <c r="B2607" s="28"/>
      <c r="C2607" s="28"/>
      <c r="E2607" s="3"/>
      <c r="F2607" s="3"/>
    </row>
    <row r="2608">
      <c r="B2608" s="28"/>
      <c r="C2608" s="28"/>
      <c r="E2608" s="3"/>
      <c r="F2608" s="3"/>
    </row>
    <row r="2609">
      <c r="B2609" s="28"/>
      <c r="C2609" s="28"/>
      <c r="E2609" s="3"/>
      <c r="F2609" s="3"/>
    </row>
    <row r="2610">
      <c r="B2610" s="28"/>
      <c r="C2610" s="28"/>
      <c r="E2610" s="3"/>
      <c r="F2610" s="3"/>
    </row>
    <row r="2611">
      <c r="B2611" s="28"/>
      <c r="C2611" s="28"/>
      <c r="E2611" s="3"/>
      <c r="F2611" s="3"/>
    </row>
    <row r="2612">
      <c r="B2612" s="28"/>
      <c r="C2612" s="28"/>
      <c r="E2612" s="3"/>
      <c r="F2612" s="3"/>
    </row>
    <row r="2613">
      <c r="B2613" s="28"/>
      <c r="C2613" s="28"/>
      <c r="E2613" s="3"/>
      <c r="F2613" s="3"/>
    </row>
    <row r="2614">
      <c r="B2614" s="28"/>
      <c r="C2614" s="28"/>
      <c r="E2614" s="3"/>
      <c r="F2614" s="3"/>
    </row>
    <row r="2615">
      <c r="B2615" s="28"/>
      <c r="C2615" s="28"/>
      <c r="E2615" s="3"/>
      <c r="F2615" s="3"/>
    </row>
    <row r="2616">
      <c r="B2616" s="28"/>
      <c r="C2616" s="28"/>
      <c r="E2616" s="3"/>
      <c r="F2616" s="3"/>
    </row>
    <row r="2617">
      <c r="B2617" s="28"/>
      <c r="C2617" s="28"/>
      <c r="E2617" s="3"/>
      <c r="F2617" s="3"/>
    </row>
    <row r="2618">
      <c r="B2618" s="28"/>
      <c r="C2618" s="28"/>
      <c r="E2618" s="3"/>
      <c r="F2618" s="3"/>
    </row>
    <row r="2619">
      <c r="B2619" s="28"/>
      <c r="C2619" s="28"/>
      <c r="E2619" s="3"/>
      <c r="F2619" s="3"/>
    </row>
    <row r="2620">
      <c r="B2620" s="28"/>
      <c r="C2620" s="28"/>
      <c r="E2620" s="3"/>
      <c r="F2620" s="3"/>
    </row>
    <row r="2621">
      <c r="B2621" s="28"/>
      <c r="C2621" s="28"/>
      <c r="E2621" s="3"/>
      <c r="F2621" s="3"/>
    </row>
    <row r="2622">
      <c r="B2622" s="28"/>
      <c r="C2622" s="28"/>
      <c r="E2622" s="3"/>
      <c r="F2622" s="3"/>
    </row>
    <row r="2623">
      <c r="B2623" s="28"/>
      <c r="C2623" s="28"/>
      <c r="E2623" s="3"/>
      <c r="F2623" s="3"/>
    </row>
    <row r="2624">
      <c r="B2624" s="28"/>
      <c r="C2624" s="28"/>
      <c r="E2624" s="3"/>
      <c r="F2624" s="3"/>
    </row>
    <row r="2625">
      <c r="B2625" s="28"/>
      <c r="C2625" s="28"/>
      <c r="E2625" s="3"/>
      <c r="F2625" s="3"/>
    </row>
    <row r="2626">
      <c r="B2626" s="28"/>
      <c r="C2626" s="28"/>
      <c r="E2626" s="3"/>
      <c r="F2626" s="3"/>
    </row>
    <row r="2627">
      <c r="B2627" s="28"/>
      <c r="C2627" s="28"/>
      <c r="E2627" s="3"/>
      <c r="F2627" s="3"/>
    </row>
    <row r="2628">
      <c r="B2628" s="28"/>
      <c r="C2628" s="28"/>
      <c r="E2628" s="3"/>
      <c r="F2628" s="3"/>
    </row>
    <row r="2629">
      <c r="B2629" s="28"/>
      <c r="C2629" s="28"/>
      <c r="E2629" s="3"/>
      <c r="F2629" s="3"/>
    </row>
    <row r="2630">
      <c r="B2630" s="28"/>
      <c r="C2630" s="28"/>
      <c r="E2630" s="3"/>
      <c r="F2630" s="3"/>
    </row>
    <row r="2631">
      <c r="B2631" s="28"/>
      <c r="C2631" s="28"/>
      <c r="E2631" s="3"/>
      <c r="F2631" s="3"/>
    </row>
    <row r="2632">
      <c r="B2632" s="28"/>
      <c r="C2632" s="28"/>
      <c r="E2632" s="3"/>
      <c r="F2632" s="3"/>
    </row>
    <row r="2633">
      <c r="B2633" s="28"/>
      <c r="C2633" s="28"/>
      <c r="E2633" s="3"/>
      <c r="F2633" s="3"/>
    </row>
    <row r="2634">
      <c r="B2634" s="28"/>
      <c r="C2634" s="28"/>
      <c r="E2634" s="3"/>
      <c r="F2634" s="3"/>
    </row>
    <row r="2635">
      <c r="B2635" s="28"/>
      <c r="C2635" s="28"/>
      <c r="E2635" s="3"/>
      <c r="F2635" s="3"/>
    </row>
    <row r="2636">
      <c r="B2636" s="28"/>
      <c r="C2636" s="28"/>
      <c r="E2636" s="3"/>
      <c r="F2636" s="3"/>
    </row>
    <row r="2637">
      <c r="B2637" s="28"/>
      <c r="C2637" s="28"/>
      <c r="E2637" s="3"/>
      <c r="F2637" s="3"/>
    </row>
    <row r="2638">
      <c r="B2638" s="28"/>
      <c r="C2638" s="28"/>
      <c r="E2638" s="3"/>
      <c r="F2638" s="3"/>
    </row>
    <row r="2639">
      <c r="B2639" s="28"/>
      <c r="C2639" s="28"/>
      <c r="E2639" s="3"/>
      <c r="F2639" s="3"/>
    </row>
    <row r="2640">
      <c r="B2640" s="28"/>
      <c r="C2640" s="28"/>
      <c r="E2640" s="3"/>
      <c r="F2640" s="3"/>
    </row>
    <row r="2641">
      <c r="B2641" s="28"/>
      <c r="C2641" s="28"/>
      <c r="E2641" s="3"/>
      <c r="F2641" s="3"/>
    </row>
    <row r="2642">
      <c r="B2642" s="28"/>
      <c r="C2642" s="28"/>
      <c r="E2642" s="3"/>
      <c r="F2642" s="3"/>
    </row>
    <row r="2643">
      <c r="B2643" s="28"/>
      <c r="C2643" s="28"/>
      <c r="E2643" s="3"/>
      <c r="F2643" s="3"/>
    </row>
    <row r="2644">
      <c r="B2644" s="28"/>
      <c r="C2644" s="28"/>
      <c r="E2644" s="3"/>
      <c r="F2644" s="3"/>
    </row>
    <row r="2645">
      <c r="B2645" s="28"/>
      <c r="C2645" s="28"/>
      <c r="E2645" s="3"/>
      <c r="F2645" s="3"/>
    </row>
    <row r="2646">
      <c r="B2646" s="28"/>
      <c r="C2646" s="28"/>
      <c r="E2646" s="3"/>
      <c r="F2646" s="3"/>
    </row>
    <row r="2647">
      <c r="B2647" s="28"/>
      <c r="C2647" s="28"/>
      <c r="E2647" s="3"/>
      <c r="F2647" s="3"/>
    </row>
    <row r="2648">
      <c r="B2648" s="28"/>
      <c r="C2648" s="28"/>
      <c r="E2648" s="3"/>
      <c r="F2648" s="3"/>
    </row>
    <row r="2649">
      <c r="B2649" s="28"/>
      <c r="C2649" s="28"/>
      <c r="E2649" s="3"/>
      <c r="F2649" s="3"/>
    </row>
    <row r="2650">
      <c r="B2650" s="28"/>
      <c r="C2650" s="28"/>
      <c r="E2650" s="3"/>
      <c r="F2650" s="3"/>
    </row>
    <row r="2651">
      <c r="B2651" s="28"/>
      <c r="C2651" s="28"/>
      <c r="E2651" s="3"/>
      <c r="F2651" s="3"/>
    </row>
    <row r="2652">
      <c r="B2652" s="28"/>
      <c r="C2652" s="28"/>
      <c r="E2652" s="3"/>
      <c r="F2652" s="3"/>
    </row>
    <row r="2653">
      <c r="B2653" s="28"/>
      <c r="C2653" s="28"/>
      <c r="E2653" s="3"/>
      <c r="F2653" s="3"/>
    </row>
    <row r="2654">
      <c r="B2654" s="28"/>
      <c r="C2654" s="28"/>
      <c r="E2654" s="3"/>
      <c r="F2654" s="3"/>
    </row>
    <row r="2655">
      <c r="B2655" s="28"/>
      <c r="C2655" s="28"/>
      <c r="E2655" s="3"/>
      <c r="F2655" s="3"/>
    </row>
    <row r="2656">
      <c r="B2656" s="28"/>
      <c r="C2656" s="28"/>
      <c r="E2656" s="3"/>
      <c r="F2656" s="3"/>
    </row>
    <row r="2657">
      <c r="B2657" s="28"/>
      <c r="C2657" s="28"/>
      <c r="E2657" s="3"/>
      <c r="F2657" s="3"/>
    </row>
    <row r="2658">
      <c r="B2658" s="28"/>
      <c r="C2658" s="28"/>
      <c r="E2658" s="3"/>
      <c r="F2658" s="3"/>
    </row>
    <row r="2659">
      <c r="B2659" s="28"/>
      <c r="C2659" s="28"/>
      <c r="E2659" s="3"/>
      <c r="F2659" s="3"/>
    </row>
    <row r="2660">
      <c r="B2660" s="28"/>
      <c r="C2660" s="28"/>
      <c r="E2660" s="3"/>
      <c r="F2660" s="3"/>
    </row>
    <row r="2661">
      <c r="B2661" s="28"/>
      <c r="C2661" s="28"/>
      <c r="E2661" s="3"/>
      <c r="F2661" s="3"/>
    </row>
    <row r="2662">
      <c r="B2662" s="28"/>
      <c r="C2662" s="28"/>
      <c r="E2662" s="3"/>
      <c r="F2662" s="3"/>
    </row>
    <row r="2663">
      <c r="B2663" s="28"/>
      <c r="C2663" s="28"/>
      <c r="E2663" s="3"/>
      <c r="F2663" s="3"/>
    </row>
    <row r="2664">
      <c r="B2664" s="28"/>
      <c r="C2664" s="28"/>
      <c r="E2664" s="3"/>
      <c r="F2664" s="3"/>
    </row>
    <row r="2665">
      <c r="B2665" s="28"/>
      <c r="C2665" s="28"/>
      <c r="E2665" s="3"/>
      <c r="F2665" s="3"/>
    </row>
    <row r="2666">
      <c r="B2666" s="28"/>
      <c r="C2666" s="28"/>
      <c r="E2666" s="3"/>
      <c r="F2666" s="3"/>
    </row>
    <row r="2667">
      <c r="B2667" s="28"/>
      <c r="C2667" s="28"/>
      <c r="E2667" s="3"/>
      <c r="F2667" s="3"/>
    </row>
    <row r="2668">
      <c r="B2668" s="28"/>
      <c r="C2668" s="28"/>
      <c r="E2668" s="3"/>
      <c r="F2668" s="3"/>
    </row>
    <row r="2669">
      <c r="B2669" s="28"/>
      <c r="C2669" s="28"/>
      <c r="E2669" s="3"/>
      <c r="F2669" s="3"/>
    </row>
    <row r="2670">
      <c r="B2670" s="28"/>
      <c r="C2670" s="28"/>
      <c r="E2670" s="3"/>
      <c r="F2670" s="3"/>
    </row>
    <row r="2671">
      <c r="B2671" s="28"/>
      <c r="C2671" s="28"/>
      <c r="E2671" s="3"/>
      <c r="F2671" s="3"/>
    </row>
    <row r="2672">
      <c r="B2672" s="28"/>
      <c r="C2672" s="28"/>
      <c r="E2672" s="3"/>
      <c r="F2672" s="3"/>
    </row>
    <row r="2673">
      <c r="B2673" s="28"/>
      <c r="C2673" s="28"/>
      <c r="E2673" s="3"/>
      <c r="F2673" s="3"/>
    </row>
    <row r="2674">
      <c r="B2674" s="28"/>
      <c r="C2674" s="28"/>
      <c r="E2674" s="3"/>
      <c r="F2674" s="3"/>
    </row>
    <row r="2675">
      <c r="B2675" s="28"/>
      <c r="C2675" s="28"/>
      <c r="E2675" s="3"/>
      <c r="F2675" s="3"/>
    </row>
    <row r="2676">
      <c r="B2676" s="28"/>
      <c r="C2676" s="28"/>
      <c r="E2676" s="3"/>
      <c r="F2676" s="3"/>
    </row>
    <row r="2677">
      <c r="B2677" s="28"/>
      <c r="C2677" s="28"/>
      <c r="E2677" s="3"/>
      <c r="F2677" s="3"/>
    </row>
    <row r="2678">
      <c r="B2678" s="28"/>
      <c r="C2678" s="28"/>
      <c r="E2678" s="3"/>
      <c r="F2678" s="3"/>
    </row>
    <row r="2679">
      <c r="B2679" s="28"/>
      <c r="C2679" s="28"/>
      <c r="E2679" s="3"/>
      <c r="F2679" s="3"/>
    </row>
    <row r="2680">
      <c r="B2680" s="28"/>
      <c r="C2680" s="28"/>
      <c r="E2680" s="3"/>
      <c r="F2680" s="3"/>
    </row>
    <row r="2681">
      <c r="B2681" s="28"/>
      <c r="C2681" s="28"/>
      <c r="E2681" s="3"/>
      <c r="F2681" s="3"/>
    </row>
    <row r="2682">
      <c r="B2682" s="28"/>
      <c r="C2682" s="28"/>
      <c r="E2682" s="3"/>
      <c r="F2682" s="3"/>
    </row>
    <row r="2683">
      <c r="B2683" s="28"/>
      <c r="C2683" s="28"/>
      <c r="E2683" s="3"/>
      <c r="F2683" s="3"/>
    </row>
    <row r="2684">
      <c r="B2684" s="28"/>
      <c r="C2684" s="28"/>
      <c r="E2684" s="3"/>
      <c r="F2684" s="3"/>
    </row>
    <row r="2685">
      <c r="B2685" s="28"/>
      <c r="C2685" s="28"/>
      <c r="E2685" s="3"/>
      <c r="F2685" s="3"/>
    </row>
    <row r="2686">
      <c r="B2686" s="28"/>
      <c r="C2686" s="28"/>
      <c r="E2686" s="3"/>
      <c r="F2686" s="3"/>
    </row>
    <row r="2687">
      <c r="B2687" s="28"/>
      <c r="C2687" s="28"/>
      <c r="E2687" s="3"/>
      <c r="F2687" s="3"/>
    </row>
    <row r="2688">
      <c r="B2688" s="28"/>
      <c r="C2688" s="28"/>
      <c r="E2688" s="3"/>
      <c r="F2688" s="3"/>
    </row>
    <row r="2689">
      <c r="B2689" s="28"/>
      <c r="C2689" s="28"/>
      <c r="E2689" s="3"/>
      <c r="F2689" s="3"/>
    </row>
    <row r="2690">
      <c r="B2690" s="28"/>
      <c r="C2690" s="28"/>
      <c r="E2690" s="3"/>
      <c r="F2690" s="3"/>
    </row>
    <row r="2691">
      <c r="B2691" s="28"/>
      <c r="C2691" s="28"/>
      <c r="E2691" s="3"/>
      <c r="F2691" s="3"/>
    </row>
    <row r="2692">
      <c r="B2692" s="28"/>
      <c r="C2692" s="28"/>
      <c r="E2692" s="3"/>
      <c r="F2692" s="3"/>
    </row>
    <row r="2693">
      <c r="B2693" s="28"/>
      <c r="C2693" s="28"/>
      <c r="E2693" s="3"/>
      <c r="F2693" s="3"/>
    </row>
    <row r="2694">
      <c r="B2694" s="28"/>
      <c r="C2694" s="28"/>
      <c r="E2694" s="3"/>
      <c r="F2694" s="3"/>
    </row>
    <row r="2695">
      <c r="B2695" s="28"/>
      <c r="C2695" s="28"/>
      <c r="E2695" s="3"/>
      <c r="F2695" s="3"/>
    </row>
    <row r="2696">
      <c r="B2696" s="28"/>
      <c r="C2696" s="28"/>
      <c r="E2696" s="3"/>
      <c r="F2696" s="3"/>
    </row>
    <row r="2697">
      <c r="B2697" s="28"/>
      <c r="C2697" s="28"/>
      <c r="E2697" s="3"/>
      <c r="F2697" s="3"/>
    </row>
    <row r="2698">
      <c r="B2698" s="28"/>
      <c r="C2698" s="28"/>
      <c r="E2698" s="3"/>
      <c r="F2698" s="3"/>
    </row>
    <row r="2699">
      <c r="B2699" s="28"/>
      <c r="C2699" s="28"/>
      <c r="E2699" s="3"/>
      <c r="F2699" s="3"/>
    </row>
    <row r="2700">
      <c r="B2700" s="28"/>
      <c r="C2700" s="28"/>
      <c r="E2700" s="3"/>
      <c r="F2700" s="3"/>
    </row>
    <row r="2701">
      <c r="B2701" s="28"/>
      <c r="C2701" s="28"/>
      <c r="E2701" s="3"/>
      <c r="F2701" s="3"/>
    </row>
    <row r="2702">
      <c r="B2702" s="28"/>
      <c r="C2702" s="28"/>
      <c r="E2702" s="3"/>
      <c r="F2702" s="3"/>
    </row>
    <row r="2703">
      <c r="B2703" s="28"/>
      <c r="C2703" s="28"/>
      <c r="E2703" s="3"/>
      <c r="F2703" s="3"/>
    </row>
    <row r="2704">
      <c r="B2704" s="28"/>
      <c r="C2704" s="28"/>
      <c r="E2704" s="3"/>
      <c r="F2704" s="3"/>
    </row>
    <row r="2705">
      <c r="B2705" s="28"/>
      <c r="C2705" s="28"/>
      <c r="E2705" s="3"/>
      <c r="F2705" s="3"/>
    </row>
    <row r="2706">
      <c r="B2706" s="28"/>
      <c r="C2706" s="28"/>
      <c r="E2706" s="3"/>
      <c r="F2706" s="3"/>
    </row>
    <row r="2707">
      <c r="B2707" s="28"/>
      <c r="C2707" s="28"/>
      <c r="E2707" s="3"/>
      <c r="F2707" s="3"/>
    </row>
    <row r="2708">
      <c r="B2708" s="28"/>
      <c r="C2708" s="28"/>
      <c r="E2708" s="3"/>
      <c r="F2708" s="3"/>
    </row>
    <row r="2709">
      <c r="B2709" s="28"/>
      <c r="C2709" s="28"/>
      <c r="E2709" s="3"/>
      <c r="F2709" s="3"/>
    </row>
    <row r="2710">
      <c r="B2710" s="28"/>
      <c r="C2710" s="28"/>
      <c r="E2710" s="3"/>
      <c r="F2710" s="3"/>
    </row>
    <row r="2711">
      <c r="B2711" s="28"/>
      <c r="C2711" s="28"/>
      <c r="E2711" s="3"/>
      <c r="F2711" s="3"/>
    </row>
    <row r="2712">
      <c r="B2712" s="28"/>
      <c r="C2712" s="28"/>
      <c r="E2712" s="3"/>
      <c r="F2712" s="3"/>
    </row>
    <row r="2713">
      <c r="B2713" s="28"/>
      <c r="C2713" s="28"/>
      <c r="E2713" s="3"/>
      <c r="F2713" s="3"/>
    </row>
    <row r="2714">
      <c r="B2714" s="28"/>
      <c r="C2714" s="28"/>
      <c r="E2714" s="3"/>
      <c r="F2714" s="3"/>
    </row>
    <row r="2715">
      <c r="B2715" s="28"/>
      <c r="C2715" s="28"/>
      <c r="E2715" s="3"/>
      <c r="F2715" s="3"/>
    </row>
    <row r="2716">
      <c r="B2716" s="28"/>
      <c r="C2716" s="28"/>
      <c r="E2716" s="3"/>
      <c r="F2716" s="3"/>
    </row>
    <row r="2717">
      <c r="B2717" s="28"/>
      <c r="C2717" s="28"/>
      <c r="E2717" s="3"/>
      <c r="F2717" s="3"/>
    </row>
    <row r="2718">
      <c r="B2718" s="28"/>
      <c r="C2718" s="28"/>
      <c r="E2718" s="3"/>
      <c r="F2718" s="3"/>
    </row>
    <row r="2719">
      <c r="B2719" s="28"/>
      <c r="C2719" s="28"/>
      <c r="E2719" s="3"/>
      <c r="F2719" s="3"/>
    </row>
    <row r="2720">
      <c r="B2720" s="28"/>
      <c r="C2720" s="28"/>
      <c r="E2720" s="3"/>
      <c r="F2720" s="3"/>
    </row>
    <row r="2721">
      <c r="B2721" s="28"/>
      <c r="C2721" s="28"/>
      <c r="E2721" s="3"/>
      <c r="F2721" s="3"/>
    </row>
    <row r="2722">
      <c r="B2722" s="28"/>
      <c r="C2722" s="28"/>
      <c r="E2722" s="3"/>
      <c r="F2722" s="3"/>
    </row>
    <row r="2723">
      <c r="B2723" s="28"/>
      <c r="C2723" s="28"/>
      <c r="E2723" s="3"/>
      <c r="F2723" s="3"/>
    </row>
    <row r="2724">
      <c r="B2724" s="28"/>
      <c r="C2724" s="28"/>
      <c r="E2724" s="3"/>
      <c r="F2724" s="3"/>
    </row>
    <row r="2725">
      <c r="B2725" s="28"/>
      <c r="C2725" s="28"/>
      <c r="E2725" s="3"/>
      <c r="F2725" s="3"/>
    </row>
    <row r="2726">
      <c r="B2726" s="28"/>
      <c r="C2726" s="28"/>
      <c r="E2726" s="3"/>
      <c r="F2726" s="3"/>
    </row>
    <row r="2727">
      <c r="B2727" s="28"/>
      <c r="C2727" s="28"/>
      <c r="E2727" s="3"/>
      <c r="F2727" s="3"/>
    </row>
    <row r="2728">
      <c r="B2728" s="28"/>
      <c r="C2728" s="28"/>
      <c r="E2728" s="3"/>
      <c r="F2728" s="3"/>
    </row>
    <row r="2729">
      <c r="B2729" s="28"/>
      <c r="C2729" s="28"/>
      <c r="E2729" s="3"/>
      <c r="F2729" s="3"/>
    </row>
    <row r="2730">
      <c r="B2730" s="28"/>
      <c r="C2730" s="28"/>
      <c r="E2730" s="3"/>
      <c r="F2730" s="3"/>
    </row>
    <row r="2731">
      <c r="B2731" s="28"/>
      <c r="C2731" s="28"/>
      <c r="E2731" s="3"/>
      <c r="F2731" s="3"/>
    </row>
    <row r="2732">
      <c r="B2732" s="28"/>
      <c r="C2732" s="28"/>
      <c r="E2732" s="3"/>
      <c r="F2732" s="3"/>
    </row>
    <row r="2733">
      <c r="B2733" s="28"/>
      <c r="C2733" s="28"/>
      <c r="E2733" s="3"/>
      <c r="F2733" s="3"/>
    </row>
    <row r="2734">
      <c r="B2734" s="28"/>
      <c r="C2734" s="28"/>
      <c r="E2734" s="3"/>
      <c r="F2734" s="3"/>
    </row>
    <row r="2735">
      <c r="B2735" s="28"/>
      <c r="C2735" s="28"/>
      <c r="E2735" s="3"/>
      <c r="F2735" s="3"/>
    </row>
    <row r="2736">
      <c r="B2736" s="28"/>
      <c r="C2736" s="28"/>
      <c r="E2736" s="3"/>
      <c r="F2736" s="3"/>
    </row>
    <row r="2737">
      <c r="B2737" s="28"/>
      <c r="C2737" s="28"/>
      <c r="E2737" s="3"/>
      <c r="F2737" s="3"/>
    </row>
    <row r="2738">
      <c r="B2738" s="28"/>
      <c r="C2738" s="28"/>
      <c r="E2738" s="3"/>
      <c r="F2738" s="3"/>
    </row>
    <row r="2739">
      <c r="B2739" s="28"/>
      <c r="C2739" s="28"/>
      <c r="E2739" s="3"/>
      <c r="F2739" s="3"/>
    </row>
    <row r="2740">
      <c r="B2740" s="28"/>
      <c r="C2740" s="28"/>
      <c r="E2740" s="3"/>
      <c r="F2740" s="3"/>
    </row>
    <row r="2741">
      <c r="B2741" s="28"/>
      <c r="C2741" s="28"/>
      <c r="E2741" s="3"/>
      <c r="F2741" s="3"/>
    </row>
    <row r="2742">
      <c r="B2742" s="28"/>
      <c r="C2742" s="28"/>
      <c r="E2742" s="3"/>
      <c r="F2742" s="3"/>
    </row>
    <row r="2743">
      <c r="B2743" s="28"/>
      <c r="C2743" s="28"/>
      <c r="E2743" s="3"/>
      <c r="F2743" s="3"/>
    </row>
    <row r="2744">
      <c r="B2744" s="28"/>
      <c r="C2744" s="28"/>
      <c r="E2744" s="3"/>
      <c r="F2744" s="3"/>
    </row>
    <row r="2745">
      <c r="B2745" s="28"/>
      <c r="C2745" s="28"/>
      <c r="E2745" s="3"/>
      <c r="F2745" s="3"/>
    </row>
    <row r="2746">
      <c r="B2746" s="28"/>
      <c r="C2746" s="28"/>
      <c r="E2746" s="3"/>
      <c r="F2746" s="3"/>
    </row>
    <row r="2747">
      <c r="B2747" s="28"/>
      <c r="C2747" s="28"/>
      <c r="E2747" s="3"/>
      <c r="F2747" s="3"/>
    </row>
    <row r="2748">
      <c r="B2748" s="28"/>
      <c r="C2748" s="28"/>
      <c r="E2748" s="3"/>
      <c r="F2748" s="3"/>
    </row>
    <row r="2749">
      <c r="B2749" s="28"/>
      <c r="C2749" s="28"/>
      <c r="E2749" s="3"/>
      <c r="F2749" s="3"/>
    </row>
    <row r="2750">
      <c r="B2750" s="28"/>
      <c r="C2750" s="28"/>
      <c r="E2750" s="3"/>
      <c r="F2750" s="3"/>
    </row>
    <row r="2751">
      <c r="B2751" s="28"/>
      <c r="C2751" s="28"/>
      <c r="E2751" s="3"/>
      <c r="F2751" s="3"/>
    </row>
    <row r="2752">
      <c r="B2752" s="28"/>
      <c r="C2752" s="28"/>
      <c r="E2752" s="3"/>
      <c r="F2752" s="3"/>
    </row>
    <row r="2753">
      <c r="B2753" s="28"/>
      <c r="C2753" s="28"/>
      <c r="E2753" s="3"/>
      <c r="F2753" s="3"/>
    </row>
    <row r="2754">
      <c r="B2754" s="28"/>
      <c r="C2754" s="28"/>
      <c r="E2754" s="3"/>
      <c r="F2754" s="3"/>
    </row>
    <row r="2755">
      <c r="B2755" s="28"/>
      <c r="C2755" s="28"/>
      <c r="E2755" s="3"/>
      <c r="F2755" s="3"/>
    </row>
    <row r="2756">
      <c r="B2756" s="28"/>
      <c r="C2756" s="28"/>
      <c r="E2756" s="3"/>
      <c r="F2756" s="3"/>
    </row>
    <row r="2757">
      <c r="B2757" s="28"/>
      <c r="C2757" s="28"/>
      <c r="E2757" s="3"/>
      <c r="F2757" s="3"/>
    </row>
    <row r="2758">
      <c r="B2758" s="28"/>
      <c r="C2758" s="28"/>
      <c r="E2758" s="3"/>
      <c r="F2758" s="3"/>
    </row>
    <row r="2759">
      <c r="B2759" s="28"/>
      <c r="C2759" s="28"/>
      <c r="E2759" s="3"/>
      <c r="F2759" s="3"/>
    </row>
    <row r="2760">
      <c r="B2760" s="28"/>
      <c r="C2760" s="28"/>
      <c r="E2760" s="3"/>
      <c r="F2760" s="3"/>
    </row>
    <row r="2761">
      <c r="B2761" s="28"/>
      <c r="C2761" s="28"/>
      <c r="E2761" s="3"/>
      <c r="F2761" s="3"/>
    </row>
    <row r="2762">
      <c r="B2762" s="28"/>
      <c r="C2762" s="28"/>
      <c r="E2762" s="3"/>
      <c r="F2762" s="3"/>
    </row>
    <row r="2763">
      <c r="B2763" s="28"/>
      <c r="C2763" s="28"/>
      <c r="E2763" s="3"/>
      <c r="F2763" s="3"/>
    </row>
    <row r="2764">
      <c r="B2764" s="28"/>
      <c r="C2764" s="28"/>
      <c r="E2764" s="3"/>
      <c r="F2764" s="3"/>
    </row>
    <row r="2765">
      <c r="B2765" s="28"/>
      <c r="C2765" s="28"/>
      <c r="E2765" s="3"/>
      <c r="F2765" s="3"/>
    </row>
    <row r="2766">
      <c r="B2766" s="28"/>
      <c r="C2766" s="28"/>
      <c r="E2766" s="3"/>
      <c r="F2766" s="3"/>
    </row>
    <row r="2767">
      <c r="B2767" s="28"/>
      <c r="C2767" s="28"/>
      <c r="E2767" s="3"/>
      <c r="F2767" s="3"/>
    </row>
    <row r="2768">
      <c r="B2768" s="28"/>
      <c r="C2768" s="28"/>
      <c r="E2768" s="3"/>
      <c r="F2768" s="3"/>
    </row>
    <row r="2769">
      <c r="B2769" s="28"/>
      <c r="C2769" s="28"/>
      <c r="E2769" s="3"/>
      <c r="F2769" s="3"/>
    </row>
    <row r="2770">
      <c r="B2770" s="28"/>
      <c r="C2770" s="28"/>
      <c r="E2770" s="3"/>
      <c r="F2770" s="3"/>
    </row>
    <row r="2771">
      <c r="B2771" s="28"/>
      <c r="C2771" s="28"/>
      <c r="E2771" s="3"/>
      <c r="F2771" s="3"/>
    </row>
    <row r="2772">
      <c r="B2772" s="28"/>
      <c r="C2772" s="28"/>
      <c r="E2772" s="3"/>
      <c r="F2772" s="3"/>
    </row>
    <row r="2773">
      <c r="B2773" s="28"/>
      <c r="C2773" s="28"/>
      <c r="E2773" s="3"/>
      <c r="F2773" s="3"/>
    </row>
    <row r="2774">
      <c r="B2774" s="28"/>
      <c r="C2774" s="28"/>
      <c r="E2774" s="3"/>
      <c r="F2774" s="3"/>
    </row>
    <row r="2775">
      <c r="B2775" s="28"/>
      <c r="C2775" s="28"/>
      <c r="E2775" s="3"/>
      <c r="F2775" s="3"/>
    </row>
    <row r="2776">
      <c r="B2776" s="28"/>
      <c r="C2776" s="28"/>
      <c r="E2776" s="3"/>
      <c r="F2776" s="3"/>
    </row>
    <row r="2777">
      <c r="B2777" s="28"/>
      <c r="C2777" s="28"/>
      <c r="E2777" s="3"/>
      <c r="F2777" s="3"/>
    </row>
    <row r="2778">
      <c r="B2778" s="28"/>
      <c r="C2778" s="28"/>
      <c r="E2778" s="3"/>
      <c r="F2778" s="3"/>
    </row>
    <row r="2779">
      <c r="B2779" s="28"/>
      <c r="C2779" s="28"/>
      <c r="E2779" s="3"/>
      <c r="F2779" s="3"/>
    </row>
    <row r="2780">
      <c r="B2780" s="28"/>
      <c r="C2780" s="28"/>
      <c r="E2780" s="3"/>
      <c r="F2780" s="3"/>
    </row>
    <row r="2781">
      <c r="B2781" s="28"/>
      <c r="C2781" s="28"/>
      <c r="E2781" s="3"/>
      <c r="F2781" s="3"/>
    </row>
    <row r="2782">
      <c r="B2782" s="28"/>
      <c r="C2782" s="28"/>
      <c r="E2782" s="3"/>
      <c r="F2782" s="3"/>
    </row>
    <row r="2783">
      <c r="B2783" s="28"/>
      <c r="C2783" s="28"/>
      <c r="E2783" s="3"/>
      <c r="F2783" s="3"/>
    </row>
    <row r="2784">
      <c r="B2784" s="28"/>
      <c r="C2784" s="28"/>
      <c r="E2784" s="3"/>
      <c r="F2784" s="3"/>
    </row>
    <row r="2785">
      <c r="B2785" s="28"/>
      <c r="C2785" s="28"/>
      <c r="E2785" s="3"/>
      <c r="F2785" s="3"/>
    </row>
    <row r="2786">
      <c r="B2786" s="28"/>
      <c r="C2786" s="28"/>
      <c r="E2786" s="3"/>
      <c r="F2786" s="3"/>
    </row>
    <row r="2787">
      <c r="B2787" s="28"/>
      <c r="C2787" s="28"/>
      <c r="E2787" s="3"/>
      <c r="F2787" s="3"/>
    </row>
    <row r="2788">
      <c r="B2788" s="28"/>
      <c r="C2788" s="28"/>
      <c r="E2788" s="3"/>
      <c r="F2788" s="3"/>
    </row>
    <row r="2789">
      <c r="B2789" s="28"/>
      <c r="C2789" s="28"/>
      <c r="E2789" s="3"/>
      <c r="F2789" s="3"/>
    </row>
    <row r="2790">
      <c r="B2790" s="28"/>
      <c r="C2790" s="28"/>
      <c r="E2790" s="3"/>
      <c r="F2790" s="3"/>
    </row>
    <row r="2791">
      <c r="B2791" s="28"/>
      <c r="C2791" s="28"/>
      <c r="E2791" s="3"/>
      <c r="F2791" s="3"/>
    </row>
    <row r="2792">
      <c r="B2792" s="28"/>
      <c r="C2792" s="28"/>
      <c r="E2792" s="3"/>
      <c r="F2792" s="3"/>
    </row>
    <row r="2793">
      <c r="B2793" s="28"/>
      <c r="C2793" s="28"/>
      <c r="E2793" s="3"/>
      <c r="F2793" s="3"/>
    </row>
    <row r="2794">
      <c r="B2794" s="28"/>
      <c r="C2794" s="28"/>
      <c r="E2794" s="3"/>
      <c r="F2794" s="3"/>
    </row>
    <row r="2795">
      <c r="B2795" s="28"/>
      <c r="C2795" s="28"/>
      <c r="E2795" s="3"/>
      <c r="F2795" s="3"/>
    </row>
    <row r="2796">
      <c r="B2796" s="28"/>
      <c r="C2796" s="28"/>
      <c r="E2796" s="3"/>
      <c r="F2796" s="3"/>
    </row>
    <row r="2797">
      <c r="B2797" s="28"/>
      <c r="C2797" s="28"/>
      <c r="E2797" s="3"/>
      <c r="F2797" s="3"/>
    </row>
    <row r="2798">
      <c r="B2798" s="28"/>
      <c r="C2798" s="28"/>
      <c r="E2798" s="3"/>
      <c r="F2798" s="3"/>
    </row>
    <row r="2799">
      <c r="B2799" s="28"/>
      <c r="C2799" s="28"/>
      <c r="E2799" s="3"/>
      <c r="F2799" s="3"/>
    </row>
    <row r="2800">
      <c r="B2800" s="28"/>
      <c r="C2800" s="28"/>
      <c r="E2800" s="3"/>
      <c r="F2800" s="3"/>
    </row>
    <row r="2801">
      <c r="B2801" s="28"/>
      <c r="C2801" s="28"/>
      <c r="E2801" s="3"/>
      <c r="F2801" s="3"/>
    </row>
    <row r="2802">
      <c r="B2802" s="28"/>
      <c r="C2802" s="28"/>
      <c r="E2802" s="3"/>
      <c r="F2802" s="3"/>
    </row>
    <row r="2803">
      <c r="B2803" s="28"/>
      <c r="C2803" s="28"/>
      <c r="E2803" s="3"/>
      <c r="F2803" s="3"/>
    </row>
    <row r="2804">
      <c r="B2804" s="28"/>
      <c r="C2804" s="28"/>
      <c r="E2804" s="3"/>
      <c r="F2804" s="3"/>
    </row>
    <row r="2805">
      <c r="B2805" s="28"/>
      <c r="C2805" s="28"/>
      <c r="E2805" s="3"/>
      <c r="F2805" s="3"/>
    </row>
    <row r="2806">
      <c r="B2806" s="28"/>
      <c r="C2806" s="28"/>
      <c r="E2806" s="3"/>
      <c r="F2806" s="3"/>
    </row>
    <row r="2807">
      <c r="B2807" s="28"/>
      <c r="C2807" s="28"/>
      <c r="E2807" s="3"/>
      <c r="F2807" s="3"/>
    </row>
    <row r="2808">
      <c r="B2808" s="28"/>
      <c r="C2808" s="28"/>
      <c r="E2808" s="3"/>
      <c r="F2808" s="3"/>
    </row>
    <row r="2809">
      <c r="B2809" s="28"/>
      <c r="C2809" s="28"/>
      <c r="E2809" s="3"/>
      <c r="F2809" s="3"/>
    </row>
    <row r="2810">
      <c r="B2810" s="28"/>
      <c r="C2810" s="28"/>
      <c r="E2810" s="3"/>
      <c r="F2810" s="3"/>
    </row>
    <row r="2811">
      <c r="B2811" s="28"/>
      <c r="C2811" s="28"/>
      <c r="E2811" s="3"/>
      <c r="F2811" s="3"/>
    </row>
    <row r="2812">
      <c r="B2812" s="28"/>
      <c r="C2812" s="28"/>
      <c r="E2812" s="3"/>
      <c r="F2812" s="3"/>
    </row>
    <row r="2813">
      <c r="B2813" s="28"/>
      <c r="C2813" s="28"/>
      <c r="E2813" s="3"/>
      <c r="F2813" s="3"/>
    </row>
    <row r="2814">
      <c r="B2814" s="28"/>
      <c r="C2814" s="28"/>
      <c r="E2814" s="3"/>
      <c r="F2814" s="3"/>
    </row>
    <row r="2815">
      <c r="B2815" s="28"/>
      <c r="C2815" s="28"/>
      <c r="E2815" s="3"/>
      <c r="F2815" s="3"/>
    </row>
    <row r="2816">
      <c r="B2816" s="28"/>
      <c r="C2816" s="28"/>
      <c r="E2816" s="3"/>
      <c r="F2816" s="3"/>
    </row>
    <row r="2817">
      <c r="B2817" s="28"/>
      <c r="C2817" s="28"/>
      <c r="E2817" s="3"/>
      <c r="F2817" s="3"/>
    </row>
    <row r="2818">
      <c r="B2818" s="28"/>
      <c r="C2818" s="28"/>
      <c r="E2818" s="3"/>
      <c r="F2818" s="3"/>
    </row>
    <row r="2819">
      <c r="B2819" s="28"/>
      <c r="C2819" s="28"/>
      <c r="E2819" s="3"/>
      <c r="F2819" s="3"/>
    </row>
    <row r="2820">
      <c r="B2820" s="28"/>
      <c r="C2820" s="28"/>
      <c r="E2820" s="3"/>
      <c r="F2820" s="3"/>
    </row>
    <row r="2821">
      <c r="B2821" s="28"/>
      <c r="C2821" s="28"/>
      <c r="E2821" s="3"/>
      <c r="F2821" s="3"/>
    </row>
    <row r="2822">
      <c r="B2822" s="28"/>
      <c r="C2822" s="28"/>
      <c r="E2822" s="3"/>
      <c r="F2822" s="3"/>
    </row>
    <row r="2823">
      <c r="B2823" s="28"/>
      <c r="C2823" s="28"/>
      <c r="E2823" s="3"/>
      <c r="F2823" s="3"/>
    </row>
    <row r="2824">
      <c r="B2824" s="28"/>
      <c r="C2824" s="28"/>
      <c r="E2824" s="3"/>
      <c r="F2824" s="3"/>
    </row>
    <row r="2825">
      <c r="B2825" s="28"/>
      <c r="C2825" s="28"/>
      <c r="E2825" s="3"/>
      <c r="F2825" s="3"/>
    </row>
    <row r="2826">
      <c r="B2826" s="28"/>
      <c r="C2826" s="28"/>
      <c r="E2826" s="3"/>
      <c r="F2826" s="3"/>
    </row>
    <row r="2827">
      <c r="B2827" s="28"/>
      <c r="C2827" s="28"/>
      <c r="E2827" s="3"/>
      <c r="F2827" s="3"/>
    </row>
    <row r="2828">
      <c r="B2828" s="28"/>
      <c r="C2828" s="28"/>
      <c r="E2828" s="3"/>
      <c r="F2828" s="3"/>
    </row>
    <row r="2829">
      <c r="B2829" s="28"/>
      <c r="C2829" s="28"/>
      <c r="E2829" s="3"/>
      <c r="F2829" s="3"/>
    </row>
    <row r="2830">
      <c r="B2830" s="28"/>
      <c r="C2830" s="28"/>
      <c r="E2830" s="3"/>
      <c r="F2830" s="3"/>
    </row>
    <row r="2831">
      <c r="B2831" s="28"/>
      <c r="C2831" s="28"/>
      <c r="E2831" s="3"/>
      <c r="F2831" s="3"/>
    </row>
    <row r="2832">
      <c r="B2832" s="28"/>
      <c r="C2832" s="28"/>
      <c r="E2832" s="3"/>
      <c r="F2832" s="3"/>
    </row>
    <row r="2833">
      <c r="B2833" s="28"/>
      <c r="C2833" s="28"/>
      <c r="E2833" s="3"/>
      <c r="F2833" s="3"/>
    </row>
    <row r="2834">
      <c r="B2834" s="28"/>
      <c r="C2834" s="28"/>
      <c r="E2834" s="3"/>
      <c r="F2834" s="3"/>
    </row>
    <row r="2835">
      <c r="B2835" s="28"/>
      <c r="C2835" s="28"/>
      <c r="E2835" s="3"/>
      <c r="F2835" s="3"/>
    </row>
    <row r="2836">
      <c r="B2836" s="28"/>
      <c r="C2836" s="28"/>
      <c r="E2836" s="3"/>
      <c r="F2836" s="3"/>
    </row>
    <row r="2837">
      <c r="B2837" s="28"/>
      <c r="C2837" s="28"/>
      <c r="E2837" s="3"/>
      <c r="F2837" s="3"/>
    </row>
    <row r="2838">
      <c r="B2838" s="28"/>
      <c r="C2838" s="28"/>
      <c r="E2838" s="3"/>
      <c r="F2838" s="3"/>
    </row>
    <row r="2839">
      <c r="B2839" s="28"/>
      <c r="C2839" s="28"/>
      <c r="E2839" s="3"/>
      <c r="F2839" s="3"/>
    </row>
    <row r="2840">
      <c r="B2840" s="28"/>
      <c r="C2840" s="28"/>
      <c r="E2840" s="3"/>
      <c r="F2840" s="3"/>
    </row>
    <row r="2841">
      <c r="B2841" s="28"/>
      <c r="C2841" s="28"/>
      <c r="E2841" s="3"/>
      <c r="F2841" s="3"/>
    </row>
    <row r="2842">
      <c r="B2842" s="28"/>
      <c r="C2842" s="28"/>
      <c r="E2842" s="3"/>
      <c r="F2842" s="3"/>
    </row>
    <row r="2843">
      <c r="B2843" s="28"/>
      <c r="C2843" s="28"/>
      <c r="E2843" s="3"/>
      <c r="F2843" s="3"/>
    </row>
    <row r="2844">
      <c r="B2844" s="28"/>
      <c r="C2844" s="28"/>
      <c r="E2844" s="3"/>
      <c r="F2844" s="3"/>
    </row>
    <row r="2845">
      <c r="B2845" s="28"/>
      <c r="C2845" s="28"/>
      <c r="E2845" s="3"/>
      <c r="F2845" s="3"/>
    </row>
    <row r="2846">
      <c r="B2846" s="28"/>
      <c r="C2846" s="28"/>
      <c r="E2846" s="3"/>
      <c r="F2846" s="3"/>
    </row>
    <row r="2847">
      <c r="B2847" s="28"/>
      <c r="C2847" s="28"/>
      <c r="E2847" s="3"/>
      <c r="F2847" s="3"/>
    </row>
    <row r="2848">
      <c r="B2848" s="28"/>
      <c r="C2848" s="28"/>
      <c r="E2848" s="3"/>
      <c r="F2848" s="3"/>
    </row>
    <row r="2849">
      <c r="B2849" s="28"/>
      <c r="C2849" s="28"/>
      <c r="E2849" s="3"/>
      <c r="F2849" s="3"/>
    </row>
    <row r="2850">
      <c r="B2850" s="28"/>
      <c r="C2850" s="28"/>
      <c r="E2850" s="3"/>
      <c r="F2850" s="3"/>
    </row>
    <row r="2851">
      <c r="B2851" s="28"/>
      <c r="C2851" s="28"/>
      <c r="E2851" s="3"/>
      <c r="F2851" s="3"/>
    </row>
    <row r="2852">
      <c r="B2852" s="28"/>
      <c r="C2852" s="28"/>
      <c r="E2852" s="3"/>
      <c r="F2852" s="3"/>
    </row>
    <row r="2853">
      <c r="B2853" s="28"/>
      <c r="C2853" s="28"/>
      <c r="E2853" s="3"/>
      <c r="F2853" s="3"/>
    </row>
    <row r="2854">
      <c r="B2854" s="28"/>
      <c r="C2854" s="28"/>
      <c r="E2854" s="3"/>
      <c r="F2854" s="3"/>
    </row>
    <row r="2855">
      <c r="B2855" s="28"/>
      <c r="C2855" s="28"/>
      <c r="E2855" s="3"/>
      <c r="F2855" s="3"/>
    </row>
    <row r="2856">
      <c r="B2856" s="28"/>
      <c r="C2856" s="28"/>
      <c r="E2856" s="3"/>
      <c r="F2856" s="3"/>
    </row>
    <row r="2857">
      <c r="B2857" s="28"/>
      <c r="C2857" s="28"/>
      <c r="E2857" s="3"/>
      <c r="F2857" s="3"/>
    </row>
    <row r="2858">
      <c r="B2858" s="28"/>
      <c r="C2858" s="28"/>
      <c r="E2858" s="3"/>
      <c r="F2858" s="3"/>
    </row>
    <row r="2859">
      <c r="B2859" s="28"/>
      <c r="C2859" s="28"/>
      <c r="E2859" s="3"/>
      <c r="F2859" s="3"/>
    </row>
    <row r="2860">
      <c r="B2860" s="28"/>
      <c r="C2860" s="28"/>
      <c r="E2860" s="3"/>
      <c r="F2860" s="3"/>
    </row>
    <row r="2861">
      <c r="B2861" s="28"/>
      <c r="C2861" s="28"/>
      <c r="E2861" s="3"/>
      <c r="F2861" s="3"/>
    </row>
    <row r="2862">
      <c r="B2862" s="28"/>
      <c r="C2862" s="28"/>
      <c r="E2862" s="3"/>
      <c r="F2862" s="3"/>
    </row>
    <row r="2863">
      <c r="B2863" s="28"/>
      <c r="C2863" s="28"/>
      <c r="E2863" s="3"/>
      <c r="F2863" s="3"/>
    </row>
    <row r="2864">
      <c r="B2864" s="28"/>
      <c r="C2864" s="28"/>
      <c r="E2864" s="3"/>
      <c r="F2864" s="3"/>
    </row>
    <row r="2865">
      <c r="B2865" s="28"/>
      <c r="C2865" s="28"/>
      <c r="E2865" s="3"/>
      <c r="F2865" s="3"/>
    </row>
    <row r="2866">
      <c r="B2866" s="28"/>
      <c r="C2866" s="28"/>
      <c r="E2866" s="3"/>
      <c r="F2866" s="3"/>
    </row>
    <row r="2867">
      <c r="B2867" s="28"/>
      <c r="C2867" s="28"/>
      <c r="E2867" s="3"/>
      <c r="F2867" s="3"/>
    </row>
    <row r="2868">
      <c r="B2868" s="28"/>
      <c r="C2868" s="28"/>
      <c r="E2868" s="3"/>
      <c r="F2868" s="3"/>
    </row>
    <row r="2869">
      <c r="B2869" s="28"/>
      <c r="C2869" s="28"/>
      <c r="E2869" s="3"/>
      <c r="F2869" s="3"/>
    </row>
    <row r="2870">
      <c r="B2870" s="28"/>
      <c r="C2870" s="28"/>
      <c r="E2870" s="3"/>
      <c r="F2870" s="3"/>
    </row>
    <row r="2871">
      <c r="B2871" s="28"/>
      <c r="C2871" s="28"/>
      <c r="E2871" s="3"/>
      <c r="F2871" s="3"/>
    </row>
    <row r="2872">
      <c r="B2872" s="28"/>
      <c r="C2872" s="28"/>
      <c r="E2872" s="3"/>
      <c r="F2872" s="3"/>
    </row>
    <row r="2873">
      <c r="B2873" s="28"/>
      <c r="C2873" s="28"/>
      <c r="E2873" s="3"/>
      <c r="F2873" s="3"/>
    </row>
    <row r="2874">
      <c r="B2874" s="28"/>
      <c r="C2874" s="28"/>
      <c r="E2874" s="3"/>
      <c r="F2874" s="3"/>
    </row>
    <row r="2875">
      <c r="B2875" s="28"/>
      <c r="C2875" s="28"/>
      <c r="E2875" s="3"/>
      <c r="F2875" s="3"/>
    </row>
    <row r="2876">
      <c r="B2876" s="28"/>
      <c r="C2876" s="28"/>
      <c r="E2876" s="3"/>
      <c r="F2876" s="3"/>
    </row>
    <row r="2877">
      <c r="B2877" s="28"/>
      <c r="C2877" s="28"/>
      <c r="E2877" s="3"/>
      <c r="F2877" s="3"/>
    </row>
    <row r="2878">
      <c r="B2878" s="28"/>
      <c r="C2878" s="28"/>
      <c r="E2878" s="3"/>
      <c r="F2878" s="3"/>
    </row>
    <row r="2879">
      <c r="B2879" s="28"/>
      <c r="C2879" s="28"/>
      <c r="E2879" s="3"/>
      <c r="F2879" s="3"/>
    </row>
    <row r="2880">
      <c r="B2880" s="28"/>
      <c r="C2880" s="28"/>
      <c r="E2880" s="3"/>
      <c r="F2880" s="3"/>
    </row>
    <row r="2881">
      <c r="B2881" s="28"/>
      <c r="C2881" s="28"/>
      <c r="E2881" s="3"/>
      <c r="F2881" s="3"/>
    </row>
    <row r="2882">
      <c r="B2882" s="28"/>
      <c r="C2882" s="28"/>
      <c r="E2882" s="3"/>
      <c r="F2882" s="3"/>
    </row>
    <row r="2883">
      <c r="B2883" s="28"/>
      <c r="C2883" s="28"/>
      <c r="E2883" s="3"/>
      <c r="F2883" s="3"/>
    </row>
    <row r="2884">
      <c r="B2884" s="28"/>
      <c r="C2884" s="28"/>
      <c r="E2884" s="3"/>
      <c r="F2884" s="3"/>
    </row>
    <row r="2885">
      <c r="B2885" s="28"/>
      <c r="C2885" s="28"/>
      <c r="E2885" s="3"/>
      <c r="F2885" s="3"/>
    </row>
    <row r="2886">
      <c r="B2886" s="28"/>
      <c r="C2886" s="28"/>
      <c r="E2886" s="3"/>
      <c r="F2886" s="3"/>
    </row>
    <row r="2887">
      <c r="B2887" s="28"/>
      <c r="C2887" s="28"/>
      <c r="E2887" s="3"/>
      <c r="F2887" s="3"/>
    </row>
    <row r="2888">
      <c r="C2888" s="28"/>
      <c r="E2888" s="3"/>
      <c r="F2888" s="3"/>
    </row>
    <row r="2889">
      <c r="C2889" s="28"/>
      <c r="E2889" s="3"/>
      <c r="F2889" s="3"/>
    </row>
    <row r="2890">
      <c r="C2890" s="28"/>
      <c r="E2890" s="3"/>
      <c r="F2890" s="3"/>
    </row>
    <row r="2891">
      <c r="C2891" s="28"/>
      <c r="E2891" s="3"/>
      <c r="F2891" s="3"/>
    </row>
    <row r="2892">
      <c r="C2892" s="28"/>
      <c r="E2892" s="3"/>
      <c r="F2892" s="3"/>
    </row>
    <row r="2893">
      <c r="C2893" s="28"/>
      <c r="E2893" s="3"/>
      <c r="F2893" s="3"/>
    </row>
    <row r="2894">
      <c r="C2894" s="28"/>
      <c r="E2894" s="3"/>
      <c r="F2894" s="3"/>
    </row>
    <row r="2895">
      <c r="C2895" s="28"/>
      <c r="E2895" s="3"/>
      <c r="F2895" s="3"/>
    </row>
    <row r="2896">
      <c r="C2896" s="28"/>
      <c r="E2896" s="3"/>
      <c r="F2896" s="3"/>
    </row>
    <row r="2897">
      <c r="C2897" s="28"/>
      <c r="E2897" s="3"/>
      <c r="F2897" s="3"/>
    </row>
    <row r="2898">
      <c r="C2898" s="28"/>
      <c r="E2898" s="3"/>
      <c r="F2898" s="3"/>
    </row>
    <row r="2899">
      <c r="C2899" s="28"/>
      <c r="E2899" s="3"/>
      <c r="F2899" s="3"/>
    </row>
    <row r="2900">
      <c r="C2900" s="28"/>
      <c r="E2900" s="3"/>
      <c r="F2900" s="3"/>
    </row>
    <row r="2901">
      <c r="C2901" s="28"/>
      <c r="E2901" s="3"/>
      <c r="F2901" s="3"/>
    </row>
    <row r="2902">
      <c r="C2902" s="28"/>
      <c r="E2902" s="3"/>
      <c r="F2902" s="3"/>
    </row>
    <row r="2903">
      <c r="C2903" s="28"/>
      <c r="E2903" s="3"/>
      <c r="F2903" s="3"/>
    </row>
  </sheetData>
  <autoFilter ref="$A$2:$E$1975">
    <filterColumn colId="0">
      <filters>
        <filter val="Week 3/22/26 - 3/28/26"/>
      </filters>
    </filterColumn>
    <sortState ref="A2:E1975">
      <sortCondition ref="C2:C1975"/>
    </sortState>
  </autoFilter>
  <dataValidations>
    <dataValidation type="list" allowBlank="1" showErrorMessage="1" sqref="A1236:A1269">
      <formula1>"Week 8/17/25 - 8/23/25"</formula1>
    </dataValidation>
    <dataValidation type="list" allowBlank="1" showErrorMessage="1" sqref="A39:A88">
      <formula1>"Week 3/22/26 - 3/28/26"</formula1>
    </dataValidation>
    <dataValidation type="list" allowBlank="1" showErrorMessage="1" sqref="A833:A867">
      <formula1>"Week 11/2/25 - 11/8/25"</formula1>
    </dataValidation>
    <dataValidation type="list" allowBlank="1" showErrorMessage="1" sqref="A1409:A1442">
      <formula1>"Week 7/13/25 - 7/19/25"</formula1>
    </dataValidation>
    <dataValidation type="list" allowBlank="1" showErrorMessage="1" sqref="A1128:A1162 A1971">
      <formula1>"Week 9/07/25 - 9/13/25"</formula1>
    </dataValidation>
    <dataValidation type="list" allowBlank="1" showErrorMessage="1" sqref="A1058:A1092">
      <formula1>"Week 9/21/25 - 9/27/25"</formula1>
    </dataValidation>
    <dataValidation type="list" allowBlank="1" showErrorMessage="1" sqref="A1093:A1127">
      <formula1>"Week 9/14/25 - 9/20/25"</formula1>
    </dataValidation>
    <dataValidation type="list" allowBlank="1" showErrorMessage="1" sqref="A1301:A1336">
      <formula1>"Week 8/3/25 - 8/9/25"</formula1>
    </dataValidation>
    <dataValidation type="list" allowBlank="1" showErrorMessage="1" sqref="A1163:A1199">
      <formula1>"Week 8/31/25 - 9/06/25"</formula1>
    </dataValidation>
    <dataValidation type="list" allowBlank="1" showErrorMessage="1" sqref="A696:A730">
      <formula1>"Week 11/30/25 - 12/6/25"</formula1>
    </dataValidation>
    <dataValidation type="list" allowBlank="1" showErrorMessage="1" sqref="A1549:A1579">
      <formula1>"Week 6/15/25 - 6/21/25"</formula1>
    </dataValidation>
    <dataValidation type="list" allowBlank="1" showErrorMessage="1" sqref="A286:A325">
      <formula1>"Week 2/8/26 - 2/14/26"</formula1>
    </dataValidation>
    <dataValidation type="list" allowBlank="1" showErrorMessage="1" sqref="A500:A543">
      <formula1>"Week 1/4/26 - 1/10/26"</formula1>
    </dataValidation>
    <dataValidation type="list" allowBlank="1" showErrorMessage="1" sqref="A1270:A1300">
      <formula1>"Week 8/10/25 - 8/16/25 "</formula1>
    </dataValidation>
    <dataValidation type="list" allowBlank="1" showErrorMessage="1" sqref="A1200:A1235">
      <formula1>"Week 8/24/25 - 8/30/25"</formula1>
    </dataValidation>
    <dataValidation type="list" allowBlank="1" showErrorMessage="1" sqref="A1580:A1611">
      <formula1>"Week 6/8/25 - 6/14/25"</formula1>
    </dataValidation>
    <dataValidation type="list" allowBlank="1" showErrorMessage="1" sqref="A326:A371">
      <formula1>"Week 2/1/26 - 2/7/26"</formula1>
    </dataValidation>
    <dataValidation type="list" allowBlank="1" showErrorMessage="1" sqref="A1612:A1646">
      <formula1>"Week 6/1/25 - 6/7/25"</formula1>
    </dataValidation>
    <dataValidation type="list" allowBlank="1" showErrorMessage="1" sqref="A1373:A1408 A1970">
      <formula1>"Week 7/20/25 - 7/26/25"</formula1>
    </dataValidation>
    <dataValidation type="list" allowBlank="1" showErrorMessage="1" sqref="A131:A173">
      <formula1>"Week 3/9/26 - 3/15/26"</formula1>
    </dataValidation>
    <dataValidation type="list" allowBlank="1" showErrorMessage="1" sqref="A586:A622">
      <formula1>"Week 12/21/25 - 12/27/25 "</formula1>
    </dataValidation>
    <dataValidation type="list" allowBlank="1" showErrorMessage="1" sqref="A174:A209">
      <formula1>"Week 3/1/26 - 3/7/26"</formula1>
    </dataValidation>
    <dataValidation type="list" allowBlank="1" showErrorMessage="1" sqref="A1337:A1372">
      <formula1>"Week 7/27/25 - 8/2/25"</formula1>
    </dataValidation>
    <dataValidation type="list" allowBlank="1" showErrorMessage="1" sqref="A1647:A1681">
      <formula1>"Week 5/25/25 - 5/31/25"</formula1>
    </dataValidation>
    <dataValidation type="list" allowBlank="1" showErrorMessage="1" sqref="A1018:A1057">
      <formula1>"Week 9/28/25 - 10/4/25"</formula1>
    </dataValidation>
    <dataValidation type="list" allowBlank="1" showErrorMessage="1" sqref="A905:A940 A1972">
      <formula1>"Week 10/19/25 - 10/25/25"</formula1>
    </dataValidation>
    <dataValidation type="list" allowBlank="1" showErrorMessage="1" sqref="A1682:A1741">
      <formula1>"Week 5/11/25 - 5/17/25,Week 5/18/25 - 5/24/25"</formula1>
    </dataValidation>
    <dataValidation type="list" allowBlank="1" showErrorMessage="1" sqref="A1518:A1548">
      <formula1>"Week 6/22/25 - 6/28/25"</formula1>
    </dataValidation>
    <dataValidation type="list" allowBlank="1" showErrorMessage="1" sqref="A459:A499">
      <formula1>"Week 1/11/26 - 1/17/26"</formula1>
    </dataValidation>
    <dataValidation type="list" allowBlank="1" showErrorMessage="1" sqref="A977:A1017">
      <formula1>"Week 10/5/25 - 10/11/25"</formula1>
    </dataValidation>
    <dataValidation type="list" allowBlank="1" showErrorMessage="1" sqref="A210:A245">
      <formula1>"Week 2/22/26 - 2/28/26"</formula1>
    </dataValidation>
    <dataValidation type="list" allowBlank="1" showErrorMessage="1" sqref="A415:A458">
      <formula1>"Week 1/18/26 - 1/24/26"</formula1>
    </dataValidation>
    <dataValidation type="list" allowBlank="1" showErrorMessage="1" sqref="A798:A832 A1973:A1975">
      <formula1>"Week 11/9/25 - 11/15/25"</formula1>
    </dataValidation>
    <dataValidation type="list" allowBlank="1" showErrorMessage="1" sqref="A33:A38 A1742:A1969">
      <formula1>"Week 3/16/25 - 3/22/25,Week 3/23/25 - 3/29/25,Week 3/30/25 - 4/5/25,Week 4/6/25 - 4/12/25,Week 4/13/25 - 4/19/25,Week 4/20/25 - 4/26/25,Week 4/27/25 - 5/3/25,Week 5/4/25 - 5/10/25"</formula1>
    </dataValidation>
    <dataValidation type="list" allowBlank="1" showErrorMessage="1" sqref="A1443:A1480">
      <formula1>"Week 7/6/25 - 7/12/25 "</formula1>
    </dataValidation>
    <dataValidation type="list" allowBlank="1" showErrorMessage="1" sqref="A731:A761">
      <formula1>"Week 11/23/25 - 11/29/25"</formula1>
    </dataValidation>
    <dataValidation type="list" allowBlank="1" showErrorMessage="1" sqref="A1481:A1517">
      <formula1>"Week 6/29/25 - 7/5/25"</formula1>
    </dataValidation>
    <dataValidation type="list" allowBlank="1" showErrorMessage="1" sqref="A89:A130">
      <formula1>"Week 3/15/26 - 3/21/26"</formula1>
    </dataValidation>
    <dataValidation type="list" allowBlank="1" showErrorMessage="1" sqref="A246:A285">
      <formula1>"Week 2/15/26 - 2/21/26"</formula1>
    </dataValidation>
    <dataValidation type="list" allowBlank="1" showErrorMessage="1" sqref="A3:A32">
      <formula1>"Week 3/2/25 - 3/8/25,Week 3/9/25 - 3/15/25"</formula1>
    </dataValidation>
    <dataValidation type="list" allowBlank="1" showErrorMessage="1" sqref="A372:A414">
      <formula1>"Week 1/25/26 - 1/31/26"</formula1>
    </dataValidation>
    <dataValidation type="list" allowBlank="1" showErrorMessage="1" sqref="A623:A660">
      <formula1>"Week 12/14/25 - 12/20/25"</formula1>
    </dataValidation>
    <dataValidation type="list" allowBlank="1" showErrorMessage="1" sqref="A544:A585">
      <formula1>"Week 12/28/25 - 1/3/25 "</formula1>
    </dataValidation>
    <dataValidation type="list" allowBlank="1" showErrorMessage="1" sqref="A868:A904">
      <formula1>"Week 10/26/25 - 11/1/25"</formula1>
    </dataValidation>
    <dataValidation type="list" allowBlank="1" showErrorMessage="1" sqref="A661:A695">
      <formula1>"Week 12/7/25 - 12/13/25"</formula1>
    </dataValidation>
    <dataValidation type="list" allowBlank="1" showErrorMessage="1" sqref="A762:A797">
      <formula1>"Week 11/16/25 - 11/22/25"</formula1>
    </dataValidation>
    <dataValidation type="list" allowBlank="1" showErrorMessage="1" sqref="A941:A976">
      <formula1>"Week 10/12/25 - 10/18/25"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5"/>
  </cols>
  <sheetData>
    <row r="1">
      <c r="A1" s="2" t="s">
        <v>385</v>
      </c>
    </row>
    <row r="2">
      <c r="A2" s="2" t="s">
        <v>386</v>
      </c>
    </row>
    <row r="4">
      <c r="A4" s="25" t="s">
        <v>2</v>
      </c>
      <c r="B4" s="25" t="s">
        <v>122</v>
      </c>
      <c r="C4" s="25" t="s">
        <v>387</v>
      </c>
      <c r="D4" s="25" t="s">
        <v>388</v>
      </c>
      <c r="E4" s="25" t="s">
        <v>9</v>
      </c>
    </row>
    <row r="5">
      <c r="A5" s="6" t="s">
        <v>29</v>
      </c>
      <c r="B5" s="7" t="s">
        <v>131</v>
      </c>
      <c r="C5" s="9">
        <v>14.0</v>
      </c>
      <c r="D5" s="44"/>
      <c r="E5" s="45">
        <f>C5*50</f>
        <v>700</v>
      </c>
      <c r="F5" s="7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6" t="s">
        <v>29</v>
      </c>
      <c r="B6" s="7" t="s">
        <v>261</v>
      </c>
      <c r="C6" s="44"/>
      <c r="D6" s="47">
        <v>9.0</v>
      </c>
      <c r="E6" s="45">
        <f>D6*250+C6*50</f>
        <v>2250</v>
      </c>
      <c r="F6" s="7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6" t="s">
        <v>29</v>
      </c>
      <c r="B7" s="7" t="s">
        <v>137</v>
      </c>
      <c r="C7" s="47">
        <v>30.0</v>
      </c>
      <c r="D7" s="44"/>
      <c r="E7" s="45">
        <f>C7*50</f>
        <v>1500</v>
      </c>
      <c r="F7" s="7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6" t="s">
        <v>29</v>
      </c>
      <c r="B8" s="48" t="s">
        <v>155</v>
      </c>
      <c r="C8" s="48"/>
      <c r="D8" s="49">
        <v>9.0</v>
      </c>
      <c r="E8" s="50">
        <f t="shared" ref="E8:E9" si="1">D8*250</f>
        <v>2250</v>
      </c>
      <c r="F8" s="13" t="s">
        <v>389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6" t="s">
        <v>29</v>
      </c>
      <c r="B9" s="7" t="s">
        <v>133</v>
      </c>
      <c r="C9" s="44"/>
      <c r="D9" s="47">
        <v>10.0</v>
      </c>
      <c r="E9" s="51">
        <f t="shared" si="1"/>
        <v>2500</v>
      </c>
      <c r="F9" s="7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idden="1">
      <c r="A10" s="6" t="s">
        <v>38</v>
      </c>
      <c r="B10" s="7" t="s">
        <v>131</v>
      </c>
      <c r="C10" s="8">
        <v>22.0</v>
      </c>
      <c r="D10" s="44"/>
      <c r="E10" s="45">
        <f>C10*50</f>
        <v>1100</v>
      </c>
      <c r="F10" s="7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idden="1">
      <c r="A11" s="6" t="s">
        <v>38</v>
      </c>
      <c r="B11" s="7" t="s">
        <v>261</v>
      </c>
      <c r="C11" s="44"/>
      <c r="D11" s="47">
        <v>12.0</v>
      </c>
      <c r="E11" s="45">
        <f>D11*250+C11*50</f>
        <v>3000</v>
      </c>
      <c r="F11" s="7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idden="1">
      <c r="A12" s="6" t="s">
        <v>38</v>
      </c>
      <c r="B12" s="7" t="s">
        <v>137</v>
      </c>
      <c r="C12" s="47">
        <v>27.0</v>
      </c>
      <c r="D12" s="44"/>
      <c r="E12" s="45">
        <f>C12*50</f>
        <v>1350</v>
      </c>
      <c r="F12" s="7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idden="1">
      <c r="A13" s="6" t="s">
        <v>38</v>
      </c>
      <c r="B13" s="7" t="s">
        <v>155</v>
      </c>
      <c r="C13" s="44"/>
      <c r="D13" s="47">
        <v>11.0</v>
      </c>
      <c r="E13" s="51">
        <f t="shared" ref="E13:E14" si="2">D13*250</f>
        <v>2750</v>
      </c>
      <c r="F13" s="7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idden="1">
      <c r="A14" s="6" t="s">
        <v>38</v>
      </c>
      <c r="B14" s="7" t="s">
        <v>133</v>
      </c>
      <c r="C14" s="8"/>
      <c r="D14" s="47">
        <v>14.0</v>
      </c>
      <c r="E14" s="51">
        <f t="shared" si="2"/>
        <v>3500</v>
      </c>
      <c r="F14" s="7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idden="1">
      <c r="A15" s="6" t="s">
        <v>40</v>
      </c>
      <c r="B15" s="7" t="s">
        <v>131</v>
      </c>
      <c r="C15" s="52"/>
      <c r="D15" s="48"/>
      <c r="E15" s="45">
        <f>C15*50</f>
        <v>0</v>
      </c>
      <c r="F15" s="7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idden="1">
      <c r="A16" s="6" t="s">
        <v>40</v>
      </c>
      <c r="B16" s="7" t="s">
        <v>261</v>
      </c>
      <c r="C16" s="7"/>
      <c r="D16" s="47">
        <v>14.0</v>
      </c>
      <c r="E16" s="45">
        <f>D16*250+C16*50</f>
        <v>3500</v>
      </c>
      <c r="F16" s="7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idden="1">
      <c r="A17" s="6" t="s">
        <v>40</v>
      </c>
      <c r="B17" s="7" t="s">
        <v>137</v>
      </c>
      <c r="C17" s="47">
        <v>24.0</v>
      </c>
      <c r="D17" s="7"/>
      <c r="E17" s="45">
        <f>C17*50</f>
        <v>1200</v>
      </c>
      <c r="F17" s="7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idden="1">
      <c r="A18" s="6" t="s">
        <v>40</v>
      </c>
      <c r="B18" s="7" t="s">
        <v>155</v>
      </c>
      <c r="C18" s="44"/>
      <c r="D18" s="47">
        <v>10.0</v>
      </c>
      <c r="E18" s="51">
        <f t="shared" ref="E18:E19" si="3">D18*250</f>
        <v>2500</v>
      </c>
      <c r="F18" s="7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idden="1">
      <c r="A19" s="6" t="s">
        <v>40</v>
      </c>
      <c r="B19" s="7" t="s">
        <v>133</v>
      </c>
      <c r="C19" s="44"/>
      <c r="D19" s="47">
        <v>11.0</v>
      </c>
      <c r="E19" s="51">
        <f t="shared" si="3"/>
        <v>2750</v>
      </c>
      <c r="F19" s="7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idden="1">
      <c r="A20" s="6" t="s">
        <v>42</v>
      </c>
      <c r="B20" s="7" t="s">
        <v>131</v>
      </c>
      <c r="C20" s="9">
        <v>20.0</v>
      </c>
      <c r="D20" s="7"/>
      <c r="E20" s="45">
        <f>C20*50</f>
        <v>1000</v>
      </c>
      <c r="F20" s="7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idden="1">
      <c r="A21" s="6" t="s">
        <v>42</v>
      </c>
      <c r="B21" s="7" t="s">
        <v>261</v>
      </c>
      <c r="C21" s="7"/>
      <c r="D21" s="47">
        <v>13.0</v>
      </c>
      <c r="E21" s="45">
        <f>D21*250+C21*50</f>
        <v>3250</v>
      </c>
      <c r="F21" s="7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idden="1">
      <c r="A22" s="6" t="s">
        <v>42</v>
      </c>
      <c r="B22" s="7" t="s">
        <v>137</v>
      </c>
      <c r="C22" s="47">
        <v>32.0</v>
      </c>
      <c r="D22" s="7"/>
      <c r="E22" s="45">
        <f>C22*50</f>
        <v>1600</v>
      </c>
      <c r="F22" s="7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idden="1">
      <c r="A23" s="6" t="s">
        <v>42</v>
      </c>
      <c r="B23" s="7" t="s">
        <v>155</v>
      </c>
      <c r="C23" s="7"/>
      <c r="D23" s="47">
        <v>10.0</v>
      </c>
      <c r="E23" s="51">
        <f t="shared" ref="E23:E24" si="4">D23*250</f>
        <v>2500</v>
      </c>
      <c r="F23" s="7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idden="1">
      <c r="A24" s="6" t="s">
        <v>42</v>
      </c>
      <c r="B24" s="7" t="s">
        <v>133</v>
      </c>
      <c r="C24" s="7"/>
      <c r="D24" s="47">
        <v>14.0</v>
      </c>
      <c r="E24" s="51">
        <f t="shared" si="4"/>
        <v>3500</v>
      </c>
      <c r="F24" s="7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idden="1">
      <c r="A25" s="6" t="s">
        <v>44</v>
      </c>
      <c r="B25" s="7" t="s">
        <v>131</v>
      </c>
      <c r="C25" s="9">
        <v>17.0</v>
      </c>
      <c r="D25" s="7"/>
      <c r="E25" s="45">
        <f>C25*50</f>
        <v>850</v>
      </c>
      <c r="F25" s="7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idden="1">
      <c r="A26" s="6" t="s">
        <v>44</v>
      </c>
      <c r="B26" s="7" t="s">
        <v>261</v>
      </c>
      <c r="C26" s="7"/>
      <c r="D26" s="47">
        <v>15.0</v>
      </c>
      <c r="E26" s="45">
        <f>D26*250+C26*50</f>
        <v>3750</v>
      </c>
      <c r="F26" s="7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idden="1">
      <c r="A27" s="6" t="s">
        <v>44</v>
      </c>
      <c r="B27" s="7" t="s">
        <v>137</v>
      </c>
      <c r="C27" s="47">
        <v>26.0</v>
      </c>
      <c r="D27" s="13"/>
      <c r="E27" s="45">
        <f>C27*50</f>
        <v>1300</v>
      </c>
      <c r="F27" s="7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idden="1">
      <c r="A28" s="6" t="s">
        <v>44</v>
      </c>
      <c r="B28" s="7" t="s">
        <v>155</v>
      </c>
      <c r="C28" s="7"/>
      <c r="D28" s="47">
        <v>21.0</v>
      </c>
      <c r="E28" s="51">
        <f t="shared" ref="E28:E29" si="5">D28*250</f>
        <v>5250</v>
      </c>
      <c r="F28" s="7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idden="1">
      <c r="A29" s="6" t="s">
        <v>44</v>
      </c>
      <c r="B29" s="7" t="s">
        <v>133</v>
      </c>
      <c r="C29" s="7"/>
      <c r="D29" s="47">
        <v>20.0</v>
      </c>
      <c r="E29" s="51">
        <f t="shared" si="5"/>
        <v>5000</v>
      </c>
      <c r="F29" s="7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idden="1">
      <c r="A30" s="6" t="s">
        <v>46</v>
      </c>
      <c r="B30" s="7" t="s">
        <v>131</v>
      </c>
      <c r="C30" s="8">
        <v>11.0</v>
      </c>
      <c r="D30" s="7"/>
      <c r="E30" s="45">
        <f>C30*50</f>
        <v>550</v>
      </c>
      <c r="F30" s="7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idden="1">
      <c r="A31" s="6" t="s">
        <v>46</v>
      </c>
      <c r="B31" s="7" t="s">
        <v>261</v>
      </c>
      <c r="C31" s="7"/>
      <c r="D31" s="47">
        <v>12.0</v>
      </c>
      <c r="E31" s="45">
        <f>D31*250+C31*50</f>
        <v>3000</v>
      </c>
      <c r="F31" s="7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idden="1">
      <c r="A32" s="6" t="s">
        <v>46</v>
      </c>
      <c r="B32" s="7" t="s">
        <v>137</v>
      </c>
      <c r="C32" s="47">
        <v>26.0</v>
      </c>
      <c r="D32" s="7"/>
      <c r="E32" s="45">
        <f>C32*50</f>
        <v>1300</v>
      </c>
      <c r="F32" s="7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idden="1">
      <c r="A33" s="6" t="s">
        <v>46</v>
      </c>
      <c r="B33" s="7" t="s">
        <v>155</v>
      </c>
      <c r="C33" s="7"/>
      <c r="D33" s="47">
        <v>14.0</v>
      </c>
      <c r="E33" s="51">
        <f t="shared" ref="E33:E34" si="6">D33*250</f>
        <v>3500</v>
      </c>
      <c r="F33" s="7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idden="1">
      <c r="A34" s="6" t="s">
        <v>46</v>
      </c>
      <c r="B34" s="7" t="s">
        <v>133</v>
      </c>
      <c r="C34" s="7"/>
      <c r="D34" s="47">
        <v>16.0</v>
      </c>
      <c r="E34" s="51">
        <f t="shared" si="6"/>
        <v>4000</v>
      </c>
      <c r="F34" s="7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idden="1">
      <c r="A35" s="6" t="s">
        <v>48</v>
      </c>
      <c r="B35" s="7" t="s">
        <v>131</v>
      </c>
      <c r="C35" s="53"/>
      <c r="D35" s="7"/>
      <c r="E35" s="45">
        <f>C35*50</f>
        <v>0</v>
      </c>
      <c r="F35" s="7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idden="1">
      <c r="A36" s="6" t="s">
        <v>48</v>
      </c>
      <c r="B36" s="7" t="s">
        <v>261</v>
      </c>
      <c r="C36" s="7"/>
      <c r="D36" s="47">
        <v>11.0</v>
      </c>
      <c r="E36" s="45">
        <f>D36*250+C36*50</f>
        <v>2750</v>
      </c>
      <c r="F36" s="7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idden="1">
      <c r="A37" s="6" t="s">
        <v>48</v>
      </c>
      <c r="B37" s="7" t="s">
        <v>137</v>
      </c>
      <c r="C37" s="47">
        <v>16.0</v>
      </c>
      <c r="D37" s="7"/>
      <c r="E37" s="45">
        <f>C37*50</f>
        <v>800</v>
      </c>
      <c r="F37" s="7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idden="1">
      <c r="A38" s="6" t="s">
        <v>48</v>
      </c>
      <c r="B38" s="7" t="s">
        <v>155</v>
      </c>
      <c r="C38" s="7"/>
      <c r="D38" s="47">
        <v>12.0</v>
      </c>
      <c r="E38" s="51">
        <f t="shared" ref="E38:E39" si="7">D38*250</f>
        <v>3000</v>
      </c>
      <c r="F38" s="7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idden="1">
      <c r="A39" s="6" t="s">
        <v>48</v>
      </c>
      <c r="B39" s="7" t="s">
        <v>133</v>
      </c>
      <c r="C39" s="7"/>
      <c r="D39" s="47">
        <v>14.0</v>
      </c>
      <c r="E39" s="51">
        <f t="shared" si="7"/>
        <v>3500</v>
      </c>
      <c r="F39" s="7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idden="1">
      <c r="A40" s="6" t="s">
        <v>50</v>
      </c>
      <c r="B40" s="7" t="s">
        <v>131</v>
      </c>
      <c r="C40" s="54">
        <v>11.0</v>
      </c>
      <c r="D40" s="7"/>
      <c r="E40" s="45">
        <f>C40*50</f>
        <v>550</v>
      </c>
      <c r="F40" s="7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idden="1">
      <c r="A41" s="6" t="s">
        <v>50</v>
      </c>
      <c r="B41" s="7" t="s">
        <v>261</v>
      </c>
      <c r="C41" s="7"/>
      <c r="D41" s="47">
        <v>12.0</v>
      </c>
      <c r="E41" s="45">
        <f>D41*250+C41*50</f>
        <v>3000</v>
      </c>
      <c r="F41" s="7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idden="1">
      <c r="A42" s="6" t="s">
        <v>50</v>
      </c>
      <c r="B42" s="7" t="s">
        <v>137</v>
      </c>
      <c r="C42" s="47">
        <v>19.0</v>
      </c>
      <c r="D42" s="13"/>
      <c r="E42" s="45">
        <f>C42*50</f>
        <v>950</v>
      </c>
      <c r="F42" s="7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idden="1">
      <c r="A43" s="6" t="s">
        <v>50</v>
      </c>
      <c r="B43" s="7" t="s">
        <v>155</v>
      </c>
      <c r="C43" s="7"/>
      <c r="D43" s="47">
        <v>12.0</v>
      </c>
      <c r="E43" s="51">
        <f t="shared" ref="E43:E44" si="8">D43*250</f>
        <v>3000</v>
      </c>
      <c r="F43" s="7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idden="1">
      <c r="A44" s="6" t="s">
        <v>50</v>
      </c>
      <c r="B44" s="7" t="s">
        <v>133</v>
      </c>
      <c r="C44" s="7"/>
      <c r="D44" s="47">
        <v>15.0</v>
      </c>
      <c r="E44" s="51">
        <f t="shared" si="8"/>
        <v>3750</v>
      </c>
      <c r="F44" s="7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idden="1">
      <c r="A45" s="6" t="s">
        <v>52</v>
      </c>
      <c r="B45" s="7" t="s">
        <v>131</v>
      </c>
      <c r="C45" s="55">
        <v>13.0</v>
      </c>
      <c r="D45" s="7"/>
      <c r="E45" s="45">
        <f>C45*50</f>
        <v>650</v>
      </c>
      <c r="F45" s="7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idden="1">
      <c r="A46" s="6" t="s">
        <v>52</v>
      </c>
      <c r="B46" s="7" t="s">
        <v>261</v>
      </c>
      <c r="C46" s="7"/>
      <c r="D46" s="47">
        <v>13.0</v>
      </c>
      <c r="E46" s="45">
        <f>D46*250+C46*50</f>
        <v>3250</v>
      </c>
      <c r="F46" s="7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idden="1">
      <c r="A47" s="6" t="s">
        <v>52</v>
      </c>
      <c r="B47" s="7" t="s">
        <v>137</v>
      </c>
      <c r="C47" s="47">
        <v>16.0</v>
      </c>
      <c r="D47" s="7"/>
      <c r="E47" s="45">
        <f>C47*50</f>
        <v>800</v>
      </c>
      <c r="F47" s="7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idden="1">
      <c r="A48" s="6" t="s">
        <v>52</v>
      </c>
      <c r="B48" s="7" t="s">
        <v>155</v>
      </c>
      <c r="C48" s="7"/>
      <c r="D48" s="56">
        <v>9.0</v>
      </c>
      <c r="E48" s="50">
        <f t="shared" ref="E48:E49" si="9">D48*250</f>
        <v>2250</v>
      </c>
      <c r="F48" s="7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idden="1">
      <c r="A49" s="6" t="s">
        <v>52</v>
      </c>
      <c r="B49" s="7" t="s">
        <v>133</v>
      </c>
      <c r="C49" s="7"/>
      <c r="D49" s="47">
        <v>12.0</v>
      </c>
      <c r="E49" s="51">
        <f t="shared" si="9"/>
        <v>3000</v>
      </c>
      <c r="F49" s="7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idden="1">
      <c r="A50" s="6" t="s">
        <v>55</v>
      </c>
      <c r="B50" s="7" t="s">
        <v>131</v>
      </c>
      <c r="C50" s="15">
        <v>14.0</v>
      </c>
      <c r="D50" s="7"/>
      <c r="E50" s="45">
        <f>C50*50</f>
        <v>700</v>
      </c>
      <c r="F50" s="7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idden="1">
      <c r="A51" s="6" t="s">
        <v>55</v>
      </c>
      <c r="B51" s="7" t="s">
        <v>261</v>
      </c>
      <c r="C51" s="7"/>
      <c r="D51" s="47">
        <v>10.0</v>
      </c>
      <c r="E51" s="45">
        <f>D51*250+C51*50</f>
        <v>2500</v>
      </c>
      <c r="F51" s="7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idden="1">
      <c r="A52" s="6" t="s">
        <v>55</v>
      </c>
      <c r="B52" s="7" t="s">
        <v>137</v>
      </c>
      <c r="C52" s="47">
        <v>10.0</v>
      </c>
      <c r="D52" s="7"/>
      <c r="E52" s="45">
        <f>C52*50</f>
        <v>500</v>
      </c>
      <c r="F52" s="7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idden="1">
      <c r="A53" s="6" t="s">
        <v>55</v>
      </c>
      <c r="B53" s="7" t="s">
        <v>155</v>
      </c>
      <c r="C53" s="7"/>
      <c r="D53" s="15">
        <v>11.0</v>
      </c>
      <c r="E53" s="45">
        <f t="shared" ref="E53:E54" si="10">D53*250</f>
        <v>2750</v>
      </c>
      <c r="F53" s="7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idden="1">
      <c r="A54" s="6" t="s">
        <v>55</v>
      </c>
      <c r="B54" s="7" t="s">
        <v>133</v>
      </c>
      <c r="C54" s="7"/>
      <c r="D54" s="47">
        <v>14.0</v>
      </c>
      <c r="E54" s="51">
        <f t="shared" si="10"/>
        <v>3500</v>
      </c>
      <c r="F54" s="7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idden="1">
      <c r="A55" s="6" t="s">
        <v>57</v>
      </c>
      <c r="B55" s="7" t="s">
        <v>131</v>
      </c>
      <c r="C55" s="15">
        <v>15.0</v>
      </c>
      <c r="D55" s="7"/>
      <c r="E55" s="45">
        <f>C55*50</f>
        <v>750</v>
      </c>
      <c r="F55" s="7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idden="1">
      <c r="A56" s="6" t="s">
        <v>57</v>
      </c>
      <c r="B56" s="7" t="s">
        <v>261</v>
      </c>
      <c r="C56" s="7"/>
      <c r="D56" s="47">
        <v>12.0</v>
      </c>
      <c r="E56" s="45">
        <f>D56*250+C56*50</f>
        <v>3000</v>
      </c>
      <c r="F56" s="7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idden="1">
      <c r="A57" s="6" t="s">
        <v>57</v>
      </c>
      <c r="B57" s="7" t="s">
        <v>137</v>
      </c>
      <c r="C57" s="47">
        <v>17.0</v>
      </c>
      <c r="D57" s="7"/>
      <c r="E57" s="45">
        <f>C57*50</f>
        <v>850</v>
      </c>
      <c r="F57" s="7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idden="1">
      <c r="A58" s="6" t="s">
        <v>57</v>
      </c>
      <c r="B58" s="7" t="s">
        <v>155</v>
      </c>
      <c r="C58" s="7"/>
      <c r="D58" s="15">
        <v>11.0</v>
      </c>
      <c r="E58" s="45">
        <f t="shared" ref="E58:E59" si="11">D58*250</f>
        <v>2750</v>
      </c>
      <c r="F58" s="7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idden="1">
      <c r="A59" s="6" t="s">
        <v>57</v>
      </c>
      <c r="B59" s="7" t="s">
        <v>133</v>
      </c>
      <c r="C59" s="7"/>
      <c r="D59" s="47">
        <v>11.0</v>
      </c>
      <c r="E59" s="51">
        <f t="shared" si="11"/>
        <v>2750</v>
      </c>
      <c r="F59" s="7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idden="1">
      <c r="A60" s="6" t="s">
        <v>59</v>
      </c>
      <c r="B60" s="7" t="s">
        <v>131</v>
      </c>
      <c r="C60" s="15">
        <v>13.0</v>
      </c>
      <c r="D60" s="7"/>
      <c r="E60" s="45">
        <f>C60*50</f>
        <v>650</v>
      </c>
      <c r="F60" s="7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idden="1">
      <c r="A61" s="6" t="s">
        <v>59</v>
      </c>
      <c r="B61" s="7" t="s">
        <v>261</v>
      </c>
      <c r="C61" s="7"/>
      <c r="D61" s="47">
        <v>10.0</v>
      </c>
      <c r="E61" s="45">
        <f>D61*250+C61*50</f>
        <v>2500</v>
      </c>
      <c r="F61" s="7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idden="1">
      <c r="A62" s="6" t="s">
        <v>59</v>
      </c>
      <c r="B62" s="7" t="s">
        <v>137</v>
      </c>
      <c r="C62" s="47">
        <v>25.0</v>
      </c>
      <c r="D62" s="7"/>
      <c r="E62" s="45">
        <f>C62*50</f>
        <v>1250</v>
      </c>
      <c r="F62" s="7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idden="1">
      <c r="A63" s="6" t="s">
        <v>59</v>
      </c>
      <c r="B63" s="7" t="s">
        <v>155</v>
      </c>
      <c r="C63" s="7"/>
      <c r="D63" s="15">
        <v>12.0</v>
      </c>
      <c r="E63" s="45">
        <f t="shared" ref="E63:E64" si="12">D63*250</f>
        <v>3000</v>
      </c>
      <c r="F63" s="7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idden="1">
      <c r="A64" s="6" t="s">
        <v>59</v>
      </c>
      <c r="B64" s="7" t="s">
        <v>133</v>
      </c>
      <c r="C64" s="7"/>
      <c r="D64" s="47">
        <v>10.0</v>
      </c>
      <c r="E64" s="51">
        <f t="shared" si="12"/>
        <v>2500</v>
      </c>
      <c r="F64" s="7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idden="1">
      <c r="A65" s="6" t="s">
        <v>62</v>
      </c>
      <c r="B65" s="7" t="s">
        <v>131</v>
      </c>
      <c r="C65" s="15">
        <v>7.0</v>
      </c>
      <c r="D65" s="7"/>
      <c r="E65" s="45">
        <f>C65*50</f>
        <v>350</v>
      </c>
      <c r="F65" s="7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idden="1">
      <c r="A66" s="6" t="s">
        <v>62</v>
      </c>
      <c r="B66" s="7" t="s">
        <v>261</v>
      </c>
      <c r="C66" s="7"/>
      <c r="D66" s="47">
        <v>11.0</v>
      </c>
      <c r="E66" s="45">
        <f>D66*250+C66*50</f>
        <v>2750</v>
      </c>
      <c r="F66" s="7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idden="1">
      <c r="A67" s="6" t="s">
        <v>62</v>
      </c>
      <c r="B67" s="7" t="s">
        <v>137</v>
      </c>
      <c r="C67" s="47">
        <v>20.0</v>
      </c>
      <c r="D67" s="13"/>
      <c r="E67" s="45">
        <f>C67*50</f>
        <v>1000</v>
      </c>
      <c r="F67" s="7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idden="1">
      <c r="A68" s="6" t="s">
        <v>62</v>
      </c>
      <c r="B68" s="7" t="s">
        <v>155</v>
      </c>
      <c r="C68" s="7"/>
      <c r="D68" s="15">
        <v>5.0</v>
      </c>
      <c r="E68" s="45">
        <f t="shared" ref="E68:E69" si="13">D68*250</f>
        <v>1250</v>
      </c>
      <c r="F68" s="7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idden="1">
      <c r="A69" s="6" t="s">
        <v>62</v>
      </c>
      <c r="B69" s="7" t="s">
        <v>133</v>
      </c>
      <c r="C69" s="13"/>
      <c r="D69" s="47">
        <v>10.0</v>
      </c>
      <c r="E69" s="51">
        <f t="shared" si="13"/>
        <v>2500</v>
      </c>
      <c r="F69" s="7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idden="1">
      <c r="A70" s="6" t="s">
        <v>63</v>
      </c>
      <c r="B70" s="7" t="s">
        <v>131</v>
      </c>
      <c r="C70" s="15">
        <v>6.0</v>
      </c>
      <c r="D70" s="7"/>
      <c r="E70" s="45">
        <f>C70*50</f>
        <v>300</v>
      </c>
      <c r="F70" s="7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idden="1">
      <c r="A71" s="6" t="s">
        <v>63</v>
      </c>
      <c r="B71" s="7" t="s">
        <v>261</v>
      </c>
      <c r="C71" s="7"/>
      <c r="D71" s="47">
        <v>11.0</v>
      </c>
      <c r="E71" s="45">
        <f>D71*250+C71*50</f>
        <v>2750</v>
      </c>
      <c r="F71" s="7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idden="1">
      <c r="A72" s="6" t="s">
        <v>63</v>
      </c>
      <c r="B72" s="7" t="s">
        <v>137</v>
      </c>
      <c r="C72" s="47">
        <v>19.0</v>
      </c>
      <c r="D72" s="7"/>
      <c r="E72" s="45">
        <f>C72*50</f>
        <v>950</v>
      </c>
      <c r="F72" s="7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idden="1">
      <c r="A73" s="6" t="s">
        <v>63</v>
      </c>
      <c r="B73" s="7" t="s">
        <v>155</v>
      </c>
      <c r="C73" s="7"/>
      <c r="D73" s="15">
        <v>14.0</v>
      </c>
      <c r="E73" s="45">
        <f t="shared" ref="E73:E74" si="14">D73*250</f>
        <v>3500</v>
      </c>
      <c r="F73" s="7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idden="1">
      <c r="A74" s="6" t="s">
        <v>63</v>
      </c>
      <c r="B74" s="7" t="s">
        <v>133</v>
      </c>
      <c r="C74" s="7"/>
      <c r="D74" s="47">
        <v>12.0</v>
      </c>
      <c r="E74" s="51">
        <f t="shared" si="14"/>
        <v>3000</v>
      </c>
      <c r="F74" s="7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idden="1">
      <c r="A75" s="6" t="s">
        <v>65</v>
      </c>
      <c r="B75" s="7" t="s">
        <v>131</v>
      </c>
      <c r="C75" s="15">
        <v>30.0</v>
      </c>
      <c r="D75" s="7"/>
      <c r="E75" s="45">
        <f>C75*50</f>
        <v>1500</v>
      </c>
      <c r="F75" s="7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idden="1">
      <c r="A76" s="6" t="s">
        <v>65</v>
      </c>
      <c r="B76" s="7" t="s">
        <v>261</v>
      </c>
      <c r="C76" s="7"/>
      <c r="D76" s="47">
        <v>18.0</v>
      </c>
      <c r="E76" s="45">
        <f>D76*250+C76*50</f>
        <v>4500</v>
      </c>
      <c r="F76" s="7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idden="1">
      <c r="A77" s="6" t="s">
        <v>65</v>
      </c>
      <c r="B77" s="7" t="s">
        <v>137</v>
      </c>
      <c r="C77" s="47">
        <v>6.0</v>
      </c>
      <c r="D77" s="7"/>
      <c r="E77" s="45">
        <f>C77*50</f>
        <v>300</v>
      </c>
      <c r="F77" s="7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idden="1">
      <c r="A78" s="6" t="s">
        <v>65</v>
      </c>
      <c r="B78" s="7" t="s">
        <v>155</v>
      </c>
      <c r="C78" s="7"/>
      <c r="D78" s="15">
        <v>10.0</v>
      </c>
      <c r="E78" s="45">
        <f t="shared" ref="E78:E79" si="15">D78*250</f>
        <v>2500</v>
      </c>
      <c r="F78" s="7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idden="1">
      <c r="A79" s="6" t="s">
        <v>65</v>
      </c>
      <c r="B79" s="7" t="s">
        <v>133</v>
      </c>
      <c r="C79" s="7"/>
      <c r="D79" s="47">
        <v>15.0</v>
      </c>
      <c r="E79" s="51">
        <f t="shared" si="15"/>
        <v>3750</v>
      </c>
      <c r="F79" s="7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idden="1">
      <c r="A80" s="6" t="s">
        <v>67</v>
      </c>
      <c r="B80" s="7" t="s">
        <v>131</v>
      </c>
      <c r="C80" s="15">
        <v>28.0</v>
      </c>
      <c r="D80" s="7"/>
      <c r="E80" s="45">
        <f>C80*50</f>
        <v>1400</v>
      </c>
      <c r="F80" s="7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idden="1">
      <c r="A81" s="6" t="s">
        <v>67</v>
      </c>
      <c r="B81" s="7" t="s">
        <v>261</v>
      </c>
      <c r="C81" s="7"/>
      <c r="D81" s="47">
        <v>18.0</v>
      </c>
      <c r="E81" s="45">
        <f>D81*250+C81*50</f>
        <v>4500</v>
      </c>
      <c r="F81" s="7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idden="1">
      <c r="A82" s="6" t="s">
        <v>67</v>
      </c>
      <c r="B82" s="7" t="s">
        <v>137</v>
      </c>
      <c r="C82" s="47">
        <v>27.0</v>
      </c>
      <c r="D82" s="7"/>
      <c r="E82" s="45">
        <f>C82*50</f>
        <v>1350</v>
      </c>
      <c r="F82" s="7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idden="1">
      <c r="A83" s="6" t="s">
        <v>67</v>
      </c>
      <c r="B83" s="7" t="s">
        <v>155</v>
      </c>
      <c r="C83" s="7"/>
      <c r="D83" s="15">
        <v>15.0</v>
      </c>
      <c r="E83" s="45">
        <f t="shared" ref="E83:E84" si="16">D83*250</f>
        <v>3750</v>
      </c>
      <c r="F83" s="7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idden="1">
      <c r="A84" s="6" t="s">
        <v>67</v>
      </c>
      <c r="B84" s="7" t="s">
        <v>133</v>
      </c>
      <c r="C84" s="7"/>
      <c r="D84" s="47">
        <v>19.0</v>
      </c>
      <c r="E84" s="51">
        <f t="shared" si="16"/>
        <v>4750</v>
      </c>
      <c r="F84" s="7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idden="1">
      <c r="A85" s="6" t="s">
        <v>69</v>
      </c>
      <c r="B85" s="7" t="s">
        <v>131</v>
      </c>
      <c r="C85" s="15">
        <v>26.0</v>
      </c>
      <c r="D85" s="7"/>
      <c r="E85" s="45">
        <f>C85*50</f>
        <v>1300</v>
      </c>
      <c r="F85" s="7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idden="1">
      <c r="A86" s="6" t="s">
        <v>69</v>
      </c>
      <c r="B86" s="7" t="s">
        <v>261</v>
      </c>
      <c r="C86" s="34"/>
      <c r="D86" s="47">
        <v>22.0</v>
      </c>
      <c r="E86" s="45">
        <f>D86*250+C86*50</f>
        <v>5500</v>
      </c>
      <c r="F86" s="7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idden="1">
      <c r="A87" s="6" t="s">
        <v>69</v>
      </c>
      <c r="B87" s="7" t="s">
        <v>137</v>
      </c>
      <c r="C87" s="57">
        <v>24.0</v>
      </c>
      <c r="D87" s="7"/>
      <c r="E87" s="45">
        <f>C87*50</f>
        <v>1200</v>
      </c>
      <c r="F87" s="7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idden="1">
      <c r="A88" s="6" t="s">
        <v>69</v>
      </c>
      <c r="B88" s="7" t="s">
        <v>155</v>
      </c>
      <c r="C88" s="13"/>
      <c r="D88" s="15">
        <v>17.0</v>
      </c>
      <c r="E88" s="45">
        <f t="shared" ref="E88:E89" si="17">D88*250</f>
        <v>4250</v>
      </c>
      <c r="F88" s="7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idden="1">
      <c r="A89" s="6" t="s">
        <v>69</v>
      </c>
      <c r="B89" s="7" t="s">
        <v>133</v>
      </c>
      <c r="C89" s="7"/>
      <c r="D89" s="47">
        <v>20.0</v>
      </c>
      <c r="E89" s="51">
        <f t="shared" si="17"/>
        <v>5000</v>
      </c>
      <c r="F89" s="7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idden="1">
      <c r="A90" s="6" t="s">
        <v>71</v>
      </c>
      <c r="B90" s="7" t="s">
        <v>131</v>
      </c>
      <c r="C90" s="15">
        <v>9.0</v>
      </c>
      <c r="D90" s="7"/>
      <c r="E90" s="45">
        <f>C90*50</f>
        <v>450</v>
      </c>
      <c r="F90" s="7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idden="1">
      <c r="A91" s="6" t="s">
        <v>71</v>
      </c>
      <c r="B91" s="7" t="s">
        <v>261</v>
      </c>
      <c r="C91" s="13">
        <v>3.0</v>
      </c>
      <c r="D91" s="47">
        <v>12.0</v>
      </c>
      <c r="E91" s="45">
        <f>D91*250+C91*50</f>
        <v>3150</v>
      </c>
      <c r="F91" s="7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idden="1">
      <c r="A92" s="6" t="s">
        <v>71</v>
      </c>
      <c r="B92" s="7" t="s">
        <v>137</v>
      </c>
      <c r="C92" s="15">
        <v>12.0</v>
      </c>
      <c r="D92" s="7"/>
      <c r="E92" s="45">
        <f>C92*50</f>
        <v>600</v>
      </c>
      <c r="F92" s="7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idden="1">
      <c r="A93" s="6" t="s">
        <v>71</v>
      </c>
      <c r="B93" s="7" t="s">
        <v>155</v>
      </c>
      <c r="C93" s="7"/>
      <c r="D93" s="15">
        <v>7.0</v>
      </c>
      <c r="E93" s="45">
        <f t="shared" ref="E93:E94" si="18">D93*250</f>
        <v>1750</v>
      </c>
      <c r="F93" s="7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idden="1">
      <c r="A94" s="6" t="s">
        <v>71</v>
      </c>
      <c r="B94" s="7" t="s">
        <v>133</v>
      </c>
      <c r="C94" s="7"/>
      <c r="D94" s="47">
        <v>10.0</v>
      </c>
      <c r="E94" s="51">
        <f t="shared" si="18"/>
        <v>2500</v>
      </c>
      <c r="F94" s="7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idden="1">
      <c r="A95" s="6" t="s">
        <v>73</v>
      </c>
      <c r="B95" s="7" t="s">
        <v>131</v>
      </c>
      <c r="C95" s="15">
        <v>18.0</v>
      </c>
      <c r="D95" s="7"/>
      <c r="E95" s="45">
        <f>C95*50</f>
        <v>900</v>
      </c>
      <c r="F95" s="7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idden="1">
      <c r="A96" s="6" t="s">
        <v>73</v>
      </c>
      <c r="B96" s="7" t="s">
        <v>261</v>
      </c>
      <c r="C96" s="34"/>
      <c r="D96" s="47">
        <v>17.0</v>
      </c>
      <c r="E96" s="45">
        <f>D96*250+C96*50</f>
        <v>4250</v>
      </c>
      <c r="F96" s="7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idden="1">
      <c r="A97" s="6" t="s">
        <v>73</v>
      </c>
      <c r="B97" s="7" t="s">
        <v>137</v>
      </c>
      <c r="C97" s="15">
        <v>30.0</v>
      </c>
      <c r="D97" s="7"/>
      <c r="E97" s="45">
        <f>C97*50</f>
        <v>1500</v>
      </c>
      <c r="F97" s="7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idden="1">
      <c r="A98" s="6" t="s">
        <v>73</v>
      </c>
      <c r="B98" s="7" t="s">
        <v>155</v>
      </c>
      <c r="C98" s="7"/>
      <c r="D98" s="15">
        <v>14.0</v>
      </c>
      <c r="E98" s="45">
        <f t="shared" ref="E98:E99" si="19">D98*250</f>
        <v>3500</v>
      </c>
      <c r="F98" s="7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idden="1">
      <c r="A99" s="6" t="s">
        <v>73</v>
      </c>
      <c r="B99" s="7" t="s">
        <v>133</v>
      </c>
      <c r="C99" s="7"/>
      <c r="D99" s="47">
        <v>14.0</v>
      </c>
      <c r="E99" s="51">
        <f t="shared" si="19"/>
        <v>3500</v>
      </c>
      <c r="F99" s="7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idden="1">
      <c r="A100" s="16" t="s">
        <v>74</v>
      </c>
      <c r="B100" s="7" t="s">
        <v>131</v>
      </c>
      <c r="C100" s="13">
        <v>29.0</v>
      </c>
      <c r="D100" s="7"/>
      <c r="E100" s="45">
        <f>C100*50</f>
        <v>1450</v>
      </c>
      <c r="F100" s="7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idden="1">
      <c r="A101" s="16" t="s">
        <v>74</v>
      </c>
      <c r="B101" s="7" t="s">
        <v>261</v>
      </c>
      <c r="C101" s="13">
        <v>3.0</v>
      </c>
      <c r="D101" s="47">
        <v>19.0</v>
      </c>
      <c r="E101" s="45">
        <f>D101*250+C101*50</f>
        <v>4900</v>
      </c>
      <c r="F101" s="7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idden="1">
      <c r="A102" s="16" t="s">
        <v>74</v>
      </c>
      <c r="B102" s="7" t="s">
        <v>137</v>
      </c>
      <c r="C102" s="15">
        <v>24.0</v>
      </c>
      <c r="D102" s="13"/>
      <c r="E102" s="45">
        <f>C102*50</f>
        <v>1200</v>
      </c>
      <c r="F102" s="7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idden="1">
      <c r="A103" s="16" t="s">
        <v>74</v>
      </c>
      <c r="B103" s="7" t="s">
        <v>155</v>
      </c>
      <c r="C103" s="13"/>
      <c r="D103" s="15">
        <v>11.0</v>
      </c>
      <c r="E103" s="45">
        <f t="shared" ref="E103:E104" si="20">D103*250</f>
        <v>2750</v>
      </c>
      <c r="F103" s="7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idden="1">
      <c r="A104" s="16" t="s">
        <v>74</v>
      </c>
      <c r="B104" s="7" t="s">
        <v>133</v>
      </c>
      <c r="C104" s="7"/>
      <c r="D104" s="47">
        <v>19.0</v>
      </c>
      <c r="E104" s="51">
        <f t="shared" si="20"/>
        <v>4750</v>
      </c>
      <c r="F104" s="7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idden="1">
      <c r="A105" s="6" t="s">
        <v>75</v>
      </c>
      <c r="B105" s="7" t="s">
        <v>131</v>
      </c>
      <c r="C105" s="34"/>
      <c r="D105" s="7"/>
      <c r="E105" s="45">
        <f>C105*50</f>
        <v>0</v>
      </c>
      <c r="F105" s="7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idden="1">
      <c r="A106" s="6" t="s">
        <v>75</v>
      </c>
      <c r="B106" s="7" t="s">
        <v>261</v>
      </c>
      <c r="C106" s="7"/>
      <c r="D106" s="47">
        <v>17.0</v>
      </c>
      <c r="E106" s="45">
        <f>D106*250+C106*50</f>
        <v>4250</v>
      </c>
      <c r="F106" s="7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idden="1">
      <c r="A107" s="6" t="s">
        <v>75</v>
      </c>
      <c r="B107" s="7" t="s">
        <v>137</v>
      </c>
      <c r="C107" s="15">
        <v>37.0</v>
      </c>
      <c r="D107" s="7"/>
      <c r="E107" s="45">
        <f>C107*50</f>
        <v>1850</v>
      </c>
      <c r="F107" s="7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idden="1">
      <c r="A108" s="6" t="s">
        <v>75</v>
      </c>
      <c r="B108" s="7" t="s">
        <v>155</v>
      </c>
      <c r="C108" s="7"/>
      <c r="D108" s="15">
        <v>8.0</v>
      </c>
      <c r="E108" s="45">
        <f t="shared" ref="E108:E109" si="21">D108*250</f>
        <v>2000</v>
      </c>
      <c r="F108" s="7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idden="1">
      <c r="A109" s="6" t="s">
        <v>75</v>
      </c>
      <c r="B109" s="7" t="s">
        <v>133</v>
      </c>
      <c r="C109" s="7"/>
      <c r="D109" s="47">
        <v>23.0</v>
      </c>
      <c r="E109" s="51">
        <f t="shared" si="21"/>
        <v>5750</v>
      </c>
      <c r="F109" s="7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idden="1">
      <c r="A110" s="6" t="s">
        <v>77</v>
      </c>
      <c r="B110" s="7" t="s">
        <v>131</v>
      </c>
      <c r="C110" s="15">
        <v>21.0</v>
      </c>
      <c r="D110" s="7"/>
      <c r="E110" s="45">
        <f>C110*50</f>
        <v>1050</v>
      </c>
      <c r="F110" s="7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idden="1">
      <c r="A111" s="6" t="s">
        <v>77</v>
      </c>
      <c r="B111" s="7" t="s">
        <v>261</v>
      </c>
      <c r="C111" s="7"/>
      <c r="D111" s="47">
        <v>16.0</v>
      </c>
      <c r="E111" s="45">
        <f>D111*250+C111*50</f>
        <v>4000</v>
      </c>
      <c r="F111" s="7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idden="1">
      <c r="A112" s="6" t="s">
        <v>77</v>
      </c>
      <c r="B112" s="7" t="s">
        <v>137</v>
      </c>
      <c r="C112" s="15">
        <v>18.0</v>
      </c>
      <c r="D112" s="7"/>
      <c r="E112" s="45">
        <f>C112*50</f>
        <v>900</v>
      </c>
      <c r="F112" s="7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idden="1">
      <c r="A113" s="6" t="s">
        <v>77</v>
      </c>
      <c r="B113" s="7" t="s">
        <v>155</v>
      </c>
      <c r="C113" s="7"/>
      <c r="D113" s="15">
        <v>9.0</v>
      </c>
      <c r="E113" s="45">
        <f t="shared" ref="E113:E114" si="22">D113*250</f>
        <v>2250</v>
      </c>
      <c r="F113" s="7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idden="1">
      <c r="A114" s="6" t="s">
        <v>77</v>
      </c>
      <c r="B114" s="7" t="s">
        <v>133</v>
      </c>
      <c r="C114" s="13"/>
      <c r="D114" s="57">
        <v>19.0</v>
      </c>
      <c r="E114" s="51">
        <f t="shared" si="22"/>
        <v>4750</v>
      </c>
      <c r="F114" s="7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idden="1">
      <c r="A115" s="6" t="s">
        <v>79</v>
      </c>
      <c r="B115" s="7" t="s">
        <v>131</v>
      </c>
      <c r="C115" s="15">
        <v>11.0</v>
      </c>
      <c r="D115" s="7"/>
      <c r="E115" s="45">
        <f>C115*50</f>
        <v>550</v>
      </c>
      <c r="F115" s="7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idden="1">
      <c r="A116" s="6" t="s">
        <v>79</v>
      </c>
      <c r="B116" s="7" t="s">
        <v>261</v>
      </c>
      <c r="C116" s="7"/>
      <c r="D116" s="47">
        <v>15.0</v>
      </c>
      <c r="E116" s="45">
        <f>D116*250+C116*50</f>
        <v>3750</v>
      </c>
      <c r="F116" s="7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idden="1">
      <c r="A117" s="6" t="s">
        <v>79</v>
      </c>
      <c r="B117" s="7" t="s">
        <v>137</v>
      </c>
      <c r="C117" s="15">
        <v>28.0</v>
      </c>
      <c r="D117" s="13"/>
      <c r="E117" s="45">
        <f>C117*50</f>
        <v>1400</v>
      </c>
      <c r="F117" s="7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idden="1">
      <c r="A118" s="6" t="s">
        <v>79</v>
      </c>
      <c r="B118" s="7" t="s">
        <v>155</v>
      </c>
      <c r="C118" s="13"/>
      <c r="D118" s="15">
        <v>7.0</v>
      </c>
      <c r="E118" s="45">
        <f t="shared" ref="E118:E119" si="23">D118*250</f>
        <v>1750</v>
      </c>
      <c r="F118" s="7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idden="1">
      <c r="A119" s="6" t="s">
        <v>79</v>
      </c>
      <c r="B119" s="7" t="s">
        <v>133</v>
      </c>
      <c r="C119" s="7"/>
      <c r="D119" s="15">
        <v>23.0</v>
      </c>
      <c r="E119" s="51">
        <f t="shared" si="23"/>
        <v>5750</v>
      </c>
      <c r="F119" s="7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idden="1">
      <c r="A120" s="6" t="s">
        <v>81</v>
      </c>
      <c r="B120" s="7" t="s">
        <v>131</v>
      </c>
      <c r="C120" s="15">
        <v>22.0</v>
      </c>
      <c r="D120" s="7"/>
      <c r="E120" s="45">
        <f>C120*50</f>
        <v>1100</v>
      </c>
      <c r="F120" s="7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idden="1">
      <c r="A121" s="6" t="s">
        <v>81</v>
      </c>
      <c r="B121" s="7" t="s">
        <v>261</v>
      </c>
      <c r="C121" s="7"/>
      <c r="D121" s="47">
        <v>14.0</v>
      </c>
      <c r="E121" s="45">
        <f>D121*250+C121*50</f>
        <v>3500</v>
      </c>
      <c r="F121" s="7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idden="1">
      <c r="A122" s="6" t="s">
        <v>81</v>
      </c>
      <c r="B122" s="7" t="s">
        <v>137</v>
      </c>
      <c r="C122" s="15">
        <v>21.0</v>
      </c>
      <c r="D122" s="7"/>
      <c r="E122" s="45">
        <f>C122*50</f>
        <v>1050</v>
      </c>
      <c r="F122" s="7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idden="1">
      <c r="A123" s="6" t="s">
        <v>81</v>
      </c>
      <c r="B123" s="7" t="s">
        <v>155</v>
      </c>
      <c r="C123" s="7"/>
      <c r="D123" s="15">
        <v>10.0</v>
      </c>
      <c r="E123" s="45">
        <f t="shared" ref="E123:E124" si="24">D123*250</f>
        <v>2500</v>
      </c>
      <c r="F123" s="7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idden="1">
      <c r="A124" s="6" t="s">
        <v>81</v>
      </c>
      <c r="B124" s="7" t="s">
        <v>133</v>
      </c>
      <c r="C124" s="7"/>
      <c r="D124" s="15">
        <v>20.0</v>
      </c>
      <c r="E124" s="51">
        <f t="shared" si="24"/>
        <v>5000</v>
      </c>
      <c r="F124" s="7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idden="1">
      <c r="A125" s="6" t="s">
        <v>83</v>
      </c>
      <c r="B125" s="7" t="s">
        <v>131</v>
      </c>
      <c r="C125" s="15">
        <v>16.0</v>
      </c>
      <c r="D125" s="7"/>
      <c r="E125" s="45">
        <f>C125*50</f>
        <v>800</v>
      </c>
      <c r="F125" s="7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idden="1">
      <c r="A126" s="6" t="s">
        <v>83</v>
      </c>
      <c r="B126" s="7" t="s">
        <v>261</v>
      </c>
      <c r="C126" s="7"/>
      <c r="D126" s="47">
        <v>14.0</v>
      </c>
      <c r="E126" s="45">
        <f>D126*250+C126*50</f>
        <v>3500</v>
      </c>
      <c r="F126" s="7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idden="1">
      <c r="A127" s="6" t="s">
        <v>83</v>
      </c>
      <c r="B127" s="7" t="s">
        <v>137</v>
      </c>
      <c r="C127" s="15">
        <v>25.0</v>
      </c>
      <c r="D127" s="7"/>
      <c r="E127" s="45">
        <f>C127*50</f>
        <v>1250</v>
      </c>
      <c r="F127" s="7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idden="1">
      <c r="A128" s="6" t="s">
        <v>83</v>
      </c>
      <c r="B128" s="7" t="s">
        <v>155</v>
      </c>
      <c r="C128" s="7"/>
      <c r="D128" s="15">
        <v>11.0</v>
      </c>
      <c r="E128" s="45">
        <f t="shared" ref="E128:E129" si="25">D128*250</f>
        <v>2750</v>
      </c>
      <c r="F128" s="7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idden="1">
      <c r="A129" s="6" t="s">
        <v>83</v>
      </c>
      <c r="B129" s="7" t="s">
        <v>133</v>
      </c>
      <c r="C129" s="13"/>
      <c r="D129" s="15">
        <v>17.0</v>
      </c>
      <c r="E129" s="51">
        <f t="shared" si="25"/>
        <v>4250</v>
      </c>
      <c r="F129" s="7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idden="1">
      <c r="A130" s="6" t="s">
        <v>85</v>
      </c>
      <c r="B130" s="7" t="s">
        <v>131</v>
      </c>
      <c r="C130" s="15">
        <v>23.0</v>
      </c>
      <c r="D130" s="7"/>
      <c r="E130" s="45">
        <f>C130*50</f>
        <v>1150</v>
      </c>
      <c r="F130" s="7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idden="1">
      <c r="A131" s="6" t="s">
        <v>85</v>
      </c>
      <c r="B131" s="7" t="s">
        <v>261</v>
      </c>
      <c r="C131" s="34"/>
      <c r="D131" s="57">
        <v>14.0</v>
      </c>
      <c r="E131" s="45">
        <f>D131*250+C131*50</f>
        <v>3500</v>
      </c>
      <c r="F131" s="7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idden="1">
      <c r="A132" s="6" t="s">
        <v>85</v>
      </c>
      <c r="B132" s="7" t="s">
        <v>137</v>
      </c>
      <c r="C132" s="15">
        <v>30.0</v>
      </c>
      <c r="D132" s="7"/>
      <c r="E132" s="45">
        <f>C132*50</f>
        <v>1500</v>
      </c>
      <c r="F132" s="7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idden="1">
      <c r="A133" s="6" t="s">
        <v>85</v>
      </c>
      <c r="B133" s="7" t="s">
        <v>155</v>
      </c>
      <c r="C133" s="7"/>
      <c r="D133" s="15">
        <v>7.0</v>
      </c>
      <c r="E133" s="45">
        <f t="shared" ref="E133:E134" si="26">D133*250</f>
        <v>1750</v>
      </c>
      <c r="F133" s="7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idden="1">
      <c r="A134" s="6" t="s">
        <v>85</v>
      </c>
      <c r="B134" s="7" t="s">
        <v>133</v>
      </c>
      <c r="C134" s="13"/>
      <c r="D134" s="15">
        <v>17.0</v>
      </c>
      <c r="E134" s="51">
        <f t="shared" si="26"/>
        <v>4250</v>
      </c>
      <c r="F134" s="7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idden="1">
      <c r="A135" s="6" t="s">
        <v>87</v>
      </c>
      <c r="B135" s="7" t="s">
        <v>131</v>
      </c>
      <c r="C135" s="15">
        <v>18.0</v>
      </c>
      <c r="D135" s="7"/>
      <c r="E135" s="45">
        <f>C135*50</f>
        <v>900</v>
      </c>
      <c r="F135" s="7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idden="1">
      <c r="A136" s="6" t="s">
        <v>87</v>
      </c>
      <c r="B136" s="7" t="s">
        <v>261</v>
      </c>
      <c r="C136" s="15">
        <v>2.0</v>
      </c>
      <c r="D136" s="15">
        <v>8.0</v>
      </c>
      <c r="E136" s="45">
        <f>D136*250+C136*50</f>
        <v>2100</v>
      </c>
      <c r="F136" s="7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idden="1">
      <c r="A137" s="6" t="s">
        <v>87</v>
      </c>
      <c r="B137" s="7" t="s">
        <v>137</v>
      </c>
      <c r="C137" s="15">
        <v>25.0</v>
      </c>
      <c r="D137" s="7"/>
      <c r="E137" s="45">
        <f>C137*50</f>
        <v>1250</v>
      </c>
      <c r="F137" s="7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idden="1">
      <c r="A138" s="6" t="s">
        <v>87</v>
      </c>
      <c r="B138" s="7" t="s">
        <v>155</v>
      </c>
      <c r="C138" s="7"/>
      <c r="D138" s="15">
        <v>12.0</v>
      </c>
      <c r="E138" s="45">
        <f t="shared" ref="E138:E139" si="27">D138*250</f>
        <v>3000</v>
      </c>
      <c r="F138" s="7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idden="1">
      <c r="A139" s="6" t="s">
        <v>87</v>
      </c>
      <c r="B139" s="7" t="s">
        <v>133</v>
      </c>
      <c r="C139" s="7"/>
      <c r="D139" s="15">
        <v>16.0</v>
      </c>
      <c r="E139" s="58">
        <f t="shared" si="27"/>
        <v>4000</v>
      </c>
      <c r="F139" s="7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idden="1">
      <c r="A140" s="6" t="s">
        <v>89</v>
      </c>
      <c r="B140" s="13" t="s">
        <v>131</v>
      </c>
      <c r="C140" s="15">
        <v>11.0</v>
      </c>
      <c r="D140" s="7"/>
      <c r="E140" s="45">
        <f>C140*50</f>
        <v>550</v>
      </c>
      <c r="F140" s="7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idden="1">
      <c r="A141" s="6" t="s">
        <v>89</v>
      </c>
      <c r="B141" s="7" t="s">
        <v>261</v>
      </c>
      <c r="C141" s="15">
        <v>11.0</v>
      </c>
      <c r="D141" s="13">
        <v>5.0</v>
      </c>
      <c r="E141" s="45">
        <f>D141*250+C141*50</f>
        <v>1800</v>
      </c>
      <c r="F141" s="7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idden="1">
      <c r="A142" s="6" t="s">
        <v>89</v>
      </c>
      <c r="B142" s="7" t="s">
        <v>137</v>
      </c>
      <c r="C142" s="15">
        <v>29.0</v>
      </c>
      <c r="D142" s="7"/>
      <c r="E142" s="45">
        <f>C142*50</f>
        <v>1450</v>
      </c>
      <c r="F142" s="7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idden="1">
      <c r="A143" s="6" t="s">
        <v>89</v>
      </c>
      <c r="B143" s="7" t="s">
        <v>155</v>
      </c>
      <c r="C143" s="7"/>
      <c r="D143" s="15">
        <v>11.0</v>
      </c>
      <c r="E143" s="45">
        <f t="shared" ref="E143:E144" si="28">D143*250</f>
        <v>2750</v>
      </c>
      <c r="F143" s="7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idden="1">
      <c r="A144" s="6" t="s">
        <v>89</v>
      </c>
      <c r="B144" s="7" t="s">
        <v>133</v>
      </c>
      <c r="C144" s="7"/>
      <c r="D144" s="15">
        <v>14.0</v>
      </c>
      <c r="E144" s="45">
        <f t="shared" si="28"/>
        <v>3500</v>
      </c>
      <c r="F144" s="7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idden="1">
      <c r="A145" s="6" t="s">
        <v>92</v>
      </c>
      <c r="B145" s="7" t="s">
        <v>261</v>
      </c>
      <c r="C145" s="15">
        <v>28.0</v>
      </c>
      <c r="D145" s="7"/>
      <c r="E145" s="45">
        <f t="shared" ref="E145:E146" si="29">C145*50</f>
        <v>1400</v>
      </c>
      <c r="F145" s="7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idden="1">
      <c r="A146" s="6" t="s">
        <v>92</v>
      </c>
      <c r="B146" s="7" t="s">
        <v>137</v>
      </c>
      <c r="C146" s="15">
        <v>27.0</v>
      </c>
      <c r="D146" s="7"/>
      <c r="E146" s="45">
        <f t="shared" si="29"/>
        <v>1350</v>
      </c>
      <c r="F146" s="7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idden="1">
      <c r="A147" s="6" t="s">
        <v>92</v>
      </c>
      <c r="B147" s="7" t="s">
        <v>155</v>
      </c>
      <c r="C147" s="13"/>
      <c r="D147" s="15">
        <v>12.0</v>
      </c>
      <c r="E147" s="45">
        <f t="shared" ref="E147:E148" si="30">D147*250</f>
        <v>3000</v>
      </c>
      <c r="F147" s="7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idden="1">
      <c r="A148" s="6" t="s">
        <v>92</v>
      </c>
      <c r="B148" s="7" t="s">
        <v>133</v>
      </c>
      <c r="C148" s="7"/>
      <c r="D148" s="15">
        <v>15.0</v>
      </c>
      <c r="E148" s="45">
        <f t="shared" si="30"/>
        <v>3750</v>
      </c>
      <c r="F148" s="7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idden="1">
      <c r="A149" s="6" t="s">
        <v>95</v>
      </c>
      <c r="B149" s="7" t="s">
        <v>261</v>
      </c>
      <c r="C149" s="15">
        <v>26.0</v>
      </c>
      <c r="D149" s="7"/>
      <c r="E149" s="45">
        <f t="shared" ref="E149:E150" si="31">C149*50</f>
        <v>1300</v>
      </c>
      <c r="F149" s="7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idden="1">
      <c r="A150" s="6" t="s">
        <v>95</v>
      </c>
      <c r="B150" s="7" t="s">
        <v>137</v>
      </c>
      <c r="C150" s="15">
        <v>19.0</v>
      </c>
      <c r="D150" s="7"/>
      <c r="E150" s="45">
        <f t="shared" si="31"/>
        <v>950</v>
      </c>
      <c r="F150" s="7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idden="1">
      <c r="A151" s="6" t="s">
        <v>95</v>
      </c>
      <c r="B151" s="7" t="s">
        <v>155</v>
      </c>
      <c r="C151" s="7"/>
      <c r="D151" s="15">
        <v>12.0</v>
      </c>
      <c r="E151" s="45">
        <f t="shared" ref="E151:E152" si="32">D151*250</f>
        <v>3000</v>
      </c>
      <c r="F151" s="13" t="s">
        <v>390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idden="1">
      <c r="A152" s="6" t="s">
        <v>95</v>
      </c>
      <c r="B152" s="7" t="s">
        <v>133</v>
      </c>
      <c r="C152" s="7"/>
      <c r="D152" s="15">
        <v>16.0</v>
      </c>
      <c r="E152" s="45">
        <f t="shared" si="32"/>
        <v>4000</v>
      </c>
      <c r="F152" s="7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idden="1">
      <c r="A153" s="6" t="s">
        <v>97</v>
      </c>
      <c r="B153" s="7" t="s">
        <v>261</v>
      </c>
      <c r="C153" s="15">
        <v>25.0</v>
      </c>
      <c r="D153" s="7"/>
      <c r="E153" s="45">
        <f t="shared" ref="E153:E154" si="33">C153*50</f>
        <v>1250</v>
      </c>
      <c r="F153" s="7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idden="1">
      <c r="A154" s="6" t="s">
        <v>97</v>
      </c>
      <c r="B154" s="7" t="s">
        <v>137</v>
      </c>
      <c r="C154" s="15">
        <v>24.0</v>
      </c>
      <c r="D154" s="7"/>
      <c r="E154" s="45">
        <f t="shared" si="33"/>
        <v>1200</v>
      </c>
      <c r="F154" s="7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idden="1">
      <c r="A155" s="6" t="s">
        <v>97</v>
      </c>
      <c r="B155" s="7" t="s">
        <v>155</v>
      </c>
      <c r="C155" s="7"/>
      <c r="D155" s="15">
        <v>12.0</v>
      </c>
      <c r="E155" s="45">
        <f t="shared" ref="E155:E156" si="34">D155*250</f>
        <v>3000</v>
      </c>
      <c r="F155" s="7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idden="1">
      <c r="A156" s="6" t="s">
        <v>97</v>
      </c>
      <c r="B156" s="7" t="s">
        <v>133</v>
      </c>
      <c r="C156" s="7"/>
      <c r="D156" s="15">
        <v>10.0</v>
      </c>
      <c r="E156" s="45">
        <f t="shared" si="34"/>
        <v>2500</v>
      </c>
      <c r="F156" s="7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idden="1">
      <c r="A157" s="6" t="s">
        <v>98</v>
      </c>
      <c r="B157" s="7" t="s">
        <v>261</v>
      </c>
      <c r="C157" s="15">
        <v>30.0</v>
      </c>
      <c r="D157" s="7"/>
      <c r="E157" s="45">
        <f t="shared" ref="E157:E158" si="35">C157*50</f>
        <v>1500</v>
      </c>
      <c r="F157" s="7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idden="1">
      <c r="A158" s="6" t="s">
        <v>98</v>
      </c>
      <c r="B158" s="7" t="s">
        <v>137</v>
      </c>
      <c r="C158" s="15">
        <v>22.0</v>
      </c>
      <c r="D158" s="7"/>
      <c r="E158" s="45">
        <f t="shared" si="35"/>
        <v>1100</v>
      </c>
      <c r="F158" s="7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idden="1">
      <c r="A159" s="6" t="s">
        <v>98</v>
      </c>
      <c r="B159" s="7" t="s">
        <v>155</v>
      </c>
      <c r="C159" s="7"/>
      <c r="D159" s="15">
        <v>9.0</v>
      </c>
      <c r="E159" s="45">
        <f t="shared" ref="E159:E160" si="36">D159*250</f>
        <v>2250</v>
      </c>
      <c r="F159" s="13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idden="1">
      <c r="A160" s="6" t="s">
        <v>98</v>
      </c>
      <c r="B160" s="7" t="s">
        <v>133</v>
      </c>
      <c r="C160" s="7"/>
      <c r="D160" s="15">
        <v>10.0</v>
      </c>
      <c r="E160" s="45">
        <f t="shared" si="36"/>
        <v>2500</v>
      </c>
      <c r="F160" s="7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idden="1">
      <c r="A161" s="6" t="s">
        <v>99</v>
      </c>
      <c r="B161" s="7" t="s">
        <v>261</v>
      </c>
      <c r="C161" s="15">
        <v>31.0</v>
      </c>
      <c r="D161" s="7"/>
      <c r="E161" s="45">
        <f t="shared" ref="E161:E162" si="37">C161*50</f>
        <v>1550</v>
      </c>
      <c r="F161" s="7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idden="1">
      <c r="A162" s="6" t="s">
        <v>99</v>
      </c>
      <c r="B162" s="7" t="s">
        <v>137</v>
      </c>
      <c r="C162" s="15">
        <v>17.0</v>
      </c>
      <c r="D162" s="7"/>
      <c r="E162" s="45">
        <f t="shared" si="37"/>
        <v>850</v>
      </c>
      <c r="F162" s="7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idden="1">
      <c r="A163" s="6" t="s">
        <v>99</v>
      </c>
      <c r="B163" s="7" t="s">
        <v>155</v>
      </c>
      <c r="C163" s="7"/>
      <c r="D163" s="15">
        <v>8.0</v>
      </c>
      <c r="E163" s="45">
        <f t="shared" ref="E163:E164" si="38">D163*250</f>
        <v>2000</v>
      </c>
      <c r="F163" s="13" t="s">
        <v>391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idden="1">
      <c r="A164" s="6" t="s">
        <v>99</v>
      </c>
      <c r="B164" s="7" t="s">
        <v>133</v>
      </c>
      <c r="C164" s="7"/>
      <c r="D164" s="15">
        <v>10.0</v>
      </c>
      <c r="E164" s="45">
        <f t="shared" si="38"/>
        <v>2500</v>
      </c>
      <c r="F164" s="7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idden="1">
      <c r="A165" s="6" t="s">
        <v>100</v>
      </c>
      <c r="B165" s="7" t="s">
        <v>261</v>
      </c>
      <c r="C165" s="15">
        <v>31.0</v>
      </c>
      <c r="D165" s="7"/>
      <c r="E165" s="45">
        <f t="shared" ref="E165:E166" si="39">C165*50</f>
        <v>1550</v>
      </c>
      <c r="F165" s="7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idden="1">
      <c r="A166" s="6" t="s">
        <v>100</v>
      </c>
      <c r="B166" s="7" t="s">
        <v>137</v>
      </c>
      <c r="C166" s="15">
        <v>22.0</v>
      </c>
      <c r="D166" s="7"/>
      <c r="E166" s="45">
        <f t="shared" si="39"/>
        <v>1100</v>
      </c>
      <c r="F166" s="7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idden="1">
      <c r="A167" s="6" t="s">
        <v>100</v>
      </c>
      <c r="B167" s="7" t="s">
        <v>155</v>
      </c>
      <c r="C167" s="7"/>
      <c r="D167" s="15">
        <v>9.0</v>
      </c>
      <c r="E167" s="45">
        <f t="shared" ref="E167:E168" si="40">D167*250</f>
        <v>2250</v>
      </c>
      <c r="F167" s="13" t="s">
        <v>392</v>
      </c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idden="1">
      <c r="A168" s="6" t="s">
        <v>100</v>
      </c>
      <c r="B168" s="7" t="s">
        <v>133</v>
      </c>
      <c r="C168" s="7"/>
      <c r="D168" s="15">
        <v>7.0</v>
      </c>
      <c r="E168" s="45">
        <f t="shared" si="40"/>
        <v>1750</v>
      </c>
      <c r="F168" s="7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idden="1">
      <c r="A169" s="6" t="s">
        <v>102</v>
      </c>
      <c r="B169" s="7" t="s">
        <v>261</v>
      </c>
      <c r="C169" s="15">
        <v>20.0</v>
      </c>
      <c r="D169" s="7"/>
      <c r="E169" s="45">
        <f t="shared" ref="E169:E170" si="41">C169*50</f>
        <v>1000</v>
      </c>
      <c r="F169" s="7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idden="1">
      <c r="A170" s="6" t="s">
        <v>102</v>
      </c>
      <c r="B170" s="7" t="s">
        <v>137</v>
      </c>
      <c r="C170" s="15">
        <v>19.0</v>
      </c>
      <c r="D170" s="7"/>
      <c r="E170" s="45">
        <f t="shared" si="41"/>
        <v>950</v>
      </c>
      <c r="F170" s="7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idden="1">
      <c r="A171" s="6" t="s">
        <v>102</v>
      </c>
      <c r="B171" s="7" t="s">
        <v>155</v>
      </c>
      <c r="C171" s="13"/>
      <c r="D171" s="15">
        <v>8.0</v>
      </c>
      <c r="E171" s="45">
        <f t="shared" ref="E171:E172" si="42">D171*250</f>
        <v>2000</v>
      </c>
      <c r="F171" s="13" t="s">
        <v>391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idden="1">
      <c r="A172" s="6" t="s">
        <v>102</v>
      </c>
      <c r="B172" s="7" t="s">
        <v>133</v>
      </c>
      <c r="C172" s="7"/>
      <c r="D172" s="15">
        <v>7.0</v>
      </c>
      <c r="E172" s="45">
        <f t="shared" si="42"/>
        <v>1750</v>
      </c>
      <c r="F172" s="7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idden="1">
      <c r="A173" s="6" t="s">
        <v>104</v>
      </c>
      <c r="B173" s="7" t="s">
        <v>261</v>
      </c>
      <c r="C173" s="15">
        <v>24.0</v>
      </c>
      <c r="D173" s="7"/>
      <c r="E173" s="45">
        <f t="shared" ref="E173:E174" si="43">C173*50</f>
        <v>1200</v>
      </c>
      <c r="F173" s="7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idden="1">
      <c r="A174" s="6" t="s">
        <v>104</v>
      </c>
      <c r="B174" s="7" t="s">
        <v>137</v>
      </c>
      <c r="C174" s="15">
        <v>21.0</v>
      </c>
      <c r="D174" s="7"/>
      <c r="E174" s="45">
        <f t="shared" si="43"/>
        <v>1050</v>
      </c>
      <c r="F174" s="7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idden="1">
      <c r="A175" s="6" t="s">
        <v>104</v>
      </c>
      <c r="B175" s="7" t="s">
        <v>155</v>
      </c>
      <c r="C175" s="7"/>
      <c r="D175" s="15">
        <v>10.0</v>
      </c>
      <c r="E175" s="45">
        <f t="shared" ref="E175:E176" si="44">D175*250</f>
        <v>2500</v>
      </c>
      <c r="F175" s="7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idden="1">
      <c r="A176" s="6" t="s">
        <v>104</v>
      </c>
      <c r="B176" s="7" t="s">
        <v>133</v>
      </c>
      <c r="C176" s="7"/>
      <c r="D176" s="15">
        <v>11.0</v>
      </c>
      <c r="E176" s="45">
        <f t="shared" si="44"/>
        <v>2750</v>
      </c>
      <c r="F176" s="7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idden="1">
      <c r="A177" s="6" t="s">
        <v>105</v>
      </c>
      <c r="B177" s="7" t="s">
        <v>261</v>
      </c>
      <c r="C177" s="15">
        <v>21.0</v>
      </c>
      <c r="D177" s="7"/>
      <c r="E177" s="45">
        <f t="shared" ref="E177:E178" si="45">C177*50</f>
        <v>1050</v>
      </c>
      <c r="F177" s="7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idden="1">
      <c r="A178" s="6" t="s">
        <v>105</v>
      </c>
      <c r="B178" s="7" t="s">
        <v>137</v>
      </c>
      <c r="C178" s="15">
        <v>18.0</v>
      </c>
      <c r="D178" s="7"/>
      <c r="E178" s="45">
        <f t="shared" si="45"/>
        <v>900</v>
      </c>
      <c r="F178" s="7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idden="1">
      <c r="A179" s="6" t="s">
        <v>105</v>
      </c>
      <c r="B179" s="7" t="s">
        <v>155</v>
      </c>
      <c r="C179" s="13"/>
      <c r="D179" s="15">
        <v>7.0</v>
      </c>
      <c r="E179" s="45">
        <f t="shared" ref="E179:E180" si="46">D179*250</f>
        <v>1750</v>
      </c>
      <c r="F179" s="7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idden="1">
      <c r="A180" s="6" t="s">
        <v>105</v>
      </c>
      <c r="B180" s="7" t="s">
        <v>133</v>
      </c>
      <c r="C180" s="7"/>
      <c r="D180" s="15">
        <v>13.0</v>
      </c>
      <c r="E180" s="45">
        <f t="shared" si="46"/>
        <v>3250</v>
      </c>
      <c r="F180" s="7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idden="1">
      <c r="A181" s="6" t="s">
        <v>106</v>
      </c>
      <c r="B181" s="7" t="s">
        <v>261</v>
      </c>
      <c r="C181" s="15">
        <v>29.0</v>
      </c>
      <c r="D181" s="7"/>
      <c r="E181" s="45">
        <f t="shared" ref="E181:E182" si="47">C181*50</f>
        <v>1450</v>
      </c>
      <c r="F181" s="7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idden="1">
      <c r="A182" s="6" t="s">
        <v>106</v>
      </c>
      <c r="B182" s="7" t="s">
        <v>137</v>
      </c>
      <c r="C182" s="15">
        <v>19.0</v>
      </c>
      <c r="D182" s="7"/>
      <c r="E182" s="45">
        <f t="shared" si="47"/>
        <v>950</v>
      </c>
      <c r="F182" s="7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idden="1">
      <c r="A183" s="6" t="s">
        <v>106</v>
      </c>
      <c r="B183" s="7" t="s">
        <v>155</v>
      </c>
      <c r="C183" s="13"/>
      <c r="D183" s="15">
        <v>10.0</v>
      </c>
      <c r="E183" s="45">
        <f t="shared" ref="E183:E184" si="48">D183*250</f>
        <v>2500</v>
      </c>
      <c r="F183" s="7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idden="1">
      <c r="A184" s="6" t="s">
        <v>106</v>
      </c>
      <c r="B184" s="7" t="s">
        <v>133</v>
      </c>
      <c r="C184" s="7"/>
      <c r="D184" s="15">
        <v>10.0</v>
      </c>
      <c r="E184" s="45">
        <f t="shared" si="48"/>
        <v>2500</v>
      </c>
      <c r="F184" s="7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idden="1">
      <c r="A185" s="6" t="s">
        <v>107</v>
      </c>
      <c r="B185" s="7" t="s">
        <v>261</v>
      </c>
      <c r="C185" s="15">
        <v>27.0</v>
      </c>
      <c r="D185" s="7"/>
      <c r="E185" s="45">
        <f t="shared" ref="E185:E186" si="49">C185*50</f>
        <v>1350</v>
      </c>
      <c r="F185" s="7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idden="1">
      <c r="A186" s="6" t="s">
        <v>107</v>
      </c>
      <c r="B186" s="7" t="s">
        <v>137</v>
      </c>
      <c r="C186" s="15">
        <v>14.0</v>
      </c>
      <c r="D186" s="7"/>
      <c r="E186" s="45">
        <f t="shared" si="49"/>
        <v>700</v>
      </c>
      <c r="F186" s="7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idden="1">
      <c r="A187" s="6" t="s">
        <v>107</v>
      </c>
      <c r="B187" s="7" t="s">
        <v>155</v>
      </c>
      <c r="C187" s="7"/>
      <c r="D187" s="15">
        <v>8.0</v>
      </c>
      <c r="E187" s="45">
        <f t="shared" ref="E187:E188" si="50">D187*250</f>
        <v>2000</v>
      </c>
      <c r="F187" s="7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idden="1">
      <c r="A188" s="6" t="s">
        <v>107</v>
      </c>
      <c r="B188" s="7" t="s">
        <v>133</v>
      </c>
      <c r="C188" s="7"/>
      <c r="D188" s="15">
        <v>11.0</v>
      </c>
      <c r="E188" s="45">
        <f t="shared" si="50"/>
        <v>2750</v>
      </c>
      <c r="F188" s="7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idden="1">
      <c r="A189" s="6" t="s">
        <v>108</v>
      </c>
      <c r="B189" s="7" t="s">
        <v>261</v>
      </c>
      <c r="C189" s="15">
        <v>29.0</v>
      </c>
      <c r="D189" s="7"/>
      <c r="E189" s="45">
        <f t="shared" ref="E189:E190" si="51">C189*50</f>
        <v>1450</v>
      </c>
      <c r="F189" s="7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idden="1">
      <c r="A190" s="6" t="s">
        <v>108</v>
      </c>
      <c r="B190" s="7" t="s">
        <v>137</v>
      </c>
      <c r="C190" s="15">
        <v>15.0</v>
      </c>
      <c r="D190" s="7"/>
      <c r="E190" s="45">
        <f t="shared" si="51"/>
        <v>750</v>
      </c>
      <c r="F190" s="7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idden="1">
      <c r="A191" s="6" t="s">
        <v>108</v>
      </c>
      <c r="B191" s="7" t="s">
        <v>155</v>
      </c>
      <c r="C191" s="7"/>
      <c r="D191" s="15">
        <v>7.0</v>
      </c>
      <c r="E191" s="45">
        <f t="shared" ref="E191:E192" si="52">D191*250</f>
        <v>1750</v>
      </c>
      <c r="F191" s="7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idden="1">
      <c r="A192" s="6" t="s">
        <v>108</v>
      </c>
      <c r="B192" s="7" t="s">
        <v>133</v>
      </c>
      <c r="C192" s="7"/>
      <c r="D192" s="15">
        <v>9.0</v>
      </c>
      <c r="E192" s="45">
        <f t="shared" si="52"/>
        <v>2250</v>
      </c>
      <c r="F192" s="7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idden="1">
      <c r="A193" s="6" t="s">
        <v>109</v>
      </c>
      <c r="B193" s="7" t="s">
        <v>261</v>
      </c>
      <c r="C193" s="15">
        <v>28.0</v>
      </c>
      <c r="D193" s="7"/>
      <c r="E193" s="45">
        <f t="shared" ref="E193:E194" si="53">C193*50</f>
        <v>1400</v>
      </c>
      <c r="F193" s="7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idden="1">
      <c r="A194" s="6" t="s">
        <v>109</v>
      </c>
      <c r="B194" s="7" t="s">
        <v>137</v>
      </c>
      <c r="C194" s="15">
        <v>19.0</v>
      </c>
      <c r="D194" s="7"/>
      <c r="E194" s="45">
        <f t="shared" si="53"/>
        <v>950</v>
      </c>
      <c r="F194" s="7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idden="1">
      <c r="A195" s="6" t="s">
        <v>109</v>
      </c>
      <c r="B195" s="7" t="s">
        <v>155</v>
      </c>
      <c r="C195" s="7"/>
      <c r="D195" s="15">
        <v>11.0</v>
      </c>
      <c r="E195" s="45">
        <f t="shared" ref="E195:E196" si="54">D195*250</f>
        <v>2750</v>
      </c>
      <c r="F195" s="7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idden="1">
      <c r="A196" s="6" t="s">
        <v>109</v>
      </c>
      <c r="B196" s="7" t="s">
        <v>133</v>
      </c>
      <c r="C196" s="7"/>
      <c r="D196" s="15">
        <v>12.0</v>
      </c>
      <c r="E196" s="45">
        <f t="shared" si="54"/>
        <v>3000</v>
      </c>
      <c r="F196" s="7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idden="1">
      <c r="A197" s="6" t="s">
        <v>110</v>
      </c>
      <c r="B197" s="7" t="s">
        <v>261</v>
      </c>
      <c r="C197" s="15">
        <v>22.0</v>
      </c>
      <c r="D197" s="7"/>
      <c r="E197" s="45">
        <f t="shared" ref="E197:E198" si="55">C197*50</f>
        <v>1100</v>
      </c>
      <c r="F197" s="7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idden="1">
      <c r="A198" s="6" t="s">
        <v>110</v>
      </c>
      <c r="B198" s="7" t="s">
        <v>137</v>
      </c>
      <c r="C198" s="15">
        <v>22.0</v>
      </c>
      <c r="D198" s="7"/>
      <c r="E198" s="45">
        <f t="shared" si="55"/>
        <v>1100</v>
      </c>
      <c r="F198" s="7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idden="1">
      <c r="A199" s="6" t="s">
        <v>110</v>
      </c>
      <c r="B199" s="7" t="s">
        <v>155</v>
      </c>
      <c r="C199" s="13"/>
      <c r="D199" s="15">
        <v>12.0</v>
      </c>
      <c r="E199" s="45">
        <f t="shared" ref="E199:E200" si="56">D199*250</f>
        <v>3000</v>
      </c>
      <c r="F199" s="7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idden="1">
      <c r="A200" s="6" t="s">
        <v>110</v>
      </c>
      <c r="B200" s="7" t="s">
        <v>133</v>
      </c>
      <c r="C200" s="7"/>
      <c r="D200" s="15">
        <v>10.0</v>
      </c>
      <c r="E200" s="45">
        <f t="shared" si="56"/>
        <v>2500</v>
      </c>
      <c r="F200" s="7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idden="1">
      <c r="A201" s="6" t="s">
        <v>10</v>
      </c>
      <c r="B201" s="7" t="s">
        <v>261</v>
      </c>
      <c r="C201" s="15">
        <v>31.0</v>
      </c>
      <c r="D201" s="7"/>
      <c r="E201" s="45">
        <f t="shared" ref="E201:E202" si="57">C201*50</f>
        <v>1550</v>
      </c>
      <c r="F201" s="7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idden="1">
      <c r="A202" s="6" t="s">
        <v>10</v>
      </c>
      <c r="B202" s="7" t="s">
        <v>137</v>
      </c>
      <c r="C202" s="15">
        <v>23.0</v>
      </c>
      <c r="D202" s="7"/>
      <c r="E202" s="45">
        <f t="shared" si="57"/>
        <v>1150</v>
      </c>
      <c r="F202" s="7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idden="1">
      <c r="A203" s="6" t="s">
        <v>10</v>
      </c>
      <c r="B203" s="7" t="s">
        <v>155</v>
      </c>
      <c r="C203" s="7"/>
      <c r="D203" s="15">
        <v>13.0</v>
      </c>
      <c r="E203" s="45">
        <f t="shared" ref="E203:E204" si="58">D203*250</f>
        <v>3250</v>
      </c>
      <c r="F203" s="7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idden="1">
      <c r="A204" s="6" t="s">
        <v>10</v>
      </c>
      <c r="B204" s="7" t="s">
        <v>133</v>
      </c>
      <c r="C204" s="7"/>
      <c r="D204" s="15">
        <v>11.0</v>
      </c>
      <c r="E204" s="45">
        <f t="shared" si="58"/>
        <v>2750</v>
      </c>
      <c r="F204" s="7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idden="1">
      <c r="A205" s="6" t="s">
        <v>24</v>
      </c>
      <c r="B205" s="7" t="s">
        <v>261</v>
      </c>
      <c r="C205" s="15">
        <v>24.0</v>
      </c>
      <c r="D205" s="7"/>
      <c r="E205" s="45">
        <f t="shared" ref="E205:E206" si="59">C205*50</f>
        <v>1200</v>
      </c>
      <c r="F205" s="7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idden="1">
      <c r="A206" s="6" t="s">
        <v>24</v>
      </c>
      <c r="B206" s="7" t="s">
        <v>137</v>
      </c>
      <c r="C206" s="15">
        <v>23.0</v>
      </c>
      <c r="D206" s="7"/>
      <c r="E206" s="45">
        <f t="shared" si="59"/>
        <v>1150</v>
      </c>
      <c r="F206" s="7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idden="1">
      <c r="A207" s="6" t="s">
        <v>24</v>
      </c>
      <c r="B207" s="7" t="s">
        <v>155</v>
      </c>
      <c r="C207" s="7"/>
      <c r="D207" s="15">
        <v>13.0</v>
      </c>
      <c r="E207" s="45">
        <f t="shared" ref="E207:E208" si="60">D207*250</f>
        <v>3250</v>
      </c>
      <c r="F207" s="7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idden="1">
      <c r="A208" s="6" t="s">
        <v>24</v>
      </c>
      <c r="B208" s="7" t="s">
        <v>133</v>
      </c>
      <c r="C208" s="13"/>
      <c r="D208" s="15">
        <v>15.0</v>
      </c>
      <c r="E208" s="45">
        <f t="shared" si="60"/>
        <v>3750</v>
      </c>
      <c r="F208" s="7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idden="1">
      <c r="A209" s="6" t="s">
        <v>25</v>
      </c>
      <c r="B209" s="7" t="s">
        <v>261</v>
      </c>
      <c r="C209" s="15">
        <v>15.0</v>
      </c>
      <c r="D209" s="7"/>
      <c r="E209" s="45">
        <f t="shared" ref="E209:E210" si="61">C209*50</f>
        <v>750</v>
      </c>
      <c r="F209" s="7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idden="1">
      <c r="A210" s="6" t="s">
        <v>25</v>
      </c>
      <c r="B210" s="7" t="s">
        <v>137</v>
      </c>
      <c r="C210" s="15">
        <v>24.0</v>
      </c>
      <c r="D210" s="7"/>
      <c r="E210" s="45">
        <f t="shared" si="61"/>
        <v>1200</v>
      </c>
      <c r="F210" s="7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idden="1">
      <c r="A211" s="6" t="s">
        <v>25</v>
      </c>
      <c r="B211" s="7" t="s">
        <v>155</v>
      </c>
      <c r="C211" s="7"/>
      <c r="D211" s="15">
        <v>12.0</v>
      </c>
      <c r="E211" s="45">
        <f t="shared" ref="E211:E212" si="62">D211*250</f>
        <v>3000</v>
      </c>
      <c r="F211" s="7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idden="1">
      <c r="A212" s="6" t="s">
        <v>25</v>
      </c>
      <c r="B212" s="7" t="s">
        <v>133</v>
      </c>
      <c r="C212" s="13"/>
      <c r="D212" s="15">
        <v>9.0</v>
      </c>
      <c r="E212" s="45">
        <f t="shared" si="62"/>
        <v>2250</v>
      </c>
      <c r="F212" s="7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idden="1">
      <c r="A213" s="6" t="s">
        <v>26</v>
      </c>
      <c r="B213" s="7" t="s">
        <v>261</v>
      </c>
      <c r="C213" s="15">
        <v>25.0</v>
      </c>
      <c r="D213" s="7"/>
      <c r="E213" s="45">
        <f t="shared" ref="E213:E214" si="63">C213*50</f>
        <v>1250</v>
      </c>
      <c r="F213" s="7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idden="1">
      <c r="A214" s="6" t="s">
        <v>26</v>
      </c>
      <c r="B214" s="7" t="s">
        <v>137</v>
      </c>
      <c r="C214" s="15">
        <v>20.0</v>
      </c>
      <c r="D214" s="7"/>
      <c r="E214" s="45">
        <f t="shared" si="63"/>
        <v>1000</v>
      </c>
      <c r="F214" s="7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idden="1">
      <c r="A215" s="6" t="s">
        <v>26</v>
      </c>
      <c r="B215" s="7" t="s">
        <v>155</v>
      </c>
      <c r="C215" s="7"/>
      <c r="D215" s="15">
        <v>13.0</v>
      </c>
      <c r="E215" s="45">
        <f t="shared" ref="E215:E216" si="64">D215*250</f>
        <v>3250</v>
      </c>
      <c r="F215" s="7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idden="1">
      <c r="A216" s="6" t="s">
        <v>26</v>
      </c>
      <c r="B216" s="7" t="s">
        <v>133</v>
      </c>
      <c r="C216" s="7"/>
      <c r="D216" s="15">
        <v>11.0</v>
      </c>
      <c r="E216" s="45">
        <f t="shared" si="64"/>
        <v>2750</v>
      </c>
      <c r="F216" s="7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idden="1">
      <c r="A217" s="6" t="s">
        <v>27</v>
      </c>
      <c r="B217" s="7" t="s">
        <v>261</v>
      </c>
      <c r="C217" s="13">
        <v>23.0</v>
      </c>
      <c r="D217" s="34"/>
      <c r="E217" s="45">
        <f t="shared" ref="E217:E218" si="65">C217*50</f>
        <v>1150</v>
      </c>
      <c r="F217" s="7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idden="1">
      <c r="A218" s="6" t="s">
        <v>27</v>
      </c>
      <c r="B218" s="7" t="s">
        <v>137</v>
      </c>
      <c r="C218" s="13">
        <v>26.0</v>
      </c>
      <c r="D218" s="34"/>
      <c r="E218" s="45">
        <f t="shared" si="65"/>
        <v>1300</v>
      </c>
      <c r="F218" s="7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idden="1">
      <c r="A219" s="6" t="s">
        <v>27</v>
      </c>
      <c r="B219" s="7" t="s">
        <v>155</v>
      </c>
      <c r="C219" s="7"/>
      <c r="D219" s="15">
        <v>13.0</v>
      </c>
      <c r="E219" s="45">
        <f t="shared" ref="E219:E220" si="66">D219*250</f>
        <v>3250</v>
      </c>
      <c r="F219" s="7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idden="1">
      <c r="A220" s="6" t="s">
        <v>27</v>
      </c>
      <c r="B220" s="7" t="s">
        <v>133</v>
      </c>
      <c r="C220" s="7"/>
      <c r="D220" s="15">
        <v>7.0</v>
      </c>
      <c r="E220" s="45">
        <f t="shared" si="66"/>
        <v>1750</v>
      </c>
      <c r="F220" s="7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idden="1">
      <c r="A221" s="6" t="s">
        <v>28</v>
      </c>
      <c r="B221" s="7" t="s">
        <v>261</v>
      </c>
      <c r="C221" s="13">
        <v>26.0</v>
      </c>
      <c r="D221" s="34"/>
      <c r="E221" s="45">
        <f t="shared" ref="E221:E222" si="67">C221*50</f>
        <v>1300</v>
      </c>
      <c r="F221" s="7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idden="1">
      <c r="A222" s="6" t="s">
        <v>28</v>
      </c>
      <c r="B222" s="7" t="s">
        <v>137</v>
      </c>
      <c r="C222" s="13">
        <v>24.0</v>
      </c>
      <c r="D222" s="34"/>
      <c r="E222" s="45">
        <f t="shared" si="67"/>
        <v>1200</v>
      </c>
      <c r="F222" s="59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idden="1">
      <c r="A223" s="6" t="s">
        <v>28</v>
      </c>
      <c r="B223" s="7" t="s">
        <v>155</v>
      </c>
      <c r="C223" s="7"/>
      <c r="D223" s="15">
        <v>14.0</v>
      </c>
      <c r="E223" s="45">
        <f t="shared" ref="E223:E232" si="68">D223*250</f>
        <v>3500</v>
      </c>
      <c r="F223" s="45">
        <f>F221+F222</f>
        <v>0</v>
      </c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idden="1">
      <c r="A224" s="6" t="s">
        <v>28</v>
      </c>
      <c r="B224" s="7" t="s">
        <v>133</v>
      </c>
      <c r="C224" s="7"/>
      <c r="D224" s="15">
        <v>8.0</v>
      </c>
      <c r="E224" s="45">
        <f t="shared" si="68"/>
        <v>2000</v>
      </c>
      <c r="F224" s="60" t="s">
        <v>393</v>
      </c>
      <c r="G224" s="61"/>
      <c r="H224" s="61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idden="1">
      <c r="A225" s="6" t="s">
        <v>111</v>
      </c>
      <c r="B225" s="7" t="s">
        <v>261</v>
      </c>
      <c r="C225" s="7"/>
      <c r="D225" s="15">
        <v>23.0</v>
      </c>
      <c r="E225" s="45">
        <f t="shared" si="68"/>
        <v>5750</v>
      </c>
      <c r="F225" s="7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idden="1">
      <c r="A226" s="6" t="s">
        <v>111</v>
      </c>
      <c r="B226" s="7" t="s">
        <v>137</v>
      </c>
      <c r="C226" s="13"/>
      <c r="D226" s="15">
        <v>29.0</v>
      </c>
      <c r="E226" s="45">
        <f t="shared" si="68"/>
        <v>7250</v>
      </c>
      <c r="F226" s="59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idden="1">
      <c r="A227" s="6" t="s">
        <v>111</v>
      </c>
      <c r="B227" s="7" t="s">
        <v>155</v>
      </c>
      <c r="C227" s="7"/>
      <c r="D227" s="15">
        <v>10.0</v>
      </c>
      <c r="E227" s="45">
        <f t="shared" si="68"/>
        <v>2500</v>
      </c>
      <c r="F227" s="45">
        <f>F225+F226</f>
        <v>0</v>
      </c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idden="1">
      <c r="A228" s="6" t="s">
        <v>111</v>
      </c>
      <c r="B228" s="7" t="s">
        <v>133</v>
      </c>
      <c r="C228" s="7"/>
      <c r="D228" s="15">
        <v>6.0</v>
      </c>
      <c r="E228" s="45">
        <f t="shared" si="68"/>
        <v>1500</v>
      </c>
      <c r="F228" s="60" t="s">
        <v>393</v>
      </c>
      <c r="G228" s="61"/>
      <c r="H228" s="61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idden="1">
      <c r="A229" s="6" t="s">
        <v>112</v>
      </c>
      <c r="B229" s="7" t="s">
        <v>261</v>
      </c>
      <c r="C229" s="7"/>
      <c r="D229" s="13">
        <v>24.0</v>
      </c>
      <c r="E229" s="45">
        <f t="shared" si="68"/>
        <v>6000</v>
      </c>
      <c r="F229" s="7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idden="1">
      <c r="A230" s="6" t="s">
        <v>112</v>
      </c>
      <c r="B230" s="7" t="s">
        <v>137</v>
      </c>
      <c r="C230" s="7"/>
      <c r="D230" s="13">
        <v>29.0</v>
      </c>
      <c r="E230" s="45">
        <f t="shared" si="68"/>
        <v>7250</v>
      </c>
      <c r="F230" s="59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idden="1">
      <c r="A231" s="6" t="s">
        <v>112</v>
      </c>
      <c r="B231" s="7" t="s">
        <v>155</v>
      </c>
      <c r="C231" s="7"/>
      <c r="D231" s="15">
        <v>7.0</v>
      </c>
      <c r="E231" s="45">
        <f t="shared" si="68"/>
        <v>1750</v>
      </c>
      <c r="F231" s="45">
        <f>F229+F230</f>
        <v>0</v>
      </c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idden="1">
      <c r="A232" s="6" t="s">
        <v>112</v>
      </c>
      <c r="B232" s="7" t="s">
        <v>133</v>
      </c>
      <c r="C232" s="7"/>
      <c r="D232" s="13">
        <v>14.0</v>
      </c>
      <c r="E232" s="45">
        <f t="shared" si="68"/>
        <v>3500</v>
      </c>
      <c r="F232" s="60" t="s">
        <v>393</v>
      </c>
      <c r="G232" s="61"/>
      <c r="H232" s="61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idden="1">
      <c r="A233" s="20" t="s">
        <v>114</v>
      </c>
      <c r="B233" s="7" t="s">
        <v>261</v>
      </c>
      <c r="C233" s="34"/>
      <c r="D233" s="46"/>
      <c r="E233" s="45">
        <f t="shared" ref="E233:E234" si="69">C233*50</f>
        <v>0</v>
      </c>
      <c r="F233" s="34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idden="1">
      <c r="A234" s="20" t="s">
        <v>114</v>
      </c>
      <c r="B234" s="7" t="s">
        <v>137</v>
      </c>
      <c r="C234" s="15"/>
      <c r="D234" s="46"/>
      <c r="E234" s="45">
        <f t="shared" si="69"/>
        <v>0</v>
      </c>
      <c r="F234" s="45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idden="1">
      <c r="A235" s="20" t="s">
        <v>114</v>
      </c>
      <c r="B235" s="7" t="s">
        <v>155</v>
      </c>
      <c r="C235" s="7"/>
      <c r="D235" s="15">
        <v>11.0</v>
      </c>
      <c r="E235" s="45">
        <f t="shared" ref="E235:E236" si="70">D235*250</f>
        <v>2750</v>
      </c>
      <c r="F235" s="45">
        <f>F233+F234</f>
        <v>0</v>
      </c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idden="1">
      <c r="A236" s="20" t="s">
        <v>114</v>
      </c>
      <c r="B236" s="7" t="s">
        <v>133</v>
      </c>
      <c r="C236" s="7"/>
      <c r="D236" s="62"/>
      <c r="E236" s="45">
        <f t="shared" si="70"/>
        <v>0</v>
      </c>
      <c r="F236" s="60" t="s">
        <v>393</v>
      </c>
      <c r="G236" s="61"/>
      <c r="H236" s="61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idden="1">
      <c r="A237" s="20" t="s">
        <v>383</v>
      </c>
      <c r="B237" s="7" t="s">
        <v>261</v>
      </c>
      <c r="C237" s="34"/>
      <c r="D237" s="46"/>
      <c r="E237" s="45">
        <f t="shared" ref="E237:E238" si="71">C237*50</f>
        <v>0</v>
      </c>
      <c r="F237" s="34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idden="1">
      <c r="A238" s="20" t="s">
        <v>383</v>
      </c>
      <c r="B238" s="7" t="s">
        <v>137</v>
      </c>
      <c r="C238" s="15">
        <v>29.0</v>
      </c>
      <c r="D238" s="46"/>
      <c r="E238" s="45">
        <f t="shared" si="71"/>
        <v>1450</v>
      </c>
      <c r="F238" s="45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idden="1">
      <c r="A239" s="20" t="s">
        <v>383</v>
      </c>
      <c r="B239" s="7" t="s">
        <v>155</v>
      </c>
      <c r="C239" s="7"/>
      <c r="D239" s="15">
        <v>12.0</v>
      </c>
      <c r="E239" s="45">
        <f t="shared" ref="E239:E240" si="72">D239*250</f>
        <v>3000</v>
      </c>
      <c r="F239" s="45">
        <f>F237+F238</f>
        <v>0</v>
      </c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idden="1">
      <c r="A240" s="20" t="s">
        <v>383</v>
      </c>
      <c r="B240" s="7" t="s">
        <v>133</v>
      </c>
      <c r="C240" s="7"/>
      <c r="D240" s="62"/>
      <c r="E240" s="45">
        <f t="shared" si="72"/>
        <v>0</v>
      </c>
      <c r="F240" s="60" t="s">
        <v>393</v>
      </c>
      <c r="G240" s="61"/>
      <c r="H240" s="61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idden="1">
      <c r="A241" s="24" t="s">
        <v>116</v>
      </c>
      <c r="B241" s="25" t="s">
        <v>261</v>
      </c>
      <c r="C241" s="25">
        <v>33.0</v>
      </c>
      <c r="E241" s="63">
        <f t="shared" ref="E241:E242" si="73">C241*50</f>
        <v>1650</v>
      </c>
      <c r="F241" s="25">
        <v>700.0</v>
      </c>
    </row>
    <row r="242" hidden="1">
      <c r="A242" s="24" t="s">
        <v>116</v>
      </c>
      <c r="B242" s="25" t="s">
        <v>137</v>
      </c>
      <c r="C242" s="25">
        <v>22.0</v>
      </c>
      <c r="E242" s="63">
        <f t="shared" si="73"/>
        <v>1100</v>
      </c>
      <c r="F242" s="64">
        <v>1650.0</v>
      </c>
    </row>
    <row r="243" hidden="1">
      <c r="A243" s="24" t="s">
        <v>116</v>
      </c>
      <c r="B243" s="25" t="s">
        <v>155</v>
      </c>
      <c r="C243" s="25"/>
      <c r="D243" s="25">
        <v>9.0</v>
      </c>
      <c r="E243" s="63">
        <f t="shared" ref="E243:E244" si="74">D243*250</f>
        <v>2250</v>
      </c>
      <c r="F243" s="63">
        <f>F241+F242</f>
        <v>2350</v>
      </c>
    </row>
    <row r="244" hidden="1">
      <c r="A244" s="24" t="s">
        <v>116</v>
      </c>
      <c r="B244" s="25" t="s">
        <v>133</v>
      </c>
      <c r="C244" s="25"/>
      <c r="D244" s="25">
        <v>9.0</v>
      </c>
      <c r="E244" s="63">
        <f t="shared" si="74"/>
        <v>2250</v>
      </c>
      <c r="F244" s="2" t="s">
        <v>393</v>
      </c>
      <c r="G244" s="65"/>
      <c r="H244" s="65"/>
    </row>
    <row r="245" hidden="1">
      <c r="A245" s="24" t="s">
        <v>119</v>
      </c>
      <c r="B245" s="25" t="s">
        <v>261</v>
      </c>
      <c r="C245" s="25">
        <v>21.0</v>
      </c>
      <c r="E245" s="63">
        <f t="shared" ref="E245:E246" si="75">C245*50</f>
        <v>1050</v>
      </c>
    </row>
    <row r="246" hidden="1">
      <c r="A246" s="24" t="s">
        <v>119</v>
      </c>
      <c r="B246" s="25" t="s">
        <v>137</v>
      </c>
      <c r="C246" s="25">
        <v>28.0</v>
      </c>
      <c r="E246" s="63">
        <f t="shared" si="75"/>
        <v>1400</v>
      </c>
    </row>
    <row r="247" hidden="1">
      <c r="A247" s="24" t="s">
        <v>119</v>
      </c>
      <c r="B247" s="25" t="s">
        <v>155</v>
      </c>
      <c r="D247" s="25">
        <v>9.0</v>
      </c>
      <c r="E247" s="63">
        <f t="shared" ref="E247:E248" si="76">D247*250</f>
        <v>2250</v>
      </c>
    </row>
    <row r="248" hidden="1">
      <c r="A248" s="24" t="s">
        <v>119</v>
      </c>
      <c r="B248" s="25" t="s">
        <v>133</v>
      </c>
      <c r="D248" s="25">
        <v>11.0</v>
      </c>
      <c r="E248" s="63">
        <f t="shared" si="76"/>
        <v>2750</v>
      </c>
    </row>
    <row r="251">
      <c r="F251" s="64"/>
    </row>
  </sheetData>
  <autoFilter ref="$A$4:$Z$248">
    <filterColumn colId="0">
      <filters>
        <filter val="Week 3/22/26 - 3/28/26"/>
      </filters>
    </filterColumn>
  </autoFilter>
  <dataValidations>
    <dataValidation type="list" allowBlank="1" showErrorMessage="1" sqref="A157:A160">
      <formula1>"Week 8/17/25 - 8/23/25"</formula1>
    </dataValidation>
    <dataValidation type="list" allowBlank="1" showErrorMessage="1" sqref="A5:A9">
      <formula1>"Week 3/22/26 - 3/28/26"</formula1>
    </dataValidation>
    <dataValidation type="list" allowBlank="1" showErrorMessage="1" sqref="A105:A109">
      <formula1>"Week 11/2/25 - 11/8/25"</formula1>
    </dataValidation>
    <dataValidation type="list" allowBlank="1" showErrorMessage="1" sqref="A177:A180">
      <formula1>"Week 7/13/25 - 7/19/25"</formula1>
    </dataValidation>
    <dataValidation type="list" allowBlank="1" showErrorMessage="1" sqref="A145:A148">
      <formula1>"Week 9/07/25 - 9/13/25"</formula1>
    </dataValidation>
    <dataValidation type="list" allowBlank="1" showErrorMessage="1" sqref="A135:A139">
      <formula1>"Week 9/21/25 - 9/27/25"</formula1>
    </dataValidation>
    <dataValidation type="list" allowBlank="1" showErrorMessage="1" sqref="A140:A144">
      <formula1>"Week 9/14/25 - 9/20/25"</formula1>
    </dataValidation>
    <dataValidation type="list" allowBlank="1" showErrorMessage="1" sqref="A165:A168">
      <formula1>"Week 8/3/25 - 8/9/25"</formula1>
    </dataValidation>
    <dataValidation type="list" allowBlank="1" showErrorMessage="1" sqref="A149:A152">
      <formula1>"Week 8/31/25 - 9/06/25"</formula1>
    </dataValidation>
    <dataValidation type="list" allowBlank="1" showErrorMessage="1" sqref="A85:A89">
      <formula1>"Week 11/30/25 - 12/6/25"</formula1>
    </dataValidation>
    <dataValidation type="list" allowBlank="1" showErrorMessage="1" sqref="A193:A196">
      <formula1>"Week 6/15/25 - 6/21/25"</formula1>
    </dataValidation>
    <dataValidation type="list" allowBlank="1" showErrorMessage="1" sqref="A35:A39">
      <formula1>"Week 2/8/26 - 2/14/26"</formula1>
    </dataValidation>
    <dataValidation type="list" allowBlank="1" showErrorMessage="1" sqref="A15:A19">
      <formula1>"Week 3/8/26 - 3/14/26"</formula1>
    </dataValidation>
    <dataValidation type="list" allowBlank="1" showErrorMessage="1" sqref="A60:A64">
      <formula1>"Week 1/4/26 - 1/10/26"</formula1>
    </dataValidation>
    <dataValidation type="list" allowBlank="1" showErrorMessage="1" sqref="A161:A164">
      <formula1>"Week 8/10/25 - 8/16/25 "</formula1>
    </dataValidation>
    <dataValidation type="list" allowBlank="1" showErrorMessage="1" sqref="A153:A156">
      <formula1>"Week 8/24/25 - 8/30/25"</formula1>
    </dataValidation>
    <dataValidation type="list" allowBlank="1" showErrorMessage="1" sqref="A197:A200">
      <formula1>"Week 6/8/25 - 6/14/25"</formula1>
    </dataValidation>
    <dataValidation type="list" allowBlank="1" showErrorMessage="1" sqref="A40:A44">
      <formula1>"Week 2/1/26 - 2/7/26"</formula1>
    </dataValidation>
    <dataValidation type="list" allowBlank="1" showErrorMessage="1" sqref="A201:A204">
      <formula1>"Week 6/1/25 - 6/7/25"</formula1>
    </dataValidation>
    <dataValidation type="list" allowBlank="1" showErrorMessage="1" sqref="A173:A176">
      <formula1>"Week 7/20/25 - 7/26/25"</formula1>
    </dataValidation>
    <dataValidation type="list" allowBlank="1" showErrorMessage="1" sqref="A70:A74">
      <formula1>"Week 12/21/25 - 12/27/25 "</formula1>
    </dataValidation>
    <dataValidation type="list" allowBlank="1" showErrorMessage="1" sqref="A20:A24">
      <formula1>"Week 3/1/26 - 3/7/26"</formula1>
    </dataValidation>
    <dataValidation type="list" allowBlank="1" showErrorMessage="1" sqref="A169:A172">
      <formula1>"Week 7/27/25 - 8/2/25"</formula1>
    </dataValidation>
    <dataValidation type="list" allowBlank="1" showErrorMessage="1" sqref="A205:A208">
      <formula1>"Week 5/25/25 - 5/31/25"</formula1>
    </dataValidation>
    <dataValidation type="list" allowBlank="1" showErrorMessage="1" sqref="A130:A134">
      <formula1>"Week 9/28/25 - 10/4/25"</formula1>
    </dataValidation>
    <dataValidation type="list" allowBlank="1" showErrorMessage="1" sqref="A115:A119">
      <formula1>"Week 10/19/25 - 10/25/25"</formula1>
    </dataValidation>
    <dataValidation type="list" allowBlank="1" showErrorMessage="1" sqref="A189:A192">
      <formula1>"Week 6/22/25 - 6/28/25"</formula1>
    </dataValidation>
    <dataValidation type="list" allowBlank="1" showErrorMessage="1" sqref="A55:A59">
      <formula1>"Week 1/11/26 - 1/17/26"</formula1>
    </dataValidation>
    <dataValidation type="list" allowBlank="1" showErrorMessage="1" sqref="A125:A129">
      <formula1>"Week 10/5/25 - 10/11/25"</formula1>
    </dataValidation>
    <dataValidation type="list" allowBlank="1" showErrorMessage="1" sqref="A25:A29">
      <formula1>"Week 2/22/26 - 2/28/26"</formula1>
    </dataValidation>
    <dataValidation type="list" allowBlank="1" showErrorMessage="1" sqref="A50:A54">
      <formula1>"Week 1/18/26 - 1/24/26"</formula1>
    </dataValidation>
    <dataValidation type="list" allowBlank="1" showErrorMessage="1" sqref="A100:A104">
      <formula1>"Week 11/9/25 - 11/15/25"</formula1>
    </dataValidation>
    <dataValidation type="list" allowBlank="1" showErrorMessage="1" sqref="A181:A184">
      <formula1>"Week 7/6/25 - 7/12/25 "</formula1>
    </dataValidation>
    <dataValidation type="list" allowBlank="1" showErrorMessage="1" sqref="A90:A94">
      <formula1>"Week 11/23/25 - 11/29/25"</formula1>
    </dataValidation>
    <dataValidation type="list" allowBlank="1" showErrorMessage="1" sqref="A185:A188">
      <formula1>"Week 6/29/25 - 7/5/25"</formula1>
    </dataValidation>
    <dataValidation type="list" allowBlank="1" showErrorMessage="1" sqref="A10:A14">
      <formula1>"Week 3/15/26 - 3/21/26"</formula1>
    </dataValidation>
    <dataValidation type="list" allowBlank="1" showErrorMessage="1" sqref="A30:A34">
      <formula1>"Week 2/15/26 - 2/21/26"</formula1>
    </dataValidation>
    <dataValidation type="list" allowBlank="1" showErrorMessage="1" sqref="A45:A49">
      <formula1>"Week 1/25/26 - 1/31/26"</formula1>
    </dataValidation>
    <dataValidation type="list" allowBlank="1" showErrorMessage="1" sqref="A75:A79">
      <formula1>"Week 12/14/25 - 12/20/25"</formula1>
    </dataValidation>
    <dataValidation type="list" allowBlank="1" showErrorMessage="1" sqref="A209:A248">
      <formula1>"Week 3/16/25 - 3/22/25,Week 3/23/25 - 3/29/25,Week 3/30/25 - 4/5/25,Week 4/6/25 - 4/12/25,Week 4/13/25 - 4/19/25,Week 4/20/25 - 4/26/25,Week 4/27/25 - 5/3/25,Week 5/4/25 - 5/10/25,Week 5/11/25 - 5/17/25,Week 5/18/25 - 5/24/25"</formula1>
    </dataValidation>
    <dataValidation type="list" allowBlank="1" showErrorMessage="1" sqref="A65:A69">
      <formula1>"Week 12/28/25 - 1/3/25 "</formula1>
    </dataValidation>
    <dataValidation type="list" allowBlank="1" showErrorMessage="1" sqref="A110:A114">
      <formula1>"Week 10/26/25 - 11/1/25"</formula1>
    </dataValidation>
    <dataValidation type="list" allowBlank="1" showErrorMessage="1" sqref="A80:A84">
      <formula1>"Week 12/7/25 - 12/13/25"</formula1>
    </dataValidation>
    <dataValidation type="list" allowBlank="1" showErrorMessage="1" sqref="A95:A99">
      <formula1>"Week 11/16/25 - 11/22/25"</formula1>
    </dataValidation>
    <dataValidation type="list" allowBlank="1" showErrorMessage="1" sqref="A120:A124">
      <formula1>"Week 10/12/25 - 10/18/25"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5"/>
    <col customWidth="1" min="2" max="2" width="17.63"/>
    <col customWidth="1" min="3" max="3" width="29.38"/>
    <col customWidth="1" min="6" max="6" width="23.75"/>
  </cols>
  <sheetData>
    <row r="1">
      <c r="A1" s="25" t="s">
        <v>394</v>
      </c>
      <c r="E1" s="27"/>
      <c r="F1" s="27"/>
    </row>
    <row r="2" hidden="1">
      <c r="A2" s="4" t="s">
        <v>395</v>
      </c>
      <c r="B2" s="4" t="s">
        <v>121</v>
      </c>
      <c r="C2" s="4" t="s">
        <v>122</v>
      </c>
      <c r="D2" s="4" t="s">
        <v>396</v>
      </c>
      <c r="E2" s="66" t="s">
        <v>124</v>
      </c>
      <c r="F2" s="66"/>
    </row>
    <row r="3" hidden="1">
      <c r="A3" s="6" t="s">
        <v>10</v>
      </c>
      <c r="B3" s="13" t="s">
        <v>397</v>
      </c>
      <c r="C3" s="13" t="s">
        <v>398</v>
      </c>
      <c r="D3" s="15">
        <v>1.0</v>
      </c>
      <c r="E3" s="67">
        <f t="shared" ref="E3:E778" si="1">IF(D3&lt;10, D3*250, D3*500)</f>
        <v>250</v>
      </c>
      <c r="F3" s="67"/>
    </row>
    <row r="4" hidden="1">
      <c r="A4" s="6" t="s">
        <v>10</v>
      </c>
      <c r="B4" s="13" t="s">
        <v>399</v>
      </c>
      <c r="C4" s="13" t="s">
        <v>400</v>
      </c>
      <c r="D4" s="15">
        <v>1.0</v>
      </c>
      <c r="E4" s="67">
        <f t="shared" si="1"/>
        <v>250</v>
      </c>
      <c r="F4" s="67"/>
    </row>
    <row r="5" hidden="1">
      <c r="A5" s="6" t="s">
        <v>10</v>
      </c>
      <c r="B5" s="13" t="s">
        <v>401</v>
      </c>
      <c r="C5" s="13" t="s">
        <v>402</v>
      </c>
      <c r="D5" s="15">
        <v>1.0</v>
      </c>
      <c r="E5" s="67">
        <f t="shared" si="1"/>
        <v>250</v>
      </c>
      <c r="F5" s="67"/>
    </row>
    <row r="6" hidden="1">
      <c r="A6" s="6" t="s">
        <v>10</v>
      </c>
      <c r="B6" s="13" t="s">
        <v>403</v>
      </c>
      <c r="C6" s="13" t="s">
        <v>404</v>
      </c>
      <c r="D6" s="15">
        <v>2.0</v>
      </c>
      <c r="E6" s="67">
        <f t="shared" si="1"/>
        <v>500</v>
      </c>
      <c r="F6" s="67"/>
    </row>
    <row r="7" hidden="1">
      <c r="A7" s="6" t="s">
        <v>10</v>
      </c>
      <c r="B7" s="13" t="s">
        <v>405</v>
      </c>
      <c r="C7" s="13" t="s">
        <v>406</v>
      </c>
      <c r="D7" s="15">
        <v>2.0</v>
      </c>
      <c r="E7" s="67">
        <f t="shared" si="1"/>
        <v>500</v>
      </c>
      <c r="F7" s="67"/>
    </row>
    <row r="8" hidden="1">
      <c r="A8" s="6" t="s">
        <v>10</v>
      </c>
      <c r="B8" s="13" t="s">
        <v>407</v>
      </c>
      <c r="C8" s="13" t="s">
        <v>408</v>
      </c>
      <c r="D8" s="15">
        <v>1.0</v>
      </c>
      <c r="E8" s="67">
        <f t="shared" si="1"/>
        <v>250</v>
      </c>
      <c r="F8" s="67"/>
    </row>
    <row r="9" hidden="1">
      <c r="A9" s="6" t="s">
        <v>10</v>
      </c>
      <c r="B9" s="13" t="s">
        <v>409</v>
      </c>
      <c r="C9" s="13" t="s">
        <v>410</v>
      </c>
      <c r="D9" s="15">
        <v>7.0</v>
      </c>
      <c r="E9" s="67">
        <f t="shared" si="1"/>
        <v>1750</v>
      </c>
      <c r="F9" s="67"/>
    </row>
    <row r="10" hidden="1">
      <c r="A10" s="6" t="s">
        <v>10</v>
      </c>
      <c r="B10" s="13" t="s">
        <v>411</v>
      </c>
      <c r="C10" s="13" t="s">
        <v>412</v>
      </c>
      <c r="D10" s="15">
        <v>12.0</v>
      </c>
      <c r="E10" s="67">
        <f t="shared" si="1"/>
        <v>6000</v>
      </c>
      <c r="F10" s="67"/>
    </row>
    <row r="11" hidden="1">
      <c r="A11" s="6" t="s">
        <v>10</v>
      </c>
      <c r="B11" s="13" t="s">
        <v>413</v>
      </c>
      <c r="C11" s="13" t="s">
        <v>414</v>
      </c>
      <c r="D11" s="15">
        <v>6.0</v>
      </c>
      <c r="E11" s="67">
        <f t="shared" si="1"/>
        <v>1500</v>
      </c>
      <c r="F11" s="67"/>
    </row>
    <row r="12" hidden="1">
      <c r="A12" s="6" t="s">
        <v>10</v>
      </c>
      <c r="B12" s="13" t="s">
        <v>415</v>
      </c>
      <c r="C12" s="13" t="s">
        <v>416</v>
      </c>
      <c r="D12" s="15">
        <v>12.0</v>
      </c>
      <c r="E12" s="67">
        <f t="shared" si="1"/>
        <v>6000</v>
      </c>
      <c r="F12" s="67"/>
    </row>
    <row r="13" hidden="1">
      <c r="A13" s="6" t="s">
        <v>10</v>
      </c>
      <c r="B13" s="13" t="s">
        <v>417</v>
      </c>
      <c r="C13" s="13" t="s">
        <v>418</v>
      </c>
      <c r="D13" s="15">
        <v>9.0</v>
      </c>
      <c r="E13" s="67">
        <f t="shared" si="1"/>
        <v>2250</v>
      </c>
      <c r="F13" s="67"/>
    </row>
    <row r="14" hidden="1">
      <c r="A14" s="6" t="s">
        <v>10</v>
      </c>
      <c r="B14" s="13" t="s">
        <v>419</v>
      </c>
      <c r="C14" s="68" t="s">
        <v>420</v>
      </c>
      <c r="D14" s="15">
        <v>7.0</v>
      </c>
      <c r="E14" s="67">
        <f t="shared" si="1"/>
        <v>1750</v>
      </c>
      <c r="F14" s="67"/>
    </row>
    <row r="15" hidden="1">
      <c r="A15" s="6" t="s">
        <v>10</v>
      </c>
      <c r="B15" s="13" t="s">
        <v>421</v>
      </c>
      <c r="C15" s="13" t="s">
        <v>422</v>
      </c>
      <c r="D15" s="15">
        <v>2.0</v>
      </c>
      <c r="E15" s="67">
        <f t="shared" si="1"/>
        <v>500</v>
      </c>
      <c r="F15" s="67"/>
    </row>
    <row r="16" hidden="1">
      <c r="A16" s="6" t="s">
        <v>10</v>
      </c>
      <c r="B16" s="13" t="s">
        <v>423</v>
      </c>
      <c r="C16" s="13" t="s">
        <v>424</v>
      </c>
      <c r="D16" s="15">
        <v>1.0</v>
      </c>
      <c r="E16" s="67">
        <f t="shared" si="1"/>
        <v>250</v>
      </c>
      <c r="F16" s="67"/>
    </row>
    <row r="17" hidden="1">
      <c r="A17" s="6" t="s">
        <v>10</v>
      </c>
      <c r="B17" s="13" t="s">
        <v>425</v>
      </c>
      <c r="C17" s="13" t="s">
        <v>426</v>
      </c>
      <c r="D17" s="15">
        <v>1.0</v>
      </c>
      <c r="E17" s="67">
        <f t="shared" si="1"/>
        <v>250</v>
      </c>
      <c r="F17" s="67"/>
    </row>
    <row r="18" hidden="1">
      <c r="A18" s="6" t="s">
        <v>10</v>
      </c>
      <c r="B18" s="13" t="s">
        <v>427</v>
      </c>
      <c r="C18" s="13" t="s">
        <v>428</v>
      </c>
      <c r="D18" s="15">
        <v>0.0</v>
      </c>
      <c r="E18" s="67">
        <f t="shared" si="1"/>
        <v>0</v>
      </c>
      <c r="F18" s="67"/>
    </row>
    <row r="19" hidden="1">
      <c r="A19" s="6" t="s">
        <v>10</v>
      </c>
      <c r="B19" s="13" t="s">
        <v>429</v>
      </c>
      <c r="C19" s="13" t="s">
        <v>430</v>
      </c>
      <c r="D19" s="15">
        <v>1.0</v>
      </c>
      <c r="E19" s="67">
        <f t="shared" si="1"/>
        <v>250</v>
      </c>
      <c r="F19" s="67"/>
    </row>
    <row r="20" hidden="1">
      <c r="A20" s="6" t="s">
        <v>10</v>
      </c>
      <c r="B20" s="13" t="s">
        <v>431</v>
      </c>
      <c r="C20" s="13" t="s">
        <v>432</v>
      </c>
      <c r="D20" s="15">
        <v>0.0</v>
      </c>
      <c r="E20" s="67">
        <f t="shared" si="1"/>
        <v>0</v>
      </c>
      <c r="F20" s="67"/>
    </row>
    <row r="21" hidden="1">
      <c r="A21" s="6" t="s">
        <v>10</v>
      </c>
      <c r="B21" s="13" t="s">
        <v>433</v>
      </c>
      <c r="C21" s="13" t="s">
        <v>434</v>
      </c>
      <c r="D21" s="15">
        <v>1.0</v>
      </c>
      <c r="E21" s="67">
        <f t="shared" si="1"/>
        <v>250</v>
      </c>
      <c r="F21" s="67"/>
    </row>
    <row r="22" hidden="1">
      <c r="A22" s="6" t="s">
        <v>10</v>
      </c>
      <c r="B22" s="13" t="s">
        <v>435</v>
      </c>
      <c r="C22" s="13" t="s">
        <v>436</v>
      </c>
      <c r="D22" s="15">
        <v>15.0</v>
      </c>
      <c r="E22" s="67">
        <f t="shared" si="1"/>
        <v>7500</v>
      </c>
      <c r="F22" s="67"/>
    </row>
    <row r="23" hidden="1">
      <c r="A23" s="6" t="s">
        <v>10</v>
      </c>
      <c r="B23" s="13" t="s">
        <v>437</v>
      </c>
      <c r="C23" s="13" t="s">
        <v>438</v>
      </c>
      <c r="D23" s="15">
        <v>1.0</v>
      </c>
      <c r="E23" s="67">
        <f t="shared" si="1"/>
        <v>250</v>
      </c>
      <c r="F23" s="67"/>
    </row>
    <row r="24" hidden="1">
      <c r="A24" s="6" t="s">
        <v>10</v>
      </c>
      <c r="B24" s="13" t="s">
        <v>439</v>
      </c>
      <c r="C24" s="13" t="s">
        <v>440</v>
      </c>
      <c r="D24" s="15">
        <v>9.0</v>
      </c>
      <c r="E24" s="67">
        <f t="shared" si="1"/>
        <v>2250</v>
      </c>
      <c r="F24" s="67"/>
    </row>
    <row r="25" hidden="1">
      <c r="A25" s="6" t="s">
        <v>10</v>
      </c>
      <c r="B25" s="13" t="s">
        <v>441</v>
      </c>
      <c r="C25" s="13" t="s">
        <v>442</v>
      </c>
      <c r="D25" s="15">
        <v>4.0</v>
      </c>
      <c r="E25" s="67">
        <f t="shared" si="1"/>
        <v>1000</v>
      </c>
      <c r="F25" s="67"/>
    </row>
    <row r="26" hidden="1">
      <c r="A26" s="6" t="s">
        <v>10</v>
      </c>
      <c r="B26" s="13" t="s">
        <v>443</v>
      </c>
      <c r="C26" s="13" t="s">
        <v>444</v>
      </c>
      <c r="D26" s="15">
        <v>6.0</v>
      </c>
      <c r="E26" s="67">
        <f t="shared" si="1"/>
        <v>1500</v>
      </c>
      <c r="F26" s="67"/>
    </row>
    <row r="27" hidden="1">
      <c r="A27" s="6" t="s">
        <v>10</v>
      </c>
      <c r="B27" s="13" t="s">
        <v>445</v>
      </c>
      <c r="C27" s="13" t="s">
        <v>446</v>
      </c>
      <c r="D27" s="15">
        <v>4.0</v>
      </c>
      <c r="E27" s="67">
        <f t="shared" si="1"/>
        <v>1000</v>
      </c>
      <c r="F27" s="67"/>
    </row>
    <row r="28" hidden="1">
      <c r="A28" s="6" t="s">
        <v>10</v>
      </c>
      <c r="B28" s="13" t="s">
        <v>447</v>
      </c>
      <c r="C28" s="13" t="s">
        <v>448</v>
      </c>
      <c r="D28" s="15">
        <v>1.0</v>
      </c>
      <c r="E28" s="67">
        <f t="shared" si="1"/>
        <v>250</v>
      </c>
      <c r="F28" s="67"/>
    </row>
    <row r="29" hidden="1">
      <c r="A29" s="6" t="s">
        <v>10</v>
      </c>
      <c r="B29" s="13" t="s">
        <v>449</v>
      </c>
      <c r="C29" s="13" t="s">
        <v>450</v>
      </c>
      <c r="D29" s="15">
        <v>3.0</v>
      </c>
      <c r="E29" s="67">
        <f t="shared" si="1"/>
        <v>750</v>
      </c>
      <c r="F29" s="67"/>
    </row>
    <row r="30" hidden="1">
      <c r="A30" s="6" t="s">
        <v>10</v>
      </c>
      <c r="B30" s="13" t="s">
        <v>451</v>
      </c>
      <c r="C30" s="13" t="s">
        <v>452</v>
      </c>
      <c r="D30" s="15">
        <v>2.0</v>
      </c>
      <c r="E30" s="67">
        <f t="shared" si="1"/>
        <v>500</v>
      </c>
      <c r="F30" s="67"/>
    </row>
    <row r="31" hidden="1">
      <c r="A31" s="6" t="s">
        <v>10</v>
      </c>
      <c r="B31" s="13" t="s">
        <v>453</v>
      </c>
      <c r="C31" s="13" t="s">
        <v>454</v>
      </c>
      <c r="D31" s="15">
        <v>3.0</v>
      </c>
      <c r="E31" s="67">
        <f t="shared" si="1"/>
        <v>750</v>
      </c>
      <c r="F31" s="67"/>
    </row>
    <row r="32" hidden="1">
      <c r="A32" s="6" t="s">
        <v>10</v>
      </c>
      <c r="B32" s="13" t="s">
        <v>455</v>
      </c>
      <c r="C32" s="13" t="s">
        <v>456</v>
      </c>
      <c r="D32" s="15">
        <v>4.0</v>
      </c>
      <c r="E32" s="67">
        <f t="shared" si="1"/>
        <v>1000</v>
      </c>
      <c r="F32" s="67"/>
    </row>
    <row r="33" hidden="1">
      <c r="A33" s="6" t="s">
        <v>10</v>
      </c>
      <c r="B33" s="13" t="s">
        <v>457</v>
      </c>
      <c r="C33" s="13" t="s">
        <v>458</v>
      </c>
      <c r="D33" s="15">
        <v>5.0</v>
      </c>
      <c r="E33" s="67">
        <f t="shared" si="1"/>
        <v>1250</v>
      </c>
      <c r="F33" s="67"/>
    </row>
    <row r="34" hidden="1">
      <c r="A34" s="6" t="s">
        <v>10</v>
      </c>
      <c r="B34" s="13" t="s">
        <v>319</v>
      </c>
      <c r="C34" s="13" t="s">
        <v>459</v>
      </c>
      <c r="D34" s="15">
        <v>8.0</v>
      </c>
      <c r="E34" s="67">
        <f t="shared" si="1"/>
        <v>2000</v>
      </c>
      <c r="F34" s="67"/>
    </row>
    <row r="35" hidden="1">
      <c r="A35" s="6" t="s">
        <v>10</v>
      </c>
      <c r="B35" s="13" t="s">
        <v>460</v>
      </c>
      <c r="C35" s="13" t="s">
        <v>461</v>
      </c>
      <c r="D35" s="15">
        <v>4.0</v>
      </c>
      <c r="E35" s="67">
        <f t="shared" si="1"/>
        <v>1000</v>
      </c>
      <c r="F35" s="67"/>
    </row>
    <row r="36" hidden="1">
      <c r="A36" s="6" t="s">
        <v>10</v>
      </c>
      <c r="B36" s="13" t="s">
        <v>462</v>
      </c>
      <c r="C36" s="13" t="s">
        <v>463</v>
      </c>
      <c r="D36" s="15">
        <v>1.0</v>
      </c>
      <c r="E36" s="67">
        <f t="shared" si="1"/>
        <v>250</v>
      </c>
      <c r="F36" s="67"/>
    </row>
    <row r="37" hidden="1">
      <c r="A37" s="6" t="s">
        <v>10</v>
      </c>
      <c r="B37" s="13" t="s">
        <v>464</v>
      </c>
      <c r="C37" s="13" t="s">
        <v>465</v>
      </c>
      <c r="D37" s="15">
        <v>2.0</v>
      </c>
      <c r="E37" s="67">
        <f t="shared" si="1"/>
        <v>500</v>
      </c>
      <c r="F37" s="67"/>
    </row>
    <row r="38" hidden="1">
      <c r="A38" s="6" t="s">
        <v>10</v>
      </c>
      <c r="B38" s="13" t="s">
        <v>466</v>
      </c>
      <c r="C38" s="13" t="s">
        <v>467</v>
      </c>
      <c r="D38" s="15">
        <v>2.0</v>
      </c>
      <c r="E38" s="67">
        <f t="shared" si="1"/>
        <v>500</v>
      </c>
      <c r="F38" s="67"/>
    </row>
    <row r="39" hidden="1">
      <c r="A39" s="6" t="s">
        <v>10</v>
      </c>
      <c r="B39" s="13" t="s">
        <v>468</v>
      </c>
      <c r="C39" s="13" t="s">
        <v>469</v>
      </c>
      <c r="D39" s="15">
        <v>0.0</v>
      </c>
      <c r="E39" s="67">
        <f t="shared" si="1"/>
        <v>0</v>
      </c>
      <c r="F39" s="67"/>
    </row>
    <row r="40" hidden="1">
      <c r="A40" s="6" t="s">
        <v>10</v>
      </c>
      <c r="B40" s="13" t="s">
        <v>470</v>
      </c>
      <c r="C40" s="13" t="s">
        <v>471</v>
      </c>
      <c r="D40" s="15">
        <v>1.0</v>
      </c>
      <c r="E40" s="67">
        <f t="shared" si="1"/>
        <v>250</v>
      </c>
      <c r="F40" s="67"/>
    </row>
    <row r="41" hidden="1">
      <c r="A41" s="6" t="s">
        <v>10</v>
      </c>
      <c r="B41" s="13" t="s">
        <v>472</v>
      </c>
      <c r="C41" s="13" t="s">
        <v>473</v>
      </c>
      <c r="D41" s="15">
        <v>3.0</v>
      </c>
      <c r="E41" s="67">
        <f t="shared" si="1"/>
        <v>750</v>
      </c>
      <c r="F41" s="67"/>
    </row>
    <row r="42" hidden="1">
      <c r="A42" s="6" t="s">
        <v>10</v>
      </c>
      <c r="B42" s="13" t="s">
        <v>474</v>
      </c>
      <c r="C42" s="13" t="s">
        <v>475</v>
      </c>
      <c r="D42" s="15">
        <v>1.0</v>
      </c>
      <c r="E42" s="67">
        <f t="shared" si="1"/>
        <v>250</v>
      </c>
      <c r="F42" s="67"/>
    </row>
    <row r="43" hidden="1">
      <c r="A43" s="6" t="s">
        <v>10</v>
      </c>
      <c r="B43" s="13" t="s">
        <v>476</v>
      </c>
      <c r="C43" s="13" t="s">
        <v>477</v>
      </c>
      <c r="D43" s="15">
        <v>32.0</v>
      </c>
      <c r="E43" s="67">
        <f t="shared" si="1"/>
        <v>16000</v>
      </c>
      <c r="F43" s="67"/>
    </row>
    <row r="44" hidden="1">
      <c r="A44" s="6" t="s">
        <v>10</v>
      </c>
      <c r="B44" s="13" t="s">
        <v>478</v>
      </c>
      <c r="C44" s="13" t="s">
        <v>479</v>
      </c>
      <c r="D44" s="15">
        <v>0.0</v>
      </c>
      <c r="E44" s="67">
        <f t="shared" si="1"/>
        <v>0</v>
      </c>
      <c r="F44" s="67"/>
    </row>
    <row r="45" hidden="1">
      <c r="A45" s="6" t="s">
        <v>10</v>
      </c>
      <c r="B45" s="13" t="s">
        <v>480</v>
      </c>
      <c r="C45" s="13" t="s">
        <v>481</v>
      </c>
      <c r="D45" s="15">
        <v>0.0</v>
      </c>
      <c r="E45" s="67">
        <f t="shared" si="1"/>
        <v>0</v>
      </c>
      <c r="F45" s="67"/>
    </row>
    <row r="46" hidden="1">
      <c r="A46" s="6" t="s">
        <v>10</v>
      </c>
      <c r="B46" s="13" t="s">
        <v>482</v>
      </c>
      <c r="C46" s="13" t="s">
        <v>483</v>
      </c>
      <c r="D46" s="15">
        <v>1.0</v>
      </c>
      <c r="E46" s="67">
        <f t="shared" si="1"/>
        <v>250</v>
      </c>
      <c r="F46" s="67"/>
    </row>
    <row r="47" hidden="1">
      <c r="A47" s="6" t="s">
        <v>10</v>
      </c>
      <c r="B47" s="13" t="s">
        <v>484</v>
      </c>
      <c r="C47" s="13" t="s">
        <v>485</v>
      </c>
      <c r="D47" s="15">
        <v>2.0</v>
      </c>
      <c r="E47" s="67">
        <f t="shared" si="1"/>
        <v>500</v>
      </c>
      <c r="F47" s="67"/>
    </row>
    <row r="48" hidden="1">
      <c r="A48" s="6" t="s">
        <v>10</v>
      </c>
      <c r="B48" s="13" t="s">
        <v>486</v>
      </c>
      <c r="C48" s="13" t="s">
        <v>487</v>
      </c>
      <c r="D48" s="15">
        <v>7.0</v>
      </c>
      <c r="E48" s="67">
        <f t="shared" si="1"/>
        <v>1750</v>
      </c>
      <c r="F48" s="67"/>
    </row>
    <row r="49" hidden="1">
      <c r="A49" s="6" t="s">
        <v>10</v>
      </c>
      <c r="B49" s="13" t="s">
        <v>488</v>
      </c>
      <c r="C49" s="13" t="s">
        <v>489</v>
      </c>
      <c r="D49" s="15">
        <v>5.0</v>
      </c>
      <c r="E49" s="67">
        <f t="shared" si="1"/>
        <v>1250</v>
      </c>
      <c r="F49" s="67"/>
    </row>
    <row r="50" hidden="1">
      <c r="A50" s="6" t="s">
        <v>10</v>
      </c>
      <c r="B50" s="13" t="s">
        <v>490</v>
      </c>
      <c r="C50" s="13" t="s">
        <v>491</v>
      </c>
      <c r="D50" s="15">
        <v>3.0</v>
      </c>
      <c r="E50" s="67">
        <f t="shared" si="1"/>
        <v>750</v>
      </c>
      <c r="F50" s="67"/>
    </row>
    <row r="51" hidden="1">
      <c r="A51" s="6" t="s">
        <v>10</v>
      </c>
      <c r="B51" s="13" t="s">
        <v>492</v>
      </c>
      <c r="C51" s="13" t="s">
        <v>493</v>
      </c>
      <c r="D51" s="15">
        <v>9.0</v>
      </c>
      <c r="E51" s="67">
        <f t="shared" si="1"/>
        <v>2250</v>
      </c>
      <c r="F51" s="67"/>
    </row>
    <row r="52" hidden="1">
      <c r="A52" s="6" t="s">
        <v>10</v>
      </c>
      <c r="B52" s="13" t="s">
        <v>494</v>
      </c>
      <c r="C52" s="13" t="s">
        <v>495</v>
      </c>
      <c r="D52" s="15">
        <v>2.0</v>
      </c>
      <c r="E52" s="67">
        <f t="shared" si="1"/>
        <v>500</v>
      </c>
      <c r="F52" s="67"/>
    </row>
    <row r="53" hidden="1">
      <c r="A53" s="6" t="s">
        <v>10</v>
      </c>
      <c r="B53" s="13" t="s">
        <v>496</v>
      </c>
      <c r="C53" s="13" t="s">
        <v>497</v>
      </c>
      <c r="D53" s="15">
        <v>1.0</v>
      </c>
      <c r="E53" s="67">
        <f t="shared" si="1"/>
        <v>250</v>
      </c>
      <c r="F53" s="67"/>
    </row>
    <row r="54" hidden="1">
      <c r="A54" s="6" t="s">
        <v>10</v>
      </c>
      <c r="B54" s="13" t="s">
        <v>498</v>
      </c>
      <c r="C54" s="13" t="s">
        <v>499</v>
      </c>
      <c r="D54" s="15">
        <v>0.0</v>
      </c>
      <c r="E54" s="67">
        <f t="shared" si="1"/>
        <v>0</v>
      </c>
      <c r="F54" s="67"/>
    </row>
    <row r="55" hidden="1">
      <c r="A55" s="6" t="s">
        <v>10</v>
      </c>
      <c r="B55" s="13" t="s">
        <v>500</v>
      </c>
      <c r="C55" s="13" t="s">
        <v>501</v>
      </c>
      <c r="D55" s="15">
        <v>5.0</v>
      </c>
      <c r="E55" s="67">
        <f t="shared" si="1"/>
        <v>1250</v>
      </c>
      <c r="F55" s="67"/>
    </row>
    <row r="56" hidden="1">
      <c r="A56" s="6" t="s">
        <v>10</v>
      </c>
      <c r="B56" s="13" t="s">
        <v>502</v>
      </c>
      <c r="C56" s="13" t="s">
        <v>503</v>
      </c>
      <c r="D56" s="15">
        <v>4.0</v>
      </c>
      <c r="E56" s="67">
        <f t="shared" si="1"/>
        <v>1000</v>
      </c>
      <c r="F56" s="67"/>
    </row>
    <row r="57" hidden="1">
      <c r="A57" s="6" t="s">
        <v>10</v>
      </c>
      <c r="B57" s="13" t="s">
        <v>504</v>
      </c>
      <c r="C57" s="13" t="s">
        <v>505</v>
      </c>
      <c r="D57" s="15">
        <v>4.0</v>
      </c>
      <c r="E57" s="67">
        <f t="shared" si="1"/>
        <v>1000</v>
      </c>
      <c r="F57" s="67"/>
    </row>
    <row r="58" hidden="1">
      <c r="A58" s="6" t="s">
        <v>10</v>
      </c>
      <c r="B58" s="13" t="s">
        <v>506</v>
      </c>
      <c r="C58" s="13" t="s">
        <v>507</v>
      </c>
      <c r="D58" s="15">
        <v>0.0</v>
      </c>
      <c r="E58" s="67">
        <f t="shared" si="1"/>
        <v>0</v>
      </c>
      <c r="F58" s="67"/>
    </row>
    <row r="59" hidden="1">
      <c r="A59" s="6" t="s">
        <v>10</v>
      </c>
      <c r="B59" s="13" t="s">
        <v>508</v>
      </c>
      <c r="C59" s="13" t="s">
        <v>509</v>
      </c>
      <c r="D59" s="15">
        <v>1.0</v>
      </c>
      <c r="E59" s="67">
        <f t="shared" si="1"/>
        <v>250</v>
      </c>
      <c r="F59" s="67"/>
    </row>
    <row r="60" hidden="1">
      <c r="A60" s="6" t="s">
        <v>10</v>
      </c>
      <c r="B60" s="13" t="s">
        <v>510</v>
      </c>
      <c r="C60" s="13" t="s">
        <v>511</v>
      </c>
      <c r="D60" s="15">
        <v>11.0</v>
      </c>
      <c r="E60" s="67">
        <f t="shared" si="1"/>
        <v>5500</v>
      </c>
      <c r="F60" s="67"/>
    </row>
    <row r="61" hidden="1">
      <c r="A61" s="6" t="s">
        <v>10</v>
      </c>
      <c r="B61" s="13" t="s">
        <v>512</v>
      </c>
      <c r="C61" s="13" t="s">
        <v>513</v>
      </c>
      <c r="D61" s="15">
        <v>1.0</v>
      </c>
      <c r="E61" s="67">
        <f t="shared" si="1"/>
        <v>250</v>
      </c>
      <c r="F61" s="67"/>
    </row>
    <row r="62" hidden="1">
      <c r="A62" s="6" t="s">
        <v>10</v>
      </c>
      <c r="B62" s="13" t="s">
        <v>514</v>
      </c>
      <c r="C62" s="13" t="s">
        <v>515</v>
      </c>
      <c r="D62" s="15">
        <v>7.0</v>
      </c>
      <c r="E62" s="67">
        <f t="shared" si="1"/>
        <v>1750</v>
      </c>
      <c r="F62" s="67"/>
    </row>
    <row r="63" hidden="1">
      <c r="A63" s="6" t="s">
        <v>10</v>
      </c>
      <c r="B63" s="13" t="s">
        <v>516</v>
      </c>
      <c r="C63" s="13" t="s">
        <v>517</v>
      </c>
      <c r="D63" s="15">
        <v>10.0</v>
      </c>
      <c r="E63" s="67">
        <f t="shared" si="1"/>
        <v>5000</v>
      </c>
      <c r="F63" s="67"/>
    </row>
    <row r="64" hidden="1">
      <c r="A64" s="6" t="s">
        <v>10</v>
      </c>
      <c r="B64" s="13" t="s">
        <v>518</v>
      </c>
      <c r="C64" s="13" t="s">
        <v>519</v>
      </c>
      <c r="D64" s="15">
        <v>1.0</v>
      </c>
      <c r="E64" s="67">
        <f t="shared" si="1"/>
        <v>250</v>
      </c>
      <c r="F64" s="67"/>
    </row>
    <row r="65" hidden="1">
      <c r="A65" s="6" t="s">
        <v>10</v>
      </c>
      <c r="B65" s="13" t="s">
        <v>520</v>
      </c>
      <c r="C65" s="13" t="s">
        <v>521</v>
      </c>
      <c r="D65" s="15">
        <v>1.0</v>
      </c>
      <c r="E65" s="67">
        <f t="shared" si="1"/>
        <v>250</v>
      </c>
      <c r="F65" s="67"/>
    </row>
    <row r="66" hidden="1">
      <c r="A66" s="6" t="s">
        <v>10</v>
      </c>
      <c r="B66" s="13" t="s">
        <v>522</v>
      </c>
      <c r="C66" s="13" t="s">
        <v>523</v>
      </c>
      <c r="D66" s="15">
        <v>1.0</v>
      </c>
      <c r="E66" s="67">
        <f t="shared" si="1"/>
        <v>250</v>
      </c>
      <c r="F66" s="67"/>
    </row>
    <row r="67" hidden="1">
      <c r="A67" s="6" t="s">
        <v>10</v>
      </c>
      <c r="B67" s="13" t="s">
        <v>524</v>
      </c>
      <c r="C67" s="13" t="s">
        <v>525</v>
      </c>
      <c r="D67" s="15">
        <v>6.0</v>
      </c>
      <c r="E67" s="67">
        <f t="shared" si="1"/>
        <v>1500</v>
      </c>
      <c r="F67" s="67"/>
    </row>
    <row r="68" hidden="1">
      <c r="A68" s="6" t="s">
        <v>10</v>
      </c>
      <c r="B68" s="13" t="s">
        <v>526</v>
      </c>
      <c r="C68" s="13" t="s">
        <v>527</v>
      </c>
      <c r="D68" s="15">
        <v>2.0</v>
      </c>
      <c r="E68" s="67">
        <f t="shared" si="1"/>
        <v>500</v>
      </c>
      <c r="F68" s="67"/>
    </row>
    <row r="69" hidden="1">
      <c r="A69" s="6" t="s">
        <v>10</v>
      </c>
      <c r="B69" s="13" t="s">
        <v>528</v>
      </c>
      <c r="C69" s="13" t="s">
        <v>529</v>
      </c>
      <c r="D69" s="15">
        <v>1.0</v>
      </c>
      <c r="E69" s="67">
        <f t="shared" si="1"/>
        <v>250</v>
      </c>
      <c r="F69" s="67"/>
    </row>
    <row r="70" hidden="1">
      <c r="A70" s="6" t="s">
        <v>10</v>
      </c>
      <c r="B70" s="13" t="s">
        <v>530</v>
      </c>
      <c r="C70" s="13" t="s">
        <v>531</v>
      </c>
      <c r="D70" s="15">
        <v>1.0</v>
      </c>
      <c r="E70" s="67">
        <f t="shared" si="1"/>
        <v>250</v>
      </c>
      <c r="F70" s="67"/>
    </row>
    <row r="71" hidden="1">
      <c r="A71" s="6" t="s">
        <v>10</v>
      </c>
      <c r="B71" s="13" t="s">
        <v>532</v>
      </c>
      <c r="C71" s="13" t="s">
        <v>533</v>
      </c>
      <c r="D71" s="15">
        <v>5.0</v>
      </c>
      <c r="E71" s="67">
        <f t="shared" si="1"/>
        <v>1250</v>
      </c>
      <c r="F71" s="67"/>
    </row>
    <row r="72" hidden="1">
      <c r="A72" s="6" t="s">
        <v>10</v>
      </c>
      <c r="B72" s="13" t="s">
        <v>534</v>
      </c>
      <c r="C72" s="13" t="s">
        <v>535</v>
      </c>
      <c r="D72" s="15">
        <v>1.0</v>
      </c>
      <c r="E72" s="67">
        <f t="shared" si="1"/>
        <v>250</v>
      </c>
      <c r="F72" s="67"/>
    </row>
    <row r="73" hidden="1">
      <c r="A73" s="6" t="s">
        <v>10</v>
      </c>
      <c r="B73" s="13" t="s">
        <v>536</v>
      </c>
      <c r="C73" s="13" t="s">
        <v>537</v>
      </c>
      <c r="D73" s="15">
        <v>1.0</v>
      </c>
      <c r="E73" s="67">
        <f t="shared" si="1"/>
        <v>250</v>
      </c>
      <c r="F73" s="67"/>
    </row>
    <row r="74" hidden="1">
      <c r="A74" s="6" t="s">
        <v>10</v>
      </c>
      <c r="B74" s="13" t="s">
        <v>538</v>
      </c>
      <c r="C74" s="13" t="s">
        <v>539</v>
      </c>
      <c r="D74" s="15">
        <v>3.0</v>
      </c>
      <c r="E74" s="67">
        <f t="shared" si="1"/>
        <v>750</v>
      </c>
      <c r="F74" s="67"/>
    </row>
    <row r="75" hidden="1">
      <c r="A75" s="6" t="s">
        <v>10</v>
      </c>
      <c r="B75" s="13" t="s">
        <v>540</v>
      </c>
      <c r="C75" s="13" t="s">
        <v>541</v>
      </c>
      <c r="D75" s="15">
        <v>16.0</v>
      </c>
      <c r="E75" s="67">
        <f t="shared" si="1"/>
        <v>8000</v>
      </c>
      <c r="F75" s="67"/>
    </row>
    <row r="76" hidden="1">
      <c r="A76" s="6" t="s">
        <v>10</v>
      </c>
      <c r="B76" s="13" t="s">
        <v>542</v>
      </c>
      <c r="C76" s="13" t="s">
        <v>543</v>
      </c>
      <c r="D76" s="15">
        <v>3.0</v>
      </c>
      <c r="E76" s="67">
        <f t="shared" si="1"/>
        <v>750</v>
      </c>
      <c r="F76" s="67"/>
    </row>
    <row r="77" hidden="1">
      <c r="A77" s="6" t="s">
        <v>10</v>
      </c>
      <c r="B77" s="13" t="s">
        <v>544</v>
      </c>
      <c r="C77" s="13" t="s">
        <v>545</v>
      </c>
      <c r="D77" s="15">
        <v>3.0</v>
      </c>
      <c r="E77" s="67">
        <f t="shared" si="1"/>
        <v>750</v>
      </c>
      <c r="F77" s="67"/>
    </row>
    <row r="78" hidden="1">
      <c r="A78" s="6" t="s">
        <v>10</v>
      </c>
      <c r="B78" s="13" t="s">
        <v>546</v>
      </c>
      <c r="C78" s="13" t="s">
        <v>547</v>
      </c>
      <c r="D78" s="15">
        <v>12.0</v>
      </c>
      <c r="E78" s="67">
        <f t="shared" si="1"/>
        <v>6000</v>
      </c>
      <c r="F78" s="67"/>
    </row>
    <row r="79" hidden="1">
      <c r="A79" s="6" t="s">
        <v>10</v>
      </c>
      <c r="B79" s="13" t="s">
        <v>548</v>
      </c>
      <c r="C79" s="13" t="s">
        <v>549</v>
      </c>
      <c r="D79" s="15">
        <v>10.0</v>
      </c>
      <c r="E79" s="67">
        <f t="shared" si="1"/>
        <v>5000</v>
      </c>
      <c r="F79" s="67"/>
    </row>
    <row r="80" hidden="1">
      <c r="A80" s="6" t="s">
        <v>10</v>
      </c>
      <c r="B80" s="13" t="s">
        <v>550</v>
      </c>
      <c r="C80" s="13" t="s">
        <v>551</v>
      </c>
      <c r="D80" s="15">
        <v>4.0</v>
      </c>
      <c r="E80" s="67">
        <f t="shared" si="1"/>
        <v>1000</v>
      </c>
      <c r="F80" s="67"/>
    </row>
    <row r="81" hidden="1">
      <c r="A81" s="6" t="s">
        <v>10</v>
      </c>
      <c r="B81" s="13" t="s">
        <v>552</v>
      </c>
      <c r="C81" s="13" t="s">
        <v>553</v>
      </c>
      <c r="D81" s="15">
        <v>6.0</v>
      </c>
      <c r="E81" s="67">
        <f t="shared" si="1"/>
        <v>1500</v>
      </c>
      <c r="F81" s="67"/>
    </row>
    <row r="82" hidden="1">
      <c r="A82" s="6" t="s">
        <v>10</v>
      </c>
      <c r="B82" s="13" t="s">
        <v>554</v>
      </c>
      <c r="C82" s="13" t="s">
        <v>555</v>
      </c>
      <c r="D82" s="15">
        <v>0.0</v>
      </c>
      <c r="E82" s="67">
        <f t="shared" si="1"/>
        <v>0</v>
      </c>
      <c r="F82" s="67"/>
    </row>
    <row r="83" hidden="1">
      <c r="A83" s="6" t="s">
        <v>10</v>
      </c>
      <c r="B83" s="13" t="s">
        <v>556</v>
      </c>
      <c r="C83" s="13" t="s">
        <v>557</v>
      </c>
      <c r="D83" s="15">
        <v>1.0</v>
      </c>
      <c r="E83" s="67">
        <f t="shared" si="1"/>
        <v>250</v>
      </c>
      <c r="F83" s="67"/>
    </row>
    <row r="84" hidden="1">
      <c r="A84" s="6" t="s">
        <v>10</v>
      </c>
      <c r="B84" s="13" t="s">
        <v>558</v>
      </c>
      <c r="C84" s="13" t="s">
        <v>559</v>
      </c>
      <c r="D84" s="15">
        <v>3.0</v>
      </c>
      <c r="E84" s="67">
        <f t="shared" si="1"/>
        <v>750</v>
      </c>
      <c r="F84" s="67"/>
    </row>
    <row r="85" hidden="1">
      <c r="A85" s="6" t="s">
        <v>10</v>
      </c>
      <c r="B85" s="13" t="s">
        <v>560</v>
      </c>
      <c r="C85" s="13" t="s">
        <v>561</v>
      </c>
      <c r="D85" s="15">
        <v>4.0</v>
      </c>
      <c r="E85" s="67">
        <f t="shared" si="1"/>
        <v>1000</v>
      </c>
      <c r="F85" s="67"/>
    </row>
    <row r="86" hidden="1">
      <c r="A86" s="6" t="s">
        <v>10</v>
      </c>
      <c r="B86" s="13" t="s">
        <v>562</v>
      </c>
      <c r="C86" s="13" t="s">
        <v>563</v>
      </c>
      <c r="D86" s="15">
        <v>8.0</v>
      </c>
      <c r="E86" s="67">
        <f t="shared" si="1"/>
        <v>2000</v>
      </c>
      <c r="F86" s="67"/>
    </row>
    <row r="87" hidden="1">
      <c r="A87" s="6" t="s">
        <v>10</v>
      </c>
      <c r="B87" s="13" t="s">
        <v>564</v>
      </c>
      <c r="C87" s="13" t="s">
        <v>565</v>
      </c>
      <c r="D87" s="15">
        <v>3.0</v>
      </c>
      <c r="E87" s="67">
        <f t="shared" si="1"/>
        <v>750</v>
      </c>
      <c r="F87" s="67"/>
    </row>
    <row r="88" hidden="1">
      <c r="A88" s="6" t="s">
        <v>10</v>
      </c>
      <c r="B88" s="13" t="s">
        <v>566</v>
      </c>
      <c r="C88" s="13" t="s">
        <v>567</v>
      </c>
      <c r="D88" s="15">
        <v>3.0</v>
      </c>
      <c r="E88" s="67">
        <f t="shared" si="1"/>
        <v>750</v>
      </c>
      <c r="F88" s="67"/>
    </row>
    <row r="89" hidden="1">
      <c r="A89" s="6" t="s">
        <v>10</v>
      </c>
      <c r="B89" s="13" t="s">
        <v>568</v>
      </c>
      <c r="C89" s="13" t="s">
        <v>569</v>
      </c>
      <c r="D89" s="15">
        <v>2.0</v>
      </c>
      <c r="E89" s="67">
        <f t="shared" si="1"/>
        <v>500</v>
      </c>
      <c r="F89" s="67"/>
    </row>
    <row r="90" hidden="1">
      <c r="A90" s="6" t="s">
        <v>10</v>
      </c>
      <c r="B90" s="13" t="s">
        <v>570</v>
      </c>
      <c r="C90" s="13" t="s">
        <v>571</v>
      </c>
      <c r="D90" s="15">
        <v>1.0</v>
      </c>
      <c r="E90" s="67">
        <f t="shared" si="1"/>
        <v>250</v>
      </c>
      <c r="F90" s="67"/>
    </row>
    <row r="91" hidden="1">
      <c r="A91" s="6" t="s">
        <v>10</v>
      </c>
      <c r="B91" s="13" t="s">
        <v>572</v>
      </c>
      <c r="C91" s="13" t="s">
        <v>573</v>
      </c>
      <c r="D91" s="15">
        <v>5.0</v>
      </c>
      <c r="E91" s="67">
        <f t="shared" si="1"/>
        <v>1250</v>
      </c>
      <c r="F91" s="67"/>
    </row>
    <row r="92" hidden="1">
      <c r="A92" s="6" t="s">
        <v>10</v>
      </c>
      <c r="B92" s="13" t="s">
        <v>574</v>
      </c>
      <c r="C92" s="13" t="s">
        <v>575</v>
      </c>
      <c r="D92" s="15">
        <v>0.0</v>
      </c>
      <c r="E92" s="67">
        <f t="shared" si="1"/>
        <v>0</v>
      </c>
      <c r="F92" s="67"/>
    </row>
    <row r="93" hidden="1">
      <c r="A93" s="6" t="s">
        <v>10</v>
      </c>
      <c r="B93" s="13" t="s">
        <v>576</v>
      </c>
      <c r="C93" s="13" t="s">
        <v>577</v>
      </c>
      <c r="D93" s="15">
        <v>4.0</v>
      </c>
      <c r="E93" s="67">
        <f t="shared" si="1"/>
        <v>1000</v>
      </c>
      <c r="F93" s="67"/>
    </row>
    <row r="94" hidden="1">
      <c r="A94" s="6" t="s">
        <v>10</v>
      </c>
      <c r="B94" s="13" t="s">
        <v>578</v>
      </c>
      <c r="C94" s="13" t="s">
        <v>579</v>
      </c>
      <c r="D94" s="15">
        <v>3.0</v>
      </c>
      <c r="E94" s="67">
        <f t="shared" si="1"/>
        <v>750</v>
      </c>
      <c r="F94" s="67"/>
    </row>
    <row r="95" hidden="1">
      <c r="A95" s="6" t="s">
        <v>10</v>
      </c>
      <c r="B95" s="13" t="s">
        <v>580</v>
      </c>
      <c r="C95" s="13" t="s">
        <v>581</v>
      </c>
      <c r="D95" s="15">
        <v>1.0</v>
      </c>
      <c r="E95" s="67">
        <f t="shared" si="1"/>
        <v>250</v>
      </c>
      <c r="F95" s="67"/>
    </row>
    <row r="96" hidden="1">
      <c r="A96" s="6" t="s">
        <v>10</v>
      </c>
      <c r="B96" s="13" t="s">
        <v>582</v>
      </c>
      <c r="C96" s="13" t="s">
        <v>583</v>
      </c>
      <c r="D96" s="15">
        <v>11.0</v>
      </c>
      <c r="E96" s="67">
        <f t="shared" si="1"/>
        <v>5500</v>
      </c>
      <c r="F96" s="67"/>
    </row>
    <row r="97" hidden="1">
      <c r="A97" s="6" t="s">
        <v>10</v>
      </c>
      <c r="B97" s="13" t="s">
        <v>584</v>
      </c>
      <c r="C97" s="13" t="s">
        <v>585</v>
      </c>
      <c r="D97" s="15">
        <v>3.0</v>
      </c>
      <c r="E97" s="67">
        <f t="shared" si="1"/>
        <v>750</v>
      </c>
      <c r="F97" s="67"/>
    </row>
    <row r="98" hidden="1">
      <c r="A98" s="6" t="s">
        <v>10</v>
      </c>
      <c r="B98" s="13" t="s">
        <v>586</v>
      </c>
      <c r="C98" s="13" t="s">
        <v>587</v>
      </c>
      <c r="D98" s="15">
        <v>2.0</v>
      </c>
      <c r="E98" s="67">
        <f t="shared" si="1"/>
        <v>500</v>
      </c>
      <c r="F98" s="67"/>
    </row>
    <row r="99" hidden="1">
      <c r="A99" s="6" t="s">
        <v>10</v>
      </c>
      <c r="B99" s="13" t="s">
        <v>588</v>
      </c>
      <c r="C99" s="13" t="s">
        <v>589</v>
      </c>
      <c r="D99" s="15">
        <v>3.0</v>
      </c>
      <c r="E99" s="67">
        <f t="shared" si="1"/>
        <v>750</v>
      </c>
      <c r="F99" s="67"/>
    </row>
    <row r="100" hidden="1">
      <c r="A100" s="6" t="s">
        <v>10</v>
      </c>
      <c r="B100" s="13" t="s">
        <v>590</v>
      </c>
      <c r="C100" s="13" t="s">
        <v>591</v>
      </c>
      <c r="D100" s="15">
        <v>6.0</v>
      </c>
      <c r="E100" s="67">
        <f t="shared" si="1"/>
        <v>1500</v>
      </c>
      <c r="F100" s="67"/>
    </row>
    <row r="101" hidden="1">
      <c r="A101" s="6" t="s">
        <v>10</v>
      </c>
      <c r="B101" s="13" t="s">
        <v>592</v>
      </c>
      <c r="C101" s="13" t="s">
        <v>593</v>
      </c>
      <c r="D101" s="15">
        <v>3.0</v>
      </c>
      <c r="E101" s="67">
        <f t="shared" si="1"/>
        <v>750</v>
      </c>
      <c r="F101" s="67"/>
    </row>
    <row r="102" hidden="1">
      <c r="A102" s="6" t="s">
        <v>10</v>
      </c>
      <c r="B102" s="13" t="s">
        <v>594</v>
      </c>
      <c r="C102" s="13" t="s">
        <v>595</v>
      </c>
      <c r="D102" s="15">
        <v>1.0</v>
      </c>
      <c r="E102" s="67">
        <f t="shared" si="1"/>
        <v>250</v>
      </c>
      <c r="F102" s="67"/>
    </row>
    <row r="103" hidden="1">
      <c r="A103" s="6" t="s">
        <v>10</v>
      </c>
      <c r="B103" s="13" t="s">
        <v>596</v>
      </c>
      <c r="C103" s="13" t="s">
        <v>597</v>
      </c>
      <c r="D103" s="15">
        <v>3.0</v>
      </c>
      <c r="E103" s="67">
        <f t="shared" si="1"/>
        <v>750</v>
      </c>
      <c r="F103" s="67"/>
    </row>
    <row r="104" hidden="1">
      <c r="A104" s="6" t="s">
        <v>10</v>
      </c>
      <c r="B104" s="13" t="s">
        <v>598</v>
      </c>
      <c r="C104" s="13" t="s">
        <v>599</v>
      </c>
      <c r="D104" s="15">
        <v>0.0</v>
      </c>
      <c r="E104" s="67">
        <f t="shared" si="1"/>
        <v>0</v>
      </c>
      <c r="F104" s="67"/>
    </row>
    <row r="105" hidden="1">
      <c r="A105" s="6" t="s">
        <v>10</v>
      </c>
      <c r="B105" s="13" t="s">
        <v>600</v>
      </c>
      <c r="C105" s="13" t="s">
        <v>601</v>
      </c>
      <c r="D105" s="15">
        <v>2.0</v>
      </c>
      <c r="E105" s="67">
        <f t="shared" si="1"/>
        <v>500</v>
      </c>
      <c r="F105" s="67"/>
    </row>
    <row r="106" hidden="1">
      <c r="A106" s="6" t="s">
        <v>10</v>
      </c>
      <c r="B106" s="13" t="s">
        <v>602</v>
      </c>
      <c r="C106" s="13" t="s">
        <v>603</v>
      </c>
      <c r="D106" s="15">
        <v>1.0</v>
      </c>
      <c r="E106" s="67">
        <f t="shared" si="1"/>
        <v>250</v>
      </c>
      <c r="F106" s="67"/>
    </row>
    <row r="107" hidden="1">
      <c r="A107" s="6" t="s">
        <v>10</v>
      </c>
      <c r="B107" s="13" t="s">
        <v>604</v>
      </c>
      <c r="C107" s="13" t="s">
        <v>605</v>
      </c>
      <c r="D107" s="15">
        <v>5.0</v>
      </c>
      <c r="E107" s="67">
        <f t="shared" si="1"/>
        <v>1250</v>
      </c>
      <c r="F107" s="67"/>
    </row>
    <row r="108" hidden="1">
      <c r="A108" s="6" t="s">
        <v>10</v>
      </c>
      <c r="B108" s="13" t="s">
        <v>606</v>
      </c>
      <c r="C108" s="13" t="s">
        <v>607</v>
      </c>
      <c r="D108" s="15">
        <v>6.0</v>
      </c>
      <c r="E108" s="67">
        <f t="shared" si="1"/>
        <v>1500</v>
      </c>
      <c r="F108" s="67"/>
    </row>
    <row r="109" hidden="1">
      <c r="A109" s="6" t="s">
        <v>10</v>
      </c>
      <c r="B109" s="13" t="s">
        <v>608</v>
      </c>
      <c r="C109" s="13" t="s">
        <v>609</v>
      </c>
      <c r="D109" s="15">
        <v>4.0</v>
      </c>
      <c r="E109" s="67">
        <f t="shared" si="1"/>
        <v>1000</v>
      </c>
      <c r="F109" s="67"/>
    </row>
    <row r="110" hidden="1">
      <c r="A110" s="6" t="s">
        <v>10</v>
      </c>
      <c r="B110" s="13" t="s">
        <v>610</v>
      </c>
      <c r="C110" s="13" t="s">
        <v>611</v>
      </c>
      <c r="D110" s="15">
        <v>1.0</v>
      </c>
      <c r="E110" s="67">
        <f t="shared" si="1"/>
        <v>250</v>
      </c>
      <c r="F110" s="67"/>
    </row>
    <row r="111" hidden="1">
      <c r="A111" s="6" t="s">
        <v>10</v>
      </c>
      <c r="B111" s="13" t="s">
        <v>612</v>
      </c>
      <c r="C111" s="13" t="s">
        <v>613</v>
      </c>
      <c r="D111" s="15">
        <v>3.0</v>
      </c>
      <c r="E111" s="67">
        <f t="shared" si="1"/>
        <v>750</v>
      </c>
      <c r="F111" s="67"/>
    </row>
    <row r="112" hidden="1">
      <c r="A112" s="6" t="s">
        <v>10</v>
      </c>
      <c r="B112" s="13" t="s">
        <v>614</v>
      </c>
      <c r="C112" s="13" t="s">
        <v>615</v>
      </c>
      <c r="D112" s="15">
        <v>1.0</v>
      </c>
      <c r="E112" s="67">
        <f t="shared" si="1"/>
        <v>250</v>
      </c>
      <c r="F112" s="67"/>
    </row>
    <row r="113" hidden="1">
      <c r="A113" s="6" t="s">
        <v>10</v>
      </c>
      <c r="B113" s="13" t="s">
        <v>616</v>
      </c>
      <c r="C113" s="13" t="s">
        <v>617</v>
      </c>
      <c r="D113" s="15">
        <v>0.0</v>
      </c>
      <c r="E113" s="67">
        <f t="shared" si="1"/>
        <v>0</v>
      </c>
      <c r="F113" s="67"/>
    </row>
    <row r="114" hidden="1">
      <c r="A114" s="6" t="s">
        <v>10</v>
      </c>
      <c r="B114" s="13" t="s">
        <v>618</v>
      </c>
      <c r="C114" s="13" t="s">
        <v>619</v>
      </c>
      <c r="D114" s="15">
        <v>0.0</v>
      </c>
      <c r="E114" s="67">
        <f t="shared" si="1"/>
        <v>0</v>
      </c>
      <c r="F114" s="67"/>
    </row>
    <row r="115" hidden="1">
      <c r="A115" s="6" t="s">
        <v>10</v>
      </c>
      <c r="B115" s="13" t="s">
        <v>620</v>
      </c>
      <c r="C115" s="13" t="s">
        <v>621</v>
      </c>
      <c r="D115" s="15">
        <v>2.0</v>
      </c>
      <c r="E115" s="67">
        <f t="shared" si="1"/>
        <v>500</v>
      </c>
      <c r="F115" s="67"/>
    </row>
    <row r="116" hidden="1">
      <c r="A116" s="6" t="s">
        <v>10</v>
      </c>
      <c r="B116" s="13" t="s">
        <v>622</v>
      </c>
      <c r="C116" s="13" t="s">
        <v>623</v>
      </c>
      <c r="D116" s="15">
        <v>7.0</v>
      </c>
      <c r="E116" s="67">
        <f t="shared" si="1"/>
        <v>1750</v>
      </c>
      <c r="F116" s="67"/>
    </row>
    <row r="117" hidden="1">
      <c r="A117" s="6" t="s">
        <v>10</v>
      </c>
      <c r="B117" s="13" t="s">
        <v>624</v>
      </c>
      <c r="C117" s="13" t="s">
        <v>625</v>
      </c>
      <c r="D117" s="15">
        <v>2.0</v>
      </c>
      <c r="E117" s="67">
        <f t="shared" si="1"/>
        <v>500</v>
      </c>
      <c r="F117" s="67"/>
    </row>
    <row r="118" hidden="1">
      <c r="A118" s="6" t="s">
        <v>10</v>
      </c>
      <c r="B118" s="13" t="s">
        <v>626</v>
      </c>
      <c r="C118" s="13" t="s">
        <v>627</v>
      </c>
      <c r="D118" s="15">
        <v>7.0</v>
      </c>
      <c r="E118" s="67">
        <f t="shared" si="1"/>
        <v>1750</v>
      </c>
      <c r="F118" s="67"/>
    </row>
    <row r="119" hidden="1">
      <c r="A119" s="6" t="s">
        <v>10</v>
      </c>
      <c r="B119" s="13" t="s">
        <v>628</v>
      </c>
      <c r="C119" s="13" t="s">
        <v>629</v>
      </c>
      <c r="D119" s="15">
        <v>6.0</v>
      </c>
      <c r="E119" s="67">
        <f t="shared" si="1"/>
        <v>1500</v>
      </c>
      <c r="F119" s="67"/>
    </row>
    <row r="120" hidden="1">
      <c r="A120" s="6" t="s">
        <v>10</v>
      </c>
      <c r="B120" s="13" t="s">
        <v>630</v>
      </c>
      <c r="C120" s="13" t="s">
        <v>631</v>
      </c>
      <c r="D120" s="15">
        <v>3.0</v>
      </c>
      <c r="E120" s="67">
        <f t="shared" si="1"/>
        <v>750</v>
      </c>
      <c r="F120" s="67"/>
    </row>
    <row r="121" hidden="1">
      <c r="A121" s="6" t="s">
        <v>10</v>
      </c>
      <c r="B121" s="13" t="s">
        <v>632</v>
      </c>
      <c r="C121" s="13" t="s">
        <v>633</v>
      </c>
      <c r="D121" s="15">
        <v>2.0</v>
      </c>
      <c r="E121" s="67">
        <f t="shared" si="1"/>
        <v>500</v>
      </c>
      <c r="F121" s="67"/>
    </row>
    <row r="122" hidden="1">
      <c r="A122" s="6" t="s">
        <v>10</v>
      </c>
      <c r="B122" s="13" t="s">
        <v>634</v>
      </c>
      <c r="C122" s="13" t="s">
        <v>635</v>
      </c>
      <c r="D122" s="15">
        <v>0.0</v>
      </c>
      <c r="E122" s="67">
        <f t="shared" si="1"/>
        <v>0</v>
      </c>
      <c r="F122" s="67"/>
    </row>
    <row r="123" hidden="1">
      <c r="A123" s="6" t="s">
        <v>10</v>
      </c>
      <c r="B123" s="13" t="s">
        <v>636</v>
      </c>
      <c r="C123" s="13" t="s">
        <v>637</v>
      </c>
      <c r="D123" s="15">
        <v>3.0</v>
      </c>
      <c r="E123" s="67">
        <f t="shared" si="1"/>
        <v>750</v>
      </c>
      <c r="F123" s="67"/>
    </row>
    <row r="124" hidden="1">
      <c r="A124" s="6" t="s">
        <v>10</v>
      </c>
      <c r="B124" s="13" t="s">
        <v>638</v>
      </c>
      <c r="C124" s="13" t="s">
        <v>639</v>
      </c>
      <c r="D124" s="15">
        <v>1.0</v>
      </c>
      <c r="E124" s="67">
        <f t="shared" si="1"/>
        <v>250</v>
      </c>
      <c r="F124" s="67"/>
    </row>
    <row r="125" hidden="1">
      <c r="A125" s="6" t="s">
        <v>10</v>
      </c>
      <c r="B125" s="13" t="s">
        <v>640</v>
      </c>
      <c r="C125" s="13" t="s">
        <v>641</v>
      </c>
      <c r="D125" s="15">
        <v>17.0</v>
      </c>
      <c r="E125" s="67">
        <f t="shared" si="1"/>
        <v>8500</v>
      </c>
      <c r="F125" s="67"/>
    </row>
    <row r="126" hidden="1">
      <c r="A126" s="6" t="s">
        <v>10</v>
      </c>
      <c r="B126" s="13" t="s">
        <v>311</v>
      </c>
      <c r="C126" s="13" t="s">
        <v>312</v>
      </c>
      <c r="D126" s="15">
        <v>4.0</v>
      </c>
      <c r="E126" s="67">
        <f t="shared" si="1"/>
        <v>1000</v>
      </c>
      <c r="F126" s="67"/>
    </row>
    <row r="127" hidden="1">
      <c r="A127" s="6" t="s">
        <v>10</v>
      </c>
      <c r="B127" s="13" t="s">
        <v>642</v>
      </c>
      <c r="C127" s="13" t="s">
        <v>643</v>
      </c>
      <c r="D127" s="15">
        <v>1.0</v>
      </c>
      <c r="E127" s="67">
        <f t="shared" si="1"/>
        <v>250</v>
      </c>
      <c r="F127" s="67"/>
    </row>
    <row r="128" hidden="1">
      <c r="A128" s="6" t="s">
        <v>10</v>
      </c>
      <c r="B128" s="13" t="s">
        <v>644</v>
      </c>
      <c r="C128" s="13" t="s">
        <v>645</v>
      </c>
      <c r="D128" s="15">
        <v>12.0</v>
      </c>
      <c r="E128" s="67">
        <f t="shared" si="1"/>
        <v>6000</v>
      </c>
      <c r="F128" s="67"/>
    </row>
    <row r="129" hidden="1">
      <c r="A129" s="6" t="s">
        <v>10</v>
      </c>
      <c r="B129" s="13" t="s">
        <v>646</v>
      </c>
      <c r="C129" s="13" t="s">
        <v>647</v>
      </c>
      <c r="D129" s="15">
        <v>3.0</v>
      </c>
      <c r="E129" s="67">
        <f t="shared" si="1"/>
        <v>750</v>
      </c>
      <c r="F129" s="67"/>
    </row>
    <row r="130" hidden="1">
      <c r="A130" s="6" t="s">
        <v>10</v>
      </c>
      <c r="B130" s="13" t="s">
        <v>648</v>
      </c>
      <c r="C130" s="13" t="s">
        <v>649</v>
      </c>
      <c r="D130" s="15">
        <v>2.0</v>
      </c>
      <c r="E130" s="67">
        <f t="shared" si="1"/>
        <v>500</v>
      </c>
      <c r="F130" s="67"/>
    </row>
    <row r="131" hidden="1">
      <c r="A131" s="6" t="s">
        <v>10</v>
      </c>
      <c r="B131" s="13" t="s">
        <v>650</v>
      </c>
      <c r="C131" s="13" t="s">
        <v>651</v>
      </c>
      <c r="D131" s="15">
        <v>5.0</v>
      </c>
      <c r="E131" s="67">
        <f t="shared" si="1"/>
        <v>1250</v>
      </c>
      <c r="F131" s="67"/>
    </row>
    <row r="132" hidden="1">
      <c r="A132" s="6" t="s">
        <v>10</v>
      </c>
      <c r="B132" s="13" t="s">
        <v>652</v>
      </c>
      <c r="C132" s="13" t="s">
        <v>653</v>
      </c>
      <c r="D132" s="15">
        <v>5.0</v>
      </c>
      <c r="E132" s="67">
        <f t="shared" si="1"/>
        <v>1250</v>
      </c>
      <c r="F132" s="67"/>
    </row>
    <row r="133" hidden="1">
      <c r="A133" s="6" t="s">
        <v>10</v>
      </c>
      <c r="B133" s="13" t="s">
        <v>654</v>
      </c>
      <c r="C133" s="13" t="s">
        <v>655</v>
      </c>
      <c r="D133" s="15">
        <v>4.0</v>
      </c>
      <c r="E133" s="67">
        <f t="shared" si="1"/>
        <v>1000</v>
      </c>
      <c r="F133" s="67"/>
    </row>
    <row r="134" hidden="1">
      <c r="A134" s="6" t="s">
        <v>10</v>
      </c>
      <c r="B134" s="13" t="s">
        <v>656</v>
      </c>
      <c r="C134" s="13" t="s">
        <v>657</v>
      </c>
      <c r="D134" s="15">
        <v>3.0</v>
      </c>
      <c r="E134" s="67">
        <f t="shared" si="1"/>
        <v>750</v>
      </c>
      <c r="F134" s="67"/>
    </row>
    <row r="135" hidden="1">
      <c r="A135" s="6" t="s">
        <v>10</v>
      </c>
      <c r="B135" s="13" t="s">
        <v>658</v>
      </c>
      <c r="C135" s="13" t="s">
        <v>659</v>
      </c>
      <c r="D135" s="15">
        <v>2.0</v>
      </c>
      <c r="E135" s="67">
        <f t="shared" si="1"/>
        <v>500</v>
      </c>
      <c r="F135" s="67"/>
    </row>
    <row r="136" hidden="1">
      <c r="A136" s="6" t="s">
        <v>10</v>
      </c>
      <c r="B136" s="13" t="s">
        <v>660</v>
      </c>
      <c r="C136" s="13" t="s">
        <v>661</v>
      </c>
      <c r="D136" s="15">
        <v>4.0</v>
      </c>
      <c r="E136" s="67">
        <f t="shared" si="1"/>
        <v>1000</v>
      </c>
      <c r="F136" s="67"/>
    </row>
    <row r="137" hidden="1">
      <c r="A137" s="6" t="s">
        <v>10</v>
      </c>
      <c r="B137" s="13" t="s">
        <v>662</v>
      </c>
      <c r="C137" s="13" t="s">
        <v>663</v>
      </c>
      <c r="D137" s="15">
        <v>1.0</v>
      </c>
      <c r="E137" s="67">
        <f t="shared" si="1"/>
        <v>250</v>
      </c>
      <c r="F137" s="67"/>
    </row>
    <row r="138" hidden="1">
      <c r="A138" s="6" t="s">
        <v>10</v>
      </c>
      <c r="B138" s="13" t="s">
        <v>664</v>
      </c>
      <c r="C138" s="13" t="s">
        <v>665</v>
      </c>
      <c r="D138" s="15">
        <v>2.0</v>
      </c>
      <c r="E138" s="67">
        <f t="shared" si="1"/>
        <v>500</v>
      </c>
      <c r="F138" s="67"/>
    </row>
    <row r="139" hidden="1">
      <c r="A139" s="6" t="s">
        <v>10</v>
      </c>
      <c r="B139" s="13" t="s">
        <v>666</v>
      </c>
      <c r="C139" s="13" t="s">
        <v>667</v>
      </c>
      <c r="D139" s="15">
        <v>0.0</v>
      </c>
      <c r="E139" s="67">
        <f t="shared" si="1"/>
        <v>0</v>
      </c>
      <c r="F139" s="67"/>
    </row>
    <row r="140" hidden="1">
      <c r="A140" s="6" t="s">
        <v>10</v>
      </c>
      <c r="B140" s="13" t="s">
        <v>668</v>
      </c>
      <c r="C140" s="13" t="s">
        <v>669</v>
      </c>
      <c r="D140" s="15">
        <v>2.0</v>
      </c>
      <c r="E140" s="67">
        <f t="shared" si="1"/>
        <v>500</v>
      </c>
      <c r="F140" s="67"/>
    </row>
    <row r="141" hidden="1">
      <c r="A141" s="6" t="s">
        <v>10</v>
      </c>
      <c r="B141" s="13" t="s">
        <v>670</v>
      </c>
      <c r="C141" s="13" t="s">
        <v>671</v>
      </c>
      <c r="D141" s="15">
        <v>0.0</v>
      </c>
      <c r="E141" s="67">
        <f t="shared" si="1"/>
        <v>0</v>
      </c>
      <c r="F141" s="67"/>
    </row>
    <row r="142" hidden="1">
      <c r="A142" s="6" t="s">
        <v>10</v>
      </c>
      <c r="B142" s="13" t="s">
        <v>672</v>
      </c>
      <c r="C142" s="13" t="s">
        <v>673</v>
      </c>
      <c r="D142" s="15">
        <v>2.0</v>
      </c>
      <c r="E142" s="67">
        <f t="shared" si="1"/>
        <v>500</v>
      </c>
      <c r="F142" s="67"/>
    </row>
    <row r="143" hidden="1">
      <c r="A143" s="6" t="s">
        <v>10</v>
      </c>
      <c r="B143" s="13" t="s">
        <v>674</v>
      </c>
      <c r="C143" s="13" t="s">
        <v>675</v>
      </c>
      <c r="D143" s="15">
        <v>3.0</v>
      </c>
      <c r="E143" s="67">
        <f t="shared" si="1"/>
        <v>750</v>
      </c>
      <c r="F143" s="67"/>
    </row>
    <row r="144" hidden="1">
      <c r="A144" s="6" t="s">
        <v>10</v>
      </c>
      <c r="B144" s="13" t="s">
        <v>676</v>
      </c>
      <c r="C144" s="13" t="s">
        <v>677</v>
      </c>
      <c r="D144" s="15">
        <v>6.0</v>
      </c>
      <c r="E144" s="67">
        <f t="shared" si="1"/>
        <v>1500</v>
      </c>
      <c r="F144" s="67"/>
    </row>
    <row r="145" hidden="1">
      <c r="A145" s="6" t="s">
        <v>10</v>
      </c>
      <c r="B145" s="13" t="s">
        <v>678</v>
      </c>
      <c r="C145" s="13" t="s">
        <v>679</v>
      </c>
      <c r="D145" s="15">
        <v>3.0</v>
      </c>
      <c r="E145" s="67">
        <f t="shared" si="1"/>
        <v>750</v>
      </c>
      <c r="F145" s="67"/>
    </row>
    <row r="146" hidden="1">
      <c r="A146" s="6" t="s">
        <v>10</v>
      </c>
      <c r="B146" s="13" t="s">
        <v>680</v>
      </c>
      <c r="C146" s="13" t="s">
        <v>681</v>
      </c>
      <c r="D146" s="15">
        <v>5.0</v>
      </c>
      <c r="E146" s="67">
        <f t="shared" si="1"/>
        <v>1250</v>
      </c>
      <c r="F146" s="67"/>
    </row>
    <row r="147" hidden="1">
      <c r="A147" s="6" t="s">
        <v>10</v>
      </c>
      <c r="B147" s="13" t="s">
        <v>682</v>
      </c>
      <c r="C147" s="13" t="s">
        <v>683</v>
      </c>
      <c r="D147" s="15">
        <v>8.0</v>
      </c>
      <c r="E147" s="67">
        <f t="shared" si="1"/>
        <v>2000</v>
      </c>
      <c r="F147" s="67"/>
    </row>
    <row r="148" hidden="1">
      <c r="A148" s="6" t="s">
        <v>10</v>
      </c>
      <c r="B148" s="13" t="s">
        <v>684</v>
      </c>
      <c r="C148" s="13" t="s">
        <v>685</v>
      </c>
      <c r="D148" s="15">
        <v>2.0</v>
      </c>
      <c r="E148" s="67">
        <f t="shared" si="1"/>
        <v>500</v>
      </c>
      <c r="F148" s="67"/>
    </row>
    <row r="149" hidden="1">
      <c r="A149" s="6" t="s">
        <v>10</v>
      </c>
      <c r="B149" s="13" t="s">
        <v>686</v>
      </c>
      <c r="C149" s="13" t="s">
        <v>687</v>
      </c>
      <c r="D149" s="15">
        <v>1.0</v>
      </c>
      <c r="E149" s="67">
        <f t="shared" si="1"/>
        <v>250</v>
      </c>
      <c r="F149" s="67"/>
    </row>
    <row r="150" hidden="1">
      <c r="A150" s="6" t="s">
        <v>10</v>
      </c>
      <c r="B150" s="13" t="s">
        <v>688</v>
      </c>
      <c r="C150" s="13" t="s">
        <v>689</v>
      </c>
      <c r="D150" s="15">
        <v>2.0</v>
      </c>
      <c r="E150" s="67">
        <f t="shared" si="1"/>
        <v>500</v>
      </c>
      <c r="F150" s="67"/>
    </row>
    <row r="151" hidden="1">
      <c r="A151" s="6" t="s">
        <v>10</v>
      </c>
      <c r="B151" s="13" t="s">
        <v>690</v>
      </c>
      <c r="C151" s="13" t="s">
        <v>691</v>
      </c>
      <c r="D151" s="15">
        <v>4.0</v>
      </c>
      <c r="E151" s="67">
        <f t="shared" si="1"/>
        <v>1000</v>
      </c>
      <c r="F151" s="67"/>
    </row>
    <row r="152" hidden="1">
      <c r="A152" s="6" t="s">
        <v>10</v>
      </c>
      <c r="B152" s="13" t="s">
        <v>307</v>
      </c>
      <c r="C152" s="13" t="s">
        <v>692</v>
      </c>
      <c r="D152" s="15">
        <v>3.0</v>
      </c>
      <c r="E152" s="67">
        <f t="shared" si="1"/>
        <v>750</v>
      </c>
      <c r="F152" s="67"/>
    </row>
    <row r="153" hidden="1">
      <c r="A153" s="6" t="s">
        <v>10</v>
      </c>
      <c r="B153" s="13" t="s">
        <v>693</v>
      </c>
      <c r="C153" s="13" t="s">
        <v>694</v>
      </c>
      <c r="D153" s="15">
        <v>3.0</v>
      </c>
      <c r="E153" s="67">
        <f t="shared" si="1"/>
        <v>750</v>
      </c>
      <c r="F153" s="67"/>
    </row>
    <row r="154" hidden="1">
      <c r="A154" s="6" t="s">
        <v>10</v>
      </c>
      <c r="B154" s="13" t="s">
        <v>695</v>
      </c>
      <c r="C154" s="13" t="s">
        <v>696</v>
      </c>
      <c r="D154" s="15">
        <v>2.0</v>
      </c>
      <c r="E154" s="67">
        <f t="shared" si="1"/>
        <v>500</v>
      </c>
      <c r="F154" s="67"/>
    </row>
    <row r="155" hidden="1">
      <c r="A155" s="6" t="s">
        <v>10</v>
      </c>
      <c r="B155" s="13" t="s">
        <v>697</v>
      </c>
      <c r="C155" s="13" t="s">
        <v>698</v>
      </c>
      <c r="D155" s="15">
        <v>3.0</v>
      </c>
      <c r="E155" s="67">
        <f t="shared" si="1"/>
        <v>750</v>
      </c>
      <c r="F155" s="67"/>
    </row>
    <row r="156" hidden="1">
      <c r="A156" s="6" t="s">
        <v>10</v>
      </c>
      <c r="B156" s="13" t="s">
        <v>699</v>
      </c>
      <c r="C156" s="13" t="s">
        <v>700</v>
      </c>
      <c r="D156" s="15">
        <v>8.0</v>
      </c>
      <c r="E156" s="67">
        <f t="shared" si="1"/>
        <v>2000</v>
      </c>
      <c r="F156" s="67"/>
    </row>
    <row r="157" hidden="1">
      <c r="A157" s="6" t="s">
        <v>10</v>
      </c>
      <c r="B157" s="13" t="s">
        <v>701</v>
      </c>
      <c r="C157" s="13" t="s">
        <v>702</v>
      </c>
      <c r="D157" s="15">
        <v>4.0</v>
      </c>
      <c r="E157" s="67">
        <f t="shared" si="1"/>
        <v>1000</v>
      </c>
      <c r="F157" s="67"/>
    </row>
    <row r="158" hidden="1">
      <c r="A158" s="6" t="s">
        <v>10</v>
      </c>
      <c r="B158" s="13" t="s">
        <v>703</v>
      </c>
      <c r="C158" s="13" t="s">
        <v>704</v>
      </c>
      <c r="D158" s="15">
        <v>8.0</v>
      </c>
      <c r="E158" s="67">
        <f t="shared" si="1"/>
        <v>2000</v>
      </c>
      <c r="F158" s="67"/>
    </row>
    <row r="159" hidden="1">
      <c r="A159" s="6" t="s">
        <v>10</v>
      </c>
      <c r="B159" s="13" t="s">
        <v>705</v>
      </c>
      <c r="C159" s="13" t="s">
        <v>706</v>
      </c>
      <c r="D159" s="15">
        <v>0.0</v>
      </c>
      <c r="E159" s="67">
        <f t="shared" si="1"/>
        <v>0</v>
      </c>
      <c r="F159" s="67"/>
    </row>
    <row r="160" hidden="1">
      <c r="A160" s="6" t="s">
        <v>10</v>
      </c>
      <c r="B160" s="13" t="s">
        <v>707</v>
      </c>
      <c r="C160" s="13" t="s">
        <v>708</v>
      </c>
      <c r="D160" s="15">
        <v>3.0</v>
      </c>
      <c r="E160" s="67">
        <f t="shared" si="1"/>
        <v>750</v>
      </c>
      <c r="F160" s="67"/>
    </row>
    <row r="161" hidden="1">
      <c r="A161" s="6" t="s">
        <v>10</v>
      </c>
      <c r="B161" s="13" t="s">
        <v>709</v>
      </c>
      <c r="C161" s="13" t="s">
        <v>710</v>
      </c>
      <c r="D161" s="15">
        <v>0.0</v>
      </c>
      <c r="E161" s="67">
        <f t="shared" si="1"/>
        <v>0</v>
      </c>
      <c r="F161" s="67"/>
    </row>
    <row r="162" hidden="1">
      <c r="A162" s="6" t="s">
        <v>10</v>
      </c>
      <c r="B162" s="13" t="s">
        <v>711</v>
      </c>
      <c r="C162" s="13" t="s">
        <v>712</v>
      </c>
      <c r="D162" s="15">
        <v>4.0</v>
      </c>
      <c r="E162" s="67">
        <f t="shared" si="1"/>
        <v>1000</v>
      </c>
      <c r="F162" s="67"/>
    </row>
    <row r="163" hidden="1">
      <c r="A163" s="6" t="s">
        <v>10</v>
      </c>
      <c r="B163" s="13" t="s">
        <v>713</v>
      </c>
      <c r="C163" s="13" t="s">
        <v>714</v>
      </c>
      <c r="D163" s="15">
        <v>2.0</v>
      </c>
      <c r="E163" s="67">
        <f t="shared" si="1"/>
        <v>500</v>
      </c>
      <c r="F163" s="67"/>
    </row>
    <row r="164" hidden="1">
      <c r="A164" s="6" t="s">
        <v>10</v>
      </c>
      <c r="B164" s="13" t="s">
        <v>715</v>
      </c>
      <c r="C164" s="8" t="s">
        <v>716</v>
      </c>
      <c r="D164" s="15">
        <v>3.0</v>
      </c>
      <c r="E164" s="67">
        <f t="shared" si="1"/>
        <v>750</v>
      </c>
      <c r="F164" s="67"/>
    </row>
    <row r="165" hidden="1">
      <c r="A165" s="6" t="s">
        <v>10</v>
      </c>
      <c r="B165" s="13" t="s">
        <v>717</v>
      </c>
      <c r="C165" s="8" t="s">
        <v>718</v>
      </c>
      <c r="D165" s="15">
        <v>3.0</v>
      </c>
      <c r="E165" s="67">
        <f t="shared" si="1"/>
        <v>750</v>
      </c>
      <c r="F165" s="67"/>
    </row>
    <row r="166" hidden="1">
      <c r="A166" s="6" t="s">
        <v>10</v>
      </c>
      <c r="B166" s="13" t="s">
        <v>719</v>
      </c>
      <c r="C166" s="8" t="s">
        <v>720</v>
      </c>
      <c r="D166" s="15">
        <v>3.0</v>
      </c>
      <c r="E166" s="67">
        <f t="shared" si="1"/>
        <v>750</v>
      </c>
      <c r="F166" s="67"/>
    </row>
    <row r="167" hidden="1">
      <c r="A167" s="6" t="s">
        <v>10</v>
      </c>
      <c r="B167" s="13" t="s">
        <v>721</v>
      </c>
      <c r="C167" s="8" t="s">
        <v>722</v>
      </c>
      <c r="D167" s="15">
        <v>4.0</v>
      </c>
      <c r="E167" s="67">
        <f t="shared" si="1"/>
        <v>1000</v>
      </c>
      <c r="F167" s="67"/>
    </row>
    <row r="168" hidden="1">
      <c r="A168" s="6" t="s">
        <v>10</v>
      </c>
      <c r="B168" s="13" t="s">
        <v>723</v>
      </c>
      <c r="C168" s="13" t="s">
        <v>724</v>
      </c>
      <c r="D168" s="15">
        <v>15.0</v>
      </c>
      <c r="E168" s="67">
        <f t="shared" si="1"/>
        <v>7500</v>
      </c>
      <c r="F168" s="67"/>
    </row>
    <row r="169" hidden="1">
      <c r="A169" s="6" t="s">
        <v>10</v>
      </c>
      <c r="B169" s="13" t="s">
        <v>725</v>
      </c>
      <c r="C169" s="8" t="s">
        <v>726</v>
      </c>
      <c r="D169" s="15">
        <v>3.0</v>
      </c>
      <c r="E169" s="67">
        <f t="shared" si="1"/>
        <v>750</v>
      </c>
      <c r="F169" s="67"/>
    </row>
    <row r="170" hidden="1">
      <c r="A170" s="6" t="s">
        <v>10</v>
      </c>
      <c r="B170" s="13" t="s">
        <v>727</v>
      </c>
      <c r="C170" s="8" t="s">
        <v>728</v>
      </c>
      <c r="D170" s="15">
        <v>1.0</v>
      </c>
      <c r="E170" s="67">
        <f t="shared" si="1"/>
        <v>250</v>
      </c>
      <c r="F170" s="67"/>
    </row>
    <row r="171" hidden="1">
      <c r="A171" s="6" t="s">
        <v>10</v>
      </c>
      <c r="B171" s="13" t="s">
        <v>729</v>
      </c>
      <c r="C171" s="13" t="s">
        <v>730</v>
      </c>
      <c r="D171" s="15">
        <v>3.0</v>
      </c>
      <c r="E171" s="67">
        <f t="shared" si="1"/>
        <v>750</v>
      </c>
      <c r="F171" s="67"/>
    </row>
    <row r="172" hidden="1">
      <c r="A172" s="6" t="s">
        <v>10</v>
      </c>
      <c r="B172" s="13" t="s">
        <v>731</v>
      </c>
      <c r="C172" s="13" t="s">
        <v>732</v>
      </c>
      <c r="D172" s="15">
        <v>2.0</v>
      </c>
      <c r="E172" s="67">
        <f t="shared" si="1"/>
        <v>500</v>
      </c>
      <c r="F172" s="67"/>
    </row>
    <row r="173" hidden="1">
      <c r="A173" s="6" t="s">
        <v>10</v>
      </c>
      <c r="B173" s="13" t="s">
        <v>302</v>
      </c>
      <c r="C173" s="13" t="s">
        <v>733</v>
      </c>
      <c r="D173" s="15">
        <v>0.0</v>
      </c>
      <c r="E173" s="67">
        <f t="shared" si="1"/>
        <v>0</v>
      </c>
      <c r="F173" s="67"/>
    </row>
    <row r="174" hidden="1">
      <c r="A174" s="6" t="s">
        <v>10</v>
      </c>
      <c r="B174" s="13" t="s">
        <v>734</v>
      </c>
      <c r="C174" s="13" t="s">
        <v>735</v>
      </c>
      <c r="D174" s="15">
        <v>3.0</v>
      </c>
      <c r="E174" s="67">
        <f t="shared" si="1"/>
        <v>750</v>
      </c>
      <c r="F174" s="67"/>
    </row>
    <row r="175" hidden="1">
      <c r="A175" s="6" t="s">
        <v>10</v>
      </c>
      <c r="B175" s="13" t="s">
        <v>736</v>
      </c>
      <c r="C175" s="13" t="s">
        <v>737</v>
      </c>
      <c r="D175" s="15">
        <v>0.0</v>
      </c>
      <c r="E175" s="67">
        <f t="shared" si="1"/>
        <v>0</v>
      </c>
      <c r="F175" s="67"/>
    </row>
    <row r="176" hidden="1">
      <c r="A176" s="6" t="s">
        <v>10</v>
      </c>
      <c r="B176" s="13" t="s">
        <v>738</v>
      </c>
      <c r="C176" s="13" t="s">
        <v>739</v>
      </c>
      <c r="D176" s="15">
        <v>3.0</v>
      </c>
      <c r="E176" s="67">
        <f t="shared" si="1"/>
        <v>750</v>
      </c>
      <c r="F176" s="67"/>
    </row>
    <row r="177" hidden="1">
      <c r="A177" s="6" t="s">
        <v>10</v>
      </c>
      <c r="B177" s="13" t="s">
        <v>740</v>
      </c>
      <c r="C177" s="13" t="s">
        <v>741</v>
      </c>
      <c r="D177" s="15">
        <v>2.0</v>
      </c>
      <c r="E177" s="67">
        <f t="shared" si="1"/>
        <v>500</v>
      </c>
      <c r="F177" s="67"/>
    </row>
    <row r="178" hidden="1">
      <c r="A178" s="6" t="s">
        <v>10</v>
      </c>
      <c r="B178" s="13" t="s">
        <v>742</v>
      </c>
      <c r="C178" s="13" t="s">
        <v>743</v>
      </c>
      <c r="D178" s="15">
        <v>0.0</v>
      </c>
      <c r="E178" s="67">
        <f t="shared" si="1"/>
        <v>0</v>
      </c>
      <c r="F178" s="67"/>
    </row>
    <row r="179" hidden="1">
      <c r="A179" s="6" t="s">
        <v>10</v>
      </c>
      <c r="B179" s="13" t="s">
        <v>744</v>
      </c>
      <c r="C179" s="13" t="s">
        <v>745</v>
      </c>
      <c r="D179" s="15">
        <v>2.0</v>
      </c>
      <c r="E179" s="67">
        <f t="shared" si="1"/>
        <v>500</v>
      </c>
      <c r="F179" s="67"/>
    </row>
    <row r="180" hidden="1">
      <c r="A180" s="6" t="s">
        <v>10</v>
      </c>
      <c r="B180" s="13" t="s">
        <v>746</v>
      </c>
      <c r="C180" s="13" t="s">
        <v>747</v>
      </c>
      <c r="D180" s="15">
        <v>13.0</v>
      </c>
      <c r="E180" s="67">
        <f t="shared" si="1"/>
        <v>6500</v>
      </c>
      <c r="F180" s="67"/>
    </row>
    <row r="181" hidden="1">
      <c r="A181" s="6" t="s">
        <v>10</v>
      </c>
      <c r="B181" s="13" t="s">
        <v>748</v>
      </c>
      <c r="C181" s="13" t="s">
        <v>749</v>
      </c>
      <c r="D181" s="15">
        <v>7.0</v>
      </c>
      <c r="E181" s="67">
        <f t="shared" si="1"/>
        <v>1750</v>
      </c>
      <c r="F181" s="67"/>
    </row>
    <row r="182" hidden="1">
      <c r="A182" s="6" t="s">
        <v>10</v>
      </c>
      <c r="B182" s="13" t="s">
        <v>750</v>
      </c>
      <c r="C182" s="13" t="s">
        <v>751</v>
      </c>
      <c r="D182" s="15">
        <v>1.0</v>
      </c>
      <c r="E182" s="67">
        <f t="shared" si="1"/>
        <v>250</v>
      </c>
      <c r="F182" s="67"/>
    </row>
    <row r="183" hidden="1">
      <c r="A183" s="6" t="s">
        <v>10</v>
      </c>
      <c r="B183" s="13" t="s">
        <v>752</v>
      </c>
      <c r="C183" s="13" t="s">
        <v>753</v>
      </c>
      <c r="D183" s="15">
        <v>7.0</v>
      </c>
      <c r="E183" s="67">
        <f t="shared" si="1"/>
        <v>1750</v>
      </c>
      <c r="F183" s="67"/>
    </row>
    <row r="184" hidden="1">
      <c r="A184" s="6" t="s">
        <v>10</v>
      </c>
      <c r="B184" s="13" t="s">
        <v>754</v>
      </c>
      <c r="C184" s="13" t="s">
        <v>755</v>
      </c>
      <c r="D184" s="15">
        <v>0.0</v>
      </c>
      <c r="E184" s="67">
        <f t="shared" si="1"/>
        <v>0</v>
      </c>
      <c r="F184" s="67"/>
    </row>
    <row r="185" hidden="1">
      <c r="A185" s="6" t="s">
        <v>10</v>
      </c>
      <c r="B185" s="13" t="s">
        <v>756</v>
      </c>
      <c r="C185" s="13" t="s">
        <v>757</v>
      </c>
      <c r="D185" s="15">
        <v>6.0</v>
      </c>
      <c r="E185" s="67">
        <f t="shared" si="1"/>
        <v>1500</v>
      </c>
      <c r="F185" s="67"/>
    </row>
    <row r="186" hidden="1">
      <c r="A186" s="6" t="s">
        <v>10</v>
      </c>
      <c r="B186" s="13" t="s">
        <v>758</v>
      </c>
      <c r="C186" s="13" t="s">
        <v>759</v>
      </c>
      <c r="D186" s="15">
        <v>10.0</v>
      </c>
      <c r="E186" s="67">
        <f t="shared" si="1"/>
        <v>5000</v>
      </c>
      <c r="F186" s="67"/>
    </row>
    <row r="187" hidden="1">
      <c r="A187" s="6" t="s">
        <v>10</v>
      </c>
      <c r="B187" s="13" t="s">
        <v>760</v>
      </c>
      <c r="C187" s="13" t="s">
        <v>761</v>
      </c>
      <c r="D187" s="15">
        <v>0.0</v>
      </c>
      <c r="E187" s="67">
        <f t="shared" si="1"/>
        <v>0</v>
      </c>
      <c r="F187" s="67"/>
    </row>
    <row r="188" hidden="1">
      <c r="A188" s="6" t="s">
        <v>10</v>
      </c>
      <c r="B188" s="13" t="s">
        <v>762</v>
      </c>
      <c r="C188" s="13" t="s">
        <v>763</v>
      </c>
      <c r="D188" s="15">
        <v>5.0</v>
      </c>
      <c r="E188" s="67">
        <f t="shared" si="1"/>
        <v>1250</v>
      </c>
      <c r="F188" s="67"/>
    </row>
    <row r="189" hidden="1">
      <c r="A189" s="6" t="s">
        <v>10</v>
      </c>
      <c r="B189" s="13" t="s">
        <v>764</v>
      </c>
      <c r="C189" s="13" t="s">
        <v>765</v>
      </c>
      <c r="D189" s="15">
        <v>6.0</v>
      </c>
      <c r="E189" s="67">
        <f t="shared" si="1"/>
        <v>1500</v>
      </c>
      <c r="F189" s="67"/>
    </row>
    <row r="190" hidden="1">
      <c r="A190" s="6" t="s">
        <v>10</v>
      </c>
      <c r="B190" s="13" t="s">
        <v>766</v>
      </c>
      <c r="C190" s="13" t="s">
        <v>767</v>
      </c>
      <c r="D190" s="15">
        <v>9.0</v>
      </c>
      <c r="E190" s="67">
        <f t="shared" si="1"/>
        <v>2250</v>
      </c>
      <c r="F190" s="67"/>
    </row>
    <row r="191" hidden="1">
      <c r="A191" s="6" t="s">
        <v>24</v>
      </c>
      <c r="B191" s="13" t="s">
        <v>413</v>
      </c>
      <c r="C191" s="13" t="s">
        <v>414</v>
      </c>
      <c r="D191" s="15">
        <v>0.0</v>
      </c>
      <c r="E191" s="67">
        <f t="shared" si="1"/>
        <v>0</v>
      </c>
      <c r="F191" s="67"/>
    </row>
    <row r="192" hidden="1">
      <c r="A192" s="6" t="s">
        <v>24</v>
      </c>
      <c r="B192" s="13" t="s">
        <v>425</v>
      </c>
      <c r="C192" s="13" t="s">
        <v>426</v>
      </c>
      <c r="D192" s="15">
        <v>0.0</v>
      </c>
      <c r="E192" s="67">
        <f t="shared" si="1"/>
        <v>0</v>
      </c>
      <c r="F192" s="67"/>
    </row>
    <row r="193" hidden="1">
      <c r="A193" s="6" t="s">
        <v>24</v>
      </c>
      <c r="B193" s="13" t="s">
        <v>441</v>
      </c>
      <c r="C193" s="13" t="s">
        <v>442</v>
      </c>
      <c r="D193" s="15">
        <v>0.0</v>
      </c>
      <c r="E193" s="67">
        <f t="shared" si="1"/>
        <v>0</v>
      </c>
      <c r="F193" s="67"/>
    </row>
    <row r="194" hidden="1">
      <c r="A194" s="6" t="s">
        <v>24</v>
      </c>
      <c r="B194" s="13" t="s">
        <v>445</v>
      </c>
      <c r="C194" s="13" t="s">
        <v>446</v>
      </c>
      <c r="D194" s="15">
        <v>0.0</v>
      </c>
      <c r="E194" s="67">
        <f t="shared" si="1"/>
        <v>0</v>
      </c>
      <c r="F194" s="67"/>
    </row>
    <row r="195" hidden="1">
      <c r="A195" s="6" t="s">
        <v>24</v>
      </c>
      <c r="B195" s="13" t="s">
        <v>768</v>
      </c>
      <c r="C195" s="13" t="s">
        <v>769</v>
      </c>
      <c r="D195" s="15">
        <v>0.0</v>
      </c>
      <c r="E195" s="67">
        <f t="shared" si="1"/>
        <v>0</v>
      </c>
      <c r="F195" s="67"/>
    </row>
    <row r="196" hidden="1">
      <c r="A196" s="6" t="s">
        <v>24</v>
      </c>
      <c r="B196" s="13" t="s">
        <v>462</v>
      </c>
      <c r="C196" s="13" t="s">
        <v>463</v>
      </c>
      <c r="D196" s="15">
        <v>0.0</v>
      </c>
      <c r="E196" s="67">
        <f t="shared" si="1"/>
        <v>0</v>
      </c>
      <c r="F196" s="67"/>
    </row>
    <row r="197" hidden="1">
      <c r="A197" s="6" t="s">
        <v>24</v>
      </c>
      <c r="B197" s="13" t="s">
        <v>464</v>
      </c>
      <c r="C197" s="13" t="s">
        <v>465</v>
      </c>
      <c r="D197" s="15">
        <v>0.0</v>
      </c>
      <c r="E197" s="67">
        <f t="shared" si="1"/>
        <v>0</v>
      </c>
      <c r="F197" s="67"/>
    </row>
    <row r="198" hidden="1">
      <c r="A198" s="6" t="s">
        <v>24</v>
      </c>
      <c r="B198" s="13" t="s">
        <v>770</v>
      </c>
      <c r="C198" s="13" t="s">
        <v>771</v>
      </c>
      <c r="D198" s="15">
        <v>0.0</v>
      </c>
      <c r="E198" s="67">
        <f t="shared" si="1"/>
        <v>0</v>
      </c>
      <c r="F198" s="67"/>
    </row>
    <row r="199" hidden="1">
      <c r="A199" s="6" t="s">
        <v>24</v>
      </c>
      <c r="B199" s="13" t="s">
        <v>772</v>
      </c>
      <c r="C199" s="13" t="s">
        <v>773</v>
      </c>
      <c r="D199" s="15">
        <v>0.0</v>
      </c>
      <c r="E199" s="67">
        <f t="shared" si="1"/>
        <v>0</v>
      </c>
      <c r="F199" s="67"/>
    </row>
    <row r="200" hidden="1">
      <c r="A200" s="6" t="s">
        <v>24</v>
      </c>
      <c r="B200" s="13" t="s">
        <v>774</v>
      </c>
      <c r="C200" s="13" t="s">
        <v>775</v>
      </c>
      <c r="D200" s="15">
        <v>0.0</v>
      </c>
      <c r="E200" s="67">
        <f t="shared" si="1"/>
        <v>0</v>
      </c>
      <c r="F200" s="67"/>
    </row>
    <row r="201" hidden="1">
      <c r="A201" s="6" t="s">
        <v>24</v>
      </c>
      <c r="B201" s="13" t="s">
        <v>536</v>
      </c>
      <c r="C201" s="13" t="s">
        <v>537</v>
      </c>
      <c r="D201" s="15">
        <v>0.0</v>
      </c>
      <c r="E201" s="67">
        <f t="shared" si="1"/>
        <v>0</v>
      </c>
      <c r="F201" s="67"/>
    </row>
    <row r="202" hidden="1">
      <c r="A202" s="6" t="s">
        <v>24</v>
      </c>
      <c r="B202" s="13" t="s">
        <v>776</v>
      </c>
      <c r="C202" s="13" t="s">
        <v>777</v>
      </c>
      <c r="D202" s="15">
        <v>0.0</v>
      </c>
      <c r="E202" s="67">
        <f t="shared" si="1"/>
        <v>0</v>
      </c>
      <c r="F202" s="67"/>
    </row>
    <row r="203" hidden="1">
      <c r="A203" s="6" t="s">
        <v>24</v>
      </c>
      <c r="B203" s="13" t="s">
        <v>778</v>
      </c>
      <c r="C203" s="13" t="s">
        <v>779</v>
      </c>
      <c r="D203" s="15">
        <v>0.0</v>
      </c>
      <c r="E203" s="67">
        <f t="shared" si="1"/>
        <v>0</v>
      </c>
      <c r="F203" s="67"/>
    </row>
    <row r="204" hidden="1">
      <c r="A204" s="6" t="s">
        <v>24</v>
      </c>
      <c r="B204" s="13" t="s">
        <v>780</v>
      </c>
      <c r="C204" s="13" t="s">
        <v>781</v>
      </c>
      <c r="D204" s="15">
        <v>0.0</v>
      </c>
      <c r="E204" s="67">
        <f t="shared" si="1"/>
        <v>0</v>
      </c>
      <c r="F204" s="67"/>
    </row>
    <row r="205" hidden="1">
      <c r="A205" s="6" t="s">
        <v>24</v>
      </c>
      <c r="B205" s="13" t="s">
        <v>614</v>
      </c>
      <c r="C205" s="13" t="s">
        <v>615</v>
      </c>
      <c r="D205" s="15">
        <v>0.0</v>
      </c>
      <c r="E205" s="67">
        <f t="shared" si="1"/>
        <v>0</v>
      </c>
      <c r="F205" s="67"/>
    </row>
    <row r="206" hidden="1">
      <c r="A206" s="6" t="s">
        <v>24</v>
      </c>
      <c r="B206" s="13" t="s">
        <v>311</v>
      </c>
      <c r="C206" s="13" t="s">
        <v>312</v>
      </c>
      <c r="D206" s="15">
        <v>0.0</v>
      </c>
      <c r="E206" s="67">
        <f t="shared" si="1"/>
        <v>0</v>
      </c>
      <c r="F206" s="67"/>
    </row>
    <row r="207" hidden="1">
      <c r="A207" s="6" t="s">
        <v>24</v>
      </c>
      <c r="B207" s="13" t="s">
        <v>782</v>
      </c>
      <c r="C207" s="13" t="s">
        <v>783</v>
      </c>
      <c r="D207" s="15">
        <v>0.0</v>
      </c>
      <c r="E207" s="67">
        <f t="shared" si="1"/>
        <v>0</v>
      </c>
      <c r="F207" s="67"/>
    </row>
    <row r="208" hidden="1">
      <c r="A208" s="6" t="s">
        <v>24</v>
      </c>
      <c r="B208" s="13" t="s">
        <v>784</v>
      </c>
      <c r="C208" s="13" t="s">
        <v>785</v>
      </c>
      <c r="D208" s="15">
        <v>0.0</v>
      </c>
      <c r="E208" s="67">
        <f t="shared" si="1"/>
        <v>0</v>
      </c>
      <c r="F208" s="67"/>
    </row>
    <row r="209" hidden="1">
      <c r="A209" s="6" t="s">
        <v>24</v>
      </c>
      <c r="B209" s="13" t="s">
        <v>786</v>
      </c>
      <c r="C209" s="13" t="s">
        <v>787</v>
      </c>
      <c r="D209" s="15">
        <v>0.0</v>
      </c>
      <c r="E209" s="67">
        <f t="shared" si="1"/>
        <v>0</v>
      </c>
      <c r="F209" s="67"/>
    </row>
    <row r="210" hidden="1">
      <c r="A210" s="6" t="s">
        <v>24</v>
      </c>
      <c r="B210" s="13" t="s">
        <v>788</v>
      </c>
      <c r="C210" s="13" t="s">
        <v>789</v>
      </c>
      <c r="D210" s="15">
        <v>0.0</v>
      </c>
      <c r="E210" s="67">
        <f t="shared" si="1"/>
        <v>0</v>
      </c>
      <c r="F210" s="67"/>
    </row>
    <row r="211" hidden="1">
      <c r="A211" s="6" t="s">
        <v>24</v>
      </c>
      <c r="B211" s="13" t="s">
        <v>307</v>
      </c>
      <c r="C211" s="13" t="s">
        <v>692</v>
      </c>
      <c r="D211" s="15">
        <v>0.0</v>
      </c>
      <c r="E211" s="67">
        <f t="shared" si="1"/>
        <v>0</v>
      </c>
      <c r="F211" s="67"/>
    </row>
    <row r="212" hidden="1">
      <c r="A212" s="6" t="s">
        <v>24</v>
      </c>
      <c r="B212" s="13" t="s">
        <v>790</v>
      </c>
      <c r="C212" s="13" t="s">
        <v>791</v>
      </c>
      <c r="D212" s="15">
        <v>0.0</v>
      </c>
      <c r="E212" s="67">
        <f t="shared" si="1"/>
        <v>0</v>
      </c>
      <c r="F212" s="67"/>
    </row>
    <row r="213" hidden="1">
      <c r="A213" s="6" t="s">
        <v>24</v>
      </c>
      <c r="B213" s="13" t="s">
        <v>707</v>
      </c>
      <c r="C213" s="13" t="s">
        <v>708</v>
      </c>
      <c r="D213" s="15">
        <v>0.0</v>
      </c>
      <c r="E213" s="67">
        <f t="shared" si="1"/>
        <v>0</v>
      </c>
      <c r="F213" s="67"/>
    </row>
    <row r="214" hidden="1">
      <c r="A214" s="6" t="s">
        <v>24</v>
      </c>
      <c r="B214" s="13" t="s">
        <v>792</v>
      </c>
      <c r="C214" s="69" t="s">
        <v>737</v>
      </c>
      <c r="D214" s="15">
        <v>0.0</v>
      </c>
      <c r="E214" s="67">
        <f t="shared" si="1"/>
        <v>0</v>
      </c>
      <c r="F214" s="67"/>
    </row>
    <row r="215" hidden="1">
      <c r="A215" s="6" t="s">
        <v>24</v>
      </c>
      <c r="B215" s="13" t="s">
        <v>793</v>
      </c>
      <c r="C215" s="13" t="s">
        <v>794</v>
      </c>
      <c r="D215" s="15">
        <v>0.0</v>
      </c>
      <c r="E215" s="67">
        <f t="shared" si="1"/>
        <v>0</v>
      </c>
      <c r="F215" s="67"/>
    </row>
    <row r="216" hidden="1">
      <c r="A216" s="6" t="s">
        <v>24</v>
      </c>
      <c r="B216" s="13" t="s">
        <v>795</v>
      </c>
      <c r="C216" s="13" t="s">
        <v>796</v>
      </c>
      <c r="D216" s="15">
        <v>0.0</v>
      </c>
      <c r="E216" s="67">
        <f t="shared" si="1"/>
        <v>0</v>
      </c>
      <c r="F216" s="67"/>
    </row>
    <row r="217" hidden="1">
      <c r="A217" s="6" t="s">
        <v>24</v>
      </c>
      <c r="B217" s="13" t="s">
        <v>742</v>
      </c>
      <c r="C217" s="13" t="s">
        <v>743</v>
      </c>
      <c r="D217" s="15">
        <v>0.0</v>
      </c>
      <c r="E217" s="67">
        <f t="shared" si="1"/>
        <v>0</v>
      </c>
      <c r="F217" s="67"/>
    </row>
    <row r="218" hidden="1">
      <c r="A218" s="6" t="s">
        <v>24</v>
      </c>
      <c r="B218" s="13" t="s">
        <v>797</v>
      </c>
      <c r="C218" s="13" t="s">
        <v>798</v>
      </c>
      <c r="D218" s="15">
        <v>0.0</v>
      </c>
      <c r="E218" s="67">
        <f t="shared" si="1"/>
        <v>0</v>
      </c>
      <c r="F218" s="67"/>
    </row>
    <row r="219" hidden="1">
      <c r="A219" s="6" t="s">
        <v>24</v>
      </c>
      <c r="B219" s="13" t="s">
        <v>799</v>
      </c>
      <c r="C219" s="13" t="s">
        <v>800</v>
      </c>
      <c r="D219" s="15">
        <v>0.0</v>
      </c>
      <c r="E219" s="67">
        <f t="shared" si="1"/>
        <v>0</v>
      </c>
      <c r="F219" s="67"/>
    </row>
    <row r="220" hidden="1">
      <c r="A220" s="6" t="s">
        <v>24</v>
      </c>
      <c r="B220" s="13" t="s">
        <v>399</v>
      </c>
      <c r="C220" s="13" t="s">
        <v>400</v>
      </c>
      <c r="D220" s="15">
        <v>1.0</v>
      </c>
      <c r="E220" s="67">
        <f t="shared" si="1"/>
        <v>250</v>
      </c>
      <c r="F220" s="67"/>
    </row>
    <row r="221" hidden="1">
      <c r="A221" s="6" t="s">
        <v>24</v>
      </c>
      <c r="B221" s="13" t="s">
        <v>437</v>
      </c>
      <c r="C221" s="13" t="s">
        <v>438</v>
      </c>
      <c r="D221" s="15">
        <v>1.0</v>
      </c>
      <c r="E221" s="67">
        <f t="shared" si="1"/>
        <v>250</v>
      </c>
      <c r="F221" s="67"/>
    </row>
    <row r="222" hidden="1">
      <c r="A222" s="6" t="s">
        <v>24</v>
      </c>
      <c r="B222" s="13" t="s">
        <v>801</v>
      </c>
      <c r="C222" s="13" t="s">
        <v>802</v>
      </c>
      <c r="D222" s="15">
        <v>1.0</v>
      </c>
      <c r="E222" s="67">
        <f t="shared" si="1"/>
        <v>250</v>
      </c>
      <c r="F222" s="67"/>
    </row>
    <row r="223" hidden="1">
      <c r="A223" s="6" t="s">
        <v>24</v>
      </c>
      <c r="B223" s="13" t="s">
        <v>803</v>
      </c>
      <c r="C223" s="13" t="s">
        <v>804</v>
      </c>
      <c r="D223" s="15">
        <v>1.0</v>
      </c>
      <c r="E223" s="67">
        <f t="shared" si="1"/>
        <v>250</v>
      </c>
      <c r="F223" s="67"/>
    </row>
    <row r="224" hidden="1">
      <c r="A224" s="6" t="s">
        <v>24</v>
      </c>
      <c r="B224" s="13" t="s">
        <v>451</v>
      </c>
      <c r="C224" s="13" t="s">
        <v>452</v>
      </c>
      <c r="D224" s="15">
        <v>1.0</v>
      </c>
      <c r="E224" s="67">
        <f t="shared" si="1"/>
        <v>250</v>
      </c>
      <c r="F224" s="67"/>
    </row>
    <row r="225" hidden="1">
      <c r="A225" s="6" t="s">
        <v>24</v>
      </c>
      <c r="B225" s="13" t="s">
        <v>805</v>
      </c>
      <c r="C225" s="13" t="s">
        <v>806</v>
      </c>
      <c r="D225" s="15">
        <v>1.0</v>
      </c>
      <c r="E225" s="67">
        <f t="shared" si="1"/>
        <v>250</v>
      </c>
      <c r="F225" s="67"/>
    </row>
    <row r="226" hidden="1">
      <c r="A226" s="6" t="s">
        <v>24</v>
      </c>
      <c r="B226" s="13" t="s">
        <v>478</v>
      </c>
      <c r="C226" s="13" t="s">
        <v>479</v>
      </c>
      <c r="D226" s="15">
        <v>1.0</v>
      </c>
      <c r="E226" s="67">
        <f t="shared" si="1"/>
        <v>250</v>
      </c>
      <c r="F226" s="67"/>
    </row>
    <row r="227" hidden="1">
      <c r="A227" s="6" t="s">
        <v>24</v>
      </c>
      <c r="B227" s="13" t="s">
        <v>480</v>
      </c>
      <c r="C227" s="13" t="s">
        <v>481</v>
      </c>
      <c r="D227" s="15">
        <v>1.0</v>
      </c>
      <c r="E227" s="67">
        <f t="shared" si="1"/>
        <v>250</v>
      </c>
      <c r="F227" s="67"/>
    </row>
    <row r="228" hidden="1">
      <c r="A228" s="6" t="s">
        <v>24</v>
      </c>
      <c r="B228" s="13" t="s">
        <v>482</v>
      </c>
      <c r="C228" s="13" t="s">
        <v>483</v>
      </c>
      <c r="D228" s="15">
        <v>1.0</v>
      </c>
      <c r="E228" s="67">
        <f t="shared" si="1"/>
        <v>250</v>
      </c>
      <c r="F228" s="67"/>
    </row>
    <row r="229" hidden="1">
      <c r="A229" s="6" t="s">
        <v>24</v>
      </c>
      <c r="B229" s="13" t="s">
        <v>506</v>
      </c>
      <c r="C229" s="13" t="s">
        <v>507</v>
      </c>
      <c r="D229" s="15">
        <v>1.0</v>
      </c>
      <c r="E229" s="67">
        <f t="shared" si="1"/>
        <v>250</v>
      </c>
      <c r="F229" s="67"/>
    </row>
    <row r="230" hidden="1">
      <c r="A230" s="6" t="s">
        <v>24</v>
      </c>
      <c r="B230" s="13" t="s">
        <v>508</v>
      </c>
      <c r="C230" s="13" t="s">
        <v>509</v>
      </c>
      <c r="D230" s="15">
        <v>1.0</v>
      </c>
      <c r="E230" s="67">
        <f t="shared" si="1"/>
        <v>250</v>
      </c>
      <c r="F230" s="67"/>
    </row>
    <row r="231" hidden="1">
      <c r="A231" s="6" t="s">
        <v>24</v>
      </c>
      <c r="B231" s="13" t="s">
        <v>522</v>
      </c>
      <c r="C231" s="13" t="s">
        <v>523</v>
      </c>
      <c r="D231" s="15">
        <v>1.0</v>
      </c>
      <c r="E231" s="67">
        <f t="shared" si="1"/>
        <v>250</v>
      </c>
      <c r="F231" s="67"/>
    </row>
    <row r="232" hidden="1">
      <c r="A232" s="6" t="s">
        <v>24</v>
      </c>
      <c r="B232" s="13" t="s">
        <v>566</v>
      </c>
      <c r="C232" s="13" t="s">
        <v>567</v>
      </c>
      <c r="D232" s="15">
        <v>1.0</v>
      </c>
      <c r="E232" s="67">
        <f t="shared" si="1"/>
        <v>250</v>
      </c>
      <c r="F232" s="67"/>
    </row>
    <row r="233" hidden="1">
      <c r="A233" s="6" t="s">
        <v>24</v>
      </c>
      <c r="B233" s="13" t="s">
        <v>588</v>
      </c>
      <c r="C233" s="13" t="s">
        <v>589</v>
      </c>
      <c r="D233" s="15">
        <v>1.0</v>
      </c>
      <c r="E233" s="67">
        <f t="shared" si="1"/>
        <v>250</v>
      </c>
      <c r="F233" s="67"/>
    </row>
    <row r="234" hidden="1">
      <c r="A234" s="6" t="s">
        <v>24</v>
      </c>
      <c r="B234" s="13" t="s">
        <v>596</v>
      </c>
      <c r="C234" s="13" t="s">
        <v>597</v>
      </c>
      <c r="D234" s="15">
        <v>1.0</v>
      </c>
      <c r="E234" s="67">
        <f t="shared" si="1"/>
        <v>250</v>
      </c>
      <c r="F234" s="67"/>
    </row>
    <row r="235" hidden="1">
      <c r="A235" s="6" t="s">
        <v>24</v>
      </c>
      <c r="B235" s="13" t="s">
        <v>598</v>
      </c>
      <c r="C235" s="13" t="s">
        <v>599</v>
      </c>
      <c r="D235" s="15">
        <v>1.0</v>
      </c>
      <c r="E235" s="67">
        <f t="shared" si="1"/>
        <v>250</v>
      </c>
      <c r="F235" s="67"/>
    </row>
    <row r="236" hidden="1">
      <c r="A236" s="6" t="s">
        <v>24</v>
      </c>
      <c r="B236" s="13" t="s">
        <v>608</v>
      </c>
      <c r="C236" s="13" t="s">
        <v>609</v>
      </c>
      <c r="D236" s="15">
        <v>1.0</v>
      </c>
      <c r="E236" s="67">
        <f t="shared" si="1"/>
        <v>250</v>
      </c>
      <c r="F236" s="67"/>
    </row>
    <row r="237" hidden="1">
      <c r="A237" s="6" t="s">
        <v>24</v>
      </c>
      <c r="B237" s="13" t="s">
        <v>638</v>
      </c>
      <c r="C237" s="13" t="s">
        <v>639</v>
      </c>
      <c r="D237" s="15">
        <v>1.0</v>
      </c>
      <c r="E237" s="67">
        <f t="shared" si="1"/>
        <v>250</v>
      </c>
      <c r="F237" s="67"/>
    </row>
    <row r="238" hidden="1">
      <c r="A238" s="6" t="s">
        <v>24</v>
      </c>
      <c r="B238" s="13" t="s">
        <v>652</v>
      </c>
      <c r="C238" s="13" t="s">
        <v>653</v>
      </c>
      <c r="D238" s="15">
        <v>1.0</v>
      </c>
      <c r="E238" s="67">
        <f t="shared" si="1"/>
        <v>250</v>
      </c>
      <c r="F238" s="67"/>
    </row>
    <row r="239" hidden="1">
      <c r="A239" s="6" t="s">
        <v>24</v>
      </c>
      <c r="B239" s="13" t="s">
        <v>807</v>
      </c>
      <c r="C239" s="13" t="s">
        <v>808</v>
      </c>
      <c r="D239" s="15">
        <v>1.0</v>
      </c>
      <c r="E239" s="67">
        <f t="shared" si="1"/>
        <v>250</v>
      </c>
      <c r="F239" s="67"/>
    </row>
    <row r="240" hidden="1">
      <c r="A240" s="6" t="s">
        <v>24</v>
      </c>
      <c r="B240" s="13" t="s">
        <v>658</v>
      </c>
      <c r="C240" s="13" t="s">
        <v>659</v>
      </c>
      <c r="D240" s="15">
        <v>1.0</v>
      </c>
      <c r="E240" s="67">
        <f t="shared" si="1"/>
        <v>250</v>
      </c>
      <c r="F240" s="67"/>
    </row>
    <row r="241" hidden="1">
      <c r="A241" s="6" t="s">
        <v>24</v>
      </c>
      <c r="B241" s="13" t="s">
        <v>666</v>
      </c>
      <c r="C241" s="13" t="s">
        <v>667</v>
      </c>
      <c r="D241" s="15">
        <v>1.0</v>
      </c>
      <c r="E241" s="67">
        <f t="shared" si="1"/>
        <v>250</v>
      </c>
      <c r="F241" s="67"/>
    </row>
    <row r="242" hidden="1">
      <c r="A242" s="6" t="s">
        <v>24</v>
      </c>
      <c r="B242" s="13" t="s">
        <v>668</v>
      </c>
      <c r="C242" s="13" t="s">
        <v>669</v>
      </c>
      <c r="D242" s="15">
        <v>1.0</v>
      </c>
      <c r="E242" s="67">
        <f t="shared" si="1"/>
        <v>250</v>
      </c>
      <c r="F242" s="67"/>
    </row>
    <row r="243" hidden="1">
      <c r="A243" s="6" t="s">
        <v>24</v>
      </c>
      <c r="B243" s="13" t="s">
        <v>674</v>
      </c>
      <c r="C243" s="13" t="s">
        <v>675</v>
      </c>
      <c r="D243" s="15">
        <v>1.0</v>
      </c>
      <c r="E243" s="67">
        <f t="shared" si="1"/>
        <v>250</v>
      </c>
      <c r="F243" s="67"/>
    </row>
    <row r="244" hidden="1">
      <c r="A244" s="6" t="s">
        <v>24</v>
      </c>
      <c r="B244" s="13" t="s">
        <v>684</v>
      </c>
      <c r="C244" s="13" t="s">
        <v>685</v>
      </c>
      <c r="D244" s="15">
        <v>1.0</v>
      </c>
      <c r="E244" s="67">
        <f t="shared" si="1"/>
        <v>250</v>
      </c>
      <c r="F244" s="67"/>
    </row>
    <row r="245" hidden="1">
      <c r="A245" s="6" t="s">
        <v>24</v>
      </c>
      <c r="B245" s="13" t="s">
        <v>686</v>
      </c>
      <c r="C245" s="13" t="s">
        <v>687</v>
      </c>
      <c r="D245" s="15">
        <v>1.0</v>
      </c>
      <c r="E245" s="67">
        <f t="shared" si="1"/>
        <v>250</v>
      </c>
      <c r="F245" s="67"/>
    </row>
    <row r="246" hidden="1">
      <c r="A246" s="6" t="s">
        <v>24</v>
      </c>
      <c r="B246" s="13" t="s">
        <v>697</v>
      </c>
      <c r="C246" s="13" t="s">
        <v>698</v>
      </c>
      <c r="D246" s="15">
        <v>1.0</v>
      </c>
      <c r="E246" s="67">
        <f t="shared" si="1"/>
        <v>250</v>
      </c>
      <c r="F246" s="67"/>
    </row>
    <row r="247" hidden="1">
      <c r="A247" s="6" t="s">
        <v>24</v>
      </c>
      <c r="B247" s="13" t="s">
        <v>738</v>
      </c>
      <c r="C247" s="13" t="s">
        <v>739</v>
      </c>
      <c r="D247" s="15">
        <v>1.0</v>
      </c>
      <c r="E247" s="67">
        <f t="shared" si="1"/>
        <v>250</v>
      </c>
      <c r="F247" s="67"/>
    </row>
    <row r="248" hidden="1">
      <c r="A248" s="6" t="s">
        <v>24</v>
      </c>
      <c r="B248" s="13" t="s">
        <v>748</v>
      </c>
      <c r="C248" s="13" t="s">
        <v>749</v>
      </c>
      <c r="D248" s="15">
        <v>1.0</v>
      </c>
      <c r="E248" s="67">
        <f t="shared" si="1"/>
        <v>250</v>
      </c>
      <c r="F248" s="67"/>
    </row>
    <row r="249" hidden="1">
      <c r="A249" s="6" t="s">
        <v>24</v>
      </c>
      <c r="B249" s="13" t="s">
        <v>750</v>
      </c>
      <c r="C249" s="13" t="s">
        <v>751</v>
      </c>
      <c r="D249" s="15">
        <v>1.0</v>
      </c>
      <c r="E249" s="67">
        <f t="shared" si="1"/>
        <v>250</v>
      </c>
      <c r="F249" s="67"/>
    </row>
    <row r="250" hidden="1">
      <c r="A250" s="6" t="s">
        <v>24</v>
      </c>
      <c r="B250" s="13" t="s">
        <v>754</v>
      </c>
      <c r="C250" s="13" t="s">
        <v>755</v>
      </c>
      <c r="D250" s="15">
        <v>1.0</v>
      </c>
      <c r="E250" s="67">
        <f t="shared" si="1"/>
        <v>250</v>
      </c>
      <c r="F250" s="67"/>
    </row>
    <row r="251" hidden="1">
      <c r="A251" s="6" t="s">
        <v>24</v>
      </c>
      <c r="B251" s="13" t="s">
        <v>756</v>
      </c>
      <c r="C251" s="13" t="s">
        <v>757</v>
      </c>
      <c r="D251" s="15">
        <v>1.0</v>
      </c>
      <c r="E251" s="67">
        <f t="shared" si="1"/>
        <v>250</v>
      </c>
      <c r="F251" s="67"/>
    </row>
    <row r="252" hidden="1">
      <c r="A252" s="6" t="s">
        <v>24</v>
      </c>
      <c r="B252" s="13" t="s">
        <v>809</v>
      </c>
      <c r="C252" s="13" t="s">
        <v>810</v>
      </c>
      <c r="D252" s="15">
        <v>1.0</v>
      </c>
      <c r="E252" s="67">
        <f t="shared" si="1"/>
        <v>250</v>
      </c>
      <c r="F252" s="67"/>
    </row>
    <row r="253" hidden="1">
      <c r="A253" s="6" t="s">
        <v>24</v>
      </c>
      <c r="B253" s="13" t="s">
        <v>405</v>
      </c>
      <c r="C253" s="13" t="s">
        <v>406</v>
      </c>
      <c r="D253" s="15">
        <v>2.0</v>
      </c>
      <c r="E253" s="67">
        <f t="shared" si="1"/>
        <v>500</v>
      </c>
      <c r="F253" s="67"/>
    </row>
    <row r="254" hidden="1">
      <c r="A254" s="6" t="s">
        <v>24</v>
      </c>
      <c r="B254" s="13" t="s">
        <v>431</v>
      </c>
      <c r="C254" s="13" t="s">
        <v>432</v>
      </c>
      <c r="D254" s="15">
        <v>2.0</v>
      </c>
      <c r="E254" s="67">
        <f t="shared" si="1"/>
        <v>500</v>
      </c>
      <c r="F254" s="67"/>
    </row>
    <row r="255" hidden="1">
      <c r="A255" s="6" t="s">
        <v>24</v>
      </c>
      <c r="B255" s="13" t="s">
        <v>449</v>
      </c>
      <c r="C255" s="13" t="s">
        <v>450</v>
      </c>
      <c r="D255" s="15">
        <v>2.0</v>
      </c>
      <c r="E255" s="67">
        <f t="shared" si="1"/>
        <v>500</v>
      </c>
      <c r="F255" s="67"/>
    </row>
    <row r="256" hidden="1">
      <c r="A256" s="6" t="s">
        <v>24</v>
      </c>
      <c r="B256" s="13" t="s">
        <v>466</v>
      </c>
      <c r="C256" s="13" t="s">
        <v>467</v>
      </c>
      <c r="D256" s="15">
        <v>2.0</v>
      </c>
      <c r="E256" s="67">
        <f t="shared" si="1"/>
        <v>500</v>
      </c>
      <c r="F256" s="67"/>
    </row>
    <row r="257" hidden="1">
      <c r="A257" s="6" t="s">
        <v>24</v>
      </c>
      <c r="B257" s="13" t="s">
        <v>468</v>
      </c>
      <c r="C257" s="13" t="s">
        <v>469</v>
      </c>
      <c r="D257" s="15">
        <v>2.0</v>
      </c>
      <c r="E257" s="67">
        <f t="shared" si="1"/>
        <v>500</v>
      </c>
      <c r="F257" s="67"/>
    </row>
    <row r="258" hidden="1">
      <c r="A258" s="6" t="s">
        <v>24</v>
      </c>
      <c r="B258" s="13" t="s">
        <v>472</v>
      </c>
      <c r="C258" s="13" t="s">
        <v>473</v>
      </c>
      <c r="D258" s="15">
        <v>2.0</v>
      </c>
      <c r="E258" s="67">
        <f t="shared" si="1"/>
        <v>500</v>
      </c>
      <c r="F258" s="67"/>
    </row>
    <row r="259" hidden="1">
      <c r="A259" s="6" t="s">
        <v>24</v>
      </c>
      <c r="B259" s="13" t="s">
        <v>474</v>
      </c>
      <c r="C259" s="13" t="s">
        <v>475</v>
      </c>
      <c r="D259" s="15">
        <v>2.0</v>
      </c>
      <c r="E259" s="67">
        <f t="shared" si="1"/>
        <v>500</v>
      </c>
      <c r="F259" s="67"/>
    </row>
    <row r="260" hidden="1">
      <c r="A260" s="6" t="s">
        <v>24</v>
      </c>
      <c r="B260" s="13" t="s">
        <v>484</v>
      </c>
      <c r="C260" s="13" t="s">
        <v>485</v>
      </c>
      <c r="D260" s="15">
        <v>2.0</v>
      </c>
      <c r="E260" s="67">
        <f t="shared" si="1"/>
        <v>500</v>
      </c>
      <c r="F260" s="67"/>
    </row>
    <row r="261" hidden="1">
      <c r="A261" s="6" t="s">
        <v>24</v>
      </c>
      <c r="B261" s="13" t="s">
        <v>492</v>
      </c>
      <c r="C261" s="13" t="s">
        <v>493</v>
      </c>
      <c r="D261" s="15">
        <v>2.0</v>
      </c>
      <c r="E261" s="67">
        <f t="shared" si="1"/>
        <v>500</v>
      </c>
      <c r="F261" s="67"/>
    </row>
    <row r="262" hidden="1">
      <c r="A262" s="6" t="s">
        <v>24</v>
      </c>
      <c r="B262" s="13" t="s">
        <v>504</v>
      </c>
      <c r="C262" s="13" t="s">
        <v>505</v>
      </c>
      <c r="D262" s="15">
        <v>2.0</v>
      </c>
      <c r="E262" s="67">
        <f t="shared" si="1"/>
        <v>500</v>
      </c>
      <c r="F262" s="67"/>
    </row>
    <row r="263" hidden="1">
      <c r="A263" s="6" t="s">
        <v>24</v>
      </c>
      <c r="B263" s="13" t="s">
        <v>530</v>
      </c>
      <c r="C263" s="13" t="s">
        <v>531</v>
      </c>
      <c r="D263" s="15">
        <v>2.0</v>
      </c>
      <c r="E263" s="67">
        <f t="shared" si="1"/>
        <v>500</v>
      </c>
      <c r="F263" s="67"/>
    </row>
    <row r="264" hidden="1">
      <c r="A264" s="6" t="s">
        <v>24</v>
      </c>
      <c r="B264" s="13" t="s">
        <v>568</v>
      </c>
      <c r="C264" s="13" t="s">
        <v>569</v>
      </c>
      <c r="D264" s="15">
        <v>2.0</v>
      </c>
      <c r="E264" s="67">
        <f t="shared" si="1"/>
        <v>500</v>
      </c>
      <c r="F264" s="67"/>
    </row>
    <row r="265" hidden="1">
      <c r="A265" s="6" t="s">
        <v>24</v>
      </c>
      <c r="B265" s="13" t="s">
        <v>570</v>
      </c>
      <c r="C265" s="13" t="s">
        <v>571</v>
      </c>
      <c r="D265" s="15">
        <v>2.0</v>
      </c>
      <c r="E265" s="67">
        <f t="shared" si="1"/>
        <v>500</v>
      </c>
      <c r="F265" s="67"/>
    </row>
    <row r="266" hidden="1">
      <c r="A266" s="6" t="s">
        <v>24</v>
      </c>
      <c r="B266" s="13" t="s">
        <v>580</v>
      </c>
      <c r="C266" s="13" t="s">
        <v>581</v>
      </c>
      <c r="D266" s="15">
        <v>2.0</v>
      </c>
      <c r="E266" s="67">
        <f t="shared" si="1"/>
        <v>500</v>
      </c>
      <c r="F266" s="67"/>
    </row>
    <row r="267" hidden="1">
      <c r="A267" s="6" t="s">
        <v>24</v>
      </c>
      <c r="B267" s="13" t="s">
        <v>586</v>
      </c>
      <c r="C267" s="13" t="s">
        <v>587</v>
      </c>
      <c r="D267" s="15">
        <v>2.0</v>
      </c>
      <c r="E267" s="67">
        <f t="shared" si="1"/>
        <v>500</v>
      </c>
      <c r="F267" s="67"/>
    </row>
    <row r="268" hidden="1">
      <c r="A268" s="6" t="s">
        <v>24</v>
      </c>
      <c r="B268" s="13" t="s">
        <v>602</v>
      </c>
      <c r="C268" s="13" t="s">
        <v>603</v>
      </c>
      <c r="D268" s="15">
        <v>2.0</v>
      </c>
      <c r="E268" s="67">
        <f t="shared" si="1"/>
        <v>500</v>
      </c>
      <c r="F268" s="67"/>
    </row>
    <row r="269" hidden="1">
      <c r="A269" s="6" t="s">
        <v>24</v>
      </c>
      <c r="B269" s="13" t="s">
        <v>811</v>
      </c>
      <c r="C269" s="13" t="s">
        <v>812</v>
      </c>
      <c r="D269" s="15">
        <v>2.0</v>
      </c>
      <c r="E269" s="67">
        <f t="shared" si="1"/>
        <v>500</v>
      </c>
      <c r="F269" s="67"/>
    </row>
    <row r="270" hidden="1">
      <c r="A270" s="6" t="s">
        <v>24</v>
      </c>
      <c r="B270" s="13" t="s">
        <v>626</v>
      </c>
      <c r="C270" s="13" t="s">
        <v>627</v>
      </c>
      <c r="D270" s="15">
        <v>2.0</v>
      </c>
      <c r="E270" s="67">
        <f t="shared" si="1"/>
        <v>500</v>
      </c>
      <c r="F270" s="67"/>
    </row>
    <row r="271" hidden="1">
      <c r="A271" s="6" t="s">
        <v>24</v>
      </c>
      <c r="B271" s="13" t="s">
        <v>634</v>
      </c>
      <c r="C271" s="13" t="s">
        <v>635</v>
      </c>
      <c r="D271" s="15">
        <v>2.0</v>
      </c>
      <c r="E271" s="67">
        <f t="shared" si="1"/>
        <v>500</v>
      </c>
      <c r="F271" s="67"/>
    </row>
    <row r="272" hidden="1">
      <c r="A272" s="6" t="s">
        <v>24</v>
      </c>
      <c r="B272" s="13" t="s">
        <v>660</v>
      </c>
      <c r="C272" s="13" t="s">
        <v>661</v>
      </c>
      <c r="D272" s="15">
        <v>2.0</v>
      </c>
      <c r="E272" s="67">
        <f t="shared" si="1"/>
        <v>500</v>
      </c>
      <c r="F272" s="67"/>
    </row>
    <row r="273" hidden="1">
      <c r="A273" s="6" t="s">
        <v>24</v>
      </c>
      <c r="B273" s="13" t="s">
        <v>813</v>
      </c>
      <c r="C273" s="13" t="s">
        <v>814</v>
      </c>
      <c r="D273" s="15">
        <v>2.0</v>
      </c>
      <c r="E273" s="67">
        <f t="shared" si="1"/>
        <v>500</v>
      </c>
      <c r="F273" s="67"/>
    </row>
    <row r="274" hidden="1">
      <c r="A274" s="6" t="s">
        <v>24</v>
      </c>
      <c r="B274" s="13" t="s">
        <v>670</v>
      </c>
      <c r="C274" s="13" t="s">
        <v>671</v>
      </c>
      <c r="D274" s="15">
        <v>2.0</v>
      </c>
      <c r="E274" s="67">
        <f t="shared" si="1"/>
        <v>500</v>
      </c>
      <c r="F274" s="67"/>
    </row>
    <row r="275" hidden="1">
      <c r="A275" s="6" t="s">
        <v>24</v>
      </c>
      <c r="B275" s="13" t="s">
        <v>672</v>
      </c>
      <c r="C275" s="13" t="s">
        <v>673</v>
      </c>
      <c r="D275" s="15">
        <v>2.0</v>
      </c>
      <c r="E275" s="67">
        <f t="shared" si="1"/>
        <v>500</v>
      </c>
      <c r="F275" s="67"/>
    </row>
    <row r="276" hidden="1">
      <c r="A276" s="6" t="s">
        <v>24</v>
      </c>
      <c r="B276" s="13" t="s">
        <v>678</v>
      </c>
      <c r="C276" s="13" t="s">
        <v>679</v>
      </c>
      <c r="D276" s="15">
        <v>2.0</v>
      </c>
      <c r="E276" s="67">
        <f t="shared" si="1"/>
        <v>500</v>
      </c>
      <c r="F276" s="67"/>
    </row>
    <row r="277" hidden="1">
      <c r="A277" s="6" t="s">
        <v>24</v>
      </c>
      <c r="B277" s="13" t="s">
        <v>688</v>
      </c>
      <c r="C277" s="13" t="s">
        <v>689</v>
      </c>
      <c r="D277" s="15">
        <v>2.0</v>
      </c>
      <c r="E277" s="67">
        <f t="shared" si="1"/>
        <v>500</v>
      </c>
      <c r="F277" s="67"/>
    </row>
    <row r="278" hidden="1">
      <c r="A278" s="6" t="s">
        <v>24</v>
      </c>
      <c r="B278" s="13" t="s">
        <v>695</v>
      </c>
      <c r="C278" s="13" t="s">
        <v>696</v>
      </c>
      <c r="D278" s="15">
        <v>2.0</v>
      </c>
      <c r="E278" s="67">
        <f t="shared" si="1"/>
        <v>500</v>
      </c>
      <c r="F278" s="67"/>
    </row>
    <row r="279" hidden="1">
      <c r="A279" s="6" t="s">
        <v>24</v>
      </c>
      <c r="B279" s="13" t="s">
        <v>701</v>
      </c>
      <c r="C279" s="13" t="s">
        <v>702</v>
      </c>
      <c r="D279" s="15">
        <v>2.0</v>
      </c>
      <c r="E279" s="67">
        <f t="shared" si="1"/>
        <v>500</v>
      </c>
      <c r="F279" s="67"/>
    </row>
    <row r="280" hidden="1">
      <c r="A280" s="6" t="s">
        <v>24</v>
      </c>
      <c r="B280" s="13" t="s">
        <v>709</v>
      </c>
      <c r="C280" s="13" t="s">
        <v>710</v>
      </c>
      <c r="D280" s="15">
        <v>2.0</v>
      </c>
      <c r="E280" s="67">
        <f t="shared" si="1"/>
        <v>500</v>
      </c>
      <c r="F280" s="67"/>
    </row>
    <row r="281" hidden="1">
      <c r="A281" s="6" t="s">
        <v>24</v>
      </c>
      <c r="B281" s="13" t="s">
        <v>717</v>
      </c>
      <c r="C281" s="13" t="s">
        <v>718</v>
      </c>
      <c r="D281" s="15">
        <v>2.0</v>
      </c>
      <c r="E281" s="67">
        <f t="shared" si="1"/>
        <v>500</v>
      </c>
      <c r="F281" s="67"/>
    </row>
    <row r="282" hidden="1">
      <c r="A282" s="6" t="s">
        <v>24</v>
      </c>
      <c r="B282" s="13" t="s">
        <v>744</v>
      </c>
      <c r="C282" s="13" t="s">
        <v>745</v>
      </c>
      <c r="D282" s="15">
        <v>2.0</v>
      </c>
      <c r="E282" s="67">
        <f t="shared" si="1"/>
        <v>500</v>
      </c>
      <c r="F282" s="67"/>
    </row>
    <row r="283" hidden="1">
      <c r="A283" s="6" t="s">
        <v>24</v>
      </c>
      <c r="B283" s="13" t="s">
        <v>762</v>
      </c>
      <c r="C283" s="13" t="s">
        <v>763</v>
      </c>
      <c r="D283" s="15">
        <v>2.0</v>
      </c>
      <c r="E283" s="67">
        <f t="shared" si="1"/>
        <v>500</v>
      </c>
      <c r="F283" s="67"/>
    </row>
    <row r="284" hidden="1">
      <c r="A284" s="6" t="s">
        <v>24</v>
      </c>
      <c r="B284" s="13" t="s">
        <v>815</v>
      </c>
      <c r="C284" s="13" t="s">
        <v>816</v>
      </c>
      <c r="D284" s="15">
        <v>3.0</v>
      </c>
      <c r="E284" s="67">
        <f t="shared" si="1"/>
        <v>750</v>
      </c>
      <c r="F284" s="67"/>
    </row>
    <row r="285" hidden="1">
      <c r="A285" s="6" t="s">
        <v>24</v>
      </c>
      <c r="B285" s="13" t="s">
        <v>455</v>
      </c>
      <c r="C285" s="13" t="s">
        <v>456</v>
      </c>
      <c r="D285" s="15">
        <v>3.0</v>
      </c>
      <c r="E285" s="67">
        <f t="shared" si="1"/>
        <v>750</v>
      </c>
      <c r="F285" s="67"/>
    </row>
    <row r="286" hidden="1">
      <c r="A286" s="6" t="s">
        <v>24</v>
      </c>
      <c r="B286" s="13" t="s">
        <v>502</v>
      </c>
      <c r="C286" s="13" t="s">
        <v>503</v>
      </c>
      <c r="D286" s="15">
        <v>3.0</v>
      </c>
      <c r="E286" s="67">
        <f t="shared" si="1"/>
        <v>750</v>
      </c>
      <c r="F286" s="67"/>
    </row>
    <row r="287" hidden="1">
      <c r="A287" s="6" t="s">
        <v>24</v>
      </c>
      <c r="B287" s="13" t="s">
        <v>514</v>
      </c>
      <c r="C287" s="13" t="s">
        <v>515</v>
      </c>
      <c r="D287" s="15">
        <v>3.0</v>
      </c>
      <c r="E287" s="67">
        <f t="shared" si="1"/>
        <v>750</v>
      </c>
      <c r="F287" s="67"/>
    </row>
    <row r="288" hidden="1">
      <c r="A288" s="6" t="s">
        <v>24</v>
      </c>
      <c r="B288" s="13" t="s">
        <v>526</v>
      </c>
      <c r="C288" s="13" t="s">
        <v>527</v>
      </c>
      <c r="D288" s="15">
        <v>3.0</v>
      </c>
      <c r="E288" s="67">
        <f t="shared" si="1"/>
        <v>750</v>
      </c>
      <c r="F288" s="67"/>
    </row>
    <row r="289" hidden="1">
      <c r="A289" s="6" t="s">
        <v>24</v>
      </c>
      <c r="B289" s="13" t="s">
        <v>538</v>
      </c>
      <c r="C289" s="13" t="s">
        <v>539</v>
      </c>
      <c r="D289" s="15">
        <v>3.0</v>
      </c>
      <c r="E289" s="67">
        <f t="shared" si="1"/>
        <v>750</v>
      </c>
      <c r="F289" s="67"/>
    </row>
    <row r="290" hidden="1">
      <c r="A290" s="6" t="s">
        <v>24</v>
      </c>
      <c r="B290" s="13" t="s">
        <v>560</v>
      </c>
      <c r="C290" s="13" t="s">
        <v>561</v>
      </c>
      <c r="D290" s="15">
        <v>3.0</v>
      </c>
      <c r="E290" s="67">
        <f t="shared" si="1"/>
        <v>750</v>
      </c>
      <c r="F290" s="67"/>
    </row>
    <row r="291" hidden="1">
      <c r="A291" s="6" t="s">
        <v>24</v>
      </c>
      <c r="B291" s="13" t="s">
        <v>594</v>
      </c>
      <c r="C291" s="13" t="s">
        <v>595</v>
      </c>
      <c r="D291" s="15">
        <v>3.0</v>
      </c>
      <c r="E291" s="67">
        <f t="shared" si="1"/>
        <v>750</v>
      </c>
      <c r="F291" s="67"/>
    </row>
    <row r="292" hidden="1">
      <c r="A292" s="6" t="s">
        <v>24</v>
      </c>
      <c r="B292" s="13" t="s">
        <v>612</v>
      </c>
      <c r="C292" s="13" t="s">
        <v>613</v>
      </c>
      <c r="D292" s="15">
        <v>3.0</v>
      </c>
      <c r="E292" s="67">
        <f t="shared" si="1"/>
        <v>750</v>
      </c>
      <c r="F292" s="67"/>
    </row>
    <row r="293" hidden="1">
      <c r="A293" s="6" t="s">
        <v>24</v>
      </c>
      <c r="B293" s="13" t="s">
        <v>636</v>
      </c>
      <c r="C293" s="13" t="s">
        <v>637</v>
      </c>
      <c r="D293" s="15">
        <v>3.0</v>
      </c>
      <c r="E293" s="67">
        <f t="shared" si="1"/>
        <v>750</v>
      </c>
      <c r="F293" s="67"/>
    </row>
    <row r="294" hidden="1">
      <c r="A294" s="6" t="s">
        <v>24</v>
      </c>
      <c r="B294" s="13" t="s">
        <v>817</v>
      </c>
      <c r="C294" s="13" t="s">
        <v>818</v>
      </c>
      <c r="D294" s="15">
        <v>3.0</v>
      </c>
      <c r="E294" s="67">
        <f t="shared" si="1"/>
        <v>750</v>
      </c>
      <c r="F294" s="67"/>
    </row>
    <row r="295" hidden="1">
      <c r="A295" s="6" t="s">
        <v>24</v>
      </c>
      <c r="B295" s="13" t="s">
        <v>642</v>
      </c>
      <c r="C295" s="13" t="s">
        <v>643</v>
      </c>
      <c r="D295" s="15">
        <v>3.0</v>
      </c>
      <c r="E295" s="67">
        <f t="shared" si="1"/>
        <v>750</v>
      </c>
      <c r="F295" s="67"/>
    </row>
    <row r="296" hidden="1">
      <c r="A296" s="6" t="s">
        <v>24</v>
      </c>
      <c r="B296" s="13" t="s">
        <v>654</v>
      </c>
      <c r="C296" s="13" t="s">
        <v>655</v>
      </c>
      <c r="D296" s="15">
        <v>3.0</v>
      </c>
      <c r="E296" s="67">
        <f t="shared" si="1"/>
        <v>750</v>
      </c>
      <c r="F296" s="67"/>
    </row>
    <row r="297" hidden="1">
      <c r="A297" s="6" t="s">
        <v>24</v>
      </c>
      <c r="B297" s="13" t="s">
        <v>819</v>
      </c>
      <c r="C297" s="13" t="s">
        <v>820</v>
      </c>
      <c r="D297" s="15">
        <v>3.0</v>
      </c>
      <c r="E297" s="67">
        <f t="shared" si="1"/>
        <v>750</v>
      </c>
      <c r="F297" s="67"/>
    </row>
    <row r="298" hidden="1">
      <c r="A298" s="6" t="s">
        <v>24</v>
      </c>
      <c r="B298" s="13" t="s">
        <v>656</v>
      </c>
      <c r="C298" s="13" t="s">
        <v>657</v>
      </c>
      <c r="D298" s="15">
        <v>3.0</v>
      </c>
      <c r="E298" s="67">
        <f t="shared" si="1"/>
        <v>750</v>
      </c>
      <c r="F298" s="67"/>
    </row>
    <row r="299" hidden="1">
      <c r="A299" s="6" t="s">
        <v>24</v>
      </c>
      <c r="B299" s="13" t="s">
        <v>821</v>
      </c>
      <c r="C299" s="13" t="s">
        <v>822</v>
      </c>
      <c r="D299" s="15">
        <v>3.0</v>
      </c>
      <c r="E299" s="67">
        <f t="shared" si="1"/>
        <v>750</v>
      </c>
      <c r="F299" s="67"/>
    </row>
    <row r="300" hidden="1">
      <c r="A300" s="6" t="s">
        <v>24</v>
      </c>
      <c r="B300" s="13" t="s">
        <v>680</v>
      </c>
      <c r="C300" s="13" t="s">
        <v>681</v>
      </c>
      <c r="D300" s="15">
        <v>3.0</v>
      </c>
      <c r="E300" s="67">
        <f t="shared" si="1"/>
        <v>750</v>
      </c>
      <c r="F300" s="67"/>
    </row>
    <row r="301" hidden="1">
      <c r="A301" s="6" t="s">
        <v>24</v>
      </c>
      <c r="B301" s="13" t="s">
        <v>693</v>
      </c>
      <c r="C301" s="13" t="s">
        <v>694</v>
      </c>
      <c r="D301" s="15">
        <v>3.0</v>
      </c>
      <c r="E301" s="67">
        <f t="shared" si="1"/>
        <v>750</v>
      </c>
      <c r="F301" s="67"/>
    </row>
    <row r="302" hidden="1">
      <c r="A302" s="6" t="s">
        <v>24</v>
      </c>
      <c r="B302" s="13" t="s">
        <v>703</v>
      </c>
      <c r="C302" s="13" t="s">
        <v>704</v>
      </c>
      <c r="D302" s="15">
        <v>3.0</v>
      </c>
      <c r="E302" s="67">
        <f t="shared" si="1"/>
        <v>750</v>
      </c>
      <c r="F302" s="67"/>
    </row>
    <row r="303" hidden="1">
      <c r="A303" s="6" t="s">
        <v>24</v>
      </c>
      <c r="B303" s="13" t="s">
        <v>705</v>
      </c>
      <c r="C303" s="13" t="s">
        <v>706</v>
      </c>
      <c r="D303" s="15">
        <v>3.0</v>
      </c>
      <c r="E303" s="67">
        <f t="shared" si="1"/>
        <v>750</v>
      </c>
      <c r="F303" s="67"/>
    </row>
    <row r="304" hidden="1">
      <c r="A304" s="6" t="s">
        <v>24</v>
      </c>
      <c r="B304" s="13" t="s">
        <v>721</v>
      </c>
      <c r="C304" s="13" t="s">
        <v>722</v>
      </c>
      <c r="D304" s="15">
        <v>3.0</v>
      </c>
      <c r="E304" s="67">
        <f t="shared" si="1"/>
        <v>750</v>
      </c>
      <c r="F304" s="67"/>
    </row>
    <row r="305" hidden="1">
      <c r="A305" s="6" t="s">
        <v>24</v>
      </c>
      <c r="B305" s="13" t="s">
        <v>823</v>
      </c>
      <c r="C305" s="13" t="s">
        <v>824</v>
      </c>
      <c r="D305" s="15">
        <v>3.0</v>
      </c>
      <c r="E305" s="67">
        <f t="shared" si="1"/>
        <v>750</v>
      </c>
      <c r="F305" s="67"/>
    </row>
    <row r="306" hidden="1">
      <c r="A306" s="6" t="s">
        <v>24</v>
      </c>
      <c r="B306" s="13" t="s">
        <v>397</v>
      </c>
      <c r="C306" s="13" t="s">
        <v>398</v>
      </c>
      <c r="D306" s="15">
        <v>4.0</v>
      </c>
      <c r="E306" s="67">
        <f t="shared" si="1"/>
        <v>1000</v>
      </c>
      <c r="F306" s="67"/>
    </row>
    <row r="307" hidden="1">
      <c r="A307" s="6" t="s">
        <v>24</v>
      </c>
      <c r="B307" s="13" t="s">
        <v>409</v>
      </c>
      <c r="C307" s="13" t="s">
        <v>410</v>
      </c>
      <c r="D307" s="15">
        <v>4.0</v>
      </c>
      <c r="E307" s="67">
        <f t="shared" si="1"/>
        <v>1000</v>
      </c>
      <c r="F307" s="67"/>
    </row>
    <row r="308" hidden="1">
      <c r="A308" s="6" t="s">
        <v>24</v>
      </c>
      <c r="B308" s="13" t="s">
        <v>825</v>
      </c>
      <c r="C308" s="13" t="s">
        <v>826</v>
      </c>
      <c r="D308" s="15">
        <v>4.0</v>
      </c>
      <c r="E308" s="67">
        <f t="shared" si="1"/>
        <v>1000</v>
      </c>
      <c r="F308" s="67"/>
    </row>
    <row r="309" hidden="1">
      <c r="A309" s="6" t="s">
        <v>24</v>
      </c>
      <c r="B309" s="13" t="s">
        <v>827</v>
      </c>
      <c r="C309" s="13" t="s">
        <v>828</v>
      </c>
      <c r="D309" s="15">
        <v>4.0</v>
      </c>
      <c r="E309" s="67">
        <f t="shared" si="1"/>
        <v>1000</v>
      </c>
      <c r="F309" s="67"/>
    </row>
    <row r="310" hidden="1">
      <c r="A310" s="6" t="s">
        <v>24</v>
      </c>
      <c r="B310" s="13" t="s">
        <v>453</v>
      </c>
      <c r="C310" s="13" t="s">
        <v>454</v>
      </c>
      <c r="D310" s="15">
        <v>4.0</v>
      </c>
      <c r="E310" s="67">
        <f t="shared" si="1"/>
        <v>1000</v>
      </c>
      <c r="F310" s="67"/>
    </row>
    <row r="311" hidden="1">
      <c r="A311" s="6" t="s">
        <v>24</v>
      </c>
      <c r="B311" s="13" t="s">
        <v>488</v>
      </c>
      <c r="C311" s="13" t="s">
        <v>489</v>
      </c>
      <c r="D311" s="15">
        <v>4.0</v>
      </c>
      <c r="E311" s="67">
        <f t="shared" si="1"/>
        <v>1000</v>
      </c>
      <c r="F311" s="67"/>
    </row>
    <row r="312" hidden="1">
      <c r="A312" s="6" t="s">
        <v>24</v>
      </c>
      <c r="B312" s="13" t="s">
        <v>494</v>
      </c>
      <c r="C312" s="13" t="s">
        <v>495</v>
      </c>
      <c r="D312" s="15">
        <v>4.0</v>
      </c>
      <c r="E312" s="67">
        <f t="shared" si="1"/>
        <v>1000</v>
      </c>
      <c r="F312" s="67"/>
    </row>
    <row r="313" hidden="1">
      <c r="A313" s="6" t="s">
        <v>24</v>
      </c>
      <c r="B313" s="13" t="s">
        <v>829</v>
      </c>
      <c r="C313" s="13" t="s">
        <v>830</v>
      </c>
      <c r="D313" s="15">
        <v>4.0</v>
      </c>
      <c r="E313" s="67">
        <f t="shared" si="1"/>
        <v>1000</v>
      </c>
      <c r="F313" s="67"/>
    </row>
    <row r="314" hidden="1">
      <c r="A314" s="6" t="s">
        <v>24</v>
      </c>
      <c r="B314" s="13" t="s">
        <v>518</v>
      </c>
      <c r="C314" s="13" t="s">
        <v>519</v>
      </c>
      <c r="D314" s="15">
        <v>4.0</v>
      </c>
      <c r="E314" s="67">
        <f t="shared" si="1"/>
        <v>1000</v>
      </c>
      <c r="F314" s="67"/>
    </row>
    <row r="315" hidden="1">
      <c r="A315" s="6" t="s">
        <v>24</v>
      </c>
      <c r="B315" s="13" t="s">
        <v>548</v>
      </c>
      <c r="C315" s="13" t="s">
        <v>549</v>
      </c>
      <c r="D315" s="15">
        <v>4.0</v>
      </c>
      <c r="E315" s="67">
        <f t="shared" si="1"/>
        <v>1000</v>
      </c>
      <c r="F315" s="67"/>
    </row>
    <row r="316" hidden="1">
      <c r="A316" s="6" t="s">
        <v>24</v>
      </c>
      <c r="B316" s="13" t="s">
        <v>550</v>
      </c>
      <c r="C316" s="13" t="s">
        <v>551</v>
      </c>
      <c r="D316" s="15">
        <v>4.0</v>
      </c>
      <c r="E316" s="67">
        <f t="shared" si="1"/>
        <v>1000</v>
      </c>
      <c r="F316" s="67"/>
    </row>
    <row r="317" hidden="1">
      <c r="A317" s="6" t="s">
        <v>24</v>
      </c>
      <c r="B317" s="13" t="s">
        <v>564</v>
      </c>
      <c r="C317" s="13" t="s">
        <v>565</v>
      </c>
      <c r="D317" s="15">
        <v>4.0</v>
      </c>
      <c r="E317" s="67">
        <f t="shared" si="1"/>
        <v>1000</v>
      </c>
      <c r="F317" s="67"/>
    </row>
    <row r="318" hidden="1">
      <c r="A318" s="6" t="s">
        <v>24</v>
      </c>
      <c r="B318" s="13" t="s">
        <v>572</v>
      </c>
      <c r="C318" s="13" t="s">
        <v>573</v>
      </c>
      <c r="D318" s="15">
        <v>4.0</v>
      </c>
      <c r="E318" s="67">
        <f t="shared" si="1"/>
        <v>1000</v>
      </c>
      <c r="F318" s="67"/>
    </row>
    <row r="319" hidden="1">
      <c r="A319" s="6" t="s">
        <v>24</v>
      </c>
      <c r="B319" s="13" t="s">
        <v>582</v>
      </c>
      <c r="C319" s="13" t="s">
        <v>583</v>
      </c>
      <c r="D319" s="15">
        <v>4.0</v>
      </c>
      <c r="E319" s="67">
        <f t="shared" si="1"/>
        <v>1000</v>
      </c>
      <c r="F319" s="67"/>
    </row>
    <row r="320" hidden="1">
      <c r="A320" s="6" t="s">
        <v>24</v>
      </c>
      <c r="B320" s="13" t="s">
        <v>604</v>
      </c>
      <c r="C320" s="13" t="s">
        <v>605</v>
      </c>
      <c r="D320" s="15">
        <v>4.0</v>
      </c>
      <c r="E320" s="67">
        <f t="shared" si="1"/>
        <v>1000</v>
      </c>
      <c r="F320" s="67"/>
    </row>
    <row r="321" hidden="1">
      <c r="A321" s="6" t="s">
        <v>24</v>
      </c>
      <c r="B321" s="13" t="s">
        <v>831</v>
      </c>
      <c r="C321" s="13" t="s">
        <v>832</v>
      </c>
      <c r="D321" s="15">
        <v>4.0</v>
      </c>
      <c r="E321" s="67">
        <f t="shared" si="1"/>
        <v>1000</v>
      </c>
      <c r="F321" s="67"/>
    </row>
    <row r="322" hidden="1">
      <c r="A322" s="6" t="s">
        <v>24</v>
      </c>
      <c r="B322" s="13" t="s">
        <v>624</v>
      </c>
      <c r="C322" s="13" t="s">
        <v>625</v>
      </c>
      <c r="D322" s="15">
        <v>4.0</v>
      </c>
      <c r="E322" s="67">
        <f t="shared" si="1"/>
        <v>1000</v>
      </c>
      <c r="F322" s="67"/>
    </row>
    <row r="323" hidden="1">
      <c r="A323" s="6" t="s">
        <v>24</v>
      </c>
      <c r="B323" s="13" t="s">
        <v>650</v>
      </c>
      <c r="C323" s="13" t="s">
        <v>651</v>
      </c>
      <c r="D323" s="15">
        <v>4.0</v>
      </c>
      <c r="E323" s="67">
        <f t="shared" si="1"/>
        <v>1000</v>
      </c>
      <c r="F323" s="67"/>
    </row>
    <row r="324" hidden="1">
      <c r="A324" s="6" t="s">
        <v>24</v>
      </c>
      <c r="B324" s="13" t="s">
        <v>664</v>
      </c>
      <c r="C324" s="13" t="s">
        <v>665</v>
      </c>
      <c r="D324" s="15">
        <v>4.0</v>
      </c>
      <c r="E324" s="67">
        <f t="shared" si="1"/>
        <v>1000</v>
      </c>
      <c r="F324" s="67"/>
    </row>
    <row r="325" hidden="1">
      <c r="A325" s="6" t="s">
        <v>24</v>
      </c>
      <c r="B325" s="13" t="s">
        <v>699</v>
      </c>
      <c r="C325" s="13" t="s">
        <v>700</v>
      </c>
      <c r="D325" s="15">
        <v>4.0</v>
      </c>
      <c r="E325" s="67">
        <f t="shared" si="1"/>
        <v>1000</v>
      </c>
      <c r="F325" s="67"/>
    </row>
    <row r="326" hidden="1">
      <c r="A326" s="6" t="s">
        <v>24</v>
      </c>
      <c r="B326" s="13" t="s">
        <v>719</v>
      </c>
      <c r="C326" s="13" t="s">
        <v>720</v>
      </c>
      <c r="D326" s="15">
        <v>4.0</v>
      </c>
      <c r="E326" s="67">
        <f t="shared" si="1"/>
        <v>1000</v>
      </c>
      <c r="F326" s="67"/>
    </row>
    <row r="327" hidden="1">
      <c r="A327" s="6" t="s">
        <v>24</v>
      </c>
      <c r="B327" s="13" t="s">
        <v>729</v>
      </c>
      <c r="C327" s="13" t="s">
        <v>730</v>
      </c>
      <c r="D327" s="15">
        <v>4.0</v>
      </c>
      <c r="E327" s="67">
        <f t="shared" si="1"/>
        <v>1000</v>
      </c>
      <c r="F327" s="67"/>
    </row>
    <row r="328" hidden="1">
      <c r="A328" s="6" t="s">
        <v>24</v>
      </c>
      <c r="B328" s="13" t="s">
        <v>764</v>
      </c>
      <c r="C328" s="13" t="s">
        <v>765</v>
      </c>
      <c r="D328" s="15">
        <v>4.0</v>
      </c>
      <c r="E328" s="67">
        <f t="shared" si="1"/>
        <v>1000</v>
      </c>
      <c r="F328" s="67"/>
    </row>
    <row r="329" hidden="1">
      <c r="A329" s="6" t="s">
        <v>24</v>
      </c>
      <c r="B329" s="13" t="s">
        <v>833</v>
      </c>
      <c r="C329" s="13" t="s">
        <v>834</v>
      </c>
      <c r="D329" s="15">
        <v>5.0</v>
      </c>
      <c r="E329" s="67">
        <f t="shared" si="1"/>
        <v>1250</v>
      </c>
      <c r="F329" s="67"/>
    </row>
    <row r="330" hidden="1">
      <c r="A330" s="6" t="s">
        <v>24</v>
      </c>
      <c r="B330" s="13" t="s">
        <v>457</v>
      </c>
      <c r="C330" s="13" t="s">
        <v>458</v>
      </c>
      <c r="D330" s="15">
        <v>5.0</v>
      </c>
      <c r="E330" s="67">
        <f t="shared" si="1"/>
        <v>1250</v>
      </c>
      <c r="F330" s="67"/>
    </row>
    <row r="331" hidden="1">
      <c r="A331" s="6" t="s">
        <v>24</v>
      </c>
      <c r="B331" s="13" t="s">
        <v>319</v>
      </c>
      <c r="C331" s="13" t="s">
        <v>459</v>
      </c>
      <c r="D331" s="15">
        <v>5.0</v>
      </c>
      <c r="E331" s="67">
        <f t="shared" si="1"/>
        <v>1250</v>
      </c>
      <c r="F331" s="67"/>
    </row>
    <row r="332" hidden="1">
      <c r="A332" s="6" t="s">
        <v>24</v>
      </c>
      <c r="B332" s="13" t="s">
        <v>500</v>
      </c>
      <c r="C332" s="13" t="s">
        <v>501</v>
      </c>
      <c r="D332" s="15">
        <v>5.0</v>
      </c>
      <c r="E332" s="67">
        <f t="shared" si="1"/>
        <v>1250</v>
      </c>
      <c r="F332" s="67"/>
    </row>
    <row r="333" hidden="1">
      <c r="A333" s="6" t="s">
        <v>24</v>
      </c>
      <c r="B333" s="13" t="s">
        <v>590</v>
      </c>
      <c r="C333" s="13" t="s">
        <v>591</v>
      </c>
      <c r="D333" s="15">
        <v>5.0</v>
      </c>
      <c r="E333" s="67">
        <f t="shared" si="1"/>
        <v>1250</v>
      </c>
      <c r="F333" s="67"/>
    </row>
    <row r="334" hidden="1">
      <c r="A334" s="6" t="s">
        <v>24</v>
      </c>
      <c r="B334" s="13" t="s">
        <v>622</v>
      </c>
      <c r="C334" s="13" t="s">
        <v>623</v>
      </c>
      <c r="D334" s="15">
        <v>5.0</v>
      </c>
      <c r="E334" s="67">
        <f t="shared" si="1"/>
        <v>1250</v>
      </c>
      <c r="F334" s="67"/>
    </row>
    <row r="335" hidden="1">
      <c r="A335" s="6" t="s">
        <v>24</v>
      </c>
      <c r="B335" s="13" t="s">
        <v>682</v>
      </c>
      <c r="C335" s="13" t="s">
        <v>683</v>
      </c>
      <c r="D335" s="15">
        <v>5.0</v>
      </c>
      <c r="E335" s="67">
        <f t="shared" si="1"/>
        <v>1250</v>
      </c>
      <c r="F335" s="67"/>
    </row>
    <row r="336" hidden="1">
      <c r="A336" s="6" t="s">
        <v>24</v>
      </c>
      <c r="B336" s="13" t="s">
        <v>302</v>
      </c>
      <c r="C336" s="13" t="s">
        <v>733</v>
      </c>
      <c r="D336" s="15">
        <v>5.0</v>
      </c>
      <c r="E336" s="67">
        <f t="shared" si="1"/>
        <v>1250</v>
      </c>
      <c r="F336" s="67"/>
    </row>
    <row r="337" hidden="1">
      <c r="A337" s="6" t="s">
        <v>24</v>
      </c>
      <c r="B337" s="13" t="s">
        <v>758</v>
      </c>
      <c r="C337" s="13" t="s">
        <v>759</v>
      </c>
      <c r="D337" s="15">
        <v>5.0</v>
      </c>
      <c r="E337" s="67">
        <f t="shared" si="1"/>
        <v>1250</v>
      </c>
      <c r="F337" s="67"/>
    </row>
    <row r="338" hidden="1">
      <c r="A338" s="6" t="s">
        <v>24</v>
      </c>
      <c r="B338" s="13" t="s">
        <v>835</v>
      </c>
      <c r="C338" s="13" t="s">
        <v>836</v>
      </c>
      <c r="D338" s="15">
        <v>6.0</v>
      </c>
      <c r="E338" s="67">
        <f t="shared" si="1"/>
        <v>1500</v>
      </c>
      <c r="F338" s="67"/>
    </row>
    <row r="339" hidden="1">
      <c r="A339" s="6" t="s">
        <v>24</v>
      </c>
      <c r="B339" s="13" t="s">
        <v>532</v>
      </c>
      <c r="C339" s="13" t="s">
        <v>533</v>
      </c>
      <c r="D339" s="15">
        <v>6.0</v>
      </c>
      <c r="E339" s="67">
        <f t="shared" si="1"/>
        <v>1500</v>
      </c>
      <c r="F339" s="67"/>
    </row>
    <row r="340" hidden="1">
      <c r="A340" s="6" t="s">
        <v>24</v>
      </c>
      <c r="B340" s="13" t="s">
        <v>576</v>
      </c>
      <c r="C340" s="13" t="s">
        <v>577</v>
      </c>
      <c r="D340" s="15">
        <v>6.0</v>
      </c>
      <c r="E340" s="67">
        <f t="shared" si="1"/>
        <v>1500</v>
      </c>
      <c r="F340" s="67"/>
    </row>
    <row r="341" hidden="1">
      <c r="A341" s="6" t="s">
        <v>24</v>
      </c>
      <c r="B341" s="13" t="s">
        <v>606</v>
      </c>
      <c r="C341" s="13" t="s">
        <v>607</v>
      </c>
      <c r="D341" s="15">
        <v>6.0</v>
      </c>
      <c r="E341" s="67">
        <f t="shared" si="1"/>
        <v>1500</v>
      </c>
      <c r="F341" s="67"/>
    </row>
    <row r="342" hidden="1">
      <c r="A342" s="6" t="s">
        <v>24</v>
      </c>
      <c r="B342" s="13" t="s">
        <v>439</v>
      </c>
      <c r="C342" s="13" t="s">
        <v>440</v>
      </c>
      <c r="D342" s="15">
        <v>7.0</v>
      </c>
      <c r="E342" s="67">
        <f t="shared" si="1"/>
        <v>1750</v>
      </c>
      <c r="F342" s="67"/>
    </row>
    <row r="343" hidden="1">
      <c r="A343" s="6" t="s">
        <v>24</v>
      </c>
      <c r="B343" s="13" t="s">
        <v>443</v>
      </c>
      <c r="C343" s="13" t="s">
        <v>444</v>
      </c>
      <c r="D343" s="15">
        <v>7.0</v>
      </c>
      <c r="E343" s="67">
        <f t="shared" si="1"/>
        <v>1750</v>
      </c>
      <c r="F343" s="67"/>
    </row>
    <row r="344" hidden="1">
      <c r="A344" s="6" t="s">
        <v>24</v>
      </c>
      <c r="B344" s="13" t="s">
        <v>460</v>
      </c>
      <c r="C344" s="13" t="s">
        <v>461</v>
      </c>
      <c r="D344" s="15">
        <v>7.0</v>
      </c>
      <c r="E344" s="67">
        <f t="shared" si="1"/>
        <v>1750</v>
      </c>
      <c r="F344" s="67"/>
    </row>
    <row r="345" hidden="1">
      <c r="A345" s="6" t="s">
        <v>24</v>
      </c>
      <c r="B345" s="13" t="s">
        <v>542</v>
      </c>
      <c r="C345" s="13" t="s">
        <v>543</v>
      </c>
      <c r="D345" s="15">
        <v>7.0</v>
      </c>
      <c r="E345" s="67">
        <f t="shared" si="1"/>
        <v>1750</v>
      </c>
      <c r="F345" s="67"/>
    </row>
    <row r="346" hidden="1">
      <c r="A346" s="6" t="s">
        <v>24</v>
      </c>
      <c r="B346" s="13" t="s">
        <v>628</v>
      </c>
      <c r="C346" s="13" t="s">
        <v>629</v>
      </c>
      <c r="D346" s="15">
        <v>7.0</v>
      </c>
      <c r="E346" s="67">
        <f t="shared" si="1"/>
        <v>1750</v>
      </c>
      <c r="F346" s="67"/>
    </row>
    <row r="347" hidden="1">
      <c r="A347" s="6" t="s">
        <v>24</v>
      </c>
      <c r="B347" s="13" t="s">
        <v>752</v>
      </c>
      <c r="C347" s="13" t="s">
        <v>753</v>
      </c>
      <c r="D347" s="15">
        <v>7.0</v>
      </c>
      <c r="E347" s="67">
        <f t="shared" si="1"/>
        <v>1750</v>
      </c>
      <c r="F347" s="67"/>
    </row>
    <row r="348" hidden="1">
      <c r="A348" s="6" t="s">
        <v>24</v>
      </c>
      <c r="B348" s="13" t="s">
        <v>447</v>
      </c>
      <c r="C348" s="8" t="s">
        <v>448</v>
      </c>
      <c r="D348" s="15">
        <v>8.0</v>
      </c>
      <c r="E348" s="67">
        <f t="shared" si="1"/>
        <v>2000</v>
      </c>
      <c r="F348" s="67"/>
    </row>
    <row r="349" hidden="1">
      <c r="A349" s="6" t="s">
        <v>24</v>
      </c>
      <c r="B349" s="13" t="s">
        <v>524</v>
      </c>
      <c r="C349" s="8" t="s">
        <v>525</v>
      </c>
      <c r="D349" s="15">
        <v>8.0</v>
      </c>
      <c r="E349" s="67">
        <f t="shared" si="1"/>
        <v>2000</v>
      </c>
      <c r="F349" s="67"/>
    </row>
    <row r="350" hidden="1">
      <c r="A350" s="6" t="s">
        <v>24</v>
      </c>
      <c r="B350" s="13" t="s">
        <v>640</v>
      </c>
      <c r="C350" s="8" t="s">
        <v>641</v>
      </c>
      <c r="D350" s="15">
        <v>8.0</v>
      </c>
      <c r="E350" s="67">
        <f t="shared" si="1"/>
        <v>2000</v>
      </c>
      <c r="F350" s="67"/>
    </row>
    <row r="351" hidden="1">
      <c r="A351" s="6" t="s">
        <v>24</v>
      </c>
      <c r="B351" s="13" t="s">
        <v>725</v>
      </c>
      <c r="C351" s="8" t="s">
        <v>726</v>
      </c>
      <c r="D351" s="15">
        <v>8.0</v>
      </c>
      <c r="E351" s="67">
        <f t="shared" si="1"/>
        <v>2000</v>
      </c>
      <c r="F351" s="67"/>
    </row>
    <row r="352" hidden="1">
      <c r="A352" s="6" t="s">
        <v>24</v>
      </c>
      <c r="B352" s="13" t="s">
        <v>736</v>
      </c>
      <c r="C352" s="8" t="s">
        <v>737</v>
      </c>
      <c r="D352" s="15">
        <v>8.0</v>
      </c>
      <c r="E352" s="67">
        <f t="shared" si="1"/>
        <v>2000</v>
      </c>
      <c r="F352" s="67"/>
    </row>
    <row r="353" hidden="1">
      <c r="A353" s="6" t="s">
        <v>24</v>
      </c>
      <c r="B353" s="13" t="s">
        <v>486</v>
      </c>
      <c r="C353" s="8" t="s">
        <v>487</v>
      </c>
      <c r="D353" s="15">
        <v>9.0</v>
      </c>
      <c r="E353" s="67">
        <f t="shared" si="1"/>
        <v>2250</v>
      </c>
      <c r="F353" s="67"/>
    </row>
    <row r="354" hidden="1">
      <c r="A354" s="6" t="s">
        <v>24</v>
      </c>
      <c r="B354" s="13" t="s">
        <v>417</v>
      </c>
      <c r="C354" s="13" t="s">
        <v>418</v>
      </c>
      <c r="D354" s="15">
        <v>10.0</v>
      </c>
      <c r="E354" s="67">
        <f t="shared" si="1"/>
        <v>5000</v>
      </c>
      <c r="F354" s="67"/>
    </row>
    <row r="355" hidden="1">
      <c r="A355" s="6" t="s">
        <v>24</v>
      </c>
      <c r="B355" s="13" t="s">
        <v>546</v>
      </c>
      <c r="C355" s="13" t="s">
        <v>547</v>
      </c>
      <c r="D355" s="15">
        <v>10.0</v>
      </c>
      <c r="E355" s="67">
        <f t="shared" si="1"/>
        <v>5000</v>
      </c>
      <c r="F355" s="67"/>
    </row>
    <row r="356" hidden="1">
      <c r="A356" s="6" t="s">
        <v>24</v>
      </c>
      <c r="B356" s="13" t="s">
        <v>620</v>
      </c>
      <c r="C356" s="13" t="s">
        <v>621</v>
      </c>
      <c r="D356" s="15">
        <v>10.0</v>
      </c>
      <c r="E356" s="67">
        <f t="shared" si="1"/>
        <v>5000</v>
      </c>
      <c r="F356" s="67"/>
    </row>
    <row r="357" hidden="1">
      <c r="A357" s="6" t="s">
        <v>24</v>
      </c>
      <c r="B357" s="13" t="s">
        <v>411</v>
      </c>
      <c r="C357" s="13" t="s">
        <v>412</v>
      </c>
      <c r="D357" s="15">
        <v>11.0</v>
      </c>
      <c r="E357" s="67">
        <f t="shared" si="1"/>
        <v>5500</v>
      </c>
      <c r="F357" s="67"/>
    </row>
    <row r="358" hidden="1">
      <c r="A358" s="6" t="s">
        <v>24</v>
      </c>
      <c r="B358" s="13" t="s">
        <v>435</v>
      </c>
      <c r="C358" s="13" t="s">
        <v>436</v>
      </c>
      <c r="D358" s="15">
        <v>11.0</v>
      </c>
      <c r="E358" s="67">
        <f t="shared" si="1"/>
        <v>5500</v>
      </c>
      <c r="F358" s="67"/>
    </row>
    <row r="359" hidden="1">
      <c r="A359" s="6" t="s">
        <v>24</v>
      </c>
      <c r="B359" s="13" t="s">
        <v>746</v>
      </c>
      <c r="C359" s="13" t="s">
        <v>747</v>
      </c>
      <c r="D359" s="15">
        <v>11.0</v>
      </c>
      <c r="E359" s="67">
        <f t="shared" si="1"/>
        <v>5500</v>
      </c>
      <c r="F359" s="67"/>
    </row>
    <row r="360" hidden="1">
      <c r="A360" s="6" t="s">
        <v>24</v>
      </c>
      <c r="B360" s="13" t="s">
        <v>510</v>
      </c>
      <c r="C360" s="13" t="s">
        <v>511</v>
      </c>
      <c r="D360" s="15">
        <v>12.0</v>
      </c>
      <c r="E360" s="67">
        <f t="shared" si="1"/>
        <v>6000</v>
      </c>
      <c r="F360" s="67"/>
    </row>
    <row r="361" hidden="1">
      <c r="A361" s="6" t="s">
        <v>24</v>
      </c>
      <c r="B361" s="13" t="s">
        <v>644</v>
      </c>
      <c r="C361" s="13" t="s">
        <v>645</v>
      </c>
      <c r="D361" s="15">
        <v>12.0</v>
      </c>
      <c r="E361" s="67">
        <f t="shared" si="1"/>
        <v>6000</v>
      </c>
      <c r="F361" s="67"/>
    </row>
    <row r="362" hidden="1">
      <c r="A362" s="6" t="s">
        <v>24</v>
      </c>
      <c r="B362" s="13" t="s">
        <v>723</v>
      </c>
      <c r="C362" s="13" t="s">
        <v>724</v>
      </c>
      <c r="D362" s="15">
        <v>12.0</v>
      </c>
      <c r="E362" s="67">
        <f t="shared" si="1"/>
        <v>6000</v>
      </c>
      <c r="F362" s="67"/>
    </row>
    <row r="363" hidden="1">
      <c r="A363" s="6" t="s">
        <v>24</v>
      </c>
      <c r="B363" s="13" t="s">
        <v>540</v>
      </c>
      <c r="C363" s="13" t="s">
        <v>541</v>
      </c>
      <c r="D363" s="15">
        <v>13.0</v>
      </c>
      <c r="E363" s="67">
        <f t="shared" si="1"/>
        <v>6500</v>
      </c>
      <c r="F363" s="67"/>
    </row>
    <row r="364" hidden="1">
      <c r="A364" s="6" t="s">
        <v>24</v>
      </c>
      <c r="B364" s="13" t="s">
        <v>766</v>
      </c>
      <c r="C364" s="13" t="s">
        <v>767</v>
      </c>
      <c r="D364" s="15">
        <v>14.0</v>
      </c>
      <c r="E364" s="67">
        <f t="shared" si="1"/>
        <v>7000</v>
      </c>
      <c r="F364" s="67"/>
    </row>
    <row r="365" hidden="1">
      <c r="A365" s="6" t="s">
        <v>24</v>
      </c>
      <c r="B365" s="13" t="s">
        <v>516</v>
      </c>
      <c r="C365" s="13" t="s">
        <v>517</v>
      </c>
      <c r="D365" s="15">
        <v>17.0</v>
      </c>
      <c r="E365" s="67">
        <f t="shared" si="1"/>
        <v>8500</v>
      </c>
      <c r="F365" s="67"/>
    </row>
    <row r="366" hidden="1">
      <c r="A366" s="6" t="s">
        <v>24</v>
      </c>
      <c r="B366" s="13" t="s">
        <v>476</v>
      </c>
      <c r="C366" s="13" t="s">
        <v>477</v>
      </c>
      <c r="D366" s="15">
        <v>21.0</v>
      </c>
      <c r="E366" s="67">
        <f t="shared" si="1"/>
        <v>10500</v>
      </c>
      <c r="F366" s="67"/>
    </row>
    <row r="367" hidden="1">
      <c r="A367" s="6" t="s">
        <v>25</v>
      </c>
      <c r="B367" s="25" t="s">
        <v>397</v>
      </c>
      <c r="C367" s="25" t="s">
        <v>398</v>
      </c>
      <c r="D367" s="25">
        <v>3.0</v>
      </c>
      <c r="E367" s="67">
        <f t="shared" si="1"/>
        <v>750</v>
      </c>
      <c r="F367" s="67"/>
    </row>
    <row r="368" hidden="1">
      <c r="A368" s="6" t="s">
        <v>25</v>
      </c>
      <c r="B368" s="25" t="s">
        <v>815</v>
      </c>
      <c r="C368" s="25" t="s">
        <v>816</v>
      </c>
      <c r="D368" s="25">
        <v>4.0</v>
      </c>
      <c r="E368" s="67">
        <f t="shared" si="1"/>
        <v>1000</v>
      </c>
      <c r="F368" s="67"/>
    </row>
    <row r="369" hidden="1">
      <c r="A369" s="6" t="s">
        <v>25</v>
      </c>
      <c r="B369" s="25" t="s">
        <v>405</v>
      </c>
      <c r="C369" s="25" t="s">
        <v>406</v>
      </c>
      <c r="D369" s="25">
        <v>1.0</v>
      </c>
      <c r="E369" s="67">
        <f t="shared" si="1"/>
        <v>250</v>
      </c>
      <c r="F369" s="67"/>
    </row>
    <row r="370" hidden="1">
      <c r="A370" s="6" t="s">
        <v>25</v>
      </c>
      <c r="B370" s="25" t="s">
        <v>837</v>
      </c>
      <c r="C370" s="25" t="s">
        <v>838</v>
      </c>
      <c r="D370" s="25">
        <v>0.0</v>
      </c>
      <c r="E370" s="67">
        <f t="shared" si="1"/>
        <v>0</v>
      </c>
      <c r="F370" s="67"/>
    </row>
    <row r="371" hidden="1">
      <c r="A371" s="6" t="s">
        <v>25</v>
      </c>
      <c r="B371" s="25" t="s">
        <v>839</v>
      </c>
      <c r="C371" s="25" t="s">
        <v>840</v>
      </c>
      <c r="D371" s="25">
        <v>0.0</v>
      </c>
      <c r="E371" s="67">
        <f t="shared" si="1"/>
        <v>0</v>
      </c>
      <c r="F371" s="67"/>
    </row>
    <row r="372" hidden="1">
      <c r="A372" s="6" t="s">
        <v>25</v>
      </c>
      <c r="B372" s="25" t="s">
        <v>409</v>
      </c>
      <c r="C372" s="25" t="s">
        <v>410</v>
      </c>
      <c r="D372" s="25">
        <v>6.0</v>
      </c>
      <c r="E372" s="67">
        <f t="shared" si="1"/>
        <v>1500</v>
      </c>
      <c r="F372" s="67"/>
    </row>
    <row r="373" hidden="1">
      <c r="A373" s="6" t="s">
        <v>25</v>
      </c>
      <c r="B373" s="25" t="s">
        <v>411</v>
      </c>
      <c r="C373" s="25" t="s">
        <v>412</v>
      </c>
      <c r="D373" s="25">
        <v>8.0</v>
      </c>
      <c r="E373" s="67">
        <f t="shared" si="1"/>
        <v>2000</v>
      </c>
      <c r="F373" s="67"/>
    </row>
    <row r="374" hidden="1">
      <c r="A374" s="6" t="s">
        <v>25</v>
      </c>
      <c r="B374" s="25" t="s">
        <v>413</v>
      </c>
      <c r="C374" s="25" t="s">
        <v>414</v>
      </c>
      <c r="D374" s="25">
        <v>6.0</v>
      </c>
      <c r="E374" s="67">
        <f t="shared" si="1"/>
        <v>1500</v>
      </c>
      <c r="F374" s="67"/>
    </row>
    <row r="375" hidden="1">
      <c r="A375" s="6" t="s">
        <v>25</v>
      </c>
      <c r="B375" s="25" t="s">
        <v>825</v>
      </c>
      <c r="C375" s="25" t="s">
        <v>826</v>
      </c>
      <c r="D375" s="25">
        <v>7.0</v>
      </c>
      <c r="E375" s="67">
        <f t="shared" si="1"/>
        <v>1750</v>
      </c>
      <c r="F375" s="67"/>
    </row>
    <row r="376" hidden="1">
      <c r="A376" s="6" t="s">
        <v>25</v>
      </c>
      <c r="B376" s="25" t="s">
        <v>417</v>
      </c>
      <c r="C376" s="25" t="s">
        <v>418</v>
      </c>
      <c r="D376" s="25">
        <v>9.0</v>
      </c>
      <c r="E376" s="67">
        <f t="shared" si="1"/>
        <v>2250</v>
      </c>
      <c r="F376" s="67"/>
    </row>
    <row r="377" hidden="1">
      <c r="A377" s="6" t="s">
        <v>25</v>
      </c>
      <c r="B377" s="25" t="s">
        <v>425</v>
      </c>
      <c r="C377" s="25" t="s">
        <v>426</v>
      </c>
      <c r="D377" s="25">
        <v>1.0</v>
      </c>
      <c r="E377" s="67">
        <f t="shared" si="1"/>
        <v>250</v>
      </c>
      <c r="F377" s="67"/>
    </row>
    <row r="378" hidden="1">
      <c r="A378" s="6" t="s">
        <v>25</v>
      </c>
      <c r="B378" s="25" t="s">
        <v>431</v>
      </c>
      <c r="C378" s="25" t="s">
        <v>432</v>
      </c>
      <c r="D378" s="25">
        <v>3.0</v>
      </c>
      <c r="E378" s="67">
        <f t="shared" si="1"/>
        <v>750</v>
      </c>
      <c r="F378" s="67"/>
    </row>
    <row r="379" hidden="1">
      <c r="A379" s="6" t="s">
        <v>25</v>
      </c>
      <c r="B379" s="25" t="s">
        <v>435</v>
      </c>
      <c r="C379" s="25" t="s">
        <v>436</v>
      </c>
      <c r="D379" s="25">
        <v>11.0</v>
      </c>
      <c r="E379" s="67">
        <f t="shared" si="1"/>
        <v>5500</v>
      </c>
      <c r="F379" s="67"/>
    </row>
    <row r="380" hidden="1">
      <c r="A380" s="6" t="s">
        <v>25</v>
      </c>
      <c r="B380" s="25" t="s">
        <v>841</v>
      </c>
      <c r="C380" s="25" t="s">
        <v>842</v>
      </c>
      <c r="D380" s="25">
        <v>2.0</v>
      </c>
      <c r="E380" s="67">
        <f t="shared" si="1"/>
        <v>500</v>
      </c>
      <c r="F380" s="67"/>
    </row>
    <row r="381" hidden="1">
      <c r="A381" s="6" t="s">
        <v>25</v>
      </c>
      <c r="B381" s="25" t="s">
        <v>439</v>
      </c>
      <c r="C381" s="25" t="s">
        <v>440</v>
      </c>
      <c r="D381" s="25">
        <v>11.0</v>
      </c>
      <c r="E381" s="67">
        <f t="shared" si="1"/>
        <v>5500</v>
      </c>
      <c r="F381" s="67"/>
    </row>
    <row r="382" hidden="1">
      <c r="A382" s="6" t="s">
        <v>25</v>
      </c>
      <c r="B382" s="25" t="s">
        <v>441</v>
      </c>
      <c r="C382" s="25" t="s">
        <v>442</v>
      </c>
      <c r="D382" s="25">
        <v>3.0</v>
      </c>
      <c r="E382" s="67">
        <f t="shared" si="1"/>
        <v>750</v>
      </c>
      <c r="F382" s="67"/>
    </row>
    <row r="383" hidden="1">
      <c r="A383" s="6" t="s">
        <v>25</v>
      </c>
      <c r="B383" s="25" t="s">
        <v>801</v>
      </c>
      <c r="C383" s="25" t="s">
        <v>802</v>
      </c>
      <c r="D383" s="25">
        <v>7.0</v>
      </c>
      <c r="E383" s="67">
        <f t="shared" si="1"/>
        <v>1750</v>
      </c>
      <c r="F383" s="67"/>
    </row>
    <row r="384" hidden="1">
      <c r="A384" s="6" t="s">
        <v>25</v>
      </c>
      <c r="B384" s="25" t="s">
        <v>443</v>
      </c>
      <c r="C384" s="25" t="s">
        <v>444</v>
      </c>
      <c r="D384" s="25">
        <v>11.0</v>
      </c>
      <c r="E384" s="67">
        <f t="shared" si="1"/>
        <v>5500</v>
      </c>
      <c r="F384" s="67"/>
    </row>
    <row r="385" hidden="1">
      <c r="A385" s="6" t="s">
        <v>25</v>
      </c>
      <c r="B385" s="25" t="s">
        <v>803</v>
      </c>
      <c r="C385" s="25" t="s">
        <v>804</v>
      </c>
      <c r="D385" s="25">
        <v>12.0</v>
      </c>
      <c r="E385" s="67">
        <f t="shared" si="1"/>
        <v>6000</v>
      </c>
      <c r="F385" s="67"/>
    </row>
    <row r="386" hidden="1">
      <c r="A386" s="6" t="s">
        <v>25</v>
      </c>
      <c r="B386" s="25" t="s">
        <v>445</v>
      </c>
      <c r="C386" s="25" t="s">
        <v>446</v>
      </c>
      <c r="D386" s="25">
        <v>6.0</v>
      </c>
      <c r="E386" s="67">
        <f t="shared" si="1"/>
        <v>1500</v>
      </c>
      <c r="F386" s="67"/>
    </row>
    <row r="387" hidden="1">
      <c r="A387" s="6" t="s">
        <v>25</v>
      </c>
      <c r="B387" s="25" t="s">
        <v>447</v>
      </c>
      <c r="C387" s="25" t="s">
        <v>448</v>
      </c>
      <c r="D387" s="25">
        <v>3.0</v>
      </c>
      <c r="E387" s="67">
        <f t="shared" si="1"/>
        <v>750</v>
      </c>
      <c r="F387" s="67"/>
    </row>
    <row r="388" hidden="1">
      <c r="A388" s="6" t="s">
        <v>25</v>
      </c>
      <c r="B388" s="25" t="s">
        <v>449</v>
      </c>
      <c r="C388" s="25" t="s">
        <v>450</v>
      </c>
      <c r="D388" s="25">
        <v>4.0</v>
      </c>
      <c r="E388" s="67">
        <f t="shared" si="1"/>
        <v>1000</v>
      </c>
      <c r="F388" s="67"/>
    </row>
    <row r="389" hidden="1">
      <c r="A389" s="6" t="s">
        <v>25</v>
      </c>
      <c r="B389" s="25" t="s">
        <v>451</v>
      </c>
      <c r="C389" s="25" t="s">
        <v>452</v>
      </c>
      <c r="D389" s="25">
        <v>3.0</v>
      </c>
      <c r="E389" s="67">
        <f t="shared" si="1"/>
        <v>750</v>
      </c>
      <c r="F389" s="67"/>
    </row>
    <row r="390" hidden="1">
      <c r="A390" s="6" t="s">
        <v>25</v>
      </c>
      <c r="B390" s="25" t="s">
        <v>827</v>
      </c>
      <c r="C390" s="25" t="s">
        <v>828</v>
      </c>
      <c r="D390" s="25">
        <v>6.0</v>
      </c>
      <c r="E390" s="67">
        <f t="shared" si="1"/>
        <v>1500</v>
      </c>
      <c r="F390" s="67"/>
    </row>
    <row r="391" hidden="1">
      <c r="A391" s="6" t="s">
        <v>25</v>
      </c>
      <c r="B391" s="25" t="s">
        <v>453</v>
      </c>
      <c r="C391" s="25" t="s">
        <v>454</v>
      </c>
      <c r="D391" s="25">
        <v>1.0</v>
      </c>
      <c r="E391" s="67">
        <f t="shared" si="1"/>
        <v>250</v>
      </c>
      <c r="F391" s="67"/>
    </row>
    <row r="392" hidden="1">
      <c r="A392" s="6" t="s">
        <v>25</v>
      </c>
      <c r="B392" s="25" t="s">
        <v>455</v>
      </c>
      <c r="C392" s="25" t="s">
        <v>456</v>
      </c>
      <c r="D392" s="25">
        <v>4.0</v>
      </c>
      <c r="E392" s="67">
        <f t="shared" si="1"/>
        <v>1000</v>
      </c>
      <c r="F392" s="67"/>
    </row>
    <row r="393" hidden="1">
      <c r="A393" s="6" t="s">
        <v>25</v>
      </c>
      <c r="B393" s="25" t="s">
        <v>833</v>
      </c>
      <c r="C393" s="25" t="s">
        <v>834</v>
      </c>
      <c r="D393" s="25">
        <v>5.0</v>
      </c>
      <c r="E393" s="67">
        <f t="shared" si="1"/>
        <v>1250</v>
      </c>
      <c r="F393" s="67"/>
    </row>
    <row r="394" hidden="1">
      <c r="A394" s="6" t="s">
        <v>25</v>
      </c>
      <c r="B394" s="25" t="s">
        <v>457</v>
      </c>
      <c r="C394" s="25" t="s">
        <v>458</v>
      </c>
      <c r="D394" s="25">
        <v>8.0</v>
      </c>
      <c r="E394" s="67">
        <f t="shared" si="1"/>
        <v>2000</v>
      </c>
      <c r="F394" s="67"/>
    </row>
    <row r="395" hidden="1">
      <c r="A395" s="6" t="s">
        <v>25</v>
      </c>
      <c r="B395" s="25" t="s">
        <v>319</v>
      </c>
      <c r="C395" s="25" t="s">
        <v>459</v>
      </c>
      <c r="D395" s="25">
        <v>5.0</v>
      </c>
      <c r="E395" s="67">
        <f t="shared" si="1"/>
        <v>1250</v>
      </c>
      <c r="F395" s="67"/>
    </row>
    <row r="396" hidden="1">
      <c r="A396" s="6" t="s">
        <v>25</v>
      </c>
      <c r="B396" s="25" t="s">
        <v>460</v>
      </c>
      <c r="C396" s="25" t="s">
        <v>461</v>
      </c>
      <c r="D396" s="25">
        <v>2.0</v>
      </c>
      <c r="E396" s="67">
        <f t="shared" si="1"/>
        <v>500</v>
      </c>
      <c r="F396" s="67"/>
    </row>
    <row r="397" hidden="1">
      <c r="A397" s="6" t="s">
        <v>25</v>
      </c>
      <c r="B397" s="25" t="s">
        <v>462</v>
      </c>
      <c r="C397" s="25" t="s">
        <v>463</v>
      </c>
      <c r="D397" s="25">
        <v>5.0</v>
      </c>
      <c r="E397" s="67">
        <f t="shared" si="1"/>
        <v>1250</v>
      </c>
      <c r="F397" s="67"/>
    </row>
    <row r="398" hidden="1">
      <c r="A398" s="6" t="s">
        <v>25</v>
      </c>
      <c r="B398" s="25" t="s">
        <v>464</v>
      </c>
      <c r="C398" s="25" t="s">
        <v>465</v>
      </c>
      <c r="D398" s="25">
        <v>1.0</v>
      </c>
      <c r="E398" s="67">
        <f t="shared" si="1"/>
        <v>250</v>
      </c>
      <c r="F398" s="67"/>
    </row>
    <row r="399" hidden="1">
      <c r="A399" s="6" t="s">
        <v>25</v>
      </c>
      <c r="B399" s="25" t="s">
        <v>466</v>
      </c>
      <c r="C399" s="25" t="s">
        <v>467</v>
      </c>
      <c r="D399" s="25">
        <v>1.0</v>
      </c>
      <c r="E399" s="67">
        <f t="shared" si="1"/>
        <v>250</v>
      </c>
      <c r="F399" s="67"/>
    </row>
    <row r="400" hidden="1">
      <c r="A400" s="6" t="s">
        <v>25</v>
      </c>
      <c r="B400" s="25" t="s">
        <v>468</v>
      </c>
      <c r="C400" s="25" t="s">
        <v>469</v>
      </c>
      <c r="D400" s="25">
        <v>4.0</v>
      </c>
      <c r="E400" s="67">
        <f t="shared" si="1"/>
        <v>1000</v>
      </c>
      <c r="F400" s="67"/>
    </row>
    <row r="401" hidden="1">
      <c r="A401" s="6" t="s">
        <v>25</v>
      </c>
      <c r="B401" s="25" t="s">
        <v>472</v>
      </c>
      <c r="C401" s="25" t="s">
        <v>473</v>
      </c>
      <c r="D401" s="25">
        <v>4.0</v>
      </c>
      <c r="E401" s="67">
        <f t="shared" si="1"/>
        <v>1000</v>
      </c>
      <c r="F401" s="67"/>
    </row>
    <row r="402" hidden="1">
      <c r="A402" s="6" t="s">
        <v>25</v>
      </c>
      <c r="B402" s="25" t="s">
        <v>474</v>
      </c>
      <c r="C402" s="25" t="s">
        <v>475</v>
      </c>
      <c r="D402" s="25">
        <v>3.0</v>
      </c>
      <c r="E402" s="67">
        <f t="shared" si="1"/>
        <v>750</v>
      </c>
      <c r="F402" s="67"/>
    </row>
    <row r="403" hidden="1">
      <c r="A403" s="6" t="s">
        <v>25</v>
      </c>
      <c r="B403" s="25" t="s">
        <v>843</v>
      </c>
      <c r="C403" s="25" t="s">
        <v>844</v>
      </c>
      <c r="D403" s="25">
        <v>3.0</v>
      </c>
      <c r="E403" s="67">
        <f t="shared" si="1"/>
        <v>750</v>
      </c>
      <c r="F403" s="67"/>
    </row>
    <row r="404" hidden="1">
      <c r="A404" s="6" t="s">
        <v>25</v>
      </c>
      <c r="B404" s="25" t="s">
        <v>476</v>
      </c>
      <c r="C404" s="25" t="s">
        <v>477</v>
      </c>
      <c r="D404" s="25">
        <v>41.0</v>
      </c>
      <c r="E404" s="67">
        <f t="shared" si="1"/>
        <v>20500</v>
      </c>
      <c r="F404" s="67"/>
    </row>
    <row r="405" hidden="1">
      <c r="A405" s="6" t="s">
        <v>25</v>
      </c>
      <c r="B405" s="25" t="s">
        <v>480</v>
      </c>
      <c r="C405" s="25" t="s">
        <v>481</v>
      </c>
      <c r="D405" s="25">
        <v>1.0</v>
      </c>
      <c r="E405" s="67">
        <f t="shared" si="1"/>
        <v>250</v>
      </c>
      <c r="F405" s="67"/>
    </row>
    <row r="406" hidden="1">
      <c r="A406" s="6" t="s">
        <v>25</v>
      </c>
      <c r="B406" s="25" t="s">
        <v>772</v>
      </c>
      <c r="C406" s="25" t="s">
        <v>773</v>
      </c>
      <c r="D406" s="25">
        <v>2.0</v>
      </c>
      <c r="E406" s="67">
        <f t="shared" si="1"/>
        <v>500</v>
      </c>
      <c r="F406" s="67"/>
    </row>
    <row r="407" hidden="1">
      <c r="A407" s="6" t="s">
        <v>25</v>
      </c>
      <c r="B407" s="25" t="s">
        <v>482</v>
      </c>
      <c r="C407" s="25" t="s">
        <v>483</v>
      </c>
      <c r="D407" s="25">
        <v>4.0</v>
      </c>
      <c r="E407" s="67">
        <f t="shared" si="1"/>
        <v>1000</v>
      </c>
      <c r="F407" s="67"/>
    </row>
    <row r="408" hidden="1">
      <c r="A408" s="6" t="s">
        <v>25</v>
      </c>
      <c r="B408" s="25" t="s">
        <v>845</v>
      </c>
      <c r="C408" s="25" t="s">
        <v>12</v>
      </c>
      <c r="D408" s="25">
        <v>2.0</v>
      </c>
      <c r="E408" s="67">
        <f t="shared" si="1"/>
        <v>500</v>
      </c>
      <c r="F408" s="67"/>
    </row>
    <row r="409" hidden="1">
      <c r="A409" s="6" t="s">
        <v>25</v>
      </c>
      <c r="B409" s="25" t="s">
        <v>484</v>
      </c>
      <c r="C409" s="25" t="s">
        <v>485</v>
      </c>
      <c r="D409" s="25">
        <v>3.0</v>
      </c>
      <c r="E409" s="67">
        <f t="shared" si="1"/>
        <v>750</v>
      </c>
      <c r="F409" s="67"/>
    </row>
    <row r="410" hidden="1">
      <c r="A410" s="6" t="s">
        <v>25</v>
      </c>
      <c r="B410" s="25" t="s">
        <v>486</v>
      </c>
      <c r="C410" s="25" t="s">
        <v>487</v>
      </c>
      <c r="D410" s="25">
        <v>8.0</v>
      </c>
      <c r="E410" s="67">
        <f t="shared" si="1"/>
        <v>2000</v>
      </c>
      <c r="F410" s="67"/>
    </row>
    <row r="411" hidden="1">
      <c r="A411" s="6" t="s">
        <v>25</v>
      </c>
      <c r="B411" s="25" t="s">
        <v>846</v>
      </c>
      <c r="C411" s="25" t="s">
        <v>847</v>
      </c>
      <c r="D411" s="25">
        <v>1.0</v>
      </c>
      <c r="E411" s="67">
        <f t="shared" si="1"/>
        <v>250</v>
      </c>
      <c r="F411" s="67"/>
    </row>
    <row r="412" hidden="1">
      <c r="A412" s="6" t="s">
        <v>25</v>
      </c>
      <c r="B412" s="25" t="s">
        <v>492</v>
      </c>
      <c r="C412" s="25" t="s">
        <v>493</v>
      </c>
      <c r="D412" s="25">
        <v>3.0</v>
      </c>
      <c r="E412" s="67">
        <f t="shared" si="1"/>
        <v>750</v>
      </c>
      <c r="F412" s="67"/>
    </row>
    <row r="413" hidden="1">
      <c r="A413" s="6" t="s">
        <v>25</v>
      </c>
      <c r="B413" s="25" t="s">
        <v>494</v>
      </c>
      <c r="C413" s="25" t="s">
        <v>495</v>
      </c>
      <c r="D413" s="25">
        <v>3.0</v>
      </c>
      <c r="E413" s="67">
        <f t="shared" si="1"/>
        <v>750</v>
      </c>
      <c r="F413" s="67"/>
    </row>
    <row r="414" hidden="1">
      <c r="A414" s="6" t="s">
        <v>25</v>
      </c>
      <c r="B414" s="25" t="s">
        <v>500</v>
      </c>
      <c r="C414" s="25" t="s">
        <v>501</v>
      </c>
      <c r="D414" s="25">
        <v>6.0</v>
      </c>
      <c r="E414" s="67">
        <f t="shared" si="1"/>
        <v>1500</v>
      </c>
      <c r="F414" s="67"/>
    </row>
    <row r="415" hidden="1">
      <c r="A415" s="6" t="s">
        <v>25</v>
      </c>
      <c r="B415" s="25" t="s">
        <v>502</v>
      </c>
      <c r="C415" s="25" t="s">
        <v>503</v>
      </c>
      <c r="D415" s="25">
        <v>15.0</v>
      </c>
      <c r="E415" s="67">
        <f t="shared" si="1"/>
        <v>7500</v>
      </c>
      <c r="F415" s="67"/>
    </row>
    <row r="416" hidden="1">
      <c r="A416" s="6" t="s">
        <v>25</v>
      </c>
      <c r="B416" s="25" t="s">
        <v>504</v>
      </c>
      <c r="C416" s="25" t="s">
        <v>505</v>
      </c>
      <c r="D416" s="25">
        <v>2.0</v>
      </c>
      <c r="E416" s="67">
        <f t="shared" si="1"/>
        <v>500</v>
      </c>
      <c r="F416" s="67"/>
    </row>
    <row r="417" hidden="1">
      <c r="A417" s="6" t="s">
        <v>25</v>
      </c>
      <c r="B417" s="25" t="s">
        <v>510</v>
      </c>
      <c r="C417" s="25" t="s">
        <v>511</v>
      </c>
      <c r="D417" s="25">
        <v>10.0</v>
      </c>
      <c r="E417" s="67">
        <f t="shared" si="1"/>
        <v>5000</v>
      </c>
      <c r="F417" s="67"/>
    </row>
    <row r="418" hidden="1">
      <c r="A418" s="6" t="s">
        <v>25</v>
      </c>
      <c r="B418" s="25" t="s">
        <v>516</v>
      </c>
      <c r="C418" s="25" t="s">
        <v>517</v>
      </c>
      <c r="D418" s="25">
        <v>10.0</v>
      </c>
      <c r="E418" s="67">
        <f t="shared" si="1"/>
        <v>5000</v>
      </c>
      <c r="F418" s="67"/>
    </row>
    <row r="419" hidden="1">
      <c r="A419" s="6" t="s">
        <v>25</v>
      </c>
      <c r="B419" s="25" t="s">
        <v>518</v>
      </c>
      <c r="C419" s="25" t="s">
        <v>519</v>
      </c>
      <c r="D419" s="25">
        <v>4.0</v>
      </c>
      <c r="E419" s="67">
        <f t="shared" si="1"/>
        <v>1000</v>
      </c>
      <c r="F419" s="67"/>
    </row>
    <row r="420" hidden="1">
      <c r="A420" s="6" t="s">
        <v>25</v>
      </c>
      <c r="B420" s="25" t="s">
        <v>848</v>
      </c>
      <c r="C420" s="25" t="s">
        <v>849</v>
      </c>
      <c r="D420" s="25">
        <v>5.0</v>
      </c>
      <c r="E420" s="67">
        <f t="shared" si="1"/>
        <v>1250</v>
      </c>
      <c r="F420" s="67"/>
    </row>
    <row r="421" hidden="1">
      <c r="A421" s="6" t="s">
        <v>25</v>
      </c>
      <c r="B421" s="25" t="s">
        <v>850</v>
      </c>
      <c r="C421" s="25" t="s">
        <v>851</v>
      </c>
      <c r="D421" s="25">
        <v>3.0</v>
      </c>
      <c r="E421" s="67">
        <f t="shared" si="1"/>
        <v>750</v>
      </c>
      <c r="F421" s="67"/>
    </row>
    <row r="422" hidden="1">
      <c r="A422" s="6" t="s">
        <v>25</v>
      </c>
      <c r="B422" s="25" t="s">
        <v>522</v>
      </c>
      <c r="C422" s="25" t="s">
        <v>523</v>
      </c>
      <c r="D422" s="25">
        <v>3.0</v>
      </c>
      <c r="E422" s="67">
        <f t="shared" si="1"/>
        <v>750</v>
      </c>
      <c r="F422" s="67"/>
    </row>
    <row r="423" hidden="1">
      <c r="A423" s="6" t="s">
        <v>25</v>
      </c>
      <c r="B423" s="25" t="s">
        <v>524</v>
      </c>
      <c r="C423" s="25" t="s">
        <v>525</v>
      </c>
      <c r="D423" s="25">
        <v>11.0</v>
      </c>
      <c r="E423" s="67">
        <f t="shared" si="1"/>
        <v>5500</v>
      </c>
      <c r="F423" s="67"/>
    </row>
    <row r="424" hidden="1">
      <c r="A424" s="6" t="s">
        <v>25</v>
      </c>
      <c r="B424" s="25" t="s">
        <v>526</v>
      </c>
      <c r="C424" s="25" t="s">
        <v>527</v>
      </c>
      <c r="D424" s="25">
        <v>2.0</v>
      </c>
      <c r="E424" s="67">
        <f t="shared" si="1"/>
        <v>500</v>
      </c>
      <c r="F424" s="67"/>
    </row>
    <row r="425" hidden="1">
      <c r="A425" s="6" t="s">
        <v>25</v>
      </c>
      <c r="B425" s="25" t="s">
        <v>852</v>
      </c>
      <c r="C425" s="25" t="s">
        <v>853</v>
      </c>
      <c r="D425" s="25">
        <v>5.0</v>
      </c>
      <c r="E425" s="67">
        <f t="shared" si="1"/>
        <v>1250</v>
      </c>
      <c r="F425" s="67"/>
    </row>
    <row r="426" hidden="1">
      <c r="A426" s="6" t="s">
        <v>25</v>
      </c>
      <c r="B426" s="25" t="s">
        <v>854</v>
      </c>
      <c r="C426" s="25" t="s">
        <v>855</v>
      </c>
      <c r="D426" s="25">
        <v>2.0</v>
      </c>
      <c r="E426" s="67">
        <f t="shared" si="1"/>
        <v>500</v>
      </c>
      <c r="F426" s="67"/>
    </row>
    <row r="427" hidden="1">
      <c r="A427" s="6" t="s">
        <v>25</v>
      </c>
      <c r="B427" s="25" t="s">
        <v>530</v>
      </c>
      <c r="C427" s="25" t="s">
        <v>531</v>
      </c>
      <c r="D427" s="25">
        <v>4.0</v>
      </c>
      <c r="E427" s="67">
        <f t="shared" si="1"/>
        <v>1000</v>
      </c>
      <c r="F427" s="67"/>
    </row>
    <row r="428" hidden="1">
      <c r="A428" s="6" t="s">
        <v>25</v>
      </c>
      <c r="B428" s="25" t="s">
        <v>532</v>
      </c>
      <c r="C428" s="25" t="s">
        <v>533</v>
      </c>
      <c r="D428" s="25">
        <v>4.0</v>
      </c>
      <c r="E428" s="67">
        <f t="shared" si="1"/>
        <v>1000</v>
      </c>
      <c r="F428" s="67"/>
    </row>
    <row r="429" hidden="1">
      <c r="A429" s="6" t="s">
        <v>25</v>
      </c>
      <c r="B429" s="25" t="s">
        <v>536</v>
      </c>
      <c r="C429" s="25" t="s">
        <v>537</v>
      </c>
      <c r="D429" s="25">
        <v>3.0</v>
      </c>
      <c r="E429" s="67">
        <f t="shared" si="1"/>
        <v>750</v>
      </c>
      <c r="F429" s="67"/>
    </row>
    <row r="430" hidden="1">
      <c r="A430" s="6" t="s">
        <v>25</v>
      </c>
      <c r="B430" s="25" t="s">
        <v>538</v>
      </c>
      <c r="C430" s="25" t="s">
        <v>539</v>
      </c>
      <c r="D430" s="25">
        <v>1.0</v>
      </c>
      <c r="E430" s="67">
        <f t="shared" si="1"/>
        <v>250</v>
      </c>
      <c r="F430" s="67"/>
    </row>
    <row r="431" hidden="1">
      <c r="A431" s="6" t="s">
        <v>25</v>
      </c>
      <c r="B431" s="25" t="s">
        <v>540</v>
      </c>
      <c r="C431" s="25" t="s">
        <v>541</v>
      </c>
      <c r="D431" s="25">
        <v>11.0</v>
      </c>
      <c r="E431" s="67">
        <f t="shared" si="1"/>
        <v>5500</v>
      </c>
      <c r="F431" s="67"/>
    </row>
    <row r="432" hidden="1">
      <c r="A432" s="6" t="s">
        <v>25</v>
      </c>
      <c r="B432" s="25" t="s">
        <v>542</v>
      </c>
      <c r="C432" s="25" t="s">
        <v>543</v>
      </c>
      <c r="D432" s="25">
        <v>9.0</v>
      </c>
      <c r="E432" s="67">
        <f t="shared" si="1"/>
        <v>2250</v>
      </c>
      <c r="F432" s="67"/>
    </row>
    <row r="433" hidden="1">
      <c r="A433" s="6" t="s">
        <v>25</v>
      </c>
      <c r="B433" s="25" t="s">
        <v>546</v>
      </c>
      <c r="C433" s="25" t="s">
        <v>547</v>
      </c>
      <c r="D433" s="25">
        <v>8.0</v>
      </c>
      <c r="E433" s="67">
        <f t="shared" si="1"/>
        <v>2000</v>
      </c>
      <c r="F433" s="67"/>
    </row>
    <row r="434" hidden="1">
      <c r="A434" s="6" t="s">
        <v>25</v>
      </c>
      <c r="B434" s="25" t="s">
        <v>548</v>
      </c>
      <c r="C434" s="25" t="s">
        <v>549</v>
      </c>
      <c r="D434" s="25">
        <v>6.0</v>
      </c>
      <c r="E434" s="67">
        <f t="shared" si="1"/>
        <v>1500</v>
      </c>
      <c r="F434" s="67"/>
    </row>
    <row r="435" hidden="1">
      <c r="A435" s="6" t="s">
        <v>25</v>
      </c>
      <c r="B435" s="25" t="s">
        <v>550</v>
      </c>
      <c r="C435" s="25" t="s">
        <v>551</v>
      </c>
      <c r="D435" s="25">
        <v>1.0</v>
      </c>
      <c r="E435" s="67">
        <f t="shared" si="1"/>
        <v>250</v>
      </c>
      <c r="F435" s="67"/>
    </row>
    <row r="436" hidden="1">
      <c r="A436" s="6" t="s">
        <v>25</v>
      </c>
      <c r="B436" s="25" t="s">
        <v>856</v>
      </c>
      <c r="C436" s="25" t="s">
        <v>857</v>
      </c>
      <c r="D436" s="25">
        <v>0.0</v>
      </c>
      <c r="E436" s="67">
        <f t="shared" si="1"/>
        <v>0</v>
      </c>
      <c r="F436" s="67"/>
    </row>
    <row r="437" hidden="1">
      <c r="A437" s="6" t="s">
        <v>25</v>
      </c>
      <c r="B437" s="25" t="s">
        <v>560</v>
      </c>
      <c r="C437" s="25" t="s">
        <v>561</v>
      </c>
      <c r="D437" s="25">
        <v>6.0</v>
      </c>
      <c r="E437" s="67">
        <f t="shared" si="1"/>
        <v>1500</v>
      </c>
      <c r="F437" s="67"/>
    </row>
    <row r="438" hidden="1">
      <c r="A438" s="6" t="s">
        <v>25</v>
      </c>
      <c r="B438" s="25" t="s">
        <v>564</v>
      </c>
      <c r="C438" s="25" t="s">
        <v>565</v>
      </c>
      <c r="D438" s="25">
        <v>4.0</v>
      </c>
      <c r="E438" s="67">
        <f t="shared" si="1"/>
        <v>1000</v>
      </c>
      <c r="F438" s="67"/>
    </row>
    <row r="439" hidden="1">
      <c r="A439" s="6" t="s">
        <v>25</v>
      </c>
      <c r="B439" s="25" t="s">
        <v>566</v>
      </c>
      <c r="C439" s="25" t="s">
        <v>567</v>
      </c>
      <c r="D439" s="25">
        <v>4.0</v>
      </c>
      <c r="E439" s="67">
        <f t="shared" si="1"/>
        <v>1000</v>
      </c>
      <c r="F439" s="67"/>
    </row>
    <row r="440" hidden="1">
      <c r="A440" s="6" t="s">
        <v>25</v>
      </c>
      <c r="B440" s="25" t="s">
        <v>568</v>
      </c>
      <c r="C440" s="25" t="s">
        <v>569</v>
      </c>
      <c r="D440" s="25">
        <v>2.0</v>
      </c>
      <c r="E440" s="67">
        <f t="shared" si="1"/>
        <v>500</v>
      </c>
      <c r="F440" s="67"/>
    </row>
    <row r="441" hidden="1">
      <c r="A441" s="6" t="s">
        <v>25</v>
      </c>
      <c r="B441" s="25" t="s">
        <v>858</v>
      </c>
      <c r="C441" s="25" t="s">
        <v>859</v>
      </c>
      <c r="D441" s="25">
        <v>0.0</v>
      </c>
      <c r="E441" s="67">
        <f t="shared" si="1"/>
        <v>0</v>
      </c>
      <c r="F441" s="67"/>
    </row>
    <row r="442" hidden="1">
      <c r="A442" s="6" t="s">
        <v>25</v>
      </c>
      <c r="B442" s="25" t="s">
        <v>860</v>
      </c>
      <c r="C442" s="25" t="s">
        <v>861</v>
      </c>
      <c r="D442" s="25">
        <v>0.0</v>
      </c>
      <c r="E442" s="67">
        <f t="shared" si="1"/>
        <v>0</v>
      </c>
      <c r="F442" s="67"/>
    </row>
    <row r="443" hidden="1">
      <c r="A443" s="6" t="s">
        <v>25</v>
      </c>
      <c r="B443" s="25" t="s">
        <v>862</v>
      </c>
      <c r="C443" s="25" t="s">
        <v>863</v>
      </c>
      <c r="D443" s="25">
        <v>3.0</v>
      </c>
      <c r="E443" s="67">
        <f t="shared" si="1"/>
        <v>750</v>
      </c>
      <c r="F443" s="67"/>
    </row>
    <row r="444" hidden="1">
      <c r="A444" s="6" t="s">
        <v>25</v>
      </c>
      <c r="B444" s="25" t="s">
        <v>570</v>
      </c>
      <c r="C444" s="25" t="s">
        <v>571</v>
      </c>
      <c r="D444" s="25">
        <v>4.0</v>
      </c>
      <c r="E444" s="67">
        <f t="shared" si="1"/>
        <v>1000</v>
      </c>
      <c r="F444" s="67"/>
    </row>
    <row r="445" hidden="1">
      <c r="A445" s="6" t="s">
        <v>25</v>
      </c>
      <c r="B445" s="25" t="s">
        <v>572</v>
      </c>
      <c r="C445" s="25" t="s">
        <v>573</v>
      </c>
      <c r="D445" s="25">
        <v>3.0</v>
      </c>
      <c r="E445" s="67">
        <f t="shared" si="1"/>
        <v>750</v>
      </c>
      <c r="F445" s="67"/>
    </row>
    <row r="446" hidden="1">
      <c r="A446" s="6" t="s">
        <v>25</v>
      </c>
      <c r="B446" s="25" t="s">
        <v>864</v>
      </c>
      <c r="C446" s="25" t="s">
        <v>865</v>
      </c>
      <c r="D446" s="25">
        <v>2.0</v>
      </c>
      <c r="E446" s="67">
        <f t="shared" si="1"/>
        <v>500</v>
      </c>
      <c r="F446" s="67"/>
    </row>
    <row r="447" hidden="1">
      <c r="A447" s="6" t="s">
        <v>25</v>
      </c>
      <c r="B447" s="25" t="s">
        <v>576</v>
      </c>
      <c r="C447" s="25" t="s">
        <v>577</v>
      </c>
      <c r="D447" s="25">
        <v>8.0</v>
      </c>
      <c r="E447" s="67">
        <f t="shared" si="1"/>
        <v>2000</v>
      </c>
      <c r="F447" s="67"/>
    </row>
    <row r="448" hidden="1">
      <c r="A448" s="6" t="s">
        <v>25</v>
      </c>
      <c r="B448" s="25" t="s">
        <v>580</v>
      </c>
      <c r="C448" s="25" t="s">
        <v>581</v>
      </c>
      <c r="D448" s="25">
        <v>4.0</v>
      </c>
      <c r="E448" s="67">
        <f t="shared" si="1"/>
        <v>1000</v>
      </c>
      <c r="F448" s="67"/>
    </row>
    <row r="449" hidden="1">
      <c r="A449" s="6" t="s">
        <v>25</v>
      </c>
      <c r="B449" s="25" t="s">
        <v>582</v>
      </c>
      <c r="C449" s="25" t="s">
        <v>583</v>
      </c>
      <c r="D449" s="25">
        <v>10.0</v>
      </c>
      <c r="E449" s="67">
        <f t="shared" si="1"/>
        <v>5000</v>
      </c>
      <c r="F449" s="67"/>
    </row>
    <row r="450" hidden="1">
      <c r="A450" s="6" t="s">
        <v>25</v>
      </c>
      <c r="B450" s="25" t="s">
        <v>586</v>
      </c>
      <c r="C450" s="25" t="s">
        <v>587</v>
      </c>
      <c r="D450" s="25">
        <v>1.0</v>
      </c>
      <c r="E450" s="67">
        <f t="shared" si="1"/>
        <v>250</v>
      </c>
      <c r="F450" s="67"/>
    </row>
    <row r="451" hidden="1">
      <c r="A451" s="6" t="s">
        <v>25</v>
      </c>
      <c r="B451" s="25" t="s">
        <v>588</v>
      </c>
      <c r="C451" s="25" t="s">
        <v>589</v>
      </c>
      <c r="D451" s="25">
        <v>3.0</v>
      </c>
      <c r="E451" s="67">
        <f t="shared" si="1"/>
        <v>750</v>
      </c>
      <c r="F451" s="67"/>
    </row>
    <row r="452" hidden="1">
      <c r="A452" s="6" t="s">
        <v>25</v>
      </c>
      <c r="B452" s="25" t="s">
        <v>590</v>
      </c>
      <c r="C452" s="25" t="s">
        <v>591</v>
      </c>
      <c r="D452" s="25">
        <v>8.0</v>
      </c>
      <c r="E452" s="67">
        <f t="shared" si="1"/>
        <v>2000</v>
      </c>
      <c r="F452" s="67"/>
    </row>
    <row r="453" hidden="1">
      <c r="A453" s="6" t="s">
        <v>25</v>
      </c>
      <c r="B453" s="25" t="s">
        <v>866</v>
      </c>
      <c r="C453" s="25" t="s">
        <v>867</v>
      </c>
      <c r="D453" s="25">
        <v>0.0</v>
      </c>
      <c r="E453" s="67">
        <f t="shared" si="1"/>
        <v>0</v>
      </c>
      <c r="F453" s="67"/>
    </row>
    <row r="454" hidden="1">
      <c r="A454" s="6" t="s">
        <v>25</v>
      </c>
      <c r="B454" s="25" t="s">
        <v>596</v>
      </c>
      <c r="C454" s="25" t="s">
        <v>597</v>
      </c>
      <c r="D454" s="25">
        <v>7.0</v>
      </c>
      <c r="E454" s="67">
        <f t="shared" si="1"/>
        <v>1750</v>
      </c>
      <c r="F454" s="67"/>
    </row>
    <row r="455" hidden="1">
      <c r="A455" s="6" t="s">
        <v>25</v>
      </c>
      <c r="B455" s="25" t="s">
        <v>602</v>
      </c>
      <c r="C455" s="25" t="s">
        <v>603</v>
      </c>
      <c r="D455" s="25">
        <v>5.0</v>
      </c>
      <c r="E455" s="67">
        <f t="shared" si="1"/>
        <v>1250</v>
      </c>
      <c r="F455" s="67"/>
    </row>
    <row r="456" hidden="1">
      <c r="A456" s="6" t="s">
        <v>25</v>
      </c>
      <c r="B456" s="25" t="s">
        <v>604</v>
      </c>
      <c r="C456" s="25" t="s">
        <v>605</v>
      </c>
      <c r="D456" s="25">
        <v>4.0</v>
      </c>
      <c r="E456" s="67">
        <f t="shared" si="1"/>
        <v>1000</v>
      </c>
      <c r="F456" s="67"/>
    </row>
    <row r="457" hidden="1">
      <c r="A457" s="6" t="s">
        <v>25</v>
      </c>
      <c r="B457" s="25" t="s">
        <v>606</v>
      </c>
      <c r="C457" s="25" t="s">
        <v>607</v>
      </c>
      <c r="D457" s="25">
        <v>1.0</v>
      </c>
      <c r="E457" s="67">
        <f t="shared" si="1"/>
        <v>250</v>
      </c>
      <c r="F457" s="67"/>
    </row>
    <row r="458" hidden="1">
      <c r="A458" s="6" t="s">
        <v>25</v>
      </c>
      <c r="B458" s="25" t="s">
        <v>612</v>
      </c>
      <c r="C458" s="25" t="s">
        <v>613</v>
      </c>
      <c r="D458" s="25">
        <v>2.0</v>
      </c>
      <c r="E458" s="67">
        <f t="shared" si="1"/>
        <v>500</v>
      </c>
      <c r="F458" s="67"/>
    </row>
    <row r="459" hidden="1">
      <c r="A459" s="6" t="s">
        <v>25</v>
      </c>
      <c r="B459" s="25" t="s">
        <v>614</v>
      </c>
      <c r="C459" s="25" t="s">
        <v>615</v>
      </c>
      <c r="D459" s="25">
        <v>2.0</v>
      </c>
      <c r="E459" s="67">
        <f t="shared" si="1"/>
        <v>500</v>
      </c>
      <c r="F459" s="67"/>
    </row>
    <row r="460" hidden="1">
      <c r="A460" s="6" t="s">
        <v>25</v>
      </c>
      <c r="B460" s="25" t="s">
        <v>811</v>
      </c>
      <c r="C460" s="25" t="s">
        <v>812</v>
      </c>
      <c r="D460" s="25">
        <v>6.0</v>
      </c>
      <c r="E460" s="67">
        <f t="shared" si="1"/>
        <v>1500</v>
      </c>
      <c r="F460" s="67"/>
    </row>
    <row r="461" hidden="1">
      <c r="A461" s="6" t="s">
        <v>25</v>
      </c>
      <c r="B461" s="25" t="s">
        <v>620</v>
      </c>
      <c r="C461" s="25" t="s">
        <v>621</v>
      </c>
      <c r="D461" s="25">
        <v>10.0</v>
      </c>
      <c r="E461" s="67">
        <f t="shared" si="1"/>
        <v>5000</v>
      </c>
      <c r="F461" s="67"/>
    </row>
    <row r="462" hidden="1">
      <c r="A462" s="6" t="s">
        <v>25</v>
      </c>
      <c r="B462" s="25" t="s">
        <v>868</v>
      </c>
      <c r="C462" s="25" t="s">
        <v>869</v>
      </c>
      <c r="D462" s="25">
        <v>2.0</v>
      </c>
      <c r="E462" s="67">
        <f t="shared" si="1"/>
        <v>500</v>
      </c>
      <c r="F462" s="67"/>
    </row>
    <row r="463" hidden="1">
      <c r="A463" s="6" t="s">
        <v>25</v>
      </c>
      <c r="B463" s="25" t="s">
        <v>622</v>
      </c>
      <c r="C463" s="25" t="s">
        <v>623</v>
      </c>
      <c r="D463" s="25">
        <v>2.0</v>
      </c>
      <c r="E463" s="67">
        <f t="shared" si="1"/>
        <v>500</v>
      </c>
      <c r="F463" s="67"/>
    </row>
    <row r="464" hidden="1">
      <c r="A464" s="6" t="s">
        <v>25</v>
      </c>
      <c r="B464" s="25" t="s">
        <v>624</v>
      </c>
      <c r="C464" s="25" t="s">
        <v>625</v>
      </c>
      <c r="D464" s="25">
        <v>5.0</v>
      </c>
      <c r="E464" s="67">
        <f t="shared" si="1"/>
        <v>1250</v>
      </c>
      <c r="F464" s="67"/>
    </row>
    <row r="465" hidden="1">
      <c r="A465" s="6" t="s">
        <v>25</v>
      </c>
      <c r="B465" s="25" t="s">
        <v>870</v>
      </c>
      <c r="C465" s="25" t="s">
        <v>871</v>
      </c>
      <c r="D465" s="25">
        <v>0.0</v>
      </c>
      <c r="E465" s="67">
        <f t="shared" si="1"/>
        <v>0</v>
      </c>
      <c r="F465" s="67"/>
    </row>
    <row r="466" hidden="1">
      <c r="A466" s="6" t="s">
        <v>25</v>
      </c>
      <c r="B466" s="25" t="s">
        <v>626</v>
      </c>
      <c r="C466" s="25" t="s">
        <v>627</v>
      </c>
      <c r="D466" s="25">
        <v>4.0</v>
      </c>
      <c r="E466" s="67">
        <f t="shared" si="1"/>
        <v>1000</v>
      </c>
      <c r="F466" s="67"/>
    </row>
    <row r="467" hidden="1">
      <c r="A467" s="6" t="s">
        <v>25</v>
      </c>
      <c r="B467" s="25" t="s">
        <v>628</v>
      </c>
      <c r="C467" s="25" t="s">
        <v>629</v>
      </c>
      <c r="D467" s="25">
        <v>4.0</v>
      </c>
      <c r="E467" s="67">
        <f t="shared" si="1"/>
        <v>1000</v>
      </c>
      <c r="F467" s="67"/>
    </row>
    <row r="468" hidden="1">
      <c r="A468" s="6" t="s">
        <v>25</v>
      </c>
      <c r="B468" s="25" t="s">
        <v>872</v>
      </c>
      <c r="C468" s="25" t="s">
        <v>873</v>
      </c>
      <c r="D468" s="25">
        <v>2.0</v>
      </c>
      <c r="E468" s="67">
        <f t="shared" si="1"/>
        <v>500</v>
      </c>
      <c r="F468" s="67"/>
    </row>
    <row r="469" hidden="1">
      <c r="A469" s="6" t="s">
        <v>25</v>
      </c>
      <c r="B469" s="25" t="s">
        <v>874</v>
      </c>
      <c r="C469" s="25" t="s">
        <v>875</v>
      </c>
      <c r="D469" s="25">
        <v>4.0</v>
      </c>
      <c r="E469" s="67">
        <f t="shared" si="1"/>
        <v>1000</v>
      </c>
      <c r="F469" s="67"/>
    </row>
    <row r="470" hidden="1">
      <c r="A470" s="6" t="s">
        <v>25</v>
      </c>
      <c r="B470" s="25" t="s">
        <v>876</v>
      </c>
      <c r="C470" s="25" t="s">
        <v>877</v>
      </c>
      <c r="D470" s="25">
        <v>14.0</v>
      </c>
      <c r="E470" s="67">
        <f t="shared" si="1"/>
        <v>7000</v>
      </c>
      <c r="F470" s="67"/>
    </row>
    <row r="471" hidden="1">
      <c r="A471" s="6" t="s">
        <v>25</v>
      </c>
      <c r="B471" s="25" t="s">
        <v>817</v>
      </c>
      <c r="C471" s="25" t="s">
        <v>818</v>
      </c>
      <c r="D471" s="25">
        <v>5.0</v>
      </c>
      <c r="E471" s="67">
        <f t="shared" si="1"/>
        <v>1250</v>
      </c>
      <c r="F471" s="67"/>
    </row>
    <row r="472" hidden="1">
      <c r="A472" s="6" t="s">
        <v>25</v>
      </c>
      <c r="B472" s="25" t="s">
        <v>638</v>
      </c>
      <c r="C472" s="25" t="s">
        <v>639</v>
      </c>
      <c r="D472" s="25">
        <v>4.0</v>
      </c>
      <c r="E472" s="67">
        <f t="shared" si="1"/>
        <v>1000</v>
      </c>
      <c r="F472" s="67"/>
    </row>
    <row r="473" hidden="1">
      <c r="A473" s="6" t="s">
        <v>25</v>
      </c>
      <c r="B473" s="25" t="s">
        <v>640</v>
      </c>
      <c r="C473" s="25" t="s">
        <v>641</v>
      </c>
      <c r="D473" s="25">
        <v>10.0</v>
      </c>
      <c r="E473" s="67">
        <f t="shared" si="1"/>
        <v>5000</v>
      </c>
      <c r="F473" s="67"/>
    </row>
    <row r="474" hidden="1">
      <c r="A474" s="6" t="s">
        <v>25</v>
      </c>
      <c r="B474" s="25" t="s">
        <v>311</v>
      </c>
      <c r="C474" s="25" t="s">
        <v>312</v>
      </c>
      <c r="D474" s="25">
        <v>3.0</v>
      </c>
      <c r="E474" s="67">
        <f t="shared" si="1"/>
        <v>750</v>
      </c>
      <c r="F474" s="67"/>
    </row>
    <row r="475" hidden="1">
      <c r="A475" s="6" t="s">
        <v>25</v>
      </c>
      <c r="B475" s="25" t="s">
        <v>642</v>
      </c>
      <c r="C475" s="25" t="s">
        <v>643</v>
      </c>
      <c r="D475" s="25">
        <v>2.0</v>
      </c>
      <c r="E475" s="67">
        <f t="shared" si="1"/>
        <v>500</v>
      </c>
      <c r="F475" s="67"/>
    </row>
    <row r="476" hidden="1">
      <c r="A476" s="6" t="s">
        <v>25</v>
      </c>
      <c r="B476" s="25" t="s">
        <v>644</v>
      </c>
      <c r="C476" s="25" t="s">
        <v>645</v>
      </c>
      <c r="D476" s="25">
        <v>15.0</v>
      </c>
      <c r="E476" s="67">
        <f t="shared" si="1"/>
        <v>7500</v>
      </c>
      <c r="F476" s="67"/>
    </row>
    <row r="477" hidden="1">
      <c r="A477" s="6" t="s">
        <v>25</v>
      </c>
      <c r="B477" s="25" t="s">
        <v>878</v>
      </c>
      <c r="C477" s="25" t="s">
        <v>879</v>
      </c>
      <c r="D477" s="25">
        <v>8.0</v>
      </c>
      <c r="E477" s="67">
        <f t="shared" si="1"/>
        <v>2000</v>
      </c>
      <c r="F477" s="67"/>
    </row>
    <row r="478" hidden="1">
      <c r="A478" s="6" t="s">
        <v>25</v>
      </c>
      <c r="B478" s="25" t="s">
        <v>880</v>
      </c>
      <c r="C478" s="25" t="s">
        <v>881</v>
      </c>
      <c r="D478" s="25">
        <v>1.0</v>
      </c>
      <c r="E478" s="67">
        <f t="shared" si="1"/>
        <v>250</v>
      </c>
      <c r="F478" s="67"/>
    </row>
    <row r="479" hidden="1">
      <c r="A479" s="6" t="s">
        <v>25</v>
      </c>
      <c r="B479" s="25" t="s">
        <v>650</v>
      </c>
      <c r="C479" s="25" t="s">
        <v>651</v>
      </c>
      <c r="D479" s="25">
        <v>2.0</v>
      </c>
      <c r="E479" s="67">
        <f t="shared" si="1"/>
        <v>500</v>
      </c>
      <c r="F479" s="67"/>
    </row>
    <row r="480" hidden="1">
      <c r="A480" s="6" t="s">
        <v>25</v>
      </c>
      <c r="B480" s="25" t="s">
        <v>882</v>
      </c>
      <c r="C480" s="25" t="s">
        <v>883</v>
      </c>
      <c r="D480" s="25">
        <v>2.0</v>
      </c>
      <c r="E480" s="67">
        <f t="shared" si="1"/>
        <v>500</v>
      </c>
      <c r="F480" s="67"/>
    </row>
    <row r="481" hidden="1">
      <c r="A481" s="6" t="s">
        <v>25</v>
      </c>
      <c r="B481" s="25" t="s">
        <v>807</v>
      </c>
      <c r="C481" s="25" t="s">
        <v>808</v>
      </c>
      <c r="D481" s="25">
        <v>4.0</v>
      </c>
      <c r="E481" s="67">
        <f t="shared" si="1"/>
        <v>1000</v>
      </c>
      <c r="F481" s="67"/>
    </row>
    <row r="482" hidden="1">
      <c r="A482" s="6" t="s">
        <v>25</v>
      </c>
      <c r="B482" s="25" t="s">
        <v>656</v>
      </c>
      <c r="C482" s="25" t="s">
        <v>657</v>
      </c>
      <c r="D482" s="25">
        <v>5.0</v>
      </c>
      <c r="E482" s="67">
        <f t="shared" si="1"/>
        <v>1250</v>
      </c>
      <c r="F482" s="67"/>
    </row>
    <row r="483" hidden="1">
      <c r="A483" s="6" t="s">
        <v>25</v>
      </c>
      <c r="B483" s="25" t="s">
        <v>821</v>
      </c>
      <c r="C483" s="25" t="s">
        <v>822</v>
      </c>
      <c r="D483" s="25">
        <v>7.0</v>
      </c>
      <c r="E483" s="67">
        <f t="shared" si="1"/>
        <v>1750</v>
      </c>
      <c r="F483" s="67"/>
    </row>
    <row r="484" hidden="1">
      <c r="A484" s="6" t="s">
        <v>25</v>
      </c>
      <c r="B484" s="25" t="s">
        <v>658</v>
      </c>
      <c r="C484" s="25" t="s">
        <v>659</v>
      </c>
      <c r="D484" s="25">
        <v>3.0</v>
      </c>
      <c r="E484" s="67">
        <f t="shared" si="1"/>
        <v>750</v>
      </c>
      <c r="F484" s="67"/>
    </row>
    <row r="485" hidden="1">
      <c r="A485" s="6" t="s">
        <v>25</v>
      </c>
      <c r="B485" s="25" t="s">
        <v>784</v>
      </c>
      <c r="C485" s="25" t="s">
        <v>785</v>
      </c>
      <c r="D485" s="25">
        <v>5.0</v>
      </c>
      <c r="E485" s="67">
        <f t="shared" si="1"/>
        <v>1250</v>
      </c>
      <c r="F485" s="67"/>
    </row>
    <row r="486" hidden="1">
      <c r="A486" s="6" t="s">
        <v>25</v>
      </c>
      <c r="B486" s="25" t="s">
        <v>660</v>
      </c>
      <c r="C486" s="25" t="s">
        <v>661</v>
      </c>
      <c r="D486" s="25">
        <v>6.0</v>
      </c>
      <c r="E486" s="67">
        <f t="shared" si="1"/>
        <v>1500</v>
      </c>
      <c r="F486" s="67"/>
    </row>
    <row r="487" hidden="1">
      <c r="A487" s="6" t="s">
        <v>25</v>
      </c>
      <c r="B487" s="25" t="s">
        <v>884</v>
      </c>
      <c r="C487" s="25" t="s">
        <v>885</v>
      </c>
      <c r="D487" s="25">
        <v>1.0</v>
      </c>
      <c r="E487" s="67">
        <f t="shared" si="1"/>
        <v>250</v>
      </c>
      <c r="F487" s="67"/>
    </row>
    <row r="488" hidden="1">
      <c r="A488" s="6" t="s">
        <v>25</v>
      </c>
      <c r="B488" s="25" t="s">
        <v>886</v>
      </c>
      <c r="C488" s="25" t="s">
        <v>887</v>
      </c>
      <c r="D488" s="25">
        <v>0.0</v>
      </c>
      <c r="E488" s="67">
        <f t="shared" si="1"/>
        <v>0</v>
      </c>
      <c r="F488" s="67"/>
    </row>
    <row r="489" hidden="1">
      <c r="A489" s="6" t="s">
        <v>25</v>
      </c>
      <c r="B489" s="25" t="s">
        <v>813</v>
      </c>
      <c r="C489" s="25" t="s">
        <v>814</v>
      </c>
      <c r="D489" s="25">
        <v>2.0</v>
      </c>
      <c r="E489" s="67">
        <f t="shared" si="1"/>
        <v>500</v>
      </c>
      <c r="F489" s="67"/>
    </row>
    <row r="490" hidden="1">
      <c r="A490" s="6" t="s">
        <v>25</v>
      </c>
      <c r="B490" s="25" t="s">
        <v>664</v>
      </c>
      <c r="C490" s="25" t="s">
        <v>665</v>
      </c>
      <c r="D490" s="25">
        <v>4.0</v>
      </c>
      <c r="E490" s="67">
        <f t="shared" si="1"/>
        <v>1000</v>
      </c>
      <c r="F490" s="67"/>
    </row>
    <row r="491" hidden="1">
      <c r="A491" s="6" t="s">
        <v>25</v>
      </c>
      <c r="B491" s="25" t="s">
        <v>666</v>
      </c>
      <c r="C491" s="25" t="s">
        <v>667</v>
      </c>
      <c r="D491" s="25">
        <v>2.0</v>
      </c>
      <c r="E491" s="67">
        <f t="shared" si="1"/>
        <v>500</v>
      </c>
      <c r="F491" s="67"/>
    </row>
    <row r="492" hidden="1">
      <c r="A492" s="6" t="s">
        <v>25</v>
      </c>
      <c r="B492" s="25" t="s">
        <v>668</v>
      </c>
      <c r="C492" s="25" t="s">
        <v>669</v>
      </c>
      <c r="D492" s="25">
        <v>1.0</v>
      </c>
      <c r="E492" s="67">
        <f t="shared" si="1"/>
        <v>250</v>
      </c>
      <c r="F492" s="67"/>
    </row>
    <row r="493" hidden="1">
      <c r="A493" s="6" t="s">
        <v>25</v>
      </c>
      <c r="B493" s="25" t="s">
        <v>670</v>
      </c>
      <c r="C493" s="25" t="s">
        <v>671</v>
      </c>
      <c r="D493" s="25">
        <v>3.0</v>
      </c>
      <c r="E493" s="67">
        <f t="shared" si="1"/>
        <v>750</v>
      </c>
      <c r="F493" s="67"/>
    </row>
    <row r="494" hidden="1">
      <c r="A494" s="6" t="s">
        <v>25</v>
      </c>
      <c r="B494" s="25" t="s">
        <v>672</v>
      </c>
      <c r="C494" s="25" t="s">
        <v>673</v>
      </c>
      <c r="D494" s="25">
        <v>3.0</v>
      </c>
      <c r="E494" s="67">
        <f t="shared" si="1"/>
        <v>750</v>
      </c>
      <c r="F494" s="67"/>
    </row>
    <row r="495" hidden="1">
      <c r="A495" s="6" t="s">
        <v>25</v>
      </c>
      <c r="B495" s="25" t="s">
        <v>674</v>
      </c>
      <c r="C495" s="25" t="s">
        <v>675</v>
      </c>
      <c r="D495" s="25">
        <v>2.0</v>
      </c>
      <c r="E495" s="67">
        <f t="shared" si="1"/>
        <v>500</v>
      </c>
      <c r="F495" s="67"/>
    </row>
    <row r="496" hidden="1">
      <c r="A496" s="6" t="s">
        <v>25</v>
      </c>
      <c r="B496" s="25" t="s">
        <v>680</v>
      </c>
      <c r="C496" s="25" t="s">
        <v>681</v>
      </c>
      <c r="D496" s="25">
        <v>6.0</v>
      </c>
      <c r="E496" s="67">
        <f t="shared" si="1"/>
        <v>1500</v>
      </c>
      <c r="F496" s="67"/>
    </row>
    <row r="497" hidden="1">
      <c r="A497" s="6" t="s">
        <v>25</v>
      </c>
      <c r="B497" s="25" t="s">
        <v>682</v>
      </c>
      <c r="C497" s="25" t="s">
        <v>683</v>
      </c>
      <c r="D497" s="25">
        <v>9.0</v>
      </c>
      <c r="E497" s="67">
        <f t="shared" si="1"/>
        <v>2250</v>
      </c>
      <c r="F497" s="67"/>
    </row>
    <row r="498" hidden="1">
      <c r="A498" s="6" t="s">
        <v>25</v>
      </c>
      <c r="B498" s="25" t="s">
        <v>888</v>
      </c>
      <c r="C498" s="25" t="s">
        <v>889</v>
      </c>
      <c r="D498" s="25">
        <v>1.0</v>
      </c>
      <c r="E498" s="67">
        <f t="shared" si="1"/>
        <v>250</v>
      </c>
      <c r="F498" s="67"/>
    </row>
    <row r="499" hidden="1">
      <c r="A499" s="6" t="s">
        <v>25</v>
      </c>
      <c r="B499" s="25" t="s">
        <v>684</v>
      </c>
      <c r="C499" s="25" t="s">
        <v>685</v>
      </c>
      <c r="D499" s="25">
        <v>2.0</v>
      </c>
      <c r="E499" s="67">
        <f t="shared" si="1"/>
        <v>500</v>
      </c>
      <c r="F499" s="67"/>
    </row>
    <row r="500" hidden="1">
      <c r="A500" s="6" t="s">
        <v>25</v>
      </c>
      <c r="B500" s="25" t="s">
        <v>688</v>
      </c>
      <c r="C500" s="25" t="s">
        <v>689</v>
      </c>
      <c r="D500" s="25">
        <v>2.0</v>
      </c>
      <c r="E500" s="67">
        <f t="shared" si="1"/>
        <v>500</v>
      </c>
      <c r="F500" s="67"/>
    </row>
    <row r="501" hidden="1">
      <c r="A501" s="6" t="s">
        <v>25</v>
      </c>
      <c r="B501" s="25" t="s">
        <v>307</v>
      </c>
      <c r="C501" s="25" t="s">
        <v>692</v>
      </c>
      <c r="D501" s="25">
        <v>3.0</v>
      </c>
      <c r="E501" s="67">
        <f t="shared" si="1"/>
        <v>750</v>
      </c>
      <c r="F501" s="67"/>
    </row>
    <row r="502" hidden="1">
      <c r="A502" s="6" t="s">
        <v>25</v>
      </c>
      <c r="B502" s="25" t="s">
        <v>693</v>
      </c>
      <c r="C502" s="25" t="s">
        <v>694</v>
      </c>
      <c r="D502" s="25">
        <v>4.0</v>
      </c>
      <c r="E502" s="67">
        <f t="shared" si="1"/>
        <v>1000</v>
      </c>
      <c r="F502" s="67"/>
    </row>
    <row r="503" hidden="1">
      <c r="A503" s="6" t="s">
        <v>25</v>
      </c>
      <c r="B503" s="25" t="s">
        <v>695</v>
      </c>
      <c r="C503" s="25" t="s">
        <v>696</v>
      </c>
      <c r="D503" s="25">
        <v>4.0</v>
      </c>
      <c r="E503" s="67">
        <f t="shared" si="1"/>
        <v>1000</v>
      </c>
      <c r="F503" s="67"/>
    </row>
    <row r="504" hidden="1">
      <c r="A504" s="6" t="s">
        <v>25</v>
      </c>
      <c r="B504" s="25" t="s">
        <v>699</v>
      </c>
      <c r="C504" s="25" t="s">
        <v>700</v>
      </c>
      <c r="D504" s="25">
        <v>4.0</v>
      </c>
      <c r="E504" s="67">
        <f t="shared" si="1"/>
        <v>1000</v>
      </c>
      <c r="F504" s="67"/>
    </row>
    <row r="505" hidden="1">
      <c r="A505" s="6" t="s">
        <v>25</v>
      </c>
      <c r="B505" s="25" t="s">
        <v>701</v>
      </c>
      <c r="C505" s="25" t="s">
        <v>702</v>
      </c>
      <c r="D505" s="25">
        <v>5.0</v>
      </c>
      <c r="E505" s="67">
        <f t="shared" si="1"/>
        <v>1250</v>
      </c>
      <c r="F505" s="67"/>
    </row>
    <row r="506" hidden="1">
      <c r="A506" s="6" t="s">
        <v>25</v>
      </c>
      <c r="B506" s="25" t="s">
        <v>703</v>
      </c>
      <c r="C506" s="25" t="s">
        <v>704</v>
      </c>
      <c r="D506" s="25">
        <v>4.0</v>
      </c>
      <c r="E506" s="67">
        <f t="shared" si="1"/>
        <v>1000</v>
      </c>
      <c r="F506" s="67"/>
    </row>
    <row r="507" hidden="1">
      <c r="A507" s="6" t="s">
        <v>25</v>
      </c>
      <c r="B507" s="25" t="s">
        <v>705</v>
      </c>
      <c r="C507" s="25" t="s">
        <v>706</v>
      </c>
      <c r="D507" s="25">
        <v>7.0</v>
      </c>
      <c r="E507" s="67">
        <f t="shared" si="1"/>
        <v>1750</v>
      </c>
      <c r="F507" s="67"/>
    </row>
    <row r="508" hidden="1">
      <c r="A508" s="6" t="s">
        <v>25</v>
      </c>
      <c r="B508" s="25" t="s">
        <v>707</v>
      </c>
      <c r="C508" s="25" t="s">
        <v>708</v>
      </c>
      <c r="D508" s="25">
        <v>3.0</v>
      </c>
      <c r="E508" s="67">
        <f t="shared" si="1"/>
        <v>750</v>
      </c>
      <c r="F508" s="67"/>
    </row>
    <row r="509" hidden="1">
      <c r="A509" s="6" t="s">
        <v>25</v>
      </c>
      <c r="B509" s="25" t="s">
        <v>709</v>
      </c>
      <c r="C509" s="25" t="s">
        <v>710</v>
      </c>
      <c r="D509" s="25">
        <v>2.0</v>
      </c>
      <c r="E509" s="67">
        <f t="shared" si="1"/>
        <v>500</v>
      </c>
      <c r="F509" s="67"/>
    </row>
    <row r="510" hidden="1">
      <c r="A510" s="6" t="s">
        <v>25</v>
      </c>
      <c r="B510" s="25" t="s">
        <v>717</v>
      </c>
      <c r="C510" s="25" t="s">
        <v>718</v>
      </c>
      <c r="D510" s="25">
        <v>2.0</v>
      </c>
      <c r="E510" s="67">
        <f t="shared" si="1"/>
        <v>500</v>
      </c>
      <c r="F510" s="67"/>
    </row>
    <row r="511" hidden="1">
      <c r="A511" s="6" t="s">
        <v>25</v>
      </c>
      <c r="B511" s="25" t="s">
        <v>719</v>
      </c>
      <c r="C511" s="25" t="s">
        <v>720</v>
      </c>
      <c r="D511" s="25">
        <v>2.0</v>
      </c>
      <c r="E511" s="67">
        <f t="shared" si="1"/>
        <v>500</v>
      </c>
      <c r="F511" s="67"/>
    </row>
    <row r="512" hidden="1">
      <c r="A512" s="6" t="s">
        <v>25</v>
      </c>
      <c r="B512" s="25" t="s">
        <v>721</v>
      </c>
      <c r="C512" s="25" t="s">
        <v>722</v>
      </c>
      <c r="D512" s="25">
        <v>2.0</v>
      </c>
      <c r="E512" s="67">
        <f t="shared" si="1"/>
        <v>500</v>
      </c>
      <c r="F512" s="67"/>
    </row>
    <row r="513" hidden="1">
      <c r="A513" s="6" t="s">
        <v>25</v>
      </c>
      <c r="B513" s="25" t="s">
        <v>723</v>
      </c>
      <c r="C513" s="25" t="s">
        <v>724</v>
      </c>
      <c r="D513" s="25">
        <v>14.0</v>
      </c>
      <c r="E513" s="67">
        <f t="shared" si="1"/>
        <v>7000</v>
      </c>
      <c r="F513" s="67"/>
    </row>
    <row r="514" hidden="1">
      <c r="A514" s="6" t="s">
        <v>25</v>
      </c>
      <c r="B514" s="25" t="s">
        <v>725</v>
      </c>
      <c r="C514" s="25" t="s">
        <v>726</v>
      </c>
      <c r="D514" s="25">
        <v>5.0</v>
      </c>
      <c r="E514" s="67">
        <f t="shared" si="1"/>
        <v>1250</v>
      </c>
      <c r="F514" s="67"/>
    </row>
    <row r="515" hidden="1">
      <c r="A515" s="6" t="s">
        <v>25</v>
      </c>
      <c r="B515" s="25" t="s">
        <v>729</v>
      </c>
      <c r="C515" s="25" t="s">
        <v>730</v>
      </c>
      <c r="D515" s="25">
        <v>5.0</v>
      </c>
      <c r="E515" s="67">
        <f t="shared" si="1"/>
        <v>1250</v>
      </c>
      <c r="F515" s="67"/>
    </row>
    <row r="516" hidden="1">
      <c r="A516" s="6" t="s">
        <v>25</v>
      </c>
      <c r="B516" s="25" t="s">
        <v>890</v>
      </c>
      <c r="C516" s="25" t="s">
        <v>891</v>
      </c>
      <c r="D516" s="25">
        <v>2.0</v>
      </c>
      <c r="E516" s="67">
        <f t="shared" si="1"/>
        <v>500</v>
      </c>
      <c r="F516" s="67"/>
    </row>
    <row r="517" hidden="1">
      <c r="A517" s="6" t="s">
        <v>25</v>
      </c>
      <c r="B517" s="25" t="s">
        <v>793</v>
      </c>
      <c r="C517" s="25" t="s">
        <v>794</v>
      </c>
      <c r="D517" s="25">
        <v>2.0</v>
      </c>
      <c r="E517" s="67">
        <f t="shared" si="1"/>
        <v>500</v>
      </c>
      <c r="F517" s="67"/>
    </row>
    <row r="518" hidden="1">
      <c r="A518" s="6" t="s">
        <v>25</v>
      </c>
      <c r="B518" s="25" t="s">
        <v>795</v>
      </c>
      <c r="C518" s="25" t="s">
        <v>796</v>
      </c>
      <c r="D518" s="25">
        <v>1.0</v>
      </c>
      <c r="E518" s="67">
        <f t="shared" si="1"/>
        <v>250</v>
      </c>
      <c r="F518" s="67"/>
    </row>
    <row r="519" hidden="1">
      <c r="A519" s="6" t="s">
        <v>25</v>
      </c>
      <c r="B519" s="25" t="s">
        <v>823</v>
      </c>
      <c r="C519" s="25" t="s">
        <v>824</v>
      </c>
      <c r="D519" s="25">
        <v>6.0</v>
      </c>
      <c r="E519" s="67">
        <f t="shared" si="1"/>
        <v>1500</v>
      </c>
      <c r="F519" s="67"/>
    </row>
    <row r="520" hidden="1">
      <c r="A520" s="6" t="s">
        <v>25</v>
      </c>
      <c r="B520" s="25" t="s">
        <v>302</v>
      </c>
      <c r="C520" s="25" t="s">
        <v>733</v>
      </c>
      <c r="D520" s="25">
        <v>2.0</v>
      </c>
      <c r="E520" s="67">
        <f t="shared" si="1"/>
        <v>500</v>
      </c>
      <c r="F520" s="67"/>
    </row>
    <row r="521" hidden="1">
      <c r="A521" s="6" t="s">
        <v>25</v>
      </c>
      <c r="B521" s="25" t="s">
        <v>736</v>
      </c>
      <c r="C521" s="25" t="s">
        <v>737</v>
      </c>
      <c r="D521" s="25">
        <v>6.0</v>
      </c>
      <c r="E521" s="67">
        <f t="shared" si="1"/>
        <v>1500</v>
      </c>
      <c r="F521" s="67"/>
    </row>
    <row r="522" hidden="1">
      <c r="A522" s="6" t="s">
        <v>25</v>
      </c>
      <c r="B522" s="25" t="s">
        <v>742</v>
      </c>
      <c r="C522" s="25" t="s">
        <v>743</v>
      </c>
      <c r="D522" s="25">
        <v>2.0</v>
      </c>
      <c r="E522" s="67">
        <f t="shared" si="1"/>
        <v>500</v>
      </c>
      <c r="F522" s="67"/>
    </row>
    <row r="523" hidden="1">
      <c r="A523" s="6" t="s">
        <v>25</v>
      </c>
      <c r="B523" s="25" t="s">
        <v>892</v>
      </c>
      <c r="C523" s="25" t="s">
        <v>893</v>
      </c>
      <c r="D523" s="25">
        <v>1.0</v>
      </c>
      <c r="E523" s="67">
        <f t="shared" si="1"/>
        <v>250</v>
      </c>
      <c r="F523" s="67"/>
    </row>
    <row r="524" hidden="1">
      <c r="A524" s="6" t="s">
        <v>25</v>
      </c>
      <c r="B524" s="25" t="s">
        <v>744</v>
      </c>
      <c r="C524" s="25" t="s">
        <v>745</v>
      </c>
      <c r="D524" s="25">
        <v>4.0</v>
      </c>
      <c r="E524" s="67">
        <f t="shared" si="1"/>
        <v>1000</v>
      </c>
      <c r="F524" s="67"/>
    </row>
    <row r="525" hidden="1">
      <c r="A525" s="6" t="s">
        <v>25</v>
      </c>
      <c r="B525" s="25" t="s">
        <v>746</v>
      </c>
      <c r="C525" s="25" t="s">
        <v>747</v>
      </c>
      <c r="D525" s="25">
        <v>19.0</v>
      </c>
      <c r="E525" s="67">
        <f t="shared" si="1"/>
        <v>9500</v>
      </c>
      <c r="F525" s="67"/>
    </row>
    <row r="526" hidden="1">
      <c r="A526" s="6" t="s">
        <v>25</v>
      </c>
      <c r="B526" s="25" t="s">
        <v>748</v>
      </c>
      <c r="C526" s="25" t="s">
        <v>749</v>
      </c>
      <c r="D526" s="25">
        <v>4.0</v>
      </c>
      <c r="E526" s="67">
        <f t="shared" si="1"/>
        <v>1000</v>
      </c>
      <c r="F526" s="67"/>
    </row>
    <row r="527" hidden="1">
      <c r="A527" s="6" t="s">
        <v>25</v>
      </c>
      <c r="B527" s="25" t="s">
        <v>894</v>
      </c>
      <c r="C527" s="25" t="s">
        <v>895</v>
      </c>
      <c r="D527" s="25">
        <v>10.0</v>
      </c>
      <c r="E527" s="67">
        <f t="shared" si="1"/>
        <v>5000</v>
      </c>
      <c r="F527" s="67"/>
    </row>
    <row r="528" hidden="1">
      <c r="A528" s="6" t="s">
        <v>25</v>
      </c>
      <c r="B528" s="25" t="s">
        <v>752</v>
      </c>
      <c r="C528" s="25" t="s">
        <v>753</v>
      </c>
      <c r="D528" s="25">
        <v>4.0</v>
      </c>
      <c r="E528" s="67">
        <f t="shared" si="1"/>
        <v>1000</v>
      </c>
      <c r="F528" s="67"/>
    </row>
    <row r="529" hidden="1">
      <c r="A529" s="6" t="s">
        <v>25</v>
      </c>
      <c r="B529" s="25" t="s">
        <v>754</v>
      </c>
      <c r="C529" s="25" t="s">
        <v>755</v>
      </c>
      <c r="D529" s="25">
        <v>3.0</v>
      </c>
      <c r="E529" s="67">
        <f t="shared" si="1"/>
        <v>750</v>
      </c>
      <c r="F529" s="67"/>
    </row>
    <row r="530" hidden="1">
      <c r="A530" s="6" t="s">
        <v>25</v>
      </c>
      <c r="B530" s="25" t="s">
        <v>799</v>
      </c>
      <c r="C530" s="25" t="s">
        <v>800</v>
      </c>
      <c r="D530" s="25">
        <v>1.0</v>
      </c>
      <c r="E530" s="67">
        <f t="shared" si="1"/>
        <v>250</v>
      </c>
      <c r="F530" s="67"/>
    </row>
    <row r="531" hidden="1">
      <c r="A531" s="6" t="s">
        <v>25</v>
      </c>
      <c r="B531" s="25" t="s">
        <v>896</v>
      </c>
      <c r="C531" s="25" t="s">
        <v>897</v>
      </c>
      <c r="D531" s="25">
        <v>7.0</v>
      </c>
      <c r="E531" s="67">
        <f t="shared" si="1"/>
        <v>1750</v>
      </c>
      <c r="F531" s="67"/>
    </row>
    <row r="532" hidden="1">
      <c r="A532" s="6" t="s">
        <v>25</v>
      </c>
      <c r="B532" s="25" t="s">
        <v>758</v>
      </c>
      <c r="C532" s="25" t="s">
        <v>759</v>
      </c>
      <c r="D532" s="25">
        <v>6.0</v>
      </c>
      <c r="E532" s="67">
        <f t="shared" si="1"/>
        <v>1500</v>
      </c>
      <c r="F532" s="67"/>
    </row>
    <row r="533" hidden="1">
      <c r="A533" s="6" t="s">
        <v>25</v>
      </c>
      <c r="B533" s="25" t="s">
        <v>762</v>
      </c>
      <c r="C533" s="25" t="s">
        <v>763</v>
      </c>
      <c r="D533" s="25">
        <v>8.0</v>
      </c>
      <c r="E533" s="67">
        <f t="shared" si="1"/>
        <v>2000</v>
      </c>
      <c r="F533" s="67"/>
    </row>
    <row r="534" hidden="1">
      <c r="A534" s="6" t="s">
        <v>25</v>
      </c>
      <c r="B534" s="25" t="s">
        <v>898</v>
      </c>
      <c r="C534" s="25" t="s">
        <v>899</v>
      </c>
      <c r="D534" s="25">
        <v>2.0</v>
      </c>
      <c r="E534" s="67">
        <f t="shared" si="1"/>
        <v>500</v>
      </c>
      <c r="F534" s="67"/>
    </row>
    <row r="535" hidden="1">
      <c r="A535" s="6" t="s">
        <v>25</v>
      </c>
      <c r="B535" s="25" t="s">
        <v>764</v>
      </c>
      <c r="C535" s="25" t="s">
        <v>765</v>
      </c>
      <c r="D535" s="25">
        <v>8.0</v>
      </c>
      <c r="E535" s="67">
        <f t="shared" si="1"/>
        <v>2000</v>
      </c>
      <c r="F535" s="67"/>
    </row>
    <row r="536" hidden="1">
      <c r="A536" s="6" t="s">
        <v>25</v>
      </c>
      <c r="B536" s="25" t="s">
        <v>900</v>
      </c>
      <c r="C536" s="25" t="s">
        <v>901</v>
      </c>
      <c r="D536" s="25">
        <v>1.0</v>
      </c>
      <c r="E536" s="67">
        <f t="shared" si="1"/>
        <v>250</v>
      </c>
      <c r="F536" s="67"/>
    </row>
    <row r="537" hidden="1">
      <c r="A537" s="6" t="s">
        <v>25</v>
      </c>
      <c r="B537" s="25" t="s">
        <v>766</v>
      </c>
      <c r="C537" s="25" t="s">
        <v>767</v>
      </c>
      <c r="D537" s="25">
        <v>11.0</v>
      </c>
      <c r="E537" s="67">
        <f t="shared" si="1"/>
        <v>5500</v>
      </c>
      <c r="F537" s="67"/>
    </row>
    <row r="538" hidden="1">
      <c r="A538" s="6" t="s">
        <v>25</v>
      </c>
      <c r="B538" s="25" t="s">
        <v>902</v>
      </c>
      <c r="C538" s="25" t="s">
        <v>903</v>
      </c>
      <c r="D538" s="25">
        <v>2.0</v>
      </c>
      <c r="E538" s="67">
        <f t="shared" si="1"/>
        <v>500</v>
      </c>
      <c r="F538" s="67"/>
    </row>
    <row r="539" hidden="1">
      <c r="A539" s="6" t="s">
        <v>25</v>
      </c>
      <c r="B539" s="25" t="s">
        <v>809</v>
      </c>
      <c r="C539" s="25" t="s">
        <v>810</v>
      </c>
      <c r="D539" s="25">
        <v>1.0</v>
      </c>
      <c r="E539" s="67">
        <f t="shared" si="1"/>
        <v>250</v>
      </c>
      <c r="F539" s="67"/>
    </row>
    <row r="540" hidden="1">
      <c r="A540" s="6" t="s">
        <v>26</v>
      </c>
      <c r="B540" s="25" t="s">
        <v>411</v>
      </c>
      <c r="C540" s="25" t="s">
        <v>412</v>
      </c>
      <c r="D540" s="25">
        <v>14.0</v>
      </c>
      <c r="E540" s="67">
        <f t="shared" si="1"/>
        <v>7000</v>
      </c>
      <c r="F540" s="67"/>
    </row>
    <row r="541" hidden="1">
      <c r="A541" s="6" t="s">
        <v>26</v>
      </c>
      <c r="B541" s="25" t="s">
        <v>435</v>
      </c>
      <c r="C541" s="25" t="s">
        <v>436</v>
      </c>
      <c r="D541" s="25">
        <v>10.0</v>
      </c>
      <c r="E541" s="67">
        <f t="shared" si="1"/>
        <v>5000</v>
      </c>
      <c r="F541" s="67"/>
    </row>
    <row r="542" hidden="1">
      <c r="A542" s="6" t="s">
        <v>26</v>
      </c>
      <c r="B542" s="25" t="s">
        <v>439</v>
      </c>
      <c r="C542" s="25" t="s">
        <v>440</v>
      </c>
      <c r="D542" s="25">
        <v>15.0</v>
      </c>
      <c r="E542" s="67">
        <f t="shared" si="1"/>
        <v>7500</v>
      </c>
      <c r="F542" s="67"/>
    </row>
    <row r="543" hidden="1">
      <c r="A543" s="6" t="s">
        <v>26</v>
      </c>
      <c r="B543" s="25" t="s">
        <v>443</v>
      </c>
      <c r="C543" s="25" t="s">
        <v>444</v>
      </c>
      <c r="D543" s="25">
        <v>11.0</v>
      </c>
      <c r="E543" s="67">
        <f t="shared" si="1"/>
        <v>5500</v>
      </c>
      <c r="F543" s="67"/>
    </row>
    <row r="544" hidden="1">
      <c r="A544" s="6" t="s">
        <v>26</v>
      </c>
      <c r="B544" s="25" t="s">
        <v>476</v>
      </c>
      <c r="C544" s="25" t="s">
        <v>477</v>
      </c>
      <c r="D544" s="25">
        <v>36.0</v>
      </c>
      <c r="E544" s="67">
        <f t="shared" si="1"/>
        <v>18000</v>
      </c>
      <c r="F544" s="67"/>
    </row>
    <row r="545" hidden="1">
      <c r="A545" s="6" t="s">
        <v>26</v>
      </c>
      <c r="B545" s="25" t="s">
        <v>510</v>
      </c>
      <c r="C545" s="25" t="s">
        <v>511</v>
      </c>
      <c r="D545" s="25">
        <v>18.0</v>
      </c>
      <c r="E545" s="67">
        <f t="shared" si="1"/>
        <v>9000</v>
      </c>
      <c r="F545" s="67"/>
    </row>
    <row r="546" hidden="1">
      <c r="A546" s="6" t="s">
        <v>26</v>
      </c>
      <c r="B546" s="25" t="s">
        <v>524</v>
      </c>
      <c r="C546" s="25" t="s">
        <v>525</v>
      </c>
      <c r="D546" s="25">
        <v>17.0</v>
      </c>
      <c r="E546" s="67">
        <f t="shared" si="1"/>
        <v>8500</v>
      </c>
      <c r="F546" s="67"/>
    </row>
    <row r="547" hidden="1">
      <c r="A547" s="6" t="s">
        <v>26</v>
      </c>
      <c r="B547" s="25" t="s">
        <v>540</v>
      </c>
      <c r="C547" s="25" t="s">
        <v>541</v>
      </c>
      <c r="D547" s="25">
        <v>15.0</v>
      </c>
      <c r="E547" s="67">
        <f t="shared" si="1"/>
        <v>7500</v>
      </c>
      <c r="F547" s="67"/>
    </row>
    <row r="548" hidden="1">
      <c r="A548" s="6" t="s">
        <v>26</v>
      </c>
      <c r="B548" s="25" t="s">
        <v>548</v>
      </c>
      <c r="C548" s="25" t="s">
        <v>549</v>
      </c>
      <c r="D548" s="25">
        <v>11.0</v>
      </c>
      <c r="E548" s="67">
        <f t="shared" si="1"/>
        <v>5500</v>
      </c>
      <c r="F548" s="67"/>
    </row>
    <row r="549" hidden="1">
      <c r="A549" s="6" t="s">
        <v>26</v>
      </c>
      <c r="B549" s="25" t="s">
        <v>582</v>
      </c>
      <c r="C549" s="25" t="s">
        <v>583</v>
      </c>
      <c r="D549" s="25">
        <v>10.0</v>
      </c>
      <c r="E549" s="67">
        <f t="shared" si="1"/>
        <v>5000</v>
      </c>
      <c r="F549" s="67"/>
    </row>
    <row r="550" hidden="1">
      <c r="A550" s="6" t="s">
        <v>26</v>
      </c>
      <c r="B550" s="25" t="s">
        <v>590</v>
      </c>
      <c r="C550" s="25" t="s">
        <v>591</v>
      </c>
      <c r="D550" s="25">
        <v>11.0</v>
      </c>
      <c r="E550" s="67">
        <f t="shared" si="1"/>
        <v>5500</v>
      </c>
      <c r="F550" s="67"/>
    </row>
    <row r="551" hidden="1">
      <c r="A551" s="6" t="s">
        <v>26</v>
      </c>
      <c r="B551" s="25" t="s">
        <v>876</v>
      </c>
      <c r="C551" s="25" t="s">
        <v>877</v>
      </c>
      <c r="D551" s="25">
        <v>10.0</v>
      </c>
      <c r="E551" s="67">
        <f t="shared" si="1"/>
        <v>5000</v>
      </c>
      <c r="F551" s="67"/>
    </row>
    <row r="552" hidden="1">
      <c r="A552" s="6" t="s">
        <v>26</v>
      </c>
      <c r="B552" s="25" t="s">
        <v>640</v>
      </c>
      <c r="C552" s="25" t="s">
        <v>641</v>
      </c>
      <c r="D552" s="25">
        <v>16.0</v>
      </c>
      <c r="E552" s="67">
        <f t="shared" si="1"/>
        <v>8000</v>
      </c>
      <c r="F552" s="67"/>
    </row>
    <row r="553" hidden="1">
      <c r="A553" s="6" t="s">
        <v>26</v>
      </c>
      <c r="B553" s="25" t="s">
        <v>644</v>
      </c>
      <c r="C553" s="25" t="s">
        <v>645</v>
      </c>
      <c r="D553" s="25">
        <v>21.0</v>
      </c>
      <c r="E553" s="67">
        <f t="shared" si="1"/>
        <v>10500</v>
      </c>
      <c r="F553" s="67"/>
    </row>
    <row r="554" hidden="1">
      <c r="A554" s="6" t="s">
        <v>26</v>
      </c>
      <c r="B554" s="25" t="s">
        <v>682</v>
      </c>
      <c r="C554" s="25" t="s">
        <v>683</v>
      </c>
      <c r="D554" s="25">
        <v>10.0</v>
      </c>
      <c r="E554" s="67">
        <f t="shared" si="1"/>
        <v>5000</v>
      </c>
      <c r="F554" s="67"/>
    </row>
    <row r="555" hidden="1">
      <c r="A555" s="6" t="s">
        <v>26</v>
      </c>
      <c r="B555" s="25" t="s">
        <v>699</v>
      </c>
      <c r="C555" s="25" t="s">
        <v>700</v>
      </c>
      <c r="D555" s="25">
        <v>10.0</v>
      </c>
      <c r="E555" s="67">
        <f t="shared" si="1"/>
        <v>5000</v>
      </c>
      <c r="F555" s="67"/>
    </row>
    <row r="556" hidden="1">
      <c r="A556" s="6" t="s">
        <v>26</v>
      </c>
      <c r="B556" s="25" t="s">
        <v>723</v>
      </c>
      <c r="C556" s="25" t="s">
        <v>724</v>
      </c>
      <c r="D556" s="25">
        <v>27.0</v>
      </c>
      <c r="E556" s="67">
        <f t="shared" si="1"/>
        <v>13500</v>
      </c>
      <c r="F556" s="67"/>
    </row>
    <row r="557" hidden="1">
      <c r="A557" s="6" t="s">
        <v>26</v>
      </c>
      <c r="B557" s="25" t="s">
        <v>736</v>
      </c>
      <c r="C557" s="25" t="s">
        <v>737</v>
      </c>
      <c r="D557" s="25">
        <v>15.0</v>
      </c>
      <c r="E557" s="67">
        <f t="shared" si="1"/>
        <v>7500</v>
      </c>
      <c r="F557" s="67"/>
    </row>
    <row r="558" hidden="1">
      <c r="A558" s="6" t="s">
        <v>26</v>
      </c>
      <c r="B558" s="25" t="s">
        <v>746</v>
      </c>
      <c r="C558" s="25" t="s">
        <v>747</v>
      </c>
      <c r="D558" s="25">
        <v>11.0</v>
      </c>
      <c r="E558" s="67">
        <f t="shared" si="1"/>
        <v>5500</v>
      </c>
      <c r="F558" s="67"/>
    </row>
    <row r="559" hidden="1">
      <c r="A559" s="6" t="s">
        <v>26</v>
      </c>
      <c r="B559" s="25" t="s">
        <v>758</v>
      </c>
      <c r="C559" s="25" t="s">
        <v>759</v>
      </c>
      <c r="D559" s="25">
        <v>10.0</v>
      </c>
      <c r="E559" s="67">
        <f t="shared" si="1"/>
        <v>5000</v>
      </c>
      <c r="F559" s="67"/>
    </row>
    <row r="560" hidden="1">
      <c r="A560" s="6" t="s">
        <v>26</v>
      </c>
      <c r="B560" s="25" t="s">
        <v>766</v>
      </c>
      <c r="C560" s="25" t="s">
        <v>767</v>
      </c>
      <c r="D560" s="25">
        <v>11.0</v>
      </c>
      <c r="E560" s="67">
        <f t="shared" si="1"/>
        <v>5500</v>
      </c>
      <c r="F560" s="67"/>
    </row>
    <row r="561" hidden="1">
      <c r="A561" s="6" t="s">
        <v>26</v>
      </c>
      <c r="B561" s="25" t="s">
        <v>904</v>
      </c>
      <c r="C561" s="25" t="s">
        <v>905</v>
      </c>
      <c r="D561" s="25">
        <v>2.0</v>
      </c>
      <c r="E561" s="67">
        <f t="shared" si="1"/>
        <v>500</v>
      </c>
      <c r="F561" s="67"/>
    </row>
    <row r="562" hidden="1">
      <c r="A562" s="6" t="s">
        <v>26</v>
      </c>
      <c r="B562" s="25" t="s">
        <v>815</v>
      </c>
      <c r="C562" s="25" t="s">
        <v>816</v>
      </c>
      <c r="D562" s="25">
        <v>4.0</v>
      </c>
      <c r="E562" s="67">
        <f t="shared" si="1"/>
        <v>1000</v>
      </c>
      <c r="F562" s="67"/>
    </row>
    <row r="563" hidden="1">
      <c r="A563" s="6" t="s">
        <v>26</v>
      </c>
      <c r="B563" s="25" t="s">
        <v>405</v>
      </c>
      <c r="C563" s="25" t="s">
        <v>406</v>
      </c>
      <c r="D563" s="25">
        <v>2.0</v>
      </c>
      <c r="E563" s="67">
        <f t="shared" si="1"/>
        <v>500</v>
      </c>
      <c r="F563" s="67"/>
    </row>
    <row r="564" hidden="1">
      <c r="A564" s="6" t="s">
        <v>26</v>
      </c>
      <c r="B564" s="25" t="s">
        <v>409</v>
      </c>
      <c r="C564" s="25" t="s">
        <v>410</v>
      </c>
      <c r="D564" s="25">
        <v>3.0</v>
      </c>
      <c r="E564" s="67">
        <f t="shared" si="1"/>
        <v>750</v>
      </c>
      <c r="F564" s="67"/>
    </row>
    <row r="565" hidden="1">
      <c r="A565" s="6" t="s">
        <v>26</v>
      </c>
      <c r="B565" s="25" t="s">
        <v>413</v>
      </c>
      <c r="C565" s="25" t="s">
        <v>414</v>
      </c>
      <c r="D565" s="25">
        <v>4.0</v>
      </c>
      <c r="E565" s="67">
        <f t="shared" si="1"/>
        <v>1000</v>
      </c>
      <c r="F565" s="67"/>
    </row>
    <row r="566" hidden="1">
      <c r="A566" s="6" t="s">
        <v>26</v>
      </c>
      <c r="B566" s="25" t="s">
        <v>825</v>
      </c>
      <c r="C566" s="25" t="s">
        <v>826</v>
      </c>
      <c r="D566" s="25">
        <v>6.0</v>
      </c>
      <c r="E566" s="67">
        <f t="shared" si="1"/>
        <v>1500</v>
      </c>
      <c r="F566" s="67"/>
    </row>
    <row r="567" hidden="1">
      <c r="A567" s="6" t="s">
        <v>26</v>
      </c>
      <c r="B567" s="25" t="s">
        <v>417</v>
      </c>
      <c r="C567" s="25" t="s">
        <v>418</v>
      </c>
      <c r="D567" s="25">
        <v>5.0</v>
      </c>
      <c r="E567" s="67">
        <f t="shared" si="1"/>
        <v>1250</v>
      </c>
      <c r="F567" s="67"/>
    </row>
    <row r="568" hidden="1">
      <c r="A568" s="6" t="s">
        <v>26</v>
      </c>
      <c r="B568" s="25" t="s">
        <v>431</v>
      </c>
      <c r="C568" s="25" t="s">
        <v>432</v>
      </c>
      <c r="D568" s="25">
        <v>3.0</v>
      </c>
      <c r="E568" s="67">
        <f t="shared" si="1"/>
        <v>750</v>
      </c>
      <c r="F568" s="67"/>
    </row>
    <row r="569" hidden="1">
      <c r="A569" s="6" t="s">
        <v>26</v>
      </c>
      <c r="B569" s="25" t="s">
        <v>841</v>
      </c>
      <c r="C569" s="25" t="s">
        <v>842</v>
      </c>
      <c r="D569" s="25">
        <v>3.0</v>
      </c>
      <c r="E569" s="67">
        <f t="shared" si="1"/>
        <v>750</v>
      </c>
      <c r="F569" s="67"/>
    </row>
    <row r="570" hidden="1">
      <c r="A570" s="6" t="s">
        <v>26</v>
      </c>
      <c r="B570" s="25" t="s">
        <v>906</v>
      </c>
      <c r="C570" s="25" t="s">
        <v>907</v>
      </c>
      <c r="D570" s="25">
        <v>1.0</v>
      </c>
      <c r="E570" s="67">
        <f t="shared" si="1"/>
        <v>250</v>
      </c>
      <c r="F570" s="67"/>
    </row>
    <row r="571" hidden="1">
      <c r="A571" s="6" t="s">
        <v>26</v>
      </c>
      <c r="B571" s="25" t="s">
        <v>441</v>
      </c>
      <c r="C571" s="25" t="s">
        <v>442</v>
      </c>
      <c r="D571" s="25">
        <v>2.0</v>
      </c>
      <c r="E571" s="67">
        <f t="shared" si="1"/>
        <v>500</v>
      </c>
      <c r="F571" s="67"/>
    </row>
    <row r="572" hidden="1">
      <c r="A572" s="6" t="s">
        <v>26</v>
      </c>
      <c r="B572" s="25" t="s">
        <v>801</v>
      </c>
      <c r="C572" s="25" t="s">
        <v>802</v>
      </c>
      <c r="D572" s="25">
        <v>7.0</v>
      </c>
      <c r="E572" s="67">
        <f t="shared" si="1"/>
        <v>1750</v>
      </c>
      <c r="F572" s="67"/>
    </row>
    <row r="573" hidden="1">
      <c r="A573" s="6" t="s">
        <v>26</v>
      </c>
      <c r="B573" s="25" t="s">
        <v>803</v>
      </c>
      <c r="C573" s="25" t="s">
        <v>804</v>
      </c>
      <c r="D573" s="25">
        <v>3.0</v>
      </c>
      <c r="E573" s="67">
        <f t="shared" si="1"/>
        <v>750</v>
      </c>
      <c r="F573" s="67"/>
    </row>
    <row r="574" hidden="1">
      <c r="A574" s="6" t="s">
        <v>26</v>
      </c>
      <c r="B574" s="25" t="s">
        <v>445</v>
      </c>
      <c r="C574" s="25" t="s">
        <v>446</v>
      </c>
      <c r="D574" s="25">
        <v>1.0</v>
      </c>
      <c r="E574" s="67">
        <f t="shared" si="1"/>
        <v>250</v>
      </c>
      <c r="F574" s="67"/>
    </row>
    <row r="575" hidden="1">
      <c r="A575" s="6" t="s">
        <v>26</v>
      </c>
      <c r="B575" s="25" t="s">
        <v>447</v>
      </c>
      <c r="C575" s="25" t="s">
        <v>448</v>
      </c>
      <c r="D575" s="25">
        <v>7.0</v>
      </c>
      <c r="E575" s="67">
        <f t="shared" si="1"/>
        <v>1750</v>
      </c>
      <c r="F575" s="67"/>
    </row>
    <row r="576" hidden="1">
      <c r="A576" s="6" t="s">
        <v>26</v>
      </c>
      <c r="B576" s="25" t="s">
        <v>449</v>
      </c>
      <c r="C576" s="25" t="s">
        <v>450</v>
      </c>
      <c r="D576" s="25">
        <v>3.0</v>
      </c>
      <c r="E576" s="67">
        <f t="shared" si="1"/>
        <v>750</v>
      </c>
      <c r="F576" s="67"/>
    </row>
    <row r="577" hidden="1">
      <c r="A577" s="6" t="s">
        <v>26</v>
      </c>
      <c r="B577" s="25" t="s">
        <v>451</v>
      </c>
      <c r="C577" s="25" t="s">
        <v>452</v>
      </c>
      <c r="D577" s="25">
        <v>2.0</v>
      </c>
      <c r="E577" s="67">
        <f t="shared" si="1"/>
        <v>500</v>
      </c>
      <c r="F577" s="67"/>
    </row>
    <row r="578" hidden="1">
      <c r="A578" s="6" t="s">
        <v>26</v>
      </c>
      <c r="B578" s="25" t="s">
        <v>827</v>
      </c>
      <c r="C578" s="25" t="s">
        <v>828</v>
      </c>
      <c r="D578" s="25">
        <v>2.0</v>
      </c>
      <c r="E578" s="67">
        <f t="shared" si="1"/>
        <v>500</v>
      </c>
      <c r="F578" s="67"/>
    </row>
    <row r="579" hidden="1">
      <c r="A579" s="6" t="s">
        <v>26</v>
      </c>
      <c r="B579" s="25" t="s">
        <v>453</v>
      </c>
      <c r="C579" s="25" t="s">
        <v>454</v>
      </c>
      <c r="D579" s="25">
        <v>3.0</v>
      </c>
      <c r="E579" s="67">
        <f t="shared" si="1"/>
        <v>750</v>
      </c>
      <c r="F579" s="67"/>
    </row>
    <row r="580" hidden="1">
      <c r="A580" s="6" t="s">
        <v>26</v>
      </c>
      <c r="B580" s="25" t="s">
        <v>833</v>
      </c>
      <c r="C580" s="25" t="s">
        <v>834</v>
      </c>
      <c r="D580" s="25">
        <v>6.0</v>
      </c>
      <c r="E580" s="67">
        <f t="shared" si="1"/>
        <v>1500</v>
      </c>
      <c r="F580" s="67"/>
    </row>
    <row r="581" hidden="1">
      <c r="A581" s="6" t="s">
        <v>26</v>
      </c>
      <c r="B581" s="25" t="s">
        <v>908</v>
      </c>
      <c r="C581" s="25" t="s">
        <v>909</v>
      </c>
      <c r="D581" s="25">
        <v>1.0</v>
      </c>
      <c r="E581" s="67">
        <f t="shared" si="1"/>
        <v>250</v>
      </c>
      <c r="F581" s="67"/>
    </row>
    <row r="582" hidden="1">
      <c r="A582" s="6" t="s">
        <v>26</v>
      </c>
      <c r="B582" s="25" t="s">
        <v>457</v>
      </c>
      <c r="C582" s="25" t="s">
        <v>458</v>
      </c>
      <c r="D582" s="25">
        <v>7.0</v>
      </c>
      <c r="E582" s="67">
        <f t="shared" si="1"/>
        <v>1750</v>
      </c>
      <c r="F582" s="67"/>
    </row>
    <row r="583" hidden="1">
      <c r="A583" s="6" t="s">
        <v>26</v>
      </c>
      <c r="B583" s="25" t="s">
        <v>319</v>
      </c>
      <c r="C583" s="25" t="s">
        <v>459</v>
      </c>
      <c r="D583" s="25">
        <v>4.0</v>
      </c>
      <c r="E583" s="67">
        <f t="shared" si="1"/>
        <v>1000</v>
      </c>
      <c r="F583" s="67"/>
    </row>
    <row r="584" hidden="1">
      <c r="A584" s="6" t="s">
        <v>26</v>
      </c>
      <c r="B584" s="25" t="s">
        <v>460</v>
      </c>
      <c r="C584" s="25" t="s">
        <v>461</v>
      </c>
      <c r="D584" s="25">
        <v>5.0</v>
      </c>
      <c r="E584" s="67">
        <f t="shared" si="1"/>
        <v>1250</v>
      </c>
      <c r="F584" s="67"/>
    </row>
    <row r="585" hidden="1">
      <c r="A585" s="6" t="s">
        <v>26</v>
      </c>
      <c r="B585" s="25" t="s">
        <v>910</v>
      </c>
      <c r="C585" s="25" t="s">
        <v>911</v>
      </c>
      <c r="D585" s="25">
        <v>9.0</v>
      </c>
      <c r="E585" s="67">
        <f t="shared" si="1"/>
        <v>2250</v>
      </c>
      <c r="F585" s="67"/>
    </row>
    <row r="586" hidden="1">
      <c r="A586" s="6" t="s">
        <v>26</v>
      </c>
      <c r="B586" s="25" t="s">
        <v>462</v>
      </c>
      <c r="C586" s="25" t="s">
        <v>463</v>
      </c>
      <c r="D586" s="25">
        <v>5.0</v>
      </c>
      <c r="E586" s="67">
        <f t="shared" si="1"/>
        <v>1250</v>
      </c>
      <c r="F586" s="67"/>
    </row>
    <row r="587" hidden="1">
      <c r="A587" s="6" t="s">
        <v>26</v>
      </c>
      <c r="B587" s="25" t="s">
        <v>464</v>
      </c>
      <c r="C587" s="25" t="s">
        <v>465</v>
      </c>
      <c r="D587" s="25">
        <v>5.0</v>
      </c>
      <c r="E587" s="67">
        <f t="shared" si="1"/>
        <v>1250</v>
      </c>
      <c r="F587" s="67"/>
    </row>
    <row r="588" hidden="1">
      <c r="A588" s="6" t="s">
        <v>26</v>
      </c>
      <c r="B588" s="25" t="s">
        <v>468</v>
      </c>
      <c r="C588" s="25" t="s">
        <v>469</v>
      </c>
      <c r="D588" s="25">
        <v>3.0</v>
      </c>
      <c r="E588" s="67">
        <f t="shared" si="1"/>
        <v>750</v>
      </c>
      <c r="F588" s="67"/>
    </row>
    <row r="589" hidden="1">
      <c r="A589" s="6" t="s">
        <v>26</v>
      </c>
      <c r="B589" s="25" t="s">
        <v>472</v>
      </c>
      <c r="C589" s="25" t="s">
        <v>473</v>
      </c>
      <c r="D589" s="25">
        <v>5.0</v>
      </c>
      <c r="E589" s="67">
        <f t="shared" si="1"/>
        <v>1250</v>
      </c>
      <c r="F589" s="67"/>
    </row>
    <row r="590" hidden="1">
      <c r="A590" s="6" t="s">
        <v>26</v>
      </c>
      <c r="B590" s="25" t="s">
        <v>843</v>
      </c>
      <c r="C590" s="25" t="s">
        <v>844</v>
      </c>
      <c r="D590" s="25">
        <v>9.0</v>
      </c>
      <c r="E590" s="67">
        <f t="shared" si="1"/>
        <v>2250</v>
      </c>
      <c r="F590" s="67"/>
    </row>
    <row r="591" hidden="1">
      <c r="A591" s="6" t="s">
        <v>26</v>
      </c>
      <c r="B591" s="25" t="s">
        <v>480</v>
      </c>
      <c r="C591" s="25" t="s">
        <v>481</v>
      </c>
      <c r="D591" s="25">
        <v>2.0</v>
      </c>
      <c r="E591" s="67">
        <f t="shared" si="1"/>
        <v>500</v>
      </c>
      <c r="F591" s="67"/>
    </row>
    <row r="592" hidden="1">
      <c r="A592" s="6" t="s">
        <v>26</v>
      </c>
      <c r="B592" s="25" t="s">
        <v>482</v>
      </c>
      <c r="C592" s="25" t="s">
        <v>483</v>
      </c>
      <c r="D592" s="25">
        <v>3.0</v>
      </c>
      <c r="E592" s="67">
        <f t="shared" si="1"/>
        <v>750</v>
      </c>
      <c r="F592" s="67"/>
    </row>
    <row r="593" hidden="1">
      <c r="A593" s="6" t="s">
        <v>26</v>
      </c>
      <c r="B593" s="25" t="s">
        <v>486</v>
      </c>
      <c r="C593" s="25" t="s">
        <v>487</v>
      </c>
      <c r="D593" s="25">
        <v>9.0</v>
      </c>
      <c r="E593" s="67">
        <f t="shared" si="1"/>
        <v>2250</v>
      </c>
      <c r="F593" s="67"/>
    </row>
    <row r="594" hidden="1">
      <c r="A594" s="6" t="s">
        <v>26</v>
      </c>
      <c r="B594" s="25" t="s">
        <v>492</v>
      </c>
      <c r="C594" s="25" t="s">
        <v>493</v>
      </c>
      <c r="D594" s="25">
        <v>4.0</v>
      </c>
      <c r="E594" s="67">
        <f t="shared" si="1"/>
        <v>1000</v>
      </c>
      <c r="F594" s="67"/>
    </row>
    <row r="595" hidden="1">
      <c r="A595" s="6" t="s">
        <v>26</v>
      </c>
      <c r="B595" s="25" t="s">
        <v>494</v>
      </c>
      <c r="C595" s="25" t="s">
        <v>495</v>
      </c>
      <c r="D595" s="25">
        <v>5.0</v>
      </c>
      <c r="E595" s="67">
        <f t="shared" si="1"/>
        <v>1250</v>
      </c>
      <c r="F595" s="67"/>
    </row>
    <row r="596" hidden="1">
      <c r="A596" s="6" t="s">
        <v>26</v>
      </c>
      <c r="B596" s="25" t="s">
        <v>912</v>
      </c>
      <c r="C596" s="25" t="s">
        <v>913</v>
      </c>
      <c r="D596" s="25">
        <v>1.0</v>
      </c>
      <c r="E596" s="67">
        <f t="shared" si="1"/>
        <v>250</v>
      </c>
      <c r="F596" s="67"/>
    </row>
    <row r="597" hidden="1">
      <c r="A597" s="6" t="s">
        <v>26</v>
      </c>
      <c r="B597" s="25" t="s">
        <v>500</v>
      </c>
      <c r="C597" s="25" t="s">
        <v>501</v>
      </c>
      <c r="D597" s="25">
        <v>4.0</v>
      </c>
      <c r="E597" s="67">
        <f t="shared" si="1"/>
        <v>1000</v>
      </c>
      <c r="F597" s="67"/>
    </row>
    <row r="598" hidden="1">
      <c r="A598" s="6" t="s">
        <v>26</v>
      </c>
      <c r="B598" s="25" t="s">
        <v>502</v>
      </c>
      <c r="C598" s="25" t="s">
        <v>503</v>
      </c>
      <c r="D598" s="25">
        <v>7.0</v>
      </c>
      <c r="E598" s="67">
        <f t="shared" si="1"/>
        <v>1750</v>
      </c>
      <c r="F598" s="67"/>
    </row>
    <row r="599" hidden="1">
      <c r="A599" s="6" t="s">
        <v>26</v>
      </c>
      <c r="B599" s="25" t="s">
        <v>914</v>
      </c>
      <c r="C599" s="25" t="s">
        <v>915</v>
      </c>
      <c r="D599" s="25">
        <v>0.0</v>
      </c>
      <c r="E599" s="67">
        <f t="shared" si="1"/>
        <v>0</v>
      </c>
      <c r="F599" s="67"/>
    </row>
    <row r="600" hidden="1">
      <c r="A600" s="6" t="s">
        <v>26</v>
      </c>
      <c r="B600" s="25" t="s">
        <v>916</v>
      </c>
      <c r="C600" s="25" t="s">
        <v>917</v>
      </c>
      <c r="D600" s="25">
        <v>1.0</v>
      </c>
      <c r="E600" s="67">
        <f t="shared" si="1"/>
        <v>250</v>
      </c>
      <c r="F600" s="67"/>
    </row>
    <row r="601" hidden="1">
      <c r="A601" s="6" t="s">
        <v>26</v>
      </c>
      <c r="B601" s="25" t="s">
        <v>918</v>
      </c>
      <c r="C601" s="25" t="s">
        <v>919</v>
      </c>
      <c r="D601" s="25">
        <v>0.0</v>
      </c>
      <c r="E601" s="67">
        <f t="shared" si="1"/>
        <v>0</v>
      </c>
      <c r="F601" s="67"/>
    </row>
    <row r="602" hidden="1">
      <c r="A602" s="6" t="s">
        <v>26</v>
      </c>
      <c r="B602" s="25" t="s">
        <v>516</v>
      </c>
      <c r="C602" s="25" t="s">
        <v>517</v>
      </c>
      <c r="D602" s="25">
        <v>8.0</v>
      </c>
      <c r="E602" s="67">
        <f t="shared" si="1"/>
        <v>2000</v>
      </c>
      <c r="F602" s="67"/>
    </row>
    <row r="603" hidden="1">
      <c r="A603" s="6" t="s">
        <v>26</v>
      </c>
      <c r="B603" s="25" t="s">
        <v>518</v>
      </c>
      <c r="C603" s="25" t="s">
        <v>519</v>
      </c>
      <c r="D603" s="25">
        <v>2.0</v>
      </c>
      <c r="E603" s="67">
        <f t="shared" si="1"/>
        <v>500</v>
      </c>
      <c r="F603" s="67"/>
    </row>
    <row r="604" hidden="1">
      <c r="A604" s="6" t="s">
        <v>26</v>
      </c>
      <c r="B604" s="25" t="s">
        <v>920</v>
      </c>
      <c r="C604" s="25" t="s">
        <v>921</v>
      </c>
      <c r="D604" s="25">
        <v>0.0</v>
      </c>
      <c r="E604" s="67">
        <f t="shared" si="1"/>
        <v>0</v>
      </c>
      <c r="F604" s="67"/>
    </row>
    <row r="605" hidden="1">
      <c r="A605" s="6" t="s">
        <v>26</v>
      </c>
      <c r="B605" s="25" t="s">
        <v>848</v>
      </c>
      <c r="C605" s="25" t="s">
        <v>849</v>
      </c>
      <c r="D605" s="25">
        <v>1.0</v>
      </c>
      <c r="E605" s="67">
        <f t="shared" si="1"/>
        <v>250</v>
      </c>
      <c r="F605" s="67"/>
    </row>
    <row r="606" hidden="1">
      <c r="A606" s="6" t="s">
        <v>26</v>
      </c>
      <c r="B606" s="25" t="s">
        <v>922</v>
      </c>
      <c r="C606" s="25" t="s">
        <v>923</v>
      </c>
      <c r="D606" s="25">
        <v>3.0</v>
      </c>
      <c r="E606" s="67">
        <f t="shared" si="1"/>
        <v>750</v>
      </c>
      <c r="F606" s="67"/>
    </row>
    <row r="607" hidden="1">
      <c r="A607" s="6" t="s">
        <v>26</v>
      </c>
      <c r="B607" s="25" t="s">
        <v>850</v>
      </c>
      <c r="C607" s="25" t="s">
        <v>851</v>
      </c>
      <c r="D607" s="25">
        <v>2.0</v>
      </c>
      <c r="E607" s="67">
        <f t="shared" si="1"/>
        <v>500</v>
      </c>
      <c r="F607" s="67"/>
    </row>
    <row r="608" hidden="1">
      <c r="A608" s="6" t="s">
        <v>26</v>
      </c>
      <c r="B608" s="25" t="s">
        <v>924</v>
      </c>
      <c r="C608" s="25" t="s">
        <v>925</v>
      </c>
      <c r="D608" s="25">
        <v>0.0</v>
      </c>
      <c r="E608" s="67">
        <f t="shared" si="1"/>
        <v>0</v>
      </c>
      <c r="F608" s="67"/>
    </row>
    <row r="609" hidden="1">
      <c r="A609" s="6" t="s">
        <v>26</v>
      </c>
      <c r="B609" s="25" t="s">
        <v>522</v>
      </c>
      <c r="C609" s="25" t="s">
        <v>523</v>
      </c>
      <c r="D609" s="25">
        <v>3.0</v>
      </c>
      <c r="E609" s="67">
        <f t="shared" si="1"/>
        <v>750</v>
      </c>
      <c r="F609" s="67"/>
    </row>
    <row r="610" hidden="1">
      <c r="A610" s="6" t="s">
        <v>26</v>
      </c>
      <c r="B610" s="25" t="s">
        <v>926</v>
      </c>
      <c r="C610" s="25" t="s">
        <v>927</v>
      </c>
      <c r="D610" s="25">
        <v>2.0</v>
      </c>
      <c r="E610" s="67">
        <f t="shared" si="1"/>
        <v>500</v>
      </c>
      <c r="F610" s="67"/>
    </row>
    <row r="611" hidden="1">
      <c r="A611" s="6" t="s">
        <v>26</v>
      </c>
      <c r="B611" s="25" t="s">
        <v>928</v>
      </c>
      <c r="C611" s="25" t="s">
        <v>929</v>
      </c>
      <c r="D611" s="25">
        <v>2.0</v>
      </c>
      <c r="E611" s="67">
        <f t="shared" si="1"/>
        <v>500</v>
      </c>
      <c r="F611" s="67"/>
    </row>
    <row r="612" hidden="1">
      <c r="A612" s="6" t="s">
        <v>26</v>
      </c>
      <c r="B612" s="25" t="s">
        <v>930</v>
      </c>
      <c r="C612" s="25" t="s">
        <v>931</v>
      </c>
      <c r="D612" s="25">
        <v>0.0</v>
      </c>
      <c r="E612" s="67">
        <f t="shared" si="1"/>
        <v>0</v>
      </c>
      <c r="F612" s="67"/>
    </row>
    <row r="613" hidden="1">
      <c r="A613" s="6" t="s">
        <v>26</v>
      </c>
      <c r="B613" s="25" t="s">
        <v>852</v>
      </c>
      <c r="C613" s="25" t="s">
        <v>853</v>
      </c>
      <c r="D613" s="25">
        <v>8.0</v>
      </c>
      <c r="E613" s="67">
        <f t="shared" si="1"/>
        <v>2000</v>
      </c>
      <c r="F613" s="67"/>
    </row>
    <row r="614" hidden="1">
      <c r="A614" s="6" t="s">
        <v>26</v>
      </c>
      <c r="B614" s="25" t="s">
        <v>854</v>
      </c>
      <c r="C614" s="25" t="s">
        <v>855</v>
      </c>
      <c r="D614" s="25">
        <v>1.0</v>
      </c>
      <c r="E614" s="67">
        <f t="shared" si="1"/>
        <v>250</v>
      </c>
      <c r="F614" s="67"/>
    </row>
    <row r="615" hidden="1">
      <c r="A615" s="6" t="s">
        <v>26</v>
      </c>
      <c r="B615" s="25" t="s">
        <v>532</v>
      </c>
      <c r="C615" s="25" t="s">
        <v>533</v>
      </c>
      <c r="D615" s="25">
        <v>3.0</v>
      </c>
      <c r="E615" s="67">
        <f t="shared" si="1"/>
        <v>750</v>
      </c>
      <c r="F615" s="67"/>
    </row>
    <row r="616" hidden="1">
      <c r="A616" s="6" t="s">
        <v>26</v>
      </c>
      <c r="B616" s="25" t="s">
        <v>536</v>
      </c>
      <c r="C616" s="25" t="s">
        <v>537</v>
      </c>
      <c r="D616" s="25">
        <v>5.0</v>
      </c>
      <c r="E616" s="67">
        <f t="shared" si="1"/>
        <v>1250</v>
      </c>
      <c r="F616" s="67"/>
    </row>
    <row r="617" hidden="1">
      <c r="A617" s="6" t="s">
        <v>26</v>
      </c>
      <c r="B617" s="25" t="s">
        <v>932</v>
      </c>
      <c r="C617" s="25" t="s">
        <v>933</v>
      </c>
      <c r="D617" s="25">
        <v>2.0</v>
      </c>
      <c r="E617" s="67">
        <f t="shared" si="1"/>
        <v>500</v>
      </c>
      <c r="F617" s="67"/>
    </row>
    <row r="618" hidden="1">
      <c r="A618" s="6" t="s">
        <v>26</v>
      </c>
      <c r="B618" s="25" t="s">
        <v>542</v>
      </c>
      <c r="C618" s="25" t="s">
        <v>543</v>
      </c>
      <c r="D618" s="25">
        <v>9.0</v>
      </c>
      <c r="E618" s="67">
        <f t="shared" si="1"/>
        <v>2250</v>
      </c>
      <c r="F618" s="67"/>
    </row>
    <row r="619" hidden="1">
      <c r="A619" s="6" t="s">
        <v>26</v>
      </c>
      <c r="B619" s="25" t="s">
        <v>546</v>
      </c>
      <c r="C619" s="25" t="s">
        <v>547</v>
      </c>
      <c r="D619" s="25">
        <v>9.0</v>
      </c>
      <c r="E619" s="67">
        <f t="shared" si="1"/>
        <v>2250</v>
      </c>
      <c r="F619" s="67"/>
    </row>
    <row r="620" hidden="1">
      <c r="A620" s="6" t="s">
        <v>26</v>
      </c>
      <c r="B620" s="25" t="s">
        <v>934</v>
      </c>
      <c r="C620" s="25" t="s">
        <v>935</v>
      </c>
      <c r="D620" s="25">
        <v>0.0</v>
      </c>
      <c r="E620" s="67">
        <f t="shared" si="1"/>
        <v>0</v>
      </c>
      <c r="F620" s="67"/>
    </row>
    <row r="621" hidden="1">
      <c r="A621" s="6" t="s">
        <v>26</v>
      </c>
      <c r="B621" s="25" t="s">
        <v>856</v>
      </c>
      <c r="C621" s="25" t="s">
        <v>857</v>
      </c>
      <c r="D621" s="25">
        <v>1.0</v>
      </c>
      <c r="E621" s="67">
        <f t="shared" si="1"/>
        <v>250</v>
      </c>
      <c r="F621" s="67"/>
    </row>
    <row r="622" hidden="1">
      <c r="A622" s="6" t="s">
        <v>26</v>
      </c>
      <c r="B622" s="25" t="s">
        <v>560</v>
      </c>
      <c r="C622" s="25" t="s">
        <v>561</v>
      </c>
      <c r="D622" s="25">
        <v>5.0</v>
      </c>
      <c r="E622" s="67">
        <f t="shared" si="1"/>
        <v>1250</v>
      </c>
      <c r="F622" s="67"/>
    </row>
    <row r="623" hidden="1">
      <c r="A623" s="6" t="s">
        <v>26</v>
      </c>
      <c r="B623" s="25" t="s">
        <v>564</v>
      </c>
      <c r="C623" s="25" t="s">
        <v>565</v>
      </c>
      <c r="D623" s="25">
        <v>1.0</v>
      </c>
      <c r="E623" s="67">
        <f t="shared" si="1"/>
        <v>250</v>
      </c>
      <c r="F623" s="67"/>
    </row>
    <row r="624" hidden="1">
      <c r="A624" s="6" t="s">
        <v>26</v>
      </c>
      <c r="B624" s="25" t="s">
        <v>566</v>
      </c>
      <c r="C624" s="25" t="s">
        <v>567</v>
      </c>
      <c r="D624" s="25">
        <v>3.0</v>
      </c>
      <c r="E624" s="67">
        <f t="shared" si="1"/>
        <v>750</v>
      </c>
      <c r="F624" s="67"/>
    </row>
    <row r="625" hidden="1">
      <c r="A625" s="6" t="s">
        <v>26</v>
      </c>
      <c r="B625" s="25" t="s">
        <v>858</v>
      </c>
      <c r="C625" s="25" t="s">
        <v>859</v>
      </c>
      <c r="D625" s="25">
        <v>4.0</v>
      </c>
      <c r="E625" s="67">
        <f t="shared" si="1"/>
        <v>1000</v>
      </c>
      <c r="F625" s="67"/>
    </row>
    <row r="626" hidden="1">
      <c r="A626" s="6" t="s">
        <v>26</v>
      </c>
      <c r="B626" s="25" t="s">
        <v>862</v>
      </c>
      <c r="C626" s="25" t="s">
        <v>863</v>
      </c>
      <c r="D626" s="25">
        <v>3.0</v>
      </c>
      <c r="E626" s="67">
        <f t="shared" si="1"/>
        <v>750</v>
      </c>
      <c r="F626" s="67"/>
    </row>
    <row r="627" hidden="1">
      <c r="A627" s="6" t="s">
        <v>26</v>
      </c>
      <c r="B627" s="25" t="s">
        <v>572</v>
      </c>
      <c r="C627" s="25" t="s">
        <v>573</v>
      </c>
      <c r="D627" s="25">
        <v>3.0</v>
      </c>
      <c r="E627" s="67">
        <f t="shared" si="1"/>
        <v>750</v>
      </c>
      <c r="F627" s="67"/>
    </row>
    <row r="628" hidden="1">
      <c r="A628" s="6" t="s">
        <v>26</v>
      </c>
      <c r="B628" s="25" t="s">
        <v>864</v>
      </c>
      <c r="C628" s="25" t="s">
        <v>865</v>
      </c>
      <c r="D628" s="25">
        <v>1.0</v>
      </c>
      <c r="E628" s="67">
        <f t="shared" si="1"/>
        <v>250</v>
      </c>
      <c r="F628" s="67"/>
    </row>
    <row r="629" hidden="1">
      <c r="A629" s="6" t="s">
        <v>26</v>
      </c>
      <c r="B629" s="25" t="s">
        <v>936</v>
      </c>
      <c r="C629" s="25" t="s">
        <v>937</v>
      </c>
      <c r="D629" s="25">
        <v>0.0</v>
      </c>
      <c r="E629" s="67">
        <f t="shared" si="1"/>
        <v>0</v>
      </c>
      <c r="F629" s="67"/>
    </row>
    <row r="630" hidden="1">
      <c r="A630" s="6" t="s">
        <v>26</v>
      </c>
      <c r="B630" s="25" t="s">
        <v>576</v>
      </c>
      <c r="C630" s="25" t="s">
        <v>577</v>
      </c>
      <c r="D630" s="25">
        <v>5.0</v>
      </c>
      <c r="E630" s="67">
        <f t="shared" si="1"/>
        <v>1250</v>
      </c>
      <c r="F630" s="67"/>
    </row>
    <row r="631" hidden="1">
      <c r="A631" s="6" t="s">
        <v>26</v>
      </c>
      <c r="B631" s="25" t="s">
        <v>588</v>
      </c>
      <c r="C631" s="25" t="s">
        <v>589</v>
      </c>
      <c r="D631" s="25">
        <v>5.0</v>
      </c>
      <c r="E631" s="67">
        <f t="shared" si="1"/>
        <v>1250</v>
      </c>
      <c r="F631" s="67"/>
    </row>
    <row r="632" hidden="1">
      <c r="A632" s="6" t="s">
        <v>26</v>
      </c>
      <c r="B632" s="25" t="s">
        <v>938</v>
      </c>
      <c r="C632" s="25" t="s">
        <v>939</v>
      </c>
      <c r="D632" s="25">
        <v>1.0</v>
      </c>
      <c r="E632" s="67">
        <f t="shared" si="1"/>
        <v>250</v>
      </c>
      <c r="F632" s="67"/>
    </row>
    <row r="633" hidden="1">
      <c r="A633" s="6" t="s">
        <v>26</v>
      </c>
      <c r="B633" s="25" t="s">
        <v>866</v>
      </c>
      <c r="C633" s="25" t="s">
        <v>867</v>
      </c>
      <c r="D633" s="25">
        <v>0.0</v>
      </c>
      <c r="E633" s="67">
        <f t="shared" si="1"/>
        <v>0</v>
      </c>
      <c r="F633" s="67"/>
    </row>
    <row r="634" hidden="1">
      <c r="A634" s="6" t="s">
        <v>26</v>
      </c>
      <c r="B634" s="25" t="s">
        <v>596</v>
      </c>
      <c r="C634" s="25" t="s">
        <v>597</v>
      </c>
      <c r="D634" s="25">
        <v>7.0</v>
      </c>
      <c r="E634" s="67">
        <f t="shared" si="1"/>
        <v>1750</v>
      </c>
      <c r="F634" s="67"/>
    </row>
    <row r="635" hidden="1">
      <c r="A635" s="6" t="s">
        <v>26</v>
      </c>
      <c r="B635" s="25" t="s">
        <v>602</v>
      </c>
      <c r="C635" s="25" t="s">
        <v>603</v>
      </c>
      <c r="D635" s="25">
        <v>2.0</v>
      </c>
      <c r="E635" s="67">
        <f t="shared" si="1"/>
        <v>500</v>
      </c>
      <c r="F635" s="67"/>
    </row>
    <row r="636" hidden="1">
      <c r="A636" s="6" t="s">
        <v>26</v>
      </c>
      <c r="B636" s="25" t="s">
        <v>604</v>
      </c>
      <c r="C636" s="25" t="s">
        <v>605</v>
      </c>
      <c r="D636" s="25">
        <v>6.0</v>
      </c>
      <c r="E636" s="67">
        <f t="shared" si="1"/>
        <v>1500</v>
      </c>
      <c r="F636" s="67"/>
    </row>
    <row r="637" hidden="1">
      <c r="A637" s="6" t="s">
        <v>26</v>
      </c>
      <c r="B637" s="25" t="s">
        <v>606</v>
      </c>
      <c r="C637" s="25" t="s">
        <v>607</v>
      </c>
      <c r="D637" s="25">
        <v>1.0</v>
      </c>
      <c r="E637" s="67">
        <f t="shared" si="1"/>
        <v>250</v>
      </c>
      <c r="F637" s="67"/>
    </row>
    <row r="638" hidden="1">
      <c r="A638" s="6" t="s">
        <v>26</v>
      </c>
      <c r="B638" s="25" t="s">
        <v>614</v>
      </c>
      <c r="C638" s="25" t="s">
        <v>615</v>
      </c>
      <c r="D638" s="25">
        <v>2.0</v>
      </c>
      <c r="E638" s="67">
        <f t="shared" si="1"/>
        <v>500</v>
      </c>
      <c r="F638" s="67"/>
    </row>
    <row r="639" hidden="1">
      <c r="A639" s="6" t="s">
        <v>26</v>
      </c>
      <c r="B639" s="25" t="s">
        <v>620</v>
      </c>
      <c r="C639" s="25" t="s">
        <v>621</v>
      </c>
      <c r="D639" s="25">
        <v>7.0</v>
      </c>
      <c r="E639" s="67">
        <f t="shared" si="1"/>
        <v>1750</v>
      </c>
      <c r="F639" s="67"/>
    </row>
    <row r="640" hidden="1">
      <c r="A640" s="6" t="s">
        <v>26</v>
      </c>
      <c r="B640" s="25" t="s">
        <v>868</v>
      </c>
      <c r="C640" s="25" t="s">
        <v>869</v>
      </c>
      <c r="D640" s="25">
        <v>3.0</v>
      </c>
      <c r="E640" s="67">
        <f t="shared" si="1"/>
        <v>750</v>
      </c>
      <c r="F640" s="67"/>
    </row>
    <row r="641" hidden="1">
      <c r="A641" s="6" t="s">
        <v>26</v>
      </c>
      <c r="B641" s="25" t="s">
        <v>622</v>
      </c>
      <c r="C641" s="25" t="s">
        <v>623</v>
      </c>
      <c r="D641" s="25">
        <v>5.0</v>
      </c>
      <c r="E641" s="67">
        <f t="shared" si="1"/>
        <v>1250</v>
      </c>
      <c r="F641" s="67"/>
    </row>
    <row r="642" hidden="1">
      <c r="A642" s="6" t="s">
        <v>26</v>
      </c>
      <c r="B642" s="25" t="s">
        <v>624</v>
      </c>
      <c r="C642" s="25" t="s">
        <v>625</v>
      </c>
      <c r="D642" s="25">
        <v>6.0</v>
      </c>
      <c r="E642" s="67">
        <f t="shared" si="1"/>
        <v>1500</v>
      </c>
      <c r="F642" s="67"/>
    </row>
    <row r="643" hidden="1">
      <c r="A643" s="6" t="s">
        <v>26</v>
      </c>
      <c r="B643" s="25" t="s">
        <v>626</v>
      </c>
      <c r="C643" s="25" t="s">
        <v>627</v>
      </c>
      <c r="D643" s="25">
        <v>3.0</v>
      </c>
      <c r="E643" s="67">
        <f t="shared" si="1"/>
        <v>750</v>
      </c>
      <c r="F643" s="67"/>
    </row>
    <row r="644" hidden="1">
      <c r="A644" s="6" t="s">
        <v>26</v>
      </c>
      <c r="B644" s="25" t="s">
        <v>628</v>
      </c>
      <c r="C644" s="25" t="s">
        <v>629</v>
      </c>
      <c r="D644" s="25">
        <v>4.0</v>
      </c>
      <c r="E644" s="67">
        <f t="shared" si="1"/>
        <v>1000</v>
      </c>
      <c r="F644" s="67"/>
    </row>
    <row r="645" hidden="1">
      <c r="A645" s="6" t="s">
        <v>26</v>
      </c>
      <c r="B645" s="25" t="s">
        <v>872</v>
      </c>
      <c r="C645" s="25" t="s">
        <v>873</v>
      </c>
      <c r="D645" s="25">
        <v>1.0</v>
      </c>
      <c r="E645" s="67">
        <f t="shared" si="1"/>
        <v>250</v>
      </c>
      <c r="F645" s="67"/>
    </row>
    <row r="646" hidden="1">
      <c r="A646" s="6" t="s">
        <v>26</v>
      </c>
      <c r="B646" s="25" t="s">
        <v>874</v>
      </c>
      <c r="C646" s="25" t="s">
        <v>875</v>
      </c>
      <c r="D646" s="25">
        <v>6.0</v>
      </c>
      <c r="E646" s="67">
        <f t="shared" si="1"/>
        <v>1500</v>
      </c>
      <c r="F646" s="67"/>
    </row>
    <row r="647" hidden="1">
      <c r="A647" s="6" t="s">
        <v>26</v>
      </c>
      <c r="B647" s="25" t="s">
        <v>940</v>
      </c>
      <c r="C647" s="25" t="s">
        <v>941</v>
      </c>
      <c r="D647" s="25">
        <v>0.0</v>
      </c>
      <c r="E647" s="67">
        <f t="shared" si="1"/>
        <v>0</v>
      </c>
      <c r="F647" s="67"/>
    </row>
    <row r="648" hidden="1">
      <c r="A648" s="6" t="s">
        <v>26</v>
      </c>
      <c r="B648" s="25" t="s">
        <v>817</v>
      </c>
      <c r="C648" s="25" t="s">
        <v>818</v>
      </c>
      <c r="D648" s="25">
        <v>7.0</v>
      </c>
      <c r="E648" s="67">
        <f t="shared" si="1"/>
        <v>1750</v>
      </c>
      <c r="F648" s="67"/>
    </row>
    <row r="649" hidden="1">
      <c r="A649" s="6" t="s">
        <v>26</v>
      </c>
      <c r="B649" s="25" t="s">
        <v>638</v>
      </c>
      <c r="C649" s="25" t="s">
        <v>639</v>
      </c>
      <c r="D649" s="25">
        <v>2.0</v>
      </c>
      <c r="E649" s="67">
        <f t="shared" si="1"/>
        <v>500</v>
      </c>
      <c r="F649" s="67"/>
    </row>
    <row r="650" hidden="1">
      <c r="A650" s="6" t="s">
        <v>26</v>
      </c>
      <c r="B650" s="25" t="s">
        <v>311</v>
      </c>
      <c r="C650" s="25" t="s">
        <v>312</v>
      </c>
      <c r="D650" s="25">
        <v>4.0</v>
      </c>
      <c r="E650" s="67">
        <f t="shared" si="1"/>
        <v>1000</v>
      </c>
      <c r="F650" s="67"/>
    </row>
    <row r="651" hidden="1">
      <c r="A651" s="6" t="s">
        <v>26</v>
      </c>
      <c r="B651" s="25" t="s">
        <v>942</v>
      </c>
      <c r="C651" s="25" t="s">
        <v>943</v>
      </c>
      <c r="D651" s="25">
        <v>1.0</v>
      </c>
      <c r="E651" s="67">
        <f t="shared" si="1"/>
        <v>250</v>
      </c>
      <c r="F651" s="67"/>
    </row>
    <row r="652" hidden="1">
      <c r="A652" s="6" t="s">
        <v>26</v>
      </c>
      <c r="B652" s="25" t="s">
        <v>642</v>
      </c>
      <c r="C652" s="25" t="s">
        <v>643</v>
      </c>
      <c r="D652" s="25">
        <v>3.0</v>
      </c>
      <c r="E652" s="67">
        <f t="shared" si="1"/>
        <v>750</v>
      </c>
      <c r="F652" s="67"/>
    </row>
    <row r="653" hidden="1">
      <c r="A653" s="6" t="s">
        <v>26</v>
      </c>
      <c r="B653" s="25" t="s">
        <v>878</v>
      </c>
      <c r="C653" s="25" t="s">
        <v>879</v>
      </c>
      <c r="D653" s="25">
        <v>1.0</v>
      </c>
      <c r="E653" s="67">
        <f t="shared" si="1"/>
        <v>250</v>
      </c>
      <c r="F653" s="67"/>
    </row>
    <row r="654" hidden="1">
      <c r="A654" s="6" t="s">
        <v>26</v>
      </c>
      <c r="B654" s="25" t="s">
        <v>880</v>
      </c>
      <c r="C654" s="25" t="s">
        <v>881</v>
      </c>
      <c r="D654" s="25">
        <v>3.0</v>
      </c>
      <c r="E654" s="67">
        <f t="shared" si="1"/>
        <v>750</v>
      </c>
      <c r="F654" s="67"/>
    </row>
    <row r="655" hidden="1">
      <c r="A655" s="6" t="s">
        <v>26</v>
      </c>
      <c r="B655" s="25" t="s">
        <v>650</v>
      </c>
      <c r="C655" s="25" t="s">
        <v>651</v>
      </c>
      <c r="D655" s="25">
        <v>0.0</v>
      </c>
      <c r="E655" s="67">
        <f t="shared" si="1"/>
        <v>0</v>
      </c>
      <c r="F655" s="67"/>
    </row>
    <row r="656" hidden="1">
      <c r="A656" s="6" t="s">
        <v>26</v>
      </c>
      <c r="B656" s="25" t="s">
        <v>882</v>
      </c>
      <c r="C656" s="25" t="s">
        <v>883</v>
      </c>
      <c r="D656" s="25">
        <v>8.0</v>
      </c>
      <c r="E656" s="67">
        <f t="shared" si="1"/>
        <v>2000</v>
      </c>
      <c r="F656" s="67"/>
    </row>
    <row r="657" hidden="1">
      <c r="A657" s="6" t="s">
        <v>26</v>
      </c>
      <c r="B657" s="25" t="s">
        <v>807</v>
      </c>
      <c r="C657" s="25" t="s">
        <v>808</v>
      </c>
      <c r="D657" s="25">
        <v>5.0</v>
      </c>
      <c r="E657" s="67">
        <f t="shared" si="1"/>
        <v>1250</v>
      </c>
      <c r="F657" s="67"/>
    </row>
    <row r="658" hidden="1">
      <c r="A658" s="6" t="s">
        <v>26</v>
      </c>
      <c r="B658" s="25" t="s">
        <v>656</v>
      </c>
      <c r="C658" s="25" t="s">
        <v>657</v>
      </c>
      <c r="D658" s="25">
        <v>5.0</v>
      </c>
      <c r="E658" s="67">
        <f t="shared" si="1"/>
        <v>1250</v>
      </c>
      <c r="F658" s="67"/>
    </row>
    <row r="659" hidden="1">
      <c r="A659" s="6" t="s">
        <v>26</v>
      </c>
      <c r="B659" s="25" t="s">
        <v>944</v>
      </c>
      <c r="C659" s="25" t="s">
        <v>945</v>
      </c>
      <c r="D659" s="25">
        <v>2.0</v>
      </c>
      <c r="E659" s="67">
        <f t="shared" si="1"/>
        <v>500</v>
      </c>
      <c r="F659" s="67"/>
    </row>
    <row r="660" hidden="1">
      <c r="A660" s="6" t="s">
        <v>26</v>
      </c>
      <c r="B660" s="25" t="s">
        <v>821</v>
      </c>
      <c r="C660" s="25" t="s">
        <v>822</v>
      </c>
      <c r="D660" s="25">
        <v>6.0</v>
      </c>
      <c r="E660" s="67">
        <f t="shared" si="1"/>
        <v>1500</v>
      </c>
      <c r="F660" s="67"/>
    </row>
    <row r="661" hidden="1">
      <c r="A661" s="6" t="s">
        <v>26</v>
      </c>
      <c r="B661" s="25" t="s">
        <v>658</v>
      </c>
      <c r="C661" s="25" t="s">
        <v>659</v>
      </c>
      <c r="D661" s="25">
        <v>2.0</v>
      </c>
      <c r="E661" s="67">
        <f t="shared" si="1"/>
        <v>500</v>
      </c>
      <c r="F661" s="67"/>
    </row>
    <row r="662" hidden="1">
      <c r="A662" s="6" t="s">
        <v>26</v>
      </c>
      <c r="B662" s="25" t="s">
        <v>660</v>
      </c>
      <c r="C662" s="25" t="s">
        <v>661</v>
      </c>
      <c r="D662" s="25">
        <v>4.0</v>
      </c>
      <c r="E662" s="67">
        <f t="shared" si="1"/>
        <v>1000</v>
      </c>
      <c r="F662" s="67"/>
    </row>
    <row r="663" hidden="1">
      <c r="A663" s="6" t="s">
        <v>26</v>
      </c>
      <c r="B663" s="25" t="s">
        <v>884</v>
      </c>
      <c r="C663" s="25" t="s">
        <v>885</v>
      </c>
      <c r="D663" s="25">
        <v>3.0</v>
      </c>
      <c r="E663" s="67">
        <f t="shared" si="1"/>
        <v>750</v>
      </c>
      <c r="F663" s="67"/>
    </row>
    <row r="664" hidden="1">
      <c r="A664" s="6" t="s">
        <v>26</v>
      </c>
      <c r="B664" s="25" t="s">
        <v>886</v>
      </c>
      <c r="C664" s="25" t="s">
        <v>887</v>
      </c>
      <c r="D664" s="25">
        <v>1.0</v>
      </c>
      <c r="E664" s="67">
        <f t="shared" si="1"/>
        <v>250</v>
      </c>
      <c r="F664" s="67"/>
    </row>
    <row r="665" hidden="1">
      <c r="A665" s="6" t="s">
        <v>26</v>
      </c>
      <c r="B665" s="25" t="s">
        <v>813</v>
      </c>
      <c r="C665" s="25" t="s">
        <v>814</v>
      </c>
      <c r="D665" s="25">
        <v>3.0</v>
      </c>
      <c r="E665" s="67">
        <f t="shared" si="1"/>
        <v>750</v>
      </c>
      <c r="F665" s="67"/>
    </row>
    <row r="666" hidden="1">
      <c r="A666" s="6" t="s">
        <v>26</v>
      </c>
      <c r="B666" s="25" t="s">
        <v>668</v>
      </c>
      <c r="C666" s="25" t="s">
        <v>669</v>
      </c>
      <c r="D666" s="25">
        <v>3.0</v>
      </c>
      <c r="E666" s="67">
        <f t="shared" si="1"/>
        <v>750</v>
      </c>
      <c r="F666" s="67"/>
    </row>
    <row r="667" hidden="1">
      <c r="A667" s="6" t="s">
        <v>26</v>
      </c>
      <c r="B667" s="25" t="s">
        <v>946</v>
      </c>
      <c r="C667" s="25" t="s">
        <v>947</v>
      </c>
      <c r="D667" s="25">
        <v>0.0</v>
      </c>
      <c r="E667" s="67">
        <f t="shared" si="1"/>
        <v>0</v>
      </c>
      <c r="F667" s="67"/>
    </row>
    <row r="668" hidden="1">
      <c r="A668" s="6" t="s">
        <v>26</v>
      </c>
      <c r="B668" s="25" t="s">
        <v>672</v>
      </c>
      <c r="C668" s="25" t="s">
        <v>673</v>
      </c>
      <c r="D668" s="25">
        <v>4.0</v>
      </c>
      <c r="E668" s="67">
        <f t="shared" si="1"/>
        <v>1000</v>
      </c>
      <c r="F668" s="67"/>
    </row>
    <row r="669" hidden="1">
      <c r="A669" s="6" t="s">
        <v>26</v>
      </c>
      <c r="B669" s="25" t="s">
        <v>680</v>
      </c>
      <c r="C669" s="25" t="s">
        <v>681</v>
      </c>
      <c r="D669" s="25">
        <v>5.0</v>
      </c>
      <c r="E669" s="67">
        <f t="shared" si="1"/>
        <v>1250</v>
      </c>
      <c r="F669" s="67"/>
    </row>
    <row r="670" hidden="1">
      <c r="A670" s="6" t="s">
        <v>26</v>
      </c>
      <c r="B670" s="25" t="s">
        <v>888</v>
      </c>
      <c r="C670" s="25" t="s">
        <v>889</v>
      </c>
      <c r="D670" s="25">
        <v>1.0</v>
      </c>
      <c r="E670" s="67">
        <f t="shared" si="1"/>
        <v>250</v>
      </c>
      <c r="F670" s="67"/>
    </row>
    <row r="671" hidden="1">
      <c r="A671" s="6" t="s">
        <v>26</v>
      </c>
      <c r="B671" s="25" t="s">
        <v>684</v>
      </c>
      <c r="C671" s="25" t="s">
        <v>685</v>
      </c>
      <c r="D671" s="25">
        <v>5.0</v>
      </c>
      <c r="E671" s="67">
        <f t="shared" si="1"/>
        <v>1250</v>
      </c>
      <c r="F671" s="67"/>
    </row>
    <row r="672" hidden="1">
      <c r="A672" s="6" t="s">
        <v>26</v>
      </c>
      <c r="B672" s="25" t="s">
        <v>688</v>
      </c>
      <c r="C672" s="25" t="s">
        <v>689</v>
      </c>
      <c r="D672" s="25">
        <v>2.0</v>
      </c>
      <c r="E672" s="67">
        <f t="shared" si="1"/>
        <v>500</v>
      </c>
      <c r="F672" s="67"/>
    </row>
    <row r="673" hidden="1">
      <c r="A673" s="6" t="s">
        <v>26</v>
      </c>
      <c r="B673" s="25" t="s">
        <v>948</v>
      </c>
      <c r="C673" s="25" t="s">
        <v>949</v>
      </c>
      <c r="D673" s="25">
        <v>0.0</v>
      </c>
      <c r="E673" s="67">
        <f t="shared" si="1"/>
        <v>0</v>
      </c>
      <c r="F673" s="67"/>
    </row>
    <row r="674" hidden="1">
      <c r="A674" s="6" t="s">
        <v>26</v>
      </c>
      <c r="B674" s="25" t="s">
        <v>307</v>
      </c>
      <c r="C674" s="25" t="s">
        <v>692</v>
      </c>
      <c r="D674" s="25">
        <v>4.0</v>
      </c>
      <c r="E674" s="67">
        <f t="shared" si="1"/>
        <v>1000</v>
      </c>
      <c r="F674" s="67"/>
    </row>
    <row r="675" hidden="1">
      <c r="A675" s="6" t="s">
        <v>26</v>
      </c>
      <c r="B675" s="25" t="s">
        <v>693</v>
      </c>
      <c r="C675" s="25" t="s">
        <v>694</v>
      </c>
      <c r="D675" s="25">
        <v>4.0</v>
      </c>
      <c r="E675" s="67">
        <f t="shared" si="1"/>
        <v>1000</v>
      </c>
      <c r="F675" s="67"/>
    </row>
    <row r="676" hidden="1">
      <c r="A676" s="6" t="s">
        <v>26</v>
      </c>
      <c r="B676" s="25" t="s">
        <v>950</v>
      </c>
      <c r="C676" s="25" t="s">
        <v>951</v>
      </c>
      <c r="D676" s="25">
        <v>1.0</v>
      </c>
      <c r="E676" s="67">
        <f t="shared" si="1"/>
        <v>250</v>
      </c>
      <c r="F676" s="67"/>
    </row>
    <row r="677" hidden="1">
      <c r="A677" s="6" t="s">
        <v>26</v>
      </c>
      <c r="B677" s="25" t="s">
        <v>701</v>
      </c>
      <c r="C677" s="25" t="s">
        <v>702</v>
      </c>
      <c r="D677" s="25">
        <v>4.0</v>
      </c>
      <c r="E677" s="67">
        <f t="shared" si="1"/>
        <v>1000</v>
      </c>
      <c r="F677" s="67"/>
    </row>
    <row r="678" hidden="1">
      <c r="A678" s="6" t="s">
        <v>26</v>
      </c>
      <c r="B678" s="25" t="s">
        <v>703</v>
      </c>
      <c r="C678" s="25" t="s">
        <v>704</v>
      </c>
      <c r="D678" s="25">
        <v>4.0</v>
      </c>
      <c r="E678" s="67">
        <f t="shared" si="1"/>
        <v>1000</v>
      </c>
      <c r="F678" s="67"/>
    </row>
    <row r="679" hidden="1">
      <c r="A679" s="6" t="s">
        <v>26</v>
      </c>
      <c r="B679" s="25" t="s">
        <v>705</v>
      </c>
      <c r="C679" s="25" t="s">
        <v>706</v>
      </c>
      <c r="D679" s="25">
        <v>4.0</v>
      </c>
      <c r="E679" s="67">
        <f t="shared" si="1"/>
        <v>1000</v>
      </c>
      <c r="F679" s="67"/>
    </row>
    <row r="680" hidden="1">
      <c r="A680" s="6" t="s">
        <v>26</v>
      </c>
      <c r="B680" s="25" t="s">
        <v>707</v>
      </c>
      <c r="C680" s="25" t="s">
        <v>708</v>
      </c>
      <c r="D680" s="25">
        <v>2.0</v>
      </c>
      <c r="E680" s="67">
        <f t="shared" si="1"/>
        <v>500</v>
      </c>
      <c r="F680" s="67"/>
    </row>
    <row r="681" hidden="1">
      <c r="A681" s="6" t="s">
        <v>26</v>
      </c>
      <c r="B681" s="25" t="s">
        <v>709</v>
      </c>
      <c r="C681" s="25" t="s">
        <v>710</v>
      </c>
      <c r="D681" s="25">
        <v>2.0</v>
      </c>
      <c r="E681" s="67">
        <f t="shared" si="1"/>
        <v>500</v>
      </c>
      <c r="F681" s="67"/>
    </row>
    <row r="682" hidden="1">
      <c r="A682" s="6" t="s">
        <v>26</v>
      </c>
      <c r="B682" s="25" t="s">
        <v>717</v>
      </c>
      <c r="C682" s="25" t="s">
        <v>718</v>
      </c>
      <c r="D682" s="25">
        <v>2.0</v>
      </c>
      <c r="E682" s="67">
        <f t="shared" si="1"/>
        <v>500</v>
      </c>
      <c r="F682" s="67"/>
    </row>
    <row r="683" hidden="1">
      <c r="A683" s="6" t="s">
        <v>26</v>
      </c>
      <c r="B683" s="25" t="s">
        <v>719</v>
      </c>
      <c r="C683" s="25" t="s">
        <v>720</v>
      </c>
      <c r="D683" s="25">
        <v>2.0</v>
      </c>
      <c r="E683" s="67">
        <f t="shared" si="1"/>
        <v>500</v>
      </c>
      <c r="F683" s="67"/>
    </row>
    <row r="684" hidden="1">
      <c r="A684" s="6" t="s">
        <v>26</v>
      </c>
      <c r="B684" s="25" t="s">
        <v>721</v>
      </c>
      <c r="C684" s="25" t="s">
        <v>722</v>
      </c>
      <c r="D684" s="25">
        <v>4.0</v>
      </c>
      <c r="E684" s="67">
        <f t="shared" si="1"/>
        <v>1000</v>
      </c>
      <c r="F684" s="67"/>
    </row>
    <row r="685" hidden="1">
      <c r="A685" s="6" t="s">
        <v>26</v>
      </c>
      <c r="B685" s="25" t="s">
        <v>725</v>
      </c>
      <c r="C685" s="25" t="s">
        <v>726</v>
      </c>
      <c r="D685" s="25">
        <v>5.0</v>
      </c>
      <c r="E685" s="67">
        <f t="shared" si="1"/>
        <v>1250</v>
      </c>
      <c r="F685" s="67"/>
    </row>
    <row r="686" hidden="1">
      <c r="A686" s="6" t="s">
        <v>26</v>
      </c>
      <c r="B686" s="25" t="s">
        <v>729</v>
      </c>
      <c r="C686" s="25" t="s">
        <v>730</v>
      </c>
      <c r="D686" s="25">
        <v>4.0</v>
      </c>
      <c r="E686" s="67">
        <f t="shared" si="1"/>
        <v>1000</v>
      </c>
      <c r="F686" s="67"/>
    </row>
    <row r="687" hidden="1">
      <c r="A687" s="6" t="s">
        <v>26</v>
      </c>
      <c r="B687" s="25" t="s">
        <v>890</v>
      </c>
      <c r="C687" s="25" t="s">
        <v>891</v>
      </c>
      <c r="D687" s="25">
        <v>2.0</v>
      </c>
      <c r="E687" s="67">
        <f t="shared" si="1"/>
        <v>500</v>
      </c>
      <c r="F687" s="67"/>
    </row>
    <row r="688" hidden="1">
      <c r="A688" s="6" t="s">
        <v>26</v>
      </c>
      <c r="B688" s="25" t="s">
        <v>823</v>
      </c>
      <c r="C688" s="25" t="s">
        <v>824</v>
      </c>
      <c r="D688" s="25">
        <v>7.0</v>
      </c>
      <c r="E688" s="67">
        <f t="shared" si="1"/>
        <v>1750</v>
      </c>
      <c r="F688" s="67"/>
    </row>
    <row r="689" hidden="1">
      <c r="A689" s="6" t="s">
        <v>26</v>
      </c>
      <c r="B689" s="25" t="s">
        <v>302</v>
      </c>
      <c r="C689" s="25" t="s">
        <v>733</v>
      </c>
      <c r="D689" s="25">
        <v>5.0</v>
      </c>
      <c r="E689" s="67">
        <f t="shared" si="1"/>
        <v>1250</v>
      </c>
      <c r="F689" s="67"/>
    </row>
    <row r="690" hidden="1">
      <c r="A690" s="6" t="s">
        <v>26</v>
      </c>
      <c r="B690" s="25" t="s">
        <v>742</v>
      </c>
      <c r="C690" s="25" t="s">
        <v>743</v>
      </c>
      <c r="D690" s="25">
        <v>2.0</v>
      </c>
      <c r="E690" s="67">
        <f t="shared" si="1"/>
        <v>500</v>
      </c>
      <c r="F690" s="67"/>
    </row>
    <row r="691" hidden="1">
      <c r="A691" s="6" t="s">
        <v>26</v>
      </c>
      <c r="B691" s="25" t="s">
        <v>952</v>
      </c>
      <c r="C691" s="25" t="s">
        <v>953</v>
      </c>
      <c r="D691" s="25">
        <v>1.0</v>
      </c>
      <c r="E691" s="67">
        <f t="shared" si="1"/>
        <v>250</v>
      </c>
      <c r="F691" s="67"/>
    </row>
    <row r="692" hidden="1">
      <c r="A692" s="6" t="s">
        <v>26</v>
      </c>
      <c r="B692" s="25" t="s">
        <v>954</v>
      </c>
      <c r="C692" s="25" t="s">
        <v>955</v>
      </c>
      <c r="D692" s="25">
        <v>2.0</v>
      </c>
      <c r="E692" s="67">
        <f t="shared" si="1"/>
        <v>500</v>
      </c>
      <c r="F692" s="67"/>
    </row>
    <row r="693" hidden="1">
      <c r="A693" s="6" t="s">
        <v>26</v>
      </c>
      <c r="B693" s="25" t="s">
        <v>744</v>
      </c>
      <c r="C693" s="25" t="s">
        <v>745</v>
      </c>
      <c r="D693" s="25">
        <v>4.0</v>
      </c>
      <c r="E693" s="67">
        <f t="shared" si="1"/>
        <v>1000</v>
      </c>
      <c r="F693" s="67"/>
    </row>
    <row r="694" hidden="1">
      <c r="A694" s="6" t="s">
        <v>26</v>
      </c>
      <c r="B694" s="25" t="s">
        <v>956</v>
      </c>
      <c r="C694" s="25" t="s">
        <v>957</v>
      </c>
      <c r="D694" s="25">
        <v>0.0</v>
      </c>
      <c r="E694" s="67">
        <f t="shared" si="1"/>
        <v>0</v>
      </c>
      <c r="F694" s="67"/>
    </row>
    <row r="695" hidden="1">
      <c r="A695" s="6" t="s">
        <v>26</v>
      </c>
      <c r="B695" s="25" t="s">
        <v>748</v>
      </c>
      <c r="C695" s="25" t="s">
        <v>749</v>
      </c>
      <c r="D695" s="25">
        <v>3.0</v>
      </c>
      <c r="E695" s="67">
        <f t="shared" si="1"/>
        <v>750</v>
      </c>
      <c r="F695" s="67"/>
    </row>
    <row r="696" hidden="1">
      <c r="A696" s="6" t="s">
        <v>26</v>
      </c>
      <c r="B696" s="25" t="s">
        <v>894</v>
      </c>
      <c r="C696" s="25" t="s">
        <v>895</v>
      </c>
      <c r="D696" s="25">
        <v>3.0</v>
      </c>
      <c r="E696" s="67">
        <f t="shared" si="1"/>
        <v>750</v>
      </c>
      <c r="F696" s="67"/>
    </row>
    <row r="697" hidden="1">
      <c r="A697" s="6" t="s">
        <v>26</v>
      </c>
      <c r="B697" s="25" t="s">
        <v>958</v>
      </c>
      <c r="C697" s="25" t="s">
        <v>959</v>
      </c>
      <c r="D697" s="25">
        <v>1.0</v>
      </c>
      <c r="E697" s="67">
        <f t="shared" si="1"/>
        <v>250</v>
      </c>
      <c r="F697" s="67"/>
    </row>
    <row r="698" hidden="1">
      <c r="A698" s="6" t="s">
        <v>26</v>
      </c>
      <c r="B698" s="25" t="s">
        <v>752</v>
      </c>
      <c r="C698" s="25" t="s">
        <v>753</v>
      </c>
      <c r="D698" s="25">
        <v>4.0</v>
      </c>
      <c r="E698" s="67">
        <f t="shared" si="1"/>
        <v>1000</v>
      </c>
      <c r="F698" s="67"/>
    </row>
    <row r="699" hidden="1">
      <c r="A699" s="6" t="s">
        <v>26</v>
      </c>
      <c r="B699" s="25" t="s">
        <v>754</v>
      </c>
      <c r="C699" s="25" t="s">
        <v>755</v>
      </c>
      <c r="D699" s="25">
        <v>3.0</v>
      </c>
      <c r="E699" s="67">
        <f t="shared" si="1"/>
        <v>750</v>
      </c>
      <c r="F699" s="67"/>
    </row>
    <row r="700" hidden="1">
      <c r="A700" s="6" t="s">
        <v>26</v>
      </c>
      <c r="B700" s="25" t="s">
        <v>960</v>
      </c>
      <c r="C700" s="25" t="s">
        <v>961</v>
      </c>
      <c r="D700" s="25">
        <v>7.0</v>
      </c>
      <c r="E700" s="67">
        <f t="shared" si="1"/>
        <v>1750</v>
      </c>
      <c r="F700" s="67"/>
    </row>
    <row r="701" hidden="1">
      <c r="A701" s="6" t="s">
        <v>26</v>
      </c>
      <c r="B701" s="25" t="s">
        <v>762</v>
      </c>
      <c r="C701" s="25" t="s">
        <v>763</v>
      </c>
      <c r="D701" s="25">
        <v>2.0</v>
      </c>
      <c r="E701" s="67">
        <f t="shared" si="1"/>
        <v>500</v>
      </c>
      <c r="F701" s="67"/>
    </row>
    <row r="702" hidden="1">
      <c r="A702" s="6" t="s">
        <v>26</v>
      </c>
      <c r="B702" s="25" t="s">
        <v>898</v>
      </c>
      <c r="C702" s="25" t="s">
        <v>899</v>
      </c>
      <c r="D702" s="25">
        <v>2.0</v>
      </c>
      <c r="E702" s="67">
        <f t="shared" si="1"/>
        <v>500</v>
      </c>
      <c r="F702" s="67"/>
    </row>
    <row r="703" hidden="1">
      <c r="A703" s="6" t="s">
        <v>26</v>
      </c>
      <c r="B703" s="25" t="s">
        <v>764</v>
      </c>
      <c r="C703" s="25" t="s">
        <v>765</v>
      </c>
      <c r="D703" s="25">
        <v>7.0</v>
      </c>
      <c r="E703" s="67">
        <f t="shared" si="1"/>
        <v>1750</v>
      </c>
      <c r="F703" s="67"/>
    </row>
    <row r="704" hidden="1">
      <c r="A704" s="6" t="s">
        <v>26</v>
      </c>
      <c r="B704" s="25" t="s">
        <v>900</v>
      </c>
      <c r="C704" s="25" t="s">
        <v>901</v>
      </c>
      <c r="D704" s="25">
        <v>3.0</v>
      </c>
      <c r="E704" s="67">
        <f t="shared" si="1"/>
        <v>750</v>
      </c>
      <c r="F704" s="67"/>
    </row>
    <row r="705" hidden="1">
      <c r="A705" s="6" t="s">
        <v>26</v>
      </c>
      <c r="B705" s="25" t="s">
        <v>902</v>
      </c>
      <c r="C705" s="25" t="s">
        <v>903</v>
      </c>
      <c r="D705" s="25">
        <v>2.0</v>
      </c>
      <c r="E705" s="67">
        <f t="shared" si="1"/>
        <v>500</v>
      </c>
      <c r="F705" s="67"/>
    </row>
    <row r="706" hidden="1">
      <c r="A706" s="6" t="s">
        <v>26</v>
      </c>
      <c r="B706" s="25" t="s">
        <v>962</v>
      </c>
      <c r="C706" s="25" t="s">
        <v>963</v>
      </c>
      <c r="D706" s="25">
        <v>1.0</v>
      </c>
      <c r="E706" s="67">
        <f t="shared" si="1"/>
        <v>250</v>
      </c>
      <c r="F706" s="67"/>
    </row>
    <row r="707" hidden="1">
      <c r="A707" s="6" t="s">
        <v>26</v>
      </c>
      <c r="B707" s="25" t="s">
        <v>964</v>
      </c>
      <c r="C707" s="25" t="s">
        <v>965</v>
      </c>
      <c r="D707" s="25">
        <v>1.0</v>
      </c>
      <c r="E707" s="67">
        <f t="shared" si="1"/>
        <v>250</v>
      </c>
      <c r="F707" s="67"/>
    </row>
    <row r="708" hidden="1">
      <c r="A708" s="6" t="s">
        <v>26</v>
      </c>
      <c r="B708" s="25" t="s">
        <v>966</v>
      </c>
      <c r="C708" s="25" t="s">
        <v>967</v>
      </c>
      <c r="D708" s="25">
        <v>1.0</v>
      </c>
      <c r="E708" s="67">
        <f t="shared" si="1"/>
        <v>250</v>
      </c>
      <c r="F708" s="67"/>
    </row>
    <row r="709" hidden="1">
      <c r="A709" s="6" t="s">
        <v>27</v>
      </c>
      <c r="B709" s="25" t="s">
        <v>904</v>
      </c>
      <c r="C709" s="25" t="s">
        <v>905</v>
      </c>
      <c r="D709" s="25">
        <v>1.0</v>
      </c>
      <c r="E709" s="67">
        <f t="shared" si="1"/>
        <v>250</v>
      </c>
      <c r="F709" s="67"/>
    </row>
    <row r="710" hidden="1">
      <c r="A710" s="6" t="s">
        <v>27</v>
      </c>
      <c r="B710" s="25" t="s">
        <v>815</v>
      </c>
      <c r="C710" s="25" t="s">
        <v>816</v>
      </c>
      <c r="D710" s="25">
        <v>4.0</v>
      </c>
      <c r="E710" s="67">
        <f t="shared" si="1"/>
        <v>1000</v>
      </c>
      <c r="F710" s="67"/>
    </row>
    <row r="711" hidden="1">
      <c r="A711" s="6" t="s">
        <v>27</v>
      </c>
      <c r="B711" s="25" t="s">
        <v>405</v>
      </c>
      <c r="C711" s="25" t="s">
        <v>406</v>
      </c>
      <c r="D711" s="25">
        <v>5.0</v>
      </c>
      <c r="E711" s="67">
        <f t="shared" si="1"/>
        <v>1250</v>
      </c>
      <c r="F711" s="67"/>
    </row>
    <row r="712" hidden="1">
      <c r="A712" s="6" t="s">
        <v>27</v>
      </c>
      <c r="B712" s="25" t="s">
        <v>409</v>
      </c>
      <c r="C712" s="25" t="s">
        <v>410</v>
      </c>
      <c r="D712" s="25">
        <v>3.0</v>
      </c>
      <c r="E712" s="67">
        <f t="shared" si="1"/>
        <v>750</v>
      </c>
      <c r="F712" s="67"/>
    </row>
    <row r="713" hidden="1">
      <c r="A713" s="6" t="s">
        <v>27</v>
      </c>
      <c r="B713" s="25" t="s">
        <v>411</v>
      </c>
      <c r="C713" s="25" t="s">
        <v>412</v>
      </c>
      <c r="D713" s="25">
        <v>10.0</v>
      </c>
      <c r="E713" s="67">
        <f t="shared" si="1"/>
        <v>5000</v>
      </c>
      <c r="F713" s="67"/>
    </row>
    <row r="714" hidden="1">
      <c r="A714" s="6" t="s">
        <v>27</v>
      </c>
      <c r="B714" s="25" t="s">
        <v>413</v>
      </c>
      <c r="C714" s="25" t="s">
        <v>414</v>
      </c>
      <c r="D714" s="25">
        <v>6.0</v>
      </c>
      <c r="E714" s="67">
        <f t="shared" si="1"/>
        <v>1500</v>
      </c>
      <c r="F714" s="67"/>
    </row>
    <row r="715" hidden="1">
      <c r="A715" s="6" t="s">
        <v>27</v>
      </c>
      <c r="B715" s="25" t="s">
        <v>825</v>
      </c>
      <c r="C715" s="25" t="s">
        <v>826</v>
      </c>
      <c r="D715" s="25">
        <v>7.0</v>
      </c>
      <c r="E715" s="67">
        <f t="shared" si="1"/>
        <v>1750</v>
      </c>
      <c r="F715" s="67"/>
    </row>
    <row r="716" hidden="1">
      <c r="A716" s="6" t="s">
        <v>27</v>
      </c>
      <c r="B716" s="25" t="s">
        <v>417</v>
      </c>
      <c r="C716" s="25" t="s">
        <v>418</v>
      </c>
      <c r="D716" s="25">
        <v>11.0</v>
      </c>
      <c r="E716" s="67">
        <f t="shared" si="1"/>
        <v>5500</v>
      </c>
      <c r="F716" s="67"/>
    </row>
    <row r="717" hidden="1">
      <c r="A717" s="6" t="s">
        <v>27</v>
      </c>
      <c r="B717" s="25" t="s">
        <v>968</v>
      </c>
      <c r="C717" s="25" t="s">
        <v>969</v>
      </c>
      <c r="D717" s="25">
        <v>1.0</v>
      </c>
      <c r="E717" s="67">
        <f t="shared" si="1"/>
        <v>250</v>
      </c>
      <c r="F717" s="67"/>
    </row>
    <row r="718" hidden="1">
      <c r="A718" s="6" t="s">
        <v>27</v>
      </c>
      <c r="B718" s="25" t="s">
        <v>970</v>
      </c>
      <c r="C718" s="25" t="s">
        <v>971</v>
      </c>
      <c r="D718" s="25">
        <v>1.0</v>
      </c>
      <c r="E718" s="67">
        <f t="shared" si="1"/>
        <v>250</v>
      </c>
      <c r="F718" s="67"/>
    </row>
    <row r="719" hidden="1">
      <c r="A719" s="6" t="s">
        <v>27</v>
      </c>
      <c r="B719" s="25" t="s">
        <v>431</v>
      </c>
      <c r="C719" s="25" t="s">
        <v>432</v>
      </c>
      <c r="D719" s="25">
        <v>4.0</v>
      </c>
      <c r="E719" s="67">
        <f t="shared" si="1"/>
        <v>1000</v>
      </c>
      <c r="F719" s="67"/>
    </row>
    <row r="720" hidden="1">
      <c r="A720" s="6" t="s">
        <v>27</v>
      </c>
      <c r="B720" s="25" t="s">
        <v>435</v>
      </c>
      <c r="C720" s="25" t="s">
        <v>436</v>
      </c>
      <c r="D720" s="25">
        <v>12.0</v>
      </c>
      <c r="E720" s="67">
        <f t="shared" si="1"/>
        <v>6000</v>
      </c>
      <c r="F720" s="67"/>
    </row>
    <row r="721" hidden="1">
      <c r="A721" s="6" t="s">
        <v>27</v>
      </c>
      <c r="B721" s="25" t="s">
        <v>841</v>
      </c>
      <c r="C721" s="25" t="s">
        <v>842</v>
      </c>
      <c r="D721" s="25">
        <v>3.0</v>
      </c>
      <c r="E721" s="67">
        <f t="shared" si="1"/>
        <v>750</v>
      </c>
      <c r="F721" s="67"/>
    </row>
    <row r="722" hidden="1">
      <c r="A722" s="6" t="s">
        <v>27</v>
      </c>
      <c r="B722" s="25" t="s">
        <v>972</v>
      </c>
      <c r="C722" s="25" t="s">
        <v>973</v>
      </c>
      <c r="D722" s="25">
        <v>1.0</v>
      </c>
      <c r="E722" s="67">
        <f t="shared" si="1"/>
        <v>250</v>
      </c>
      <c r="F722" s="67"/>
    </row>
    <row r="723" hidden="1">
      <c r="A723" s="6" t="s">
        <v>27</v>
      </c>
      <c r="B723" s="25" t="s">
        <v>906</v>
      </c>
      <c r="C723" s="25" t="s">
        <v>907</v>
      </c>
      <c r="D723" s="25">
        <v>1.0</v>
      </c>
      <c r="E723" s="67">
        <f t="shared" si="1"/>
        <v>250</v>
      </c>
      <c r="F723" s="67"/>
    </row>
    <row r="724" hidden="1">
      <c r="A724" s="6" t="s">
        <v>27</v>
      </c>
      <c r="B724" s="25" t="s">
        <v>439</v>
      </c>
      <c r="C724" s="25" t="s">
        <v>440</v>
      </c>
      <c r="D724" s="25">
        <v>8.0</v>
      </c>
      <c r="E724" s="67">
        <f t="shared" si="1"/>
        <v>2000</v>
      </c>
      <c r="F724" s="67"/>
    </row>
    <row r="725" hidden="1">
      <c r="A725" s="6" t="s">
        <v>27</v>
      </c>
      <c r="B725" s="25" t="s">
        <v>441</v>
      </c>
      <c r="C725" s="25" t="s">
        <v>442</v>
      </c>
      <c r="D725" s="25">
        <v>3.0</v>
      </c>
      <c r="E725" s="67">
        <f t="shared" si="1"/>
        <v>750</v>
      </c>
      <c r="F725" s="67"/>
    </row>
    <row r="726" hidden="1">
      <c r="A726" s="6" t="s">
        <v>27</v>
      </c>
      <c r="B726" s="25" t="s">
        <v>801</v>
      </c>
      <c r="C726" s="25" t="s">
        <v>802</v>
      </c>
      <c r="D726" s="25">
        <v>3.0</v>
      </c>
      <c r="E726" s="67">
        <f t="shared" si="1"/>
        <v>750</v>
      </c>
      <c r="F726" s="67"/>
    </row>
    <row r="727" hidden="1">
      <c r="A727" s="6" t="s">
        <v>27</v>
      </c>
      <c r="B727" s="25" t="s">
        <v>443</v>
      </c>
      <c r="C727" s="25" t="s">
        <v>444</v>
      </c>
      <c r="D727" s="25">
        <v>6.0</v>
      </c>
      <c r="E727" s="67">
        <f t="shared" si="1"/>
        <v>1500</v>
      </c>
      <c r="F727" s="67"/>
    </row>
    <row r="728" hidden="1">
      <c r="A728" s="6" t="s">
        <v>27</v>
      </c>
      <c r="B728" s="25" t="s">
        <v>803</v>
      </c>
      <c r="C728" s="25" t="s">
        <v>804</v>
      </c>
      <c r="D728" s="25">
        <v>4.0</v>
      </c>
      <c r="E728" s="67">
        <f t="shared" si="1"/>
        <v>1000</v>
      </c>
      <c r="F728" s="67"/>
    </row>
    <row r="729" hidden="1">
      <c r="A729" s="6" t="s">
        <v>27</v>
      </c>
      <c r="B729" s="25" t="s">
        <v>445</v>
      </c>
      <c r="C729" s="25" t="s">
        <v>446</v>
      </c>
      <c r="D729" s="25">
        <v>7.0</v>
      </c>
      <c r="E729" s="67">
        <f t="shared" si="1"/>
        <v>1750</v>
      </c>
      <c r="F729" s="67"/>
    </row>
    <row r="730" hidden="1">
      <c r="A730" s="6" t="s">
        <v>27</v>
      </c>
      <c r="B730" s="25" t="s">
        <v>447</v>
      </c>
      <c r="C730" s="25" t="s">
        <v>448</v>
      </c>
      <c r="D730" s="25">
        <v>2.0</v>
      </c>
      <c r="E730" s="67">
        <f t="shared" si="1"/>
        <v>500</v>
      </c>
      <c r="F730" s="67"/>
    </row>
    <row r="731" hidden="1">
      <c r="A731" s="6" t="s">
        <v>27</v>
      </c>
      <c r="B731" s="25" t="s">
        <v>974</v>
      </c>
      <c r="C731" s="25" t="s">
        <v>975</v>
      </c>
      <c r="D731" s="25">
        <v>4.0</v>
      </c>
      <c r="E731" s="67">
        <f t="shared" si="1"/>
        <v>1000</v>
      </c>
      <c r="F731" s="67"/>
    </row>
    <row r="732" hidden="1">
      <c r="A732" s="6" t="s">
        <v>27</v>
      </c>
      <c r="B732" s="25" t="s">
        <v>449</v>
      </c>
      <c r="C732" s="25" t="s">
        <v>450</v>
      </c>
      <c r="D732" s="25">
        <v>7.0</v>
      </c>
      <c r="E732" s="67">
        <f t="shared" si="1"/>
        <v>1750</v>
      </c>
      <c r="F732" s="67"/>
    </row>
    <row r="733" hidden="1">
      <c r="A733" s="6" t="s">
        <v>27</v>
      </c>
      <c r="B733" s="25" t="s">
        <v>451</v>
      </c>
      <c r="C733" s="25" t="s">
        <v>452</v>
      </c>
      <c r="D733" s="25">
        <v>3.0</v>
      </c>
      <c r="E733" s="67">
        <f t="shared" si="1"/>
        <v>750</v>
      </c>
      <c r="F733" s="67"/>
    </row>
    <row r="734" hidden="1">
      <c r="A734" s="6" t="s">
        <v>27</v>
      </c>
      <c r="B734" s="25" t="s">
        <v>453</v>
      </c>
      <c r="C734" s="25" t="s">
        <v>454</v>
      </c>
      <c r="D734" s="25">
        <v>4.0</v>
      </c>
      <c r="E734" s="67">
        <f t="shared" si="1"/>
        <v>1000</v>
      </c>
      <c r="F734" s="67"/>
    </row>
    <row r="735" hidden="1">
      <c r="A735" s="6" t="s">
        <v>27</v>
      </c>
      <c r="B735" s="25" t="s">
        <v>833</v>
      </c>
      <c r="C735" s="25" t="s">
        <v>834</v>
      </c>
      <c r="D735" s="25">
        <v>3.0</v>
      </c>
      <c r="E735" s="67">
        <f t="shared" si="1"/>
        <v>750</v>
      </c>
      <c r="F735" s="67"/>
    </row>
    <row r="736" hidden="1">
      <c r="A736" s="6" t="s">
        <v>27</v>
      </c>
      <c r="B736" s="25" t="s">
        <v>976</v>
      </c>
      <c r="C736" s="25" t="s">
        <v>977</v>
      </c>
      <c r="D736" s="25">
        <v>3.0</v>
      </c>
      <c r="E736" s="67">
        <f t="shared" si="1"/>
        <v>750</v>
      </c>
      <c r="F736" s="67"/>
    </row>
    <row r="737" hidden="1">
      <c r="A737" s="6" t="s">
        <v>27</v>
      </c>
      <c r="B737" s="25" t="s">
        <v>908</v>
      </c>
      <c r="C737" s="25" t="s">
        <v>909</v>
      </c>
      <c r="D737" s="25">
        <v>2.0</v>
      </c>
      <c r="E737" s="67">
        <f t="shared" si="1"/>
        <v>500</v>
      </c>
      <c r="F737" s="67"/>
    </row>
    <row r="738" hidden="1">
      <c r="A738" s="6" t="s">
        <v>27</v>
      </c>
      <c r="B738" s="25" t="s">
        <v>457</v>
      </c>
      <c r="C738" s="25" t="s">
        <v>458</v>
      </c>
      <c r="D738" s="25">
        <v>10.0</v>
      </c>
      <c r="E738" s="67">
        <f t="shared" si="1"/>
        <v>5000</v>
      </c>
      <c r="F738" s="67"/>
    </row>
    <row r="739" hidden="1">
      <c r="A739" s="6" t="s">
        <v>27</v>
      </c>
      <c r="B739" s="25" t="s">
        <v>319</v>
      </c>
      <c r="C739" s="25" t="s">
        <v>459</v>
      </c>
      <c r="D739" s="25">
        <v>4.0</v>
      </c>
      <c r="E739" s="67">
        <f t="shared" si="1"/>
        <v>1000</v>
      </c>
      <c r="F739" s="67"/>
    </row>
    <row r="740" hidden="1">
      <c r="A740" s="6" t="s">
        <v>27</v>
      </c>
      <c r="B740" s="25" t="s">
        <v>910</v>
      </c>
      <c r="C740" s="25" t="s">
        <v>911</v>
      </c>
      <c r="D740" s="25">
        <v>13.0</v>
      </c>
      <c r="E740" s="67">
        <f t="shared" si="1"/>
        <v>6500</v>
      </c>
      <c r="F740" s="67"/>
    </row>
    <row r="741" hidden="1">
      <c r="A741" s="6" t="s">
        <v>27</v>
      </c>
      <c r="B741" s="25" t="s">
        <v>462</v>
      </c>
      <c r="C741" s="25" t="s">
        <v>463</v>
      </c>
      <c r="D741" s="25">
        <v>2.0</v>
      </c>
      <c r="E741" s="67">
        <f t="shared" si="1"/>
        <v>500</v>
      </c>
      <c r="F741" s="67"/>
    </row>
    <row r="742" hidden="1">
      <c r="A742" s="6" t="s">
        <v>27</v>
      </c>
      <c r="B742" s="25" t="s">
        <v>472</v>
      </c>
      <c r="C742" s="25" t="s">
        <v>473</v>
      </c>
      <c r="D742" s="25">
        <v>6.0</v>
      </c>
      <c r="E742" s="67">
        <f t="shared" si="1"/>
        <v>1500</v>
      </c>
      <c r="F742" s="67"/>
    </row>
    <row r="743" hidden="1">
      <c r="A743" s="6" t="s">
        <v>27</v>
      </c>
      <c r="B743" s="25" t="s">
        <v>843</v>
      </c>
      <c r="C743" s="25" t="s">
        <v>844</v>
      </c>
      <c r="D743" s="25">
        <v>5.0</v>
      </c>
      <c r="E743" s="67">
        <f t="shared" si="1"/>
        <v>1250</v>
      </c>
      <c r="F743" s="67"/>
    </row>
    <row r="744" hidden="1">
      <c r="A744" s="6" t="s">
        <v>27</v>
      </c>
      <c r="B744" s="25" t="s">
        <v>476</v>
      </c>
      <c r="C744" s="25" t="s">
        <v>477</v>
      </c>
      <c r="D744" s="25">
        <v>38.0</v>
      </c>
      <c r="E744" s="67">
        <f t="shared" si="1"/>
        <v>19000</v>
      </c>
      <c r="F744" s="67"/>
    </row>
    <row r="745" hidden="1">
      <c r="A745" s="6" t="s">
        <v>27</v>
      </c>
      <c r="B745" s="25" t="s">
        <v>480</v>
      </c>
      <c r="C745" s="25" t="s">
        <v>481</v>
      </c>
      <c r="D745" s="25">
        <v>4.0</v>
      </c>
      <c r="E745" s="67">
        <f t="shared" si="1"/>
        <v>1000</v>
      </c>
      <c r="F745" s="67"/>
    </row>
    <row r="746" hidden="1">
      <c r="A746" s="6" t="s">
        <v>27</v>
      </c>
      <c r="B746" s="25" t="s">
        <v>482</v>
      </c>
      <c r="C746" s="25" t="s">
        <v>483</v>
      </c>
      <c r="D746" s="25">
        <v>3.0</v>
      </c>
      <c r="E746" s="67">
        <f t="shared" si="1"/>
        <v>750</v>
      </c>
      <c r="F746" s="67"/>
    </row>
    <row r="747" hidden="1">
      <c r="A747" s="6" t="s">
        <v>27</v>
      </c>
      <c r="B747" s="25" t="s">
        <v>486</v>
      </c>
      <c r="C747" s="25" t="s">
        <v>487</v>
      </c>
      <c r="D747" s="25">
        <v>7.0</v>
      </c>
      <c r="E747" s="67">
        <f t="shared" si="1"/>
        <v>1750</v>
      </c>
      <c r="F747" s="67"/>
    </row>
    <row r="748" hidden="1">
      <c r="A748" s="6" t="s">
        <v>27</v>
      </c>
      <c r="B748" s="25" t="s">
        <v>494</v>
      </c>
      <c r="C748" s="25" t="s">
        <v>495</v>
      </c>
      <c r="D748" s="25">
        <v>3.0</v>
      </c>
      <c r="E748" s="67">
        <f t="shared" si="1"/>
        <v>750</v>
      </c>
      <c r="F748" s="67"/>
    </row>
    <row r="749" hidden="1">
      <c r="A749" s="6" t="s">
        <v>27</v>
      </c>
      <c r="B749" s="25" t="s">
        <v>912</v>
      </c>
      <c r="C749" s="25" t="s">
        <v>913</v>
      </c>
      <c r="D749" s="25">
        <v>1.0</v>
      </c>
      <c r="E749" s="67">
        <f t="shared" si="1"/>
        <v>250</v>
      </c>
      <c r="F749" s="67"/>
    </row>
    <row r="750" hidden="1">
      <c r="A750" s="6" t="s">
        <v>27</v>
      </c>
      <c r="B750" s="25" t="s">
        <v>500</v>
      </c>
      <c r="C750" s="25" t="s">
        <v>501</v>
      </c>
      <c r="D750" s="25">
        <v>8.0</v>
      </c>
      <c r="E750" s="67">
        <f t="shared" si="1"/>
        <v>2000</v>
      </c>
      <c r="F750" s="67"/>
    </row>
    <row r="751" hidden="1">
      <c r="A751" s="6" t="s">
        <v>27</v>
      </c>
      <c r="B751" s="25" t="s">
        <v>502</v>
      </c>
      <c r="C751" s="25" t="s">
        <v>503</v>
      </c>
      <c r="D751" s="25">
        <v>5.0</v>
      </c>
      <c r="E751" s="67">
        <f t="shared" si="1"/>
        <v>1250</v>
      </c>
      <c r="F751" s="67"/>
    </row>
    <row r="752" hidden="1">
      <c r="A752" s="6" t="s">
        <v>27</v>
      </c>
      <c r="B752" s="25" t="s">
        <v>978</v>
      </c>
      <c r="C752" s="25" t="s">
        <v>979</v>
      </c>
      <c r="D752" s="25">
        <v>3.0</v>
      </c>
      <c r="E752" s="67">
        <f t="shared" si="1"/>
        <v>750</v>
      </c>
      <c r="F752" s="67"/>
    </row>
    <row r="753" hidden="1">
      <c r="A753" s="6" t="s">
        <v>27</v>
      </c>
      <c r="B753" s="25" t="s">
        <v>916</v>
      </c>
      <c r="C753" s="25" t="s">
        <v>917</v>
      </c>
      <c r="D753" s="25">
        <v>1.0</v>
      </c>
      <c r="E753" s="67">
        <f t="shared" si="1"/>
        <v>250</v>
      </c>
      <c r="F753" s="67"/>
    </row>
    <row r="754" hidden="1">
      <c r="A754" s="6" t="s">
        <v>27</v>
      </c>
      <c r="B754" s="25" t="s">
        <v>510</v>
      </c>
      <c r="C754" s="25" t="s">
        <v>511</v>
      </c>
      <c r="D754" s="25">
        <v>8.0</v>
      </c>
      <c r="E754" s="67">
        <f t="shared" si="1"/>
        <v>2000</v>
      </c>
      <c r="F754" s="67"/>
    </row>
    <row r="755" hidden="1">
      <c r="A755" s="6" t="s">
        <v>27</v>
      </c>
      <c r="B755" s="25" t="s">
        <v>980</v>
      </c>
      <c r="C755" s="25" t="s">
        <v>981</v>
      </c>
      <c r="D755" s="25">
        <v>15.0</v>
      </c>
      <c r="E755" s="67">
        <f t="shared" si="1"/>
        <v>7500</v>
      </c>
      <c r="F755" s="67"/>
    </row>
    <row r="756" hidden="1">
      <c r="A756" s="6" t="s">
        <v>27</v>
      </c>
      <c r="B756" s="25" t="s">
        <v>516</v>
      </c>
      <c r="C756" s="25" t="s">
        <v>517</v>
      </c>
      <c r="D756" s="25">
        <v>9.0</v>
      </c>
      <c r="E756" s="67">
        <f t="shared" si="1"/>
        <v>2250</v>
      </c>
      <c r="F756" s="67"/>
    </row>
    <row r="757" hidden="1">
      <c r="A757" s="6" t="s">
        <v>27</v>
      </c>
      <c r="B757" s="25" t="s">
        <v>518</v>
      </c>
      <c r="C757" s="25" t="s">
        <v>519</v>
      </c>
      <c r="D757" s="25">
        <v>6.0</v>
      </c>
      <c r="E757" s="67">
        <f t="shared" si="1"/>
        <v>1500</v>
      </c>
      <c r="F757" s="67"/>
    </row>
    <row r="758" hidden="1">
      <c r="A758" s="6" t="s">
        <v>27</v>
      </c>
      <c r="B758" s="25" t="s">
        <v>920</v>
      </c>
      <c r="C758" s="25" t="s">
        <v>921</v>
      </c>
      <c r="D758" s="25">
        <v>3.0</v>
      </c>
      <c r="E758" s="67">
        <f t="shared" si="1"/>
        <v>750</v>
      </c>
      <c r="F758" s="67"/>
    </row>
    <row r="759" hidden="1">
      <c r="A759" s="6" t="s">
        <v>27</v>
      </c>
      <c r="B759" s="25" t="s">
        <v>982</v>
      </c>
      <c r="C759" s="25" t="s">
        <v>983</v>
      </c>
      <c r="D759" s="25">
        <v>1.0</v>
      </c>
      <c r="E759" s="67">
        <f t="shared" si="1"/>
        <v>250</v>
      </c>
      <c r="F759" s="67"/>
    </row>
    <row r="760" hidden="1">
      <c r="A760" s="6" t="s">
        <v>27</v>
      </c>
      <c r="B760" s="25" t="s">
        <v>984</v>
      </c>
      <c r="C760" s="25" t="s">
        <v>985</v>
      </c>
      <c r="D760" s="25">
        <v>6.0</v>
      </c>
      <c r="E760" s="67">
        <f t="shared" si="1"/>
        <v>1500</v>
      </c>
      <c r="F760" s="67"/>
    </row>
    <row r="761" hidden="1">
      <c r="A761" s="6" t="s">
        <v>27</v>
      </c>
      <c r="B761" s="25" t="s">
        <v>848</v>
      </c>
      <c r="C761" s="25" t="s">
        <v>849</v>
      </c>
      <c r="D761" s="25">
        <v>2.0</v>
      </c>
      <c r="E761" s="67">
        <f t="shared" si="1"/>
        <v>500</v>
      </c>
      <c r="F761" s="67"/>
    </row>
    <row r="762" hidden="1">
      <c r="A762" s="6" t="s">
        <v>27</v>
      </c>
      <c r="B762" s="25" t="s">
        <v>986</v>
      </c>
      <c r="C762" s="25" t="s">
        <v>987</v>
      </c>
      <c r="D762" s="25">
        <v>1.0</v>
      </c>
      <c r="E762" s="67">
        <f t="shared" si="1"/>
        <v>250</v>
      </c>
      <c r="F762" s="67"/>
    </row>
    <row r="763" hidden="1">
      <c r="A763" s="6" t="s">
        <v>27</v>
      </c>
      <c r="B763" s="25" t="s">
        <v>850</v>
      </c>
      <c r="C763" s="25" t="s">
        <v>851</v>
      </c>
      <c r="D763" s="25">
        <v>3.0</v>
      </c>
      <c r="E763" s="67">
        <f t="shared" si="1"/>
        <v>750</v>
      </c>
      <c r="F763" s="67"/>
    </row>
    <row r="764" hidden="1">
      <c r="A764" s="6" t="s">
        <v>27</v>
      </c>
      <c r="B764" s="25" t="s">
        <v>988</v>
      </c>
      <c r="C764" s="25" t="s">
        <v>989</v>
      </c>
      <c r="D764" s="25">
        <v>1.0</v>
      </c>
      <c r="E764" s="67">
        <f t="shared" si="1"/>
        <v>250</v>
      </c>
      <c r="F764" s="67"/>
    </row>
    <row r="765" hidden="1">
      <c r="A765" s="6" t="s">
        <v>27</v>
      </c>
      <c r="B765" s="25" t="s">
        <v>522</v>
      </c>
      <c r="C765" s="25" t="s">
        <v>523</v>
      </c>
      <c r="D765" s="25">
        <v>5.0</v>
      </c>
      <c r="E765" s="67">
        <f t="shared" si="1"/>
        <v>1250</v>
      </c>
      <c r="F765" s="67"/>
    </row>
    <row r="766" hidden="1">
      <c r="A766" s="6" t="s">
        <v>27</v>
      </c>
      <c r="B766" s="25" t="s">
        <v>926</v>
      </c>
      <c r="C766" s="25" t="s">
        <v>927</v>
      </c>
      <c r="D766" s="25">
        <v>3.0</v>
      </c>
      <c r="E766" s="67">
        <f t="shared" si="1"/>
        <v>750</v>
      </c>
      <c r="F766" s="67"/>
    </row>
    <row r="767" hidden="1">
      <c r="A767" s="6" t="s">
        <v>27</v>
      </c>
      <c r="B767" s="25" t="s">
        <v>524</v>
      </c>
      <c r="C767" s="25" t="s">
        <v>525</v>
      </c>
      <c r="D767" s="25">
        <v>7.0</v>
      </c>
      <c r="E767" s="67">
        <f t="shared" si="1"/>
        <v>1750</v>
      </c>
      <c r="F767" s="67"/>
    </row>
    <row r="768" hidden="1">
      <c r="A768" s="6" t="s">
        <v>27</v>
      </c>
      <c r="B768" s="25" t="s">
        <v>928</v>
      </c>
      <c r="C768" s="25" t="s">
        <v>929</v>
      </c>
      <c r="D768" s="25">
        <v>1.0</v>
      </c>
      <c r="E768" s="67">
        <f t="shared" si="1"/>
        <v>250</v>
      </c>
      <c r="F768" s="67"/>
    </row>
    <row r="769" hidden="1">
      <c r="A769" s="6" t="s">
        <v>27</v>
      </c>
      <c r="B769" s="25" t="s">
        <v>930</v>
      </c>
      <c r="C769" s="25" t="s">
        <v>931</v>
      </c>
      <c r="D769" s="25">
        <v>1.0</v>
      </c>
      <c r="E769" s="67">
        <f t="shared" si="1"/>
        <v>250</v>
      </c>
      <c r="F769" s="67"/>
    </row>
    <row r="770" hidden="1">
      <c r="A770" s="6" t="s">
        <v>27</v>
      </c>
      <c r="B770" s="25" t="s">
        <v>852</v>
      </c>
      <c r="C770" s="25" t="s">
        <v>853</v>
      </c>
      <c r="D770" s="25">
        <v>7.0</v>
      </c>
      <c r="E770" s="67">
        <f t="shared" si="1"/>
        <v>1750</v>
      </c>
      <c r="F770" s="67"/>
    </row>
    <row r="771" hidden="1">
      <c r="A771" s="6" t="s">
        <v>27</v>
      </c>
      <c r="B771" s="25" t="s">
        <v>854</v>
      </c>
      <c r="C771" s="25" t="s">
        <v>855</v>
      </c>
      <c r="D771" s="25">
        <v>3.0</v>
      </c>
      <c r="E771" s="67">
        <f t="shared" si="1"/>
        <v>750</v>
      </c>
      <c r="F771" s="67"/>
    </row>
    <row r="772" hidden="1">
      <c r="A772" s="6" t="s">
        <v>27</v>
      </c>
      <c r="B772" s="25" t="s">
        <v>532</v>
      </c>
      <c r="C772" s="25" t="s">
        <v>533</v>
      </c>
      <c r="D772" s="25">
        <v>4.0</v>
      </c>
      <c r="E772" s="67">
        <f t="shared" si="1"/>
        <v>1000</v>
      </c>
      <c r="F772" s="67"/>
    </row>
    <row r="773" hidden="1">
      <c r="A773" s="6" t="s">
        <v>27</v>
      </c>
      <c r="B773" s="25" t="s">
        <v>540</v>
      </c>
      <c r="C773" s="25" t="s">
        <v>541</v>
      </c>
      <c r="D773" s="25">
        <v>13.0</v>
      </c>
      <c r="E773" s="67">
        <f t="shared" si="1"/>
        <v>6500</v>
      </c>
      <c r="F773" s="67"/>
    </row>
    <row r="774" hidden="1">
      <c r="A774" s="6" t="s">
        <v>27</v>
      </c>
      <c r="B774" s="25" t="s">
        <v>932</v>
      </c>
      <c r="C774" s="25" t="s">
        <v>933</v>
      </c>
      <c r="D774" s="25">
        <v>3.0</v>
      </c>
      <c r="E774" s="67">
        <f t="shared" si="1"/>
        <v>750</v>
      </c>
      <c r="F774" s="67"/>
    </row>
    <row r="775" hidden="1">
      <c r="A775" s="6" t="s">
        <v>27</v>
      </c>
      <c r="B775" s="25" t="s">
        <v>542</v>
      </c>
      <c r="C775" s="25" t="s">
        <v>543</v>
      </c>
      <c r="D775" s="25">
        <v>9.0</v>
      </c>
      <c r="E775" s="67">
        <f t="shared" si="1"/>
        <v>2250</v>
      </c>
      <c r="F775" s="67"/>
    </row>
    <row r="776" hidden="1">
      <c r="A776" s="6" t="s">
        <v>27</v>
      </c>
      <c r="B776" s="25" t="s">
        <v>546</v>
      </c>
      <c r="C776" s="25" t="s">
        <v>547</v>
      </c>
      <c r="D776" s="25">
        <v>12.0</v>
      </c>
      <c r="E776" s="67">
        <f t="shared" si="1"/>
        <v>6000</v>
      </c>
      <c r="F776" s="67"/>
    </row>
    <row r="777" hidden="1">
      <c r="A777" s="6" t="s">
        <v>27</v>
      </c>
      <c r="B777" s="25" t="s">
        <v>548</v>
      </c>
      <c r="C777" s="25" t="s">
        <v>549</v>
      </c>
      <c r="D777" s="25">
        <v>9.0</v>
      </c>
      <c r="E777" s="67">
        <f t="shared" si="1"/>
        <v>2250</v>
      </c>
      <c r="F777" s="67"/>
    </row>
    <row r="778" hidden="1">
      <c r="A778" s="6" t="s">
        <v>27</v>
      </c>
      <c r="B778" s="25" t="s">
        <v>934</v>
      </c>
      <c r="C778" s="25" t="s">
        <v>990</v>
      </c>
      <c r="D778" s="25">
        <v>2.0</v>
      </c>
      <c r="E778" s="67">
        <f t="shared" si="1"/>
        <v>500</v>
      </c>
      <c r="F778" s="67"/>
    </row>
    <row r="779" hidden="1">
      <c r="A779" s="6" t="s">
        <v>27</v>
      </c>
      <c r="B779" s="25" t="s">
        <v>991</v>
      </c>
      <c r="C779" s="25" t="s">
        <v>992</v>
      </c>
      <c r="D779" s="25">
        <v>0.0</v>
      </c>
      <c r="E779" s="67"/>
      <c r="F779" s="67"/>
    </row>
    <row r="780" hidden="1">
      <c r="A780" s="6" t="s">
        <v>27</v>
      </c>
      <c r="B780" s="25" t="s">
        <v>993</v>
      </c>
      <c r="C780" s="25" t="s">
        <v>994</v>
      </c>
      <c r="D780" s="25">
        <v>4.0</v>
      </c>
      <c r="E780" s="67">
        <f t="shared" ref="E780:E791" si="2">IF(D780&lt;10, D780*250, D780*500)</f>
        <v>1000</v>
      </c>
      <c r="F780" s="67"/>
    </row>
    <row r="781" hidden="1">
      <c r="A781" s="6" t="s">
        <v>27</v>
      </c>
      <c r="B781" s="25" t="s">
        <v>560</v>
      </c>
      <c r="C781" s="25" t="s">
        <v>561</v>
      </c>
      <c r="D781" s="25">
        <v>9.0</v>
      </c>
      <c r="E781" s="67">
        <f t="shared" si="2"/>
        <v>2250</v>
      </c>
      <c r="F781" s="67"/>
    </row>
    <row r="782" hidden="1">
      <c r="A782" s="6" t="s">
        <v>27</v>
      </c>
      <c r="B782" s="25" t="s">
        <v>564</v>
      </c>
      <c r="C782" s="25" t="s">
        <v>565</v>
      </c>
      <c r="D782" s="25">
        <v>5.0</v>
      </c>
      <c r="E782" s="67">
        <f t="shared" si="2"/>
        <v>1250</v>
      </c>
      <c r="F782" s="67"/>
    </row>
    <row r="783" hidden="1">
      <c r="A783" s="6" t="s">
        <v>27</v>
      </c>
      <c r="B783" s="25" t="s">
        <v>566</v>
      </c>
      <c r="C783" s="25" t="s">
        <v>567</v>
      </c>
      <c r="D783" s="25">
        <v>3.0</v>
      </c>
      <c r="E783" s="67">
        <f t="shared" si="2"/>
        <v>750</v>
      </c>
      <c r="F783" s="67"/>
    </row>
    <row r="784" hidden="1">
      <c r="A784" s="6" t="s">
        <v>27</v>
      </c>
      <c r="B784" s="25" t="s">
        <v>995</v>
      </c>
      <c r="C784" s="25" t="s">
        <v>996</v>
      </c>
      <c r="D784" s="25">
        <v>2.0</v>
      </c>
      <c r="E784" s="67">
        <f t="shared" si="2"/>
        <v>500</v>
      </c>
      <c r="F784" s="67"/>
    </row>
    <row r="785" hidden="1">
      <c r="A785" s="6" t="s">
        <v>27</v>
      </c>
      <c r="B785" s="25" t="s">
        <v>858</v>
      </c>
      <c r="C785" s="25" t="s">
        <v>859</v>
      </c>
      <c r="D785" s="25">
        <v>4.0</v>
      </c>
      <c r="E785" s="67">
        <f t="shared" si="2"/>
        <v>1000</v>
      </c>
      <c r="F785" s="67"/>
    </row>
    <row r="786" hidden="1">
      <c r="A786" s="6" t="s">
        <v>27</v>
      </c>
      <c r="B786" s="25" t="s">
        <v>862</v>
      </c>
      <c r="C786" s="25" t="s">
        <v>863</v>
      </c>
      <c r="D786" s="25">
        <v>7.0</v>
      </c>
      <c r="E786" s="67">
        <f t="shared" si="2"/>
        <v>1750</v>
      </c>
      <c r="F786" s="67"/>
    </row>
    <row r="787" hidden="1">
      <c r="A787" s="6" t="s">
        <v>27</v>
      </c>
      <c r="B787" s="25" t="s">
        <v>936</v>
      </c>
      <c r="C787" s="25" t="s">
        <v>937</v>
      </c>
      <c r="D787" s="25">
        <v>2.0</v>
      </c>
      <c r="E787" s="67">
        <f t="shared" si="2"/>
        <v>500</v>
      </c>
      <c r="F787" s="67"/>
    </row>
    <row r="788" hidden="1">
      <c r="A788" s="6" t="s">
        <v>27</v>
      </c>
      <c r="B788" s="25" t="s">
        <v>576</v>
      </c>
      <c r="C788" s="25" t="s">
        <v>577</v>
      </c>
      <c r="D788" s="25">
        <v>4.0</v>
      </c>
      <c r="E788" s="67">
        <f t="shared" si="2"/>
        <v>1000</v>
      </c>
      <c r="F788" s="67"/>
    </row>
    <row r="789" hidden="1">
      <c r="A789" s="6" t="s">
        <v>27</v>
      </c>
      <c r="B789" s="25" t="s">
        <v>582</v>
      </c>
      <c r="C789" s="25" t="s">
        <v>583</v>
      </c>
      <c r="D789" s="25">
        <v>6.0</v>
      </c>
      <c r="E789" s="67">
        <f t="shared" si="2"/>
        <v>1500</v>
      </c>
      <c r="F789" s="67"/>
    </row>
    <row r="790" hidden="1">
      <c r="A790" s="6" t="s">
        <v>27</v>
      </c>
      <c r="B790" s="25" t="s">
        <v>588</v>
      </c>
      <c r="C790" s="25" t="s">
        <v>589</v>
      </c>
      <c r="D790" s="25">
        <v>6.0</v>
      </c>
      <c r="E790" s="67">
        <f t="shared" si="2"/>
        <v>1500</v>
      </c>
      <c r="F790" s="67"/>
    </row>
    <row r="791" hidden="1">
      <c r="A791" s="6" t="s">
        <v>27</v>
      </c>
      <c r="B791" s="25" t="s">
        <v>590</v>
      </c>
      <c r="C791" s="25" t="s">
        <v>591</v>
      </c>
      <c r="D791" s="25">
        <v>11.0</v>
      </c>
      <c r="E791" s="67">
        <f t="shared" si="2"/>
        <v>5500</v>
      </c>
      <c r="F791" s="67"/>
    </row>
    <row r="792" hidden="1">
      <c r="A792" s="6" t="s">
        <v>27</v>
      </c>
      <c r="B792" s="25" t="s">
        <v>997</v>
      </c>
      <c r="C792" s="25" t="s">
        <v>998</v>
      </c>
      <c r="D792" s="25">
        <v>0.0</v>
      </c>
      <c r="E792" s="67"/>
      <c r="F792" s="67"/>
    </row>
    <row r="793" hidden="1">
      <c r="A793" s="6" t="s">
        <v>27</v>
      </c>
      <c r="B793" s="25" t="s">
        <v>938</v>
      </c>
      <c r="C793" s="25" t="s">
        <v>939</v>
      </c>
      <c r="D793" s="25">
        <v>3.0</v>
      </c>
      <c r="E793" s="67">
        <f t="shared" ref="E793:E800" si="3">IF(D793&lt;10, D793*250, D793*500)</f>
        <v>750</v>
      </c>
      <c r="F793" s="67"/>
    </row>
    <row r="794" hidden="1">
      <c r="A794" s="6" t="s">
        <v>27</v>
      </c>
      <c r="B794" s="25" t="s">
        <v>866</v>
      </c>
      <c r="C794" s="25" t="s">
        <v>867</v>
      </c>
      <c r="D794" s="25">
        <v>3.0</v>
      </c>
      <c r="E794" s="67">
        <f t="shared" si="3"/>
        <v>750</v>
      </c>
      <c r="F794" s="67"/>
    </row>
    <row r="795" hidden="1">
      <c r="A795" s="6" t="s">
        <v>27</v>
      </c>
      <c r="B795" s="25" t="s">
        <v>596</v>
      </c>
      <c r="C795" s="25" t="s">
        <v>597</v>
      </c>
      <c r="D795" s="25">
        <v>2.0</v>
      </c>
      <c r="E795" s="67">
        <f t="shared" si="3"/>
        <v>500</v>
      </c>
      <c r="F795" s="67"/>
    </row>
    <row r="796" hidden="1">
      <c r="A796" s="6" t="s">
        <v>27</v>
      </c>
      <c r="B796" s="25" t="s">
        <v>602</v>
      </c>
      <c r="C796" s="25" t="s">
        <v>603</v>
      </c>
      <c r="D796" s="25">
        <v>7.0</v>
      </c>
      <c r="E796" s="67">
        <f t="shared" si="3"/>
        <v>1750</v>
      </c>
      <c r="F796" s="67"/>
    </row>
    <row r="797" hidden="1">
      <c r="A797" s="6" t="s">
        <v>27</v>
      </c>
      <c r="B797" s="25" t="s">
        <v>604</v>
      </c>
      <c r="C797" s="25" t="s">
        <v>605</v>
      </c>
      <c r="D797" s="25">
        <v>14.0</v>
      </c>
      <c r="E797" s="67">
        <f t="shared" si="3"/>
        <v>7000</v>
      </c>
      <c r="F797" s="67"/>
    </row>
    <row r="798" hidden="1">
      <c r="A798" s="6" t="s">
        <v>27</v>
      </c>
      <c r="B798" s="25" t="s">
        <v>606</v>
      </c>
      <c r="C798" s="25" t="s">
        <v>607</v>
      </c>
      <c r="D798" s="25">
        <v>5.0</v>
      </c>
      <c r="E798" s="67">
        <f t="shared" si="3"/>
        <v>1250</v>
      </c>
      <c r="F798" s="67"/>
    </row>
    <row r="799" hidden="1">
      <c r="A799" s="6" t="s">
        <v>27</v>
      </c>
      <c r="B799" s="25" t="s">
        <v>620</v>
      </c>
      <c r="C799" s="25" t="s">
        <v>621</v>
      </c>
      <c r="D799" s="25">
        <v>12.0</v>
      </c>
      <c r="E799" s="67">
        <f t="shared" si="3"/>
        <v>6000</v>
      </c>
      <c r="F799" s="67"/>
    </row>
    <row r="800" hidden="1">
      <c r="A800" s="6" t="s">
        <v>27</v>
      </c>
      <c r="B800" s="25" t="s">
        <v>868</v>
      </c>
      <c r="C800" s="25" t="s">
        <v>869</v>
      </c>
      <c r="D800" s="25">
        <v>2.0</v>
      </c>
      <c r="E800" s="67">
        <f t="shared" si="3"/>
        <v>500</v>
      </c>
      <c r="F800" s="67"/>
    </row>
    <row r="801" hidden="1">
      <c r="A801" s="6" t="s">
        <v>27</v>
      </c>
      <c r="B801" s="25" t="s">
        <v>999</v>
      </c>
      <c r="C801" s="25" t="s">
        <v>1000</v>
      </c>
      <c r="D801" s="25">
        <v>0.0</v>
      </c>
      <c r="E801" s="67"/>
      <c r="F801" s="67"/>
    </row>
    <row r="802" hidden="1">
      <c r="A802" s="6" t="s">
        <v>27</v>
      </c>
      <c r="B802" s="25" t="s">
        <v>622</v>
      </c>
      <c r="C802" s="25" t="s">
        <v>623</v>
      </c>
      <c r="D802" s="25">
        <v>4.0</v>
      </c>
      <c r="E802" s="67">
        <f t="shared" ref="E802:E810" si="4">IF(D802&lt;10, D802*250, D802*500)</f>
        <v>1000</v>
      </c>
      <c r="F802" s="67"/>
    </row>
    <row r="803" hidden="1">
      <c r="A803" s="6" t="s">
        <v>27</v>
      </c>
      <c r="B803" s="25" t="s">
        <v>624</v>
      </c>
      <c r="C803" s="25" t="s">
        <v>625</v>
      </c>
      <c r="D803" s="25">
        <v>6.0</v>
      </c>
      <c r="E803" s="67">
        <f t="shared" si="4"/>
        <v>1500</v>
      </c>
      <c r="F803" s="67"/>
    </row>
    <row r="804" hidden="1">
      <c r="A804" s="6" t="s">
        <v>27</v>
      </c>
      <c r="B804" s="25" t="s">
        <v>626</v>
      </c>
      <c r="C804" s="25" t="s">
        <v>627</v>
      </c>
      <c r="D804" s="25">
        <v>9.0</v>
      </c>
      <c r="E804" s="67">
        <f t="shared" si="4"/>
        <v>2250</v>
      </c>
      <c r="F804" s="67"/>
    </row>
    <row r="805" hidden="1">
      <c r="A805" s="6" t="s">
        <v>27</v>
      </c>
      <c r="B805" s="25" t="s">
        <v>628</v>
      </c>
      <c r="C805" s="25" t="s">
        <v>629</v>
      </c>
      <c r="D805" s="25">
        <v>10.0</v>
      </c>
      <c r="E805" s="67">
        <f t="shared" si="4"/>
        <v>5000</v>
      </c>
      <c r="F805" s="67"/>
    </row>
    <row r="806" hidden="1">
      <c r="A806" s="6" t="s">
        <v>27</v>
      </c>
      <c r="B806" s="25" t="s">
        <v>872</v>
      </c>
      <c r="C806" s="25" t="s">
        <v>873</v>
      </c>
      <c r="D806" s="25">
        <v>2.0</v>
      </c>
      <c r="E806" s="67">
        <f t="shared" si="4"/>
        <v>500</v>
      </c>
      <c r="F806" s="67"/>
    </row>
    <row r="807" hidden="1">
      <c r="A807" s="6" t="s">
        <v>27</v>
      </c>
      <c r="B807" s="25" t="s">
        <v>874</v>
      </c>
      <c r="C807" s="25" t="s">
        <v>875</v>
      </c>
      <c r="D807" s="25">
        <v>2.0</v>
      </c>
      <c r="E807" s="67">
        <f t="shared" si="4"/>
        <v>500</v>
      </c>
      <c r="F807" s="67"/>
    </row>
    <row r="808" hidden="1">
      <c r="A808" s="6" t="s">
        <v>27</v>
      </c>
      <c r="B808" s="25" t="s">
        <v>876</v>
      </c>
      <c r="C808" s="25" t="s">
        <v>877</v>
      </c>
      <c r="D808" s="25">
        <v>6.0</v>
      </c>
      <c r="E808" s="67">
        <f t="shared" si="4"/>
        <v>1500</v>
      </c>
      <c r="F808" s="67"/>
    </row>
    <row r="809" hidden="1">
      <c r="A809" s="6" t="s">
        <v>27</v>
      </c>
      <c r="B809" s="25" t="s">
        <v>940</v>
      </c>
      <c r="C809" s="25" t="s">
        <v>941</v>
      </c>
      <c r="D809" s="25">
        <v>1.0</v>
      </c>
      <c r="E809" s="67">
        <f t="shared" si="4"/>
        <v>250</v>
      </c>
      <c r="F809" s="67"/>
    </row>
    <row r="810" hidden="1">
      <c r="A810" s="6" t="s">
        <v>27</v>
      </c>
      <c r="B810" s="25" t="s">
        <v>817</v>
      </c>
      <c r="C810" s="25" t="s">
        <v>818</v>
      </c>
      <c r="D810" s="25">
        <v>6.0</v>
      </c>
      <c r="E810" s="67">
        <f t="shared" si="4"/>
        <v>1500</v>
      </c>
      <c r="F810" s="67"/>
    </row>
    <row r="811" hidden="1">
      <c r="A811" s="6" t="s">
        <v>27</v>
      </c>
      <c r="B811" s="25" t="s">
        <v>1001</v>
      </c>
      <c r="C811" s="25" t="s">
        <v>1002</v>
      </c>
      <c r="D811" s="25">
        <v>0.0</v>
      </c>
      <c r="E811" s="67"/>
      <c r="F811" s="67"/>
    </row>
    <row r="812" hidden="1">
      <c r="A812" s="6" t="s">
        <v>27</v>
      </c>
      <c r="B812" s="25" t="s">
        <v>640</v>
      </c>
      <c r="C812" s="25" t="s">
        <v>641</v>
      </c>
      <c r="D812" s="25">
        <v>10.0</v>
      </c>
      <c r="E812" s="67">
        <f t="shared" ref="E812:E817" si="5">IF(D812&lt;10, D812*250, D812*500)</f>
        <v>5000</v>
      </c>
      <c r="F812" s="67"/>
    </row>
    <row r="813" hidden="1">
      <c r="A813" s="6" t="s">
        <v>27</v>
      </c>
      <c r="B813" s="25" t="s">
        <v>311</v>
      </c>
      <c r="C813" s="25" t="s">
        <v>312</v>
      </c>
      <c r="D813" s="25">
        <v>4.0</v>
      </c>
      <c r="E813" s="67">
        <f t="shared" si="5"/>
        <v>1000</v>
      </c>
      <c r="F813" s="67"/>
    </row>
    <row r="814" hidden="1">
      <c r="A814" s="6" t="s">
        <v>27</v>
      </c>
      <c r="B814" s="25" t="s">
        <v>942</v>
      </c>
      <c r="C814" s="25" t="s">
        <v>943</v>
      </c>
      <c r="D814" s="25">
        <v>1.0</v>
      </c>
      <c r="E814" s="67">
        <f t="shared" si="5"/>
        <v>250</v>
      </c>
      <c r="F814" s="67"/>
    </row>
    <row r="815" hidden="1">
      <c r="A815" s="6" t="s">
        <v>27</v>
      </c>
      <c r="B815" s="25" t="s">
        <v>642</v>
      </c>
      <c r="C815" s="25" t="s">
        <v>643</v>
      </c>
      <c r="D815" s="25">
        <v>5.0</v>
      </c>
      <c r="E815" s="67">
        <f t="shared" si="5"/>
        <v>1250</v>
      </c>
      <c r="F815" s="67"/>
    </row>
    <row r="816" hidden="1">
      <c r="A816" s="6" t="s">
        <v>27</v>
      </c>
      <c r="B816" s="25" t="s">
        <v>644</v>
      </c>
      <c r="C816" s="25" t="s">
        <v>645</v>
      </c>
      <c r="D816" s="25">
        <v>19.0</v>
      </c>
      <c r="E816" s="67">
        <f t="shared" si="5"/>
        <v>9500</v>
      </c>
      <c r="F816" s="67"/>
    </row>
    <row r="817" hidden="1">
      <c r="A817" s="6" t="s">
        <v>27</v>
      </c>
      <c r="B817" s="25" t="s">
        <v>650</v>
      </c>
      <c r="C817" s="25" t="s">
        <v>651</v>
      </c>
      <c r="D817" s="25">
        <v>1.0</v>
      </c>
      <c r="E817" s="67">
        <f t="shared" si="5"/>
        <v>250</v>
      </c>
      <c r="F817" s="67"/>
    </row>
    <row r="818" hidden="1">
      <c r="A818" s="6" t="s">
        <v>27</v>
      </c>
      <c r="B818" s="25" t="s">
        <v>1003</v>
      </c>
      <c r="C818" s="25" t="s">
        <v>1004</v>
      </c>
      <c r="D818" s="25">
        <v>0.0</v>
      </c>
      <c r="E818" s="67"/>
      <c r="F818" s="67"/>
    </row>
    <row r="819" hidden="1">
      <c r="A819" s="6" t="s">
        <v>27</v>
      </c>
      <c r="B819" s="25" t="s">
        <v>882</v>
      </c>
      <c r="C819" s="25" t="s">
        <v>883</v>
      </c>
      <c r="D819" s="25">
        <v>7.0</v>
      </c>
      <c r="E819" s="67">
        <f t="shared" ref="E819:E832" si="6">IF(D819&lt;10, D819*250, D819*500)</f>
        <v>1750</v>
      </c>
      <c r="F819" s="67"/>
    </row>
    <row r="820" hidden="1">
      <c r="A820" s="6" t="s">
        <v>27</v>
      </c>
      <c r="B820" s="25" t="s">
        <v>966</v>
      </c>
      <c r="C820" s="25" t="s">
        <v>967</v>
      </c>
      <c r="D820" s="25">
        <v>3.0</v>
      </c>
      <c r="E820" s="67">
        <f t="shared" si="6"/>
        <v>750</v>
      </c>
      <c r="F820" s="67"/>
    </row>
    <row r="821" hidden="1">
      <c r="A821" s="6" t="s">
        <v>27</v>
      </c>
      <c r="B821" s="25" t="s">
        <v>807</v>
      </c>
      <c r="C821" s="25" t="s">
        <v>808</v>
      </c>
      <c r="D821" s="25">
        <v>5.0</v>
      </c>
      <c r="E821" s="67">
        <f t="shared" si="6"/>
        <v>1250</v>
      </c>
      <c r="F821" s="67"/>
    </row>
    <row r="822" hidden="1">
      <c r="A822" s="6" t="s">
        <v>27</v>
      </c>
      <c r="B822" s="25" t="s">
        <v>656</v>
      </c>
      <c r="C822" s="25" t="s">
        <v>657</v>
      </c>
      <c r="D822" s="25">
        <v>8.0</v>
      </c>
      <c r="E822" s="67">
        <f t="shared" si="6"/>
        <v>2000</v>
      </c>
      <c r="F822" s="67"/>
    </row>
    <row r="823" hidden="1">
      <c r="A823" s="6" t="s">
        <v>27</v>
      </c>
      <c r="B823" s="25" t="s">
        <v>944</v>
      </c>
      <c r="C823" s="25" t="s">
        <v>945</v>
      </c>
      <c r="D823" s="25">
        <v>1.0</v>
      </c>
      <c r="E823" s="67">
        <f t="shared" si="6"/>
        <v>250</v>
      </c>
      <c r="F823" s="67"/>
    </row>
    <row r="824" hidden="1">
      <c r="A824" s="6" t="s">
        <v>27</v>
      </c>
      <c r="B824" s="25" t="s">
        <v>1005</v>
      </c>
      <c r="C824" s="25" t="s">
        <v>1006</v>
      </c>
      <c r="D824" s="25">
        <v>2.0</v>
      </c>
      <c r="E824" s="67">
        <f t="shared" si="6"/>
        <v>500</v>
      </c>
      <c r="F824" s="67"/>
    </row>
    <row r="825" hidden="1">
      <c r="A825" s="6" t="s">
        <v>27</v>
      </c>
      <c r="B825" s="25" t="s">
        <v>1007</v>
      </c>
      <c r="C825" s="25" t="s">
        <v>1008</v>
      </c>
      <c r="D825" s="25">
        <v>1.0</v>
      </c>
      <c r="E825" s="67">
        <f t="shared" si="6"/>
        <v>250</v>
      </c>
      <c r="F825" s="67"/>
    </row>
    <row r="826" hidden="1">
      <c r="A826" s="6" t="s">
        <v>27</v>
      </c>
      <c r="B826" s="25" t="s">
        <v>1009</v>
      </c>
      <c r="C826" s="25" t="s">
        <v>1010</v>
      </c>
      <c r="D826" s="25">
        <v>6.0</v>
      </c>
      <c r="E826" s="67">
        <f t="shared" si="6"/>
        <v>1500</v>
      </c>
      <c r="F826" s="67"/>
    </row>
    <row r="827" hidden="1">
      <c r="A827" s="6" t="s">
        <v>27</v>
      </c>
      <c r="B827" s="25" t="s">
        <v>1011</v>
      </c>
      <c r="C827" s="25" t="s">
        <v>1012</v>
      </c>
      <c r="D827" s="25">
        <v>1.0</v>
      </c>
      <c r="E827" s="67">
        <f t="shared" si="6"/>
        <v>250</v>
      </c>
      <c r="F827" s="67"/>
    </row>
    <row r="828" hidden="1">
      <c r="A828" s="6" t="s">
        <v>27</v>
      </c>
      <c r="B828" s="25" t="s">
        <v>884</v>
      </c>
      <c r="C828" s="25" t="s">
        <v>885</v>
      </c>
      <c r="D828" s="25">
        <v>2.0</v>
      </c>
      <c r="E828" s="62">
        <f t="shared" si="6"/>
        <v>500</v>
      </c>
      <c r="F828" s="62"/>
    </row>
    <row r="829" hidden="1">
      <c r="A829" s="6" t="s">
        <v>27</v>
      </c>
      <c r="B829" s="25" t="s">
        <v>1013</v>
      </c>
      <c r="C829" s="25" t="s">
        <v>1014</v>
      </c>
      <c r="D829" s="25">
        <v>1.0</v>
      </c>
      <c r="E829" s="67">
        <f t="shared" si="6"/>
        <v>250</v>
      </c>
      <c r="F829" s="67"/>
    </row>
    <row r="830" hidden="1">
      <c r="A830" s="6" t="s">
        <v>27</v>
      </c>
      <c r="B830" s="25" t="s">
        <v>813</v>
      </c>
      <c r="C830" s="25" t="s">
        <v>814</v>
      </c>
      <c r="D830" s="25">
        <v>6.0</v>
      </c>
      <c r="E830" s="67">
        <f t="shared" si="6"/>
        <v>1500</v>
      </c>
      <c r="F830" s="67"/>
    </row>
    <row r="831" hidden="1">
      <c r="A831" s="6" t="s">
        <v>27</v>
      </c>
      <c r="B831" s="25" t="s">
        <v>1015</v>
      </c>
      <c r="C831" s="25" t="s">
        <v>1016</v>
      </c>
      <c r="D831" s="25">
        <v>1.0</v>
      </c>
      <c r="E831" s="67">
        <f t="shared" si="6"/>
        <v>250</v>
      </c>
      <c r="F831" s="67"/>
    </row>
    <row r="832" hidden="1">
      <c r="A832" s="6" t="s">
        <v>27</v>
      </c>
      <c r="B832" s="25" t="s">
        <v>946</v>
      </c>
      <c r="C832" s="25" t="s">
        <v>947</v>
      </c>
      <c r="D832" s="25">
        <v>2.0</v>
      </c>
      <c r="E832" s="67">
        <f t="shared" si="6"/>
        <v>500</v>
      </c>
      <c r="F832" s="67"/>
    </row>
    <row r="833" hidden="1">
      <c r="A833" s="6" t="s">
        <v>27</v>
      </c>
      <c r="B833" s="25" t="s">
        <v>821</v>
      </c>
      <c r="C833" s="25" t="s">
        <v>822</v>
      </c>
      <c r="D833" s="25">
        <v>0.0</v>
      </c>
      <c r="E833" s="67"/>
      <c r="F833" s="67"/>
    </row>
    <row r="834" hidden="1">
      <c r="A834" s="6" t="s">
        <v>27</v>
      </c>
      <c r="B834" s="25" t="s">
        <v>672</v>
      </c>
      <c r="C834" s="25" t="s">
        <v>673</v>
      </c>
      <c r="D834" s="25">
        <v>4.0</v>
      </c>
      <c r="E834" s="67">
        <f t="shared" ref="E834:E847" si="7">IF(D834&lt;10, D834*250, D834*500)</f>
        <v>1000</v>
      </c>
      <c r="F834" s="67"/>
    </row>
    <row r="835" hidden="1">
      <c r="A835" s="6" t="s">
        <v>27</v>
      </c>
      <c r="B835" s="25" t="s">
        <v>1017</v>
      </c>
      <c r="C835" s="25" t="s">
        <v>1018</v>
      </c>
      <c r="D835" s="25">
        <v>1.0</v>
      </c>
      <c r="E835" s="67">
        <f t="shared" si="7"/>
        <v>250</v>
      </c>
      <c r="F835" s="67"/>
    </row>
    <row r="836" hidden="1">
      <c r="A836" s="6" t="s">
        <v>27</v>
      </c>
      <c r="B836" s="25" t="s">
        <v>680</v>
      </c>
      <c r="C836" s="25" t="s">
        <v>681</v>
      </c>
      <c r="D836" s="25">
        <v>3.0</v>
      </c>
      <c r="E836" s="67">
        <f t="shared" si="7"/>
        <v>750</v>
      </c>
      <c r="F836" s="67"/>
    </row>
    <row r="837" hidden="1">
      <c r="A837" s="6" t="s">
        <v>27</v>
      </c>
      <c r="B837" s="25" t="s">
        <v>682</v>
      </c>
      <c r="C837" s="25" t="s">
        <v>683</v>
      </c>
      <c r="D837" s="25">
        <v>12.0</v>
      </c>
      <c r="E837" s="67">
        <f t="shared" si="7"/>
        <v>6000</v>
      </c>
      <c r="F837" s="67"/>
    </row>
    <row r="838" hidden="1">
      <c r="A838" s="6" t="s">
        <v>27</v>
      </c>
      <c r="B838" s="25" t="s">
        <v>684</v>
      </c>
      <c r="C838" s="25" t="s">
        <v>685</v>
      </c>
      <c r="D838" s="25">
        <v>4.0</v>
      </c>
      <c r="E838" s="67">
        <f t="shared" si="7"/>
        <v>1000</v>
      </c>
      <c r="F838" s="67"/>
    </row>
    <row r="839" hidden="1">
      <c r="A839" s="6" t="s">
        <v>27</v>
      </c>
      <c r="B839" s="25" t="s">
        <v>688</v>
      </c>
      <c r="C839" s="25" t="s">
        <v>689</v>
      </c>
      <c r="D839" s="25">
        <v>4.0</v>
      </c>
      <c r="E839" s="67">
        <f t="shared" si="7"/>
        <v>1000</v>
      </c>
      <c r="F839" s="67"/>
    </row>
    <row r="840" hidden="1">
      <c r="A840" s="6" t="s">
        <v>27</v>
      </c>
      <c r="B840" s="25" t="s">
        <v>1019</v>
      </c>
      <c r="C840" s="25" t="s">
        <v>1020</v>
      </c>
      <c r="D840" s="25">
        <v>3.0</v>
      </c>
      <c r="E840" s="67">
        <f t="shared" si="7"/>
        <v>750</v>
      </c>
      <c r="F840" s="67"/>
    </row>
    <row r="841" hidden="1">
      <c r="A841" s="6" t="s">
        <v>27</v>
      </c>
      <c r="B841" s="25" t="s">
        <v>948</v>
      </c>
      <c r="C841" s="25" t="s">
        <v>949</v>
      </c>
      <c r="D841" s="25">
        <v>1.0</v>
      </c>
      <c r="E841" s="67">
        <f t="shared" si="7"/>
        <v>250</v>
      </c>
      <c r="F841" s="67"/>
    </row>
    <row r="842" hidden="1">
      <c r="A842" s="6" t="s">
        <v>27</v>
      </c>
      <c r="B842" s="25" t="s">
        <v>1021</v>
      </c>
      <c r="C842" s="25" t="s">
        <v>1022</v>
      </c>
      <c r="D842" s="25">
        <v>10.0</v>
      </c>
      <c r="E842" s="67">
        <f t="shared" si="7"/>
        <v>5000</v>
      </c>
      <c r="F842" s="67"/>
    </row>
    <row r="843" hidden="1">
      <c r="A843" s="6" t="s">
        <v>27</v>
      </c>
      <c r="B843" s="25" t="s">
        <v>307</v>
      </c>
      <c r="C843" s="25" t="s">
        <v>692</v>
      </c>
      <c r="D843" s="25">
        <v>3.0</v>
      </c>
      <c r="E843" s="67">
        <f t="shared" si="7"/>
        <v>750</v>
      </c>
      <c r="F843" s="67"/>
    </row>
    <row r="844" hidden="1">
      <c r="A844" s="6" t="s">
        <v>27</v>
      </c>
      <c r="B844" s="25" t="s">
        <v>693</v>
      </c>
      <c r="C844" s="25" t="s">
        <v>694</v>
      </c>
      <c r="D844" s="25">
        <v>11.0</v>
      </c>
      <c r="E844" s="67">
        <f t="shared" si="7"/>
        <v>5500</v>
      </c>
      <c r="F844" s="67"/>
    </row>
    <row r="845" hidden="1">
      <c r="A845" s="6" t="s">
        <v>27</v>
      </c>
      <c r="B845" s="25" t="s">
        <v>699</v>
      </c>
      <c r="C845" s="25" t="s">
        <v>700</v>
      </c>
      <c r="D845" s="25">
        <v>10.0</v>
      </c>
      <c r="E845" s="67">
        <f t="shared" si="7"/>
        <v>5000</v>
      </c>
      <c r="F845" s="67"/>
    </row>
    <row r="846" hidden="1">
      <c r="A846" s="6" t="s">
        <v>27</v>
      </c>
      <c r="B846" s="25" t="s">
        <v>950</v>
      </c>
      <c r="C846" s="25" t="s">
        <v>951</v>
      </c>
      <c r="D846" s="25">
        <v>4.0</v>
      </c>
      <c r="E846" s="67">
        <f t="shared" si="7"/>
        <v>1000</v>
      </c>
      <c r="F846" s="67"/>
    </row>
    <row r="847" hidden="1">
      <c r="A847" s="6" t="s">
        <v>27</v>
      </c>
      <c r="B847" s="25" t="s">
        <v>701</v>
      </c>
      <c r="C847" s="25" t="s">
        <v>702</v>
      </c>
      <c r="D847" s="25">
        <v>6.0</v>
      </c>
      <c r="E847" s="67">
        <f t="shared" si="7"/>
        <v>1500</v>
      </c>
      <c r="F847" s="67"/>
    </row>
    <row r="848" hidden="1">
      <c r="A848" s="6" t="s">
        <v>27</v>
      </c>
      <c r="B848" s="25" t="s">
        <v>1023</v>
      </c>
      <c r="C848" s="25" t="s">
        <v>1024</v>
      </c>
      <c r="D848" s="25">
        <v>0.0</v>
      </c>
      <c r="E848" s="67"/>
      <c r="F848" s="67"/>
    </row>
    <row r="849" hidden="1">
      <c r="A849" s="6" t="s">
        <v>27</v>
      </c>
      <c r="B849" s="25" t="s">
        <v>703</v>
      </c>
      <c r="C849" s="25" t="s">
        <v>704</v>
      </c>
      <c r="D849" s="25">
        <v>3.0</v>
      </c>
      <c r="E849" s="67">
        <f t="shared" ref="E849:E851" si="8">IF(D849&lt;10, D849*250, D849*500)</f>
        <v>750</v>
      </c>
      <c r="F849" s="67"/>
    </row>
    <row r="850" hidden="1">
      <c r="A850" s="6" t="s">
        <v>27</v>
      </c>
      <c r="B850" s="25" t="s">
        <v>707</v>
      </c>
      <c r="C850" s="25" t="s">
        <v>708</v>
      </c>
      <c r="D850" s="25">
        <v>3.0</v>
      </c>
      <c r="E850" s="67">
        <f t="shared" si="8"/>
        <v>750</v>
      </c>
      <c r="F850" s="67"/>
    </row>
    <row r="851" hidden="1">
      <c r="A851" s="6" t="s">
        <v>27</v>
      </c>
      <c r="B851" s="25" t="s">
        <v>709</v>
      </c>
      <c r="C851" s="25" t="s">
        <v>710</v>
      </c>
      <c r="D851" s="25">
        <v>5.0</v>
      </c>
      <c r="E851" s="67">
        <f t="shared" si="8"/>
        <v>1250</v>
      </c>
      <c r="F851" s="67"/>
    </row>
    <row r="852" hidden="1">
      <c r="A852" s="6" t="s">
        <v>27</v>
      </c>
      <c r="B852" s="25" t="s">
        <v>705</v>
      </c>
      <c r="C852" s="25" t="s">
        <v>706</v>
      </c>
      <c r="D852" s="25">
        <v>0.0</v>
      </c>
      <c r="E852" s="67"/>
      <c r="F852" s="67"/>
    </row>
    <row r="853" hidden="1">
      <c r="A853" s="6" t="s">
        <v>27</v>
      </c>
      <c r="B853" s="25" t="s">
        <v>717</v>
      </c>
      <c r="C853" s="25" t="s">
        <v>718</v>
      </c>
      <c r="D853" s="25">
        <v>6.0</v>
      </c>
      <c r="E853" s="67">
        <f t="shared" ref="E853:E870" si="9">IF(D853&lt;10, D853*250, D853*500)</f>
        <v>1500</v>
      </c>
      <c r="F853" s="67"/>
    </row>
    <row r="854" hidden="1">
      <c r="A854" s="6" t="s">
        <v>27</v>
      </c>
      <c r="B854" s="25" t="s">
        <v>719</v>
      </c>
      <c r="C854" s="25" t="s">
        <v>720</v>
      </c>
      <c r="D854" s="25">
        <v>3.0</v>
      </c>
      <c r="E854" s="67">
        <f t="shared" si="9"/>
        <v>750</v>
      </c>
      <c r="F854" s="67"/>
    </row>
    <row r="855" hidden="1">
      <c r="A855" s="6" t="s">
        <v>27</v>
      </c>
      <c r="B855" s="25" t="s">
        <v>721</v>
      </c>
      <c r="C855" s="25" t="s">
        <v>722</v>
      </c>
      <c r="D855" s="25">
        <v>6.0</v>
      </c>
      <c r="E855" s="67">
        <f t="shared" si="9"/>
        <v>1500</v>
      </c>
      <c r="F855" s="67"/>
    </row>
    <row r="856" hidden="1">
      <c r="A856" s="6" t="s">
        <v>27</v>
      </c>
      <c r="B856" s="25" t="s">
        <v>723</v>
      </c>
      <c r="C856" s="25" t="s">
        <v>724</v>
      </c>
      <c r="D856" s="25">
        <v>11.0</v>
      </c>
      <c r="E856" s="67">
        <f t="shared" si="9"/>
        <v>5500</v>
      </c>
      <c r="F856" s="67"/>
    </row>
    <row r="857" hidden="1">
      <c r="A857" s="6" t="s">
        <v>27</v>
      </c>
      <c r="B857" s="25" t="s">
        <v>725</v>
      </c>
      <c r="C857" s="25" t="s">
        <v>726</v>
      </c>
      <c r="D857" s="25">
        <v>11.0</v>
      </c>
      <c r="E857" s="67">
        <f t="shared" si="9"/>
        <v>5500</v>
      </c>
      <c r="F857" s="67"/>
    </row>
    <row r="858" hidden="1">
      <c r="A858" s="6" t="s">
        <v>27</v>
      </c>
      <c r="B858" s="25" t="s">
        <v>729</v>
      </c>
      <c r="C858" s="25" t="s">
        <v>730</v>
      </c>
      <c r="D858" s="25">
        <v>2.0</v>
      </c>
      <c r="E858" s="67">
        <f t="shared" si="9"/>
        <v>500</v>
      </c>
      <c r="F858" s="67"/>
    </row>
    <row r="859" hidden="1">
      <c r="A859" s="6" t="s">
        <v>27</v>
      </c>
      <c r="B859" s="25" t="s">
        <v>890</v>
      </c>
      <c r="C859" s="25" t="s">
        <v>891</v>
      </c>
      <c r="D859" s="25">
        <v>3.0</v>
      </c>
      <c r="E859" s="67">
        <f t="shared" si="9"/>
        <v>750</v>
      </c>
      <c r="F859" s="67"/>
    </row>
    <row r="860" hidden="1">
      <c r="A860" s="6" t="s">
        <v>27</v>
      </c>
      <c r="B860" s="25" t="s">
        <v>1025</v>
      </c>
      <c r="C860" s="25" t="s">
        <v>1026</v>
      </c>
      <c r="D860" s="25">
        <v>4.0</v>
      </c>
      <c r="E860" s="67">
        <f t="shared" si="9"/>
        <v>1000</v>
      </c>
      <c r="F860" s="67"/>
    </row>
    <row r="861" hidden="1">
      <c r="A861" s="6" t="s">
        <v>27</v>
      </c>
      <c r="B861" s="25" t="s">
        <v>1027</v>
      </c>
      <c r="C861" s="25" t="s">
        <v>1028</v>
      </c>
      <c r="D861" s="25">
        <v>3.0</v>
      </c>
      <c r="E861" s="67">
        <f t="shared" si="9"/>
        <v>750</v>
      </c>
      <c r="F861" s="67"/>
    </row>
    <row r="862" hidden="1">
      <c r="A862" s="6" t="s">
        <v>27</v>
      </c>
      <c r="B862" s="25" t="s">
        <v>964</v>
      </c>
      <c r="C862" s="25" t="s">
        <v>965</v>
      </c>
      <c r="D862" s="25">
        <v>2.0</v>
      </c>
      <c r="E862" s="67">
        <f t="shared" si="9"/>
        <v>500</v>
      </c>
      <c r="F862" s="67"/>
    </row>
    <row r="863" hidden="1">
      <c r="A863" s="6" t="s">
        <v>27</v>
      </c>
      <c r="B863" s="25" t="s">
        <v>823</v>
      </c>
      <c r="C863" s="25" t="s">
        <v>824</v>
      </c>
      <c r="D863" s="25">
        <v>5.0</v>
      </c>
      <c r="E863" s="67">
        <f t="shared" si="9"/>
        <v>1250</v>
      </c>
      <c r="F863" s="67"/>
    </row>
    <row r="864" hidden="1">
      <c r="A864" s="6" t="s">
        <v>27</v>
      </c>
      <c r="B864" s="25" t="s">
        <v>1029</v>
      </c>
      <c r="C864" s="25" t="s">
        <v>1030</v>
      </c>
      <c r="D864" s="25">
        <v>1.0</v>
      </c>
      <c r="E864" s="67">
        <f t="shared" si="9"/>
        <v>250</v>
      </c>
      <c r="F864" s="67"/>
    </row>
    <row r="865" hidden="1">
      <c r="A865" s="6" t="s">
        <v>27</v>
      </c>
      <c r="B865" s="25" t="s">
        <v>1031</v>
      </c>
      <c r="C865" s="25" t="s">
        <v>1032</v>
      </c>
      <c r="D865" s="25">
        <v>1.0</v>
      </c>
      <c r="E865" s="67">
        <f t="shared" si="9"/>
        <v>250</v>
      </c>
      <c r="F865" s="67"/>
    </row>
    <row r="866" hidden="1">
      <c r="A866" s="6" t="s">
        <v>27</v>
      </c>
      <c r="B866" s="25" t="s">
        <v>302</v>
      </c>
      <c r="C866" s="25" t="s">
        <v>733</v>
      </c>
      <c r="D866" s="25">
        <v>2.0</v>
      </c>
      <c r="E866" s="67">
        <f t="shared" si="9"/>
        <v>500</v>
      </c>
      <c r="F866" s="67"/>
    </row>
    <row r="867" hidden="1">
      <c r="A867" s="6" t="s">
        <v>27</v>
      </c>
      <c r="B867" s="25" t="s">
        <v>736</v>
      </c>
      <c r="C867" s="25" t="s">
        <v>737</v>
      </c>
      <c r="D867" s="25">
        <v>5.0</v>
      </c>
      <c r="E867" s="67">
        <f t="shared" si="9"/>
        <v>1250</v>
      </c>
      <c r="F867" s="67"/>
    </row>
    <row r="868" hidden="1">
      <c r="A868" s="6" t="s">
        <v>27</v>
      </c>
      <c r="B868" s="25" t="s">
        <v>1033</v>
      </c>
      <c r="C868" s="25" t="s">
        <v>1034</v>
      </c>
      <c r="D868" s="25">
        <v>5.0</v>
      </c>
      <c r="E868" s="67">
        <f t="shared" si="9"/>
        <v>1250</v>
      </c>
      <c r="F868" s="67"/>
    </row>
    <row r="869" hidden="1">
      <c r="A869" s="6" t="s">
        <v>27</v>
      </c>
      <c r="B869" s="25" t="s">
        <v>742</v>
      </c>
      <c r="C869" s="25" t="s">
        <v>743</v>
      </c>
      <c r="D869" s="25">
        <v>5.0</v>
      </c>
      <c r="E869" s="67">
        <f t="shared" si="9"/>
        <v>1250</v>
      </c>
      <c r="F869" s="67"/>
    </row>
    <row r="870" hidden="1">
      <c r="A870" s="6" t="s">
        <v>27</v>
      </c>
      <c r="B870" s="25" t="s">
        <v>952</v>
      </c>
      <c r="C870" s="25" t="s">
        <v>953</v>
      </c>
      <c r="D870" s="25">
        <v>1.0</v>
      </c>
      <c r="E870" s="67">
        <f t="shared" si="9"/>
        <v>250</v>
      </c>
      <c r="F870" s="67"/>
    </row>
    <row r="871" hidden="1">
      <c r="A871" s="6" t="s">
        <v>27</v>
      </c>
      <c r="B871" s="25" t="s">
        <v>956</v>
      </c>
      <c r="C871" s="25" t="s">
        <v>957</v>
      </c>
      <c r="D871" s="25">
        <v>0.0</v>
      </c>
      <c r="E871" s="67"/>
      <c r="F871" s="67"/>
    </row>
    <row r="872" hidden="1">
      <c r="A872" s="6" t="s">
        <v>27</v>
      </c>
      <c r="B872" s="25" t="s">
        <v>954</v>
      </c>
      <c r="C872" s="25" t="s">
        <v>955</v>
      </c>
      <c r="D872" s="25">
        <v>1.0</v>
      </c>
      <c r="E872" s="67">
        <f t="shared" ref="E872:E876" si="10">IF(D872&lt;10, D872*250, D872*500)</f>
        <v>250</v>
      </c>
      <c r="F872" s="67"/>
    </row>
    <row r="873" hidden="1">
      <c r="A873" s="6" t="s">
        <v>27</v>
      </c>
      <c r="B873" s="25" t="s">
        <v>744</v>
      </c>
      <c r="C873" s="25" t="s">
        <v>745</v>
      </c>
      <c r="D873" s="25">
        <v>2.0</v>
      </c>
      <c r="E873" s="67">
        <f t="shared" si="10"/>
        <v>500</v>
      </c>
      <c r="F873" s="67"/>
    </row>
    <row r="874" hidden="1">
      <c r="A874" s="6" t="s">
        <v>27</v>
      </c>
      <c r="B874" s="25" t="s">
        <v>746</v>
      </c>
      <c r="C874" s="25" t="s">
        <v>747</v>
      </c>
      <c r="D874" s="25">
        <v>10.0</v>
      </c>
      <c r="E874" s="67">
        <f t="shared" si="10"/>
        <v>5000</v>
      </c>
      <c r="F874" s="67"/>
    </row>
    <row r="875" hidden="1">
      <c r="A875" s="6" t="s">
        <v>27</v>
      </c>
      <c r="B875" s="25" t="s">
        <v>894</v>
      </c>
      <c r="C875" s="25" t="s">
        <v>895</v>
      </c>
      <c r="D875" s="25">
        <v>4.0</v>
      </c>
      <c r="E875" s="67">
        <f t="shared" si="10"/>
        <v>1000</v>
      </c>
      <c r="F875" s="67"/>
    </row>
    <row r="876" hidden="1">
      <c r="A876" s="6" t="s">
        <v>27</v>
      </c>
      <c r="B876" s="25" t="s">
        <v>752</v>
      </c>
      <c r="C876" s="25" t="s">
        <v>753</v>
      </c>
      <c r="D876" s="25">
        <v>4.0</v>
      </c>
      <c r="E876" s="67">
        <f t="shared" si="10"/>
        <v>1000</v>
      </c>
      <c r="F876" s="67"/>
    </row>
    <row r="877" hidden="1">
      <c r="A877" s="6" t="s">
        <v>27</v>
      </c>
      <c r="B877" s="25" t="s">
        <v>1035</v>
      </c>
      <c r="C877" s="25" t="s">
        <v>1036</v>
      </c>
      <c r="D877" s="25">
        <v>0.0</v>
      </c>
      <c r="E877" s="67"/>
      <c r="F877" s="67"/>
    </row>
    <row r="878" hidden="1">
      <c r="A878" s="6" t="s">
        <v>27</v>
      </c>
      <c r="B878" s="25" t="s">
        <v>754</v>
      </c>
      <c r="C878" s="25" t="s">
        <v>755</v>
      </c>
      <c r="D878" s="25">
        <v>3.0</v>
      </c>
      <c r="E878" s="67">
        <f t="shared" ref="E878:E4548" si="11">IF(D878&lt;10, D878*250, D878*500)</f>
        <v>750</v>
      </c>
      <c r="F878" s="67"/>
    </row>
    <row r="879" hidden="1">
      <c r="A879" s="6" t="s">
        <v>27</v>
      </c>
      <c r="B879" s="25" t="s">
        <v>758</v>
      </c>
      <c r="C879" s="25" t="s">
        <v>759</v>
      </c>
      <c r="D879" s="25">
        <v>11.0</v>
      </c>
      <c r="E879" s="67">
        <f t="shared" si="11"/>
        <v>5500</v>
      </c>
      <c r="F879" s="67"/>
    </row>
    <row r="880" hidden="1">
      <c r="A880" s="6" t="s">
        <v>27</v>
      </c>
      <c r="B880" s="25" t="s">
        <v>960</v>
      </c>
      <c r="C880" s="25" t="s">
        <v>961</v>
      </c>
      <c r="D880" s="25">
        <v>11.0</v>
      </c>
      <c r="E880" s="67">
        <f t="shared" si="11"/>
        <v>5500</v>
      </c>
      <c r="F880" s="67"/>
    </row>
    <row r="881" hidden="1">
      <c r="A881" s="6" t="s">
        <v>27</v>
      </c>
      <c r="B881" s="25" t="s">
        <v>762</v>
      </c>
      <c r="C881" s="25" t="s">
        <v>763</v>
      </c>
      <c r="D881" s="25">
        <v>2.0</v>
      </c>
      <c r="E881" s="67">
        <f t="shared" si="11"/>
        <v>500</v>
      </c>
      <c r="F881" s="67"/>
    </row>
    <row r="882" hidden="1">
      <c r="A882" s="6" t="s">
        <v>27</v>
      </c>
      <c r="B882" s="25" t="s">
        <v>898</v>
      </c>
      <c r="C882" s="25" t="s">
        <v>899</v>
      </c>
      <c r="D882" s="25">
        <v>7.0</v>
      </c>
      <c r="E882" s="67">
        <f t="shared" si="11"/>
        <v>1750</v>
      </c>
      <c r="F882" s="67"/>
    </row>
    <row r="883" hidden="1">
      <c r="A883" s="6" t="s">
        <v>27</v>
      </c>
      <c r="B883" s="25" t="s">
        <v>1037</v>
      </c>
      <c r="C883" s="25" t="s">
        <v>1038</v>
      </c>
      <c r="D883" s="25">
        <v>1.0</v>
      </c>
      <c r="E883" s="67">
        <f t="shared" si="11"/>
        <v>250</v>
      </c>
      <c r="F883" s="67"/>
    </row>
    <row r="884" hidden="1">
      <c r="A884" s="6" t="s">
        <v>27</v>
      </c>
      <c r="B884" s="25" t="s">
        <v>764</v>
      </c>
      <c r="C884" s="25" t="s">
        <v>765</v>
      </c>
      <c r="D884" s="25">
        <v>2.0</v>
      </c>
      <c r="E884" s="67">
        <f t="shared" si="11"/>
        <v>500</v>
      </c>
      <c r="F884" s="67"/>
    </row>
    <row r="885" hidden="1">
      <c r="A885" s="6" t="s">
        <v>27</v>
      </c>
      <c r="B885" s="25" t="s">
        <v>1039</v>
      </c>
      <c r="C885" s="25" t="s">
        <v>1040</v>
      </c>
      <c r="D885" s="25">
        <v>1.0</v>
      </c>
      <c r="E885" s="67">
        <f t="shared" si="11"/>
        <v>250</v>
      </c>
      <c r="F885" s="67"/>
    </row>
    <row r="886" hidden="1">
      <c r="A886" s="6" t="s">
        <v>27</v>
      </c>
      <c r="B886" s="25" t="s">
        <v>900</v>
      </c>
      <c r="C886" s="25" t="s">
        <v>901</v>
      </c>
      <c r="D886" s="25">
        <v>2.0</v>
      </c>
      <c r="E886" s="67">
        <f t="shared" si="11"/>
        <v>500</v>
      </c>
      <c r="F886" s="67"/>
    </row>
    <row r="887" hidden="1">
      <c r="A887" s="6" t="s">
        <v>27</v>
      </c>
      <c r="B887" s="25" t="s">
        <v>766</v>
      </c>
      <c r="C887" s="25" t="s">
        <v>767</v>
      </c>
      <c r="D887" s="25">
        <v>8.0</v>
      </c>
      <c r="E887" s="67">
        <f t="shared" si="11"/>
        <v>2000</v>
      </c>
      <c r="F887" s="67"/>
    </row>
    <row r="888" hidden="1">
      <c r="A888" s="6" t="s">
        <v>27</v>
      </c>
      <c r="B888" s="25" t="s">
        <v>902</v>
      </c>
      <c r="C888" s="25" t="s">
        <v>903</v>
      </c>
      <c r="D888" s="25">
        <v>1.0</v>
      </c>
      <c r="E888" s="67">
        <f t="shared" si="11"/>
        <v>250</v>
      </c>
      <c r="F888" s="67"/>
    </row>
    <row r="889" hidden="1">
      <c r="A889" s="6" t="s">
        <v>27</v>
      </c>
      <c r="B889" s="25" t="s">
        <v>1041</v>
      </c>
      <c r="C889" s="25" t="s">
        <v>1042</v>
      </c>
      <c r="D889" s="25">
        <v>4.0</v>
      </c>
      <c r="E889" s="67">
        <f t="shared" si="11"/>
        <v>1000</v>
      </c>
      <c r="F889" s="67"/>
    </row>
    <row r="890" hidden="1">
      <c r="A890" s="6" t="s">
        <v>28</v>
      </c>
      <c r="B890" s="13" t="s">
        <v>815</v>
      </c>
      <c r="C890" s="13" t="s">
        <v>816</v>
      </c>
      <c r="D890" s="15">
        <v>6.0</v>
      </c>
      <c r="E890" s="67">
        <f t="shared" si="11"/>
        <v>1500</v>
      </c>
      <c r="F890" s="67"/>
    </row>
    <row r="891" hidden="1">
      <c r="A891" s="6" t="s">
        <v>28</v>
      </c>
      <c r="B891" s="13" t="s">
        <v>405</v>
      </c>
      <c r="C891" s="13" t="s">
        <v>406</v>
      </c>
      <c r="D891" s="15">
        <v>1.0</v>
      </c>
      <c r="E891" s="67">
        <f t="shared" si="11"/>
        <v>250</v>
      </c>
      <c r="F891" s="67"/>
    </row>
    <row r="892" hidden="1">
      <c r="A892" s="6" t="s">
        <v>28</v>
      </c>
      <c r="B892" s="13" t="s">
        <v>409</v>
      </c>
      <c r="C892" s="13" t="s">
        <v>410</v>
      </c>
      <c r="D892" s="15">
        <v>6.0</v>
      </c>
      <c r="E892" s="67">
        <f t="shared" si="11"/>
        <v>1500</v>
      </c>
      <c r="F892" s="67"/>
    </row>
    <row r="893" hidden="1">
      <c r="A893" s="6" t="s">
        <v>28</v>
      </c>
      <c r="B893" s="13" t="s">
        <v>411</v>
      </c>
      <c r="C893" s="13" t="s">
        <v>412</v>
      </c>
      <c r="D893" s="15">
        <v>11.0</v>
      </c>
      <c r="E893" s="67">
        <f t="shared" si="11"/>
        <v>5500</v>
      </c>
      <c r="F893" s="67"/>
    </row>
    <row r="894" hidden="1">
      <c r="A894" s="6" t="s">
        <v>28</v>
      </c>
      <c r="B894" s="13" t="s">
        <v>413</v>
      </c>
      <c r="C894" s="13" t="s">
        <v>414</v>
      </c>
      <c r="D894" s="15">
        <v>9.0</v>
      </c>
      <c r="E894" s="67">
        <f t="shared" si="11"/>
        <v>2250</v>
      </c>
      <c r="F894" s="67"/>
    </row>
    <row r="895" hidden="1">
      <c r="A895" s="6" t="s">
        <v>28</v>
      </c>
      <c r="B895" s="13" t="s">
        <v>825</v>
      </c>
      <c r="C895" s="13" t="s">
        <v>826</v>
      </c>
      <c r="D895" s="15">
        <v>3.0</v>
      </c>
      <c r="E895" s="67">
        <f t="shared" si="11"/>
        <v>750</v>
      </c>
      <c r="F895" s="67"/>
    </row>
    <row r="896" hidden="1">
      <c r="A896" s="6" t="s">
        <v>28</v>
      </c>
      <c r="B896" s="13" t="s">
        <v>417</v>
      </c>
      <c r="C896" s="13" t="s">
        <v>418</v>
      </c>
      <c r="D896" s="15">
        <v>10.0</v>
      </c>
      <c r="E896" s="67">
        <f t="shared" si="11"/>
        <v>5000</v>
      </c>
      <c r="F896" s="67"/>
    </row>
    <row r="897" hidden="1">
      <c r="A897" s="6" t="s">
        <v>28</v>
      </c>
      <c r="B897" s="13" t="s">
        <v>968</v>
      </c>
      <c r="C897" s="13" t="s">
        <v>969</v>
      </c>
      <c r="D897" s="15">
        <v>2.0</v>
      </c>
      <c r="E897" s="67">
        <f t="shared" si="11"/>
        <v>500</v>
      </c>
      <c r="F897" s="67"/>
    </row>
    <row r="898" hidden="1">
      <c r="A898" s="6" t="s">
        <v>28</v>
      </c>
      <c r="B898" s="13" t="s">
        <v>970</v>
      </c>
      <c r="C898" s="13" t="s">
        <v>971</v>
      </c>
      <c r="D898" s="15">
        <v>1.0</v>
      </c>
      <c r="E898" s="67">
        <f t="shared" si="11"/>
        <v>250</v>
      </c>
      <c r="F898" s="67"/>
    </row>
    <row r="899" hidden="1">
      <c r="A899" s="6" t="s">
        <v>28</v>
      </c>
      <c r="B899" s="13" t="s">
        <v>431</v>
      </c>
      <c r="C899" s="13" t="s">
        <v>432</v>
      </c>
      <c r="D899" s="15">
        <v>2.0</v>
      </c>
      <c r="E899" s="67">
        <f t="shared" si="11"/>
        <v>500</v>
      </c>
      <c r="F899" s="67"/>
    </row>
    <row r="900" hidden="1">
      <c r="A900" s="6" t="s">
        <v>28</v>
      </c>
      <c r="B900" s="13" t="s">
        <v>433</v>
      </c>
      <c r="C900" s="13" t="s">
        <v>434</v>
      </c>
      <c r="D900" s="15">
        <v>1.0</v>
      </c>
      <c r="E900" s="67">
        <f t="shared" si="11"/>
        <v>250</v>
      </c>
      <c r="F900" s="67"/>
    </row>
    <row r="901" hidden="1">
      <c r="A901" s="6" t="s">
        <v>28</v>
      </c>
      <c r="B901" s="13" t="s">
        <v>435</v>
      </c>
      <c r="C901" s="13" t="s">
        <v>436</v>
      </c>
      <c r="D901" s="15">
        <v>15.0</v>
      </c>
      <c r="E901" s="67">
        <f t="shared" si="11"/>
        <v>7500</v>
      </c>
      <c r="F901" s="67"/>
    </row>
    <row r="902" hidden="1">
      <c r="A902" s="6" t="s">
        <v>28</v>
      </c>
      <c r="B902" s="13" t="s">
        <v>841</v>
      </c>
      <c r="C902" s="13" t="s">
        <v>842</v>
      </c>
      <c r="D902" s="15">
        <v>3.0</v>
      </c>
      <c r="E902" s="67">
        <f t="shared" si="11"/>
        <v>750</v>
      </c>
      <c r="F902" s="67"/>
    </row>
    <row r="903" hidden="1">
      <c r="A903" s="6" t="s">
        <v>28</v>
      </c>
      <c r="B903" s="13" t="s">
        <v>439</v>
      </c>
      <c r="C903" s="13" t="s">
        <v>440</v>
      </c>
      <c r="D903" s="15">
        <v>11.0</v>
      </c>
      <c r="E903" s="67">
        <f t="shared" si="11"/>
        <v>5500</v>
      </c>
      <c r="F903" s="67"/>
    </row>
    <row r="904" hidden="1">
      <c r="A904" s="6" t="s">
        <v>28</v>
      </c>
      <c r="B904" s="13" t="s">
        <v>1043</v>
      </c>
      <c r="C904" s="13" t="s">
        <v>1044</v>
      </c>
      <c r="D904" s="15">
        <v>2.0</v>
      </c>
      <c r="E904" s="67">
        <f t="shared" si="11"/>
        <v>500</v>
      </c>
      <c r="F904" s="67"/>
    </row>
    <row r="905" hidden="1">
      <c r="A905" s="6" t="s">
        <v>28</v>
      </c>
      <c r="B905" s="13" t="s">
        <v>443</v>
      </c>
      <c r="C905" s="13" t="s">
        <v>444</v>
      </c>
      <c r="D905" s="15">
        <v>6.0</v>
      </c>
      <c r="E905" s="67">
        <f t="shared" si="11"/>
        <v>1500</v>
      </c>
      <c r="F905" s="67"/>
    </row>
    <row r="906" hidden="1">
      <c r="A906" s="6" t="s">
        <v>28</v>
      </c>
      <c r="B906" s="13" t="s">
        <v>803</v>
      </c>
      <c r="C906" s="13" t="s">
        <v>804</v>
      </c>
      <c r="D906" s="15">
        <v>3.0</v>
      </c>
      <c r="E906" s="67">
        <f t="shared" si="11"/>
        <v>750</v>
      </c>
      <c r="F906" s="67"/>
    </row>
    <row r="907" hidden="1">
      <c r="A907" s="6" t="s">
        <v>28</v>
      </c>
      <c r="B907" s="13" t="s">
        <v>445</v>
      </c>
      <c r="C907" s="13" t="s">
        <v>446</v>
      </c>
      <c r="D907" s="15">
        <v>8.0</v>
      </c>
      <c r="E907" s="67">
        <f t="shared" si="11"/>
        <v>2000</v>
      </c>
      <c r="F907" s="67"/>
    </row>
    <row r="908" hidden="1">
      <c r="A908" s="6" t="s">
        <v>28</v>
      </c>
      <c r="B908" s="13" t="s">
        <v>447</v>
      </c>
      <c r="C908" s="13" t="s">
        <v>448</v>
      </c>
      <c r="D908" s="15">
        <v>7.0</v>
      </c>
      <c r="E908" s="67">
        <f t="shared" si="11"/>
        <v>1750</v>
      </c>
      <c r="F908" s="67"/>
    </row>
    <row r="909" hidden="1">
      <c r="A909" s="6" t="s">
        <v>28</v>
      </c>
      <c r="B909" s="13" t="s">
        <v>974</v>
      </c>
      <c r="C909" s="13" t="s">
        <v>975</v>
      </c>
      <c r="D909" s="15">
        <v>5.0</v>
      </c>
      <c r="E909" s="67">
        <f t="shared" si="11"/>
        <v>1250</v>
      </c>
      <c r="F909" s="67"/>
    </row>
    <row r="910" hidden="1">
      <c r="A910" s="6" t="s">
        <v>28</v>
      </c>
      <c r="B910" s="13" t="s">
        <v>449</v>
      </c>
      <c r="C910" s="13" t="s">
        <v>450</v>
      </c>
      <c r="D910" s="15">
        <v>6.0</v>
      </c>
      <c r="E910" s="67">
        <f t="shared" si="11"/>
        <v>1500</v>
      </c>
      <c r="F910" s="67"/>
    </row>
    <row r="911" hidden="1">
      <c r="A911" s="6" t="s">
        <v>28</v>
      </c>
      <c r="B911" s="13" t="s">
        <v>451</v>
      </c>
      <c r="C911" s="13" t="s">
        <v>452</v>
      </c>
      <c r="D911" s="15">
        <v>6.0</v>
      </c>
      <c r="E911" s="67">
        <f t="shared" si="11"/>
        <v>1500</v>
      </c>
      <c r="F911" s="67"/>
    </row>
    <row r="912" hidden="1">
      <c r="A912" s="6" t="s">
        <v>28</v>
      </c>
      <c r="B912" s="13" t="s">
        <v>453</v>
      </c>
      <c r="C912" s="13" t="s">
        <v>454</v>
      </c>
      <c r="D912" s="15">
        <v>5.0</v>
      </c>
      <c r="E912" s="67">
        <f t="shared" si="11"/>
        <v>1250</v>
      </c>
      <c r="F912" s="67"/>
    </row>
    <row r="913" hidden="1">
      <c r="A913" s="6" t="s">
        <v>28</v>
      </c>
      <c r="B913" s="13" t="s">
        <v>833</v>
      </c>
      <c r="C913" s="13" t="s">
        <v>834</v>
      </c>
      <c r="D913" s="15">
        <v>4.0</v>
      </c>
      <c r="E913" s="67">
        <f t="shared" si="11"/>
        <v>1000</v>
      </c>
      <c r="F913" s="67"/>
    </row>
    <row r="914" hidden="1">
      <c r="A914" s="6" t="s">
        <v>28</v>
      </c>
      <c r="B914" s="13" t="s">
        <v>976</v>
      </c>
      <c r="C914" s="13" t="s">
        <v>977</v>
      </c>
      <c r="D914" s="15">
        <v>4.0</v>
      </c>
      <c r="E914" s="67">
        <f t="shared" si="11"/>
        <v>1000</v>
      </c>
      <c r="F914" s="67"/>
    </row>
    <row r="915" hidden="1">
      <c r="A915" s="6" t="s">
        <v>28</v>
      </c>
      <c r="B915" s="13" t="s">
        <v>457</v>
      </c>
      <c r="C915" s="13" t="s">
        <v>458</v>
      </c>
      <c r="D915" s="15">
        <v>6.0</v>
      </c>
      <c r="E915" s="67">
        <f t="shared" si="11"/>
        <v>1500</v>
      </c>
      <c r="F915" s="67"/>
    </row>
    <row r="916" hidden="1">
      <c r="A916" s="6" t="s">
        <v>28</v>
      </c>
      <c r="B916" s="13" t="s">
        <v>319</v>
      </c>
      <c r="C916" s="13" t="s">
        <v>459</v>
      </c>
      <c r="D916" s="15">
        <v>6.0</v>
      </c>
      <c r="E916" s="67">
        <f t="shared" si="11"/>
        <v>1500</v>
      </c>
      <c r="F916" s="67"/>
    </row>
    <row r="917" hidden="1">
      <c r="A917" s="6" t="s">
        <v>28</v>
      </c>
      <c r="B917" s="13" t="s">
        <v>1045</v>
      </c>
      <c r="C917" s="13" t="s">
        <v>1046</v>
      </c>
      <c r="D917" s="15">
        <v>3.0</v>
      </c>
      <c r="E917" s="67">
        <f t="shared" si="11"/>
        <v>750</v>
      </c>
      <c r="F917" s="67"/>
    </row>
    <row r="918" hidden="1">
      <c r="A918" s="6" t="s">
        <v>28</v>
      </c>
      <c r="B918" s="13" t="s">
        <v>910</v>
      </c>
      <c r="C918" s="13" t="s">
        <v>911</v>
      </c>
      <c r="D918" s="15">
        <v>7.0</v>
      </c>
      <c r="E918" s="67">
        <f t="shared" si="11"/>
        <v>1750</v>
      </c>
      <c r="F918" s="67"/>
    </row>
    <row r="919" hidden="1">
      <c r="A919" s="6" t="s">
        <v>28</v>
      </c>
      <c r="B919" s="13" t="s">
        <v>462</v>
      </c>
      <c r="C919" s="13" t="s">
        <v>463</v>
      </c>
      <c r="D919" s="15">
        <v>5.0</v>
      </c>
      <c r="E919" s="67">
        <f t="shared" si="11"/>
        <v>1250</v>
      </c>
      <c r="F919" s="67"/>
    </row>
    <row r="920" hidden="1">
      <c r="A920" s="6" t="s">
        <v>28</v>
      </c>
      <c r="B920" s="13" t="s">
        <v>472</v>
      </c>
      <c r="C920" s="13" t="s">
        <v>473</v>
      </c>
      <c r="D920" s="15">
        <v>2.0</v>
      </c>
      <c r="E920" s="67">
        <f t="shared" si="11"/>
        <v>500</v>
      </c>
      <c r="F920" s="67"/>
    </row>
    <row r="921" hidden="1">
      <c r="A921" s="6" t="s">
        <v>28</v>
      </c>
      <c r="B921" s="13" t="s">
        <v>972</v>
      </c>
      <c r="C921" s="13" t="s">
        <v>973</v>
      </c>
      <c r="D921" s="15">
        <v>0.0</v>
      </c>
      <c r="E921" s="67">
        <f t="shared" si="11"/>
        <v>0</v>
      </c>
      <c r="F921" s="67"/>
    </row>
    <row r="922" hidden="1">
      <c r="A922" s="6" t="s">
        <v>28</v>
      </c>
      <c r="B922" s="13" t="s">
        <v>843</v>
      </c>
      <c r="C922" s="13" t="s">
        <v>844</v>
      </c>
      <c r="D922" s="15">
        <v>9.0</v>
      </c>
      <c r="E922" s="67">
        <f t="shared" si="11"/>
        <v>2250</v>
      </c>
      <c r="F922" s="67"/>
    </row>
    <row r="923" hidden="1">
      <c r="A923" s="6" t="s">
        <v>28</v>
      </c>
      <c r="B923" s="13" t="s">
        <v>1047</v>
      </c>
      <c r="C923" s="13" t="s">
        <v>1048</v>
      </c>
      <c r="D923" s="15">
        <v>2.0</v>
      </c>
      <c r="E923" s="67">
        <f t="shared" si="11"/>
        <v>500</v>
      </c>
      <c r="F923" s="67"/>
    </row>
    <row r="924" hidden="1">
      <c r="A924" s="6" t="s">
        <v>28</v>
      </c>
      <c r="B924" s="13" t="s">
        <v>476</v>
      </c>
      <c r="C924" s="13" t="s">
        <v>477</v>
      </c>
      <c r="D924" s="15">
        <v>43.0</v>
      </c>
      <c r="E924" s="67">
        <f t="shared" si="11"/>
        <v>21500</v>
      </c>
      <c r="F924" s="67"/>
    </row>
    <row r="925" hidden="1">
      <c r="A925" s="6" t="s">
        <v>28</v>
      </c>
      <c r="B925" s="13" t="s">
        <v>480</v>
      </c>
      <c r="C925" s="13" t="s">
        <v>481</v>
      </c>
      <c r="D925" s="15">
        <v>3.0</v>
      </c>
      <c r="E925" s="67">
        <f t="shared" si="11"/>
        <v>750</v>
      </c>
      <c r="F925" s="67"/>
    </row>
    <row r="926" hidden="1">
      <c r="A926" s="6" t="s">
        <v>28</v>
      </c>
      <c r="B926" s="13" t="s">
        <v>486</v>
      </c>
      <c r="C926" s="13" t="s">
        <v>487</v>
      </c>
      <c r="D926" s="15">
        <v>6.0</v>
      </c>
      <c r="E926" s="67">
        <f t="shared" si="11"/>
        <v>1500</v>
      </c>
      <c r="F926" s="67"/>
    </row>
    <row r="927" hidden="1">
      <c r="A927" s="6" t="s">
        <v>28</v>
      </c>
      <c r="B927" s="13" t="s">
        <v>494</v>
      </c>
      <c r="C927" s="13" t="s">
        <v>495</v>
      </c>
      <c r="D927" s="15">
        <v>1.0</v>
      </c>
      <c r="E927" s="67">
        <f t="shared" si="11"/>
        <v>250</v>
      </c>
      <c r="F927" s="67"/>
    </row>
    <row r="928" hidden="1">
      <c r="A928" s="6" t="s">
        <v>28</v>
      </c>
      <c r="B928" s="13" t="s">
        <v>500</v>
      </c>
      <c r="C928" s="13" t="s">
        <v>501</v>
      </c>
      <c r="D928" s="15">
        <v>4.0</v>
      </c>
      <c r="E928" s="67">
        <f t="shared" si="11"/>
        <v>1000</v>
      </c>
      <c r="F928" s="67"/>
    </row>
    <row r="929" hidden="1">
      <c r="A929" s="6" t="s">
        <v>28</v>
      </c>
      <c r="B929" s="13" t="s">
        <v>502</v>
      </c>
      <c r="C929" s="13" t="s">
        <v>503</v>
      </c>
      <c r="D929" s="15">
        <v>6.0</v>
      </c>
      <c r="E929" s="67">
        <f t="shared" si="11"/>
        <v>1500</v>
      </c>
      <c r="F929" s="67"/>
    </row>
    <row r="930" hidden="1">
      <c r="A930" s="6" t="s">
        <v>28</v>
      </c>
      <c r="B930" s="13" t="s">
        <v>1049</v>
      </c>
      <c r="C930" s="13" t="s">
        <v>1050</v>
      </c>
      <c r="D930" s="15">
        <v>0.0</v>
      </c>
      <c r="E930" s="67">
        <f t="shared" si="11"/>
        <v>0</v>
      </c>
      <c r="F930" s="67"/>
    </row>
    <row r="931" hidden="1">
      <c r="A931" s="6" t="s">
        <v>28</v>
      </c>
      <c r="B931" s="13" t="s">
        <v>916</v>
      </c>
      <c r="C931" s="13" t="s">
        <v>917</v>
      </c>
      <c r="D931" s="15">
        <v>4.0</v>
      </c>
      <c r="E931" s="67">
        <f t="shared" si="11"/>
        <v>1000</v>
      </c>
      <c r="F931" s="67"/>
    </row>
    <row r="932" hidden="1">
      <c r="A932" s="6" t="s">
        <v>28</v>
      </c>
      <c r="B932" s="13" t="s">
        <v>510</v>
      </c>
      <c r="C932" s="13" t="s">
        <v>511</v>
      </c>
      <c r="D932" s="15">
        <v>10.0</v>
      </c>
      <c r="E932" s="67">
        <f t="shared" si="11"/>
        <v>5000</v>
      </c>
      <c r="F932" s="67"/>
    </row>
    <row r="933" hidden="1">
      <c r="A933" s="6" t="s">
        <v>28</v>
      </c>
      <c r="B933" s="13" t="s">
        <v>980</v>
      </c>
      <c r="C933" s="13" t="s">
        <v>981</v>
      </c>
      <c r="D933" s="15">
        <v>10.0</v>
      </c>
      <c r="E933" s="67">
        <f t="shared" si="11"/>
        <v>5000</v>
      </c>
      <c r="F933" s="67"/>
    </row>
    <row r="934" hidden="1">
      <c r="A934" s="6" t="s">
        <v>28</v>
      </c>
      <c r="B934" s="13" t="s">
        <v>516</v>
      </c>
      <c r="C934" s="13" t="s">
        <v>517</v>
      </c>
      <c r="D934" s="15">
        <v>7.0</v>
      </c>
      <c r="E934" s="67">
        <f t="shared" si="11"/>
        <v>1750</v>
      </c>
      <c r="F934" s="67"/>
    </row>
    <row r="935" hidden="1">
      <c r="A935" s="6" t="s">
        <v>28</v>
      </c>
      <c r="B935" s="13" t="s">
        <v>518</v>
      </c>
      <c r="C935" s="13" t="s">
        <v>519</v>
      </c>
      <c r="D935" s="15">
        <v>6.0</v>
      </c>
      <c r="E935" s="67">
        <f t="shared" si="11"/>
        <v>1500</v>
      </c>
      <c r="F935" s="67"/>
    </row>
    <row r="936" hidden="1">
      <c r="A936" s="6" t="s">
        <v>28</v>
      </c>
      <c r="B936" s="13" t="s">
        <v>982</v>
      </c>
      <c r="C936" s="13" t="s">
        <v>983</v>
      </c>
      <c r="D936" s="15">
        <v>3.0</v>
      </c>
      <c r="E936" s="67">
        <f t="shared" si="11"/>
        <v>750</v>
      </c>
      <c r="F936" s="67"/>
    </row>
    <row r="937" hidden="1">
      <c r="A937" s="6" t="s">
        <v>28</v>
      </c>
      <c r="B937" s="13" t="s">
        <v>984</v>
      </c>
      <c r="C937" s="13" t="s">
        <v>985</v>
      </c>
      <c r="D937" s="15">
        <v>5.0</v>
      </c>
      <c r="E937" s="67">
        <f t="shared" si="11"/>
        <v>1250</v>
      </c>
      <c r="F937" s="67"/>
    </row>
    <row r="938" hidden="1">
      <c r="A938" s="6" t="s">
        <v>28</v>
      </c>
      <c r="B938" s="13" t="s">
        <v>848</v>
      </c>
      <c r="C938" s="13" t="s">
        <v>849</v>
      </c>
      <c r="D938" s="15">
        <v>4.0</v>
      </c>
      <c r="E938" s="67">
        <f t="shared" si="11"/>
        <v>1000</v>
      </c>
      <c r="F938" s="67"/>
    </row>
    <row r="939" hidden="1">
      <c r="A939" s="6" t="s">
        <v>28</v>
      </c>
      <c r="B939" s="13" t="s">
        <v>922</v>
      </c>
      <c r="C939" s="13" t="s">
        <v>923</v>
      </c>
      <c r="D939" s="15">
        <v>1.0</v>
      </c>
      <c r="E939" s="67">
        <f t="shared" si="11"/>
        <v>250</v>
      </c>
      <c r="F939" s="67"/>
    </row>
    <row r="940" hidden="1">
      <c r="A940" s="6" t="s">
        <v>28</v>
      </c>
      <c r="B940" s="13" t="s">
        <v>986</v>
      </c>
      <c r="C940" s="13" t="s">
        <v>987</v>
      </c>
      <c r="D940" s="15">
        <v>5.0</v>
      </c>
      <c r="E940" s="67">
        <f t="shared" si="11"/>
        <v>1250</v>
      </c>
      <c r="F940" s="67"/>
    </row>
    <row r="941" hidden="1">
      <c r="A941" s="6" t="s">
        <v>28</v>
      </c>
      <c r="B941" s="13" t="s">
        <v>850</v>
      </c>
      <c r="C941" s="13" t="s">
        <v>851</v>
      </c>
      <c r="D941" s="15">
        <v>2.0</v>
      </c>
      <c r="E941" s="67">
        <f t="shared" si="11"/>
        <v>500</v>
      </c>
      <c r="F941" s="67"/>
    </row>
    <row r="942" hidden="1">
      <c r="A942" s="6" t="s">
        <v>28</v>
      </c>
      <c r="B942" s="13" t="s">
        <v>991</v>
      </c>
      <c r="C942" s="13" t="s">
        <v>992</v>
      </c>
      <c r="D942" s="15">
        <v>1.0</v>
      </c>
      <c r="E942" s="67">
        <f t="shared" si="11"/>
        <v>250</v>
      </c>
      <c r="F942" s="67"/>
    </row>
    <row r="943" hidden="1">
      <c r="A943" s="6" t="s">
        <v>28</v>
      </c>
      <c r="B943" s="13" t="s">
        <v>988</v>
      </c>
      <c r="C943" s="13" t="s">
        <v>989</v>
      </c>
      <c r="D943" s="15">
        <v>1.0</v>
      </c>
      <c r="E943" s="67">
        <f t="shared" si="11"/>
        <v>250</v>
      </c>
      <c r="F943" s="67"/>
    </row>
    <row r="944" hidden="1">
      <c r="A944" s="6" t="s">
        <v>28</v>
      </c>
      <c r="B944" s="13" t="s">
        <v>522</v>
      </c>
      <c r="C944" s="13" t="s">
        <v>523</v>
      </c>
      <c r="D944" s="15">
        <v>2.0</v>
      </c>
      <c r="E944" s="67">
        <f t="shared" si="11"/>
        <v>500</v>
      </c>
      <c r="F944" s="67"/>
    </row>
    <row r="945" hidden="1">
      <c r="A945" s="6" t="s">
        <v>28</v>
      </c>
      <c r="B945" s="13" t="s">
        <v>852</v>
      </c>
      <c r="C945" s="13" t="s">
        <v>853</v>
      </c>
      <c r="D945" s="15">
        <v>10.0</v>
      </c>
      <c r="E945" s="67">
        <f t="shared" si="11"/>
        <v>5000</v>
      </c>
      <c r="F945" s="67"/>
    </row>
    <row r="946" hidden="1">
      <c r="A946" s="6" t="s">
        <v>28</v>
      </c>
      <c r="B946" s="13" t="s">
        <v>1051</v>
      </c>
      <c r="C946" s="13" t="s">
        <v>1052</v>
      </c>
      <c r="D946" s="15">
        <v>3.0</v>
      </c>
      <c r="E946" s="67">
        <f t="shared" si="11"/>
        <v>750</v>
      </c>
      <c r="F946" s="67"/>
    </row>
    <row r="947" hidden="1">
      <c r="A947" s="6" t="s">
        <v>28</v>
      </c>
      <c r="B947" s="13" t="s">
        <v>532</v>
      </c>
      <c r="C947" s="13" t="s">
        <v>533</v>
      </c>
      <c r="D947" s="15">
        <v>3.0</v>
      </c>
      <c r="E947" s="67">
        <f t="shared" si="11"/>
        <v>750</v>
      </c>
      <c r="F947" s="67"/>
    </row>
    <row r="948" hidden="1">
      <c r="A948" s="6" t="s">
        <v>28</v>
      </c>
      <c r="B948" s="13" t="s">
        <v>540</v>
      </c>
      <c r="C948" s="13" t="s">
        <v>541</v>
      </c>
      <c r="D948" s="15">
        <v>12.0</v>
      </c>
      <c r="E948" s="67">
        <f t="shared" si="11"/>
        <v>6000</v>
      </c>
      <c r="F948" s="67"/>
    </row>
    <row r="949" hidden="1">
      <c r="A949" s="6" t="s">
        <v>28</v>
      </c>
      <c r="B949" s="13" t="s">
        <v>932</v>
      </c>
      <c r="C949" s="13" t="s">
        <v>933</v>
      </c>
      <c r="D949" s="15">
        <v>1.0</v>
      </c>
      <c r="E949" s="67">
        <f t="shared" si="11"/>
        <v>250</v>
      </c>
      <c r="F949" s="67"/>
    </row>
    <row r="950" hidden="1">
      <c r="A950" s="6" t="s">
        <v>28</v>
      </c>
      <c r="B950" s="13" t="s">
        <v>542</v>
      </c>
      <c r="C950" s="13" t="s">
        <v>543</v>
      </c>
      <c r="D950" s="15">
        <v>6.0</v>
      </c>
      <c r="E950" s="67">
        <f t="shared" si="11"/>
        <v>1500</v>
      </c>
      <c r="F950" s="67"/>
    </row>
    <row r="951" hidden="1">
      <c r="A951" s="6" t="s">
        <v>28</v>
      </c>
      <c r="B951" s="13" t="s">
        <v>546</v>
      </c>
      <c r="C951" s="13" t="s">
        <v>547</v>
      </c>
      <c r="D951" s="15">
        <v>9.0</v>
      </c>
      <c r="E951" s="67">
        <f t="shared" si="11"/>
        <v>2250</v>
      </c>
      <c r="F951" s="67"/>
    </row>
    <row r="952" hidden="1">
      <c r="A952" s="6" t="s">
        <v>28</v>
      </c>
      <c r="B952" s="13" t="s">
        <v>997</v>
      </c>
      <c r="C952" s="13" t="s">
        <v>998</v>
      </c>
      <c r="D952" s="15">
        <v>2.0</v>
      </c>
      <c r="E952" s="67">
        <f t="shared" si="11"/>
        <v>500</v>
      </c>
      <c r="F952" s="67"/>
    </row>
    <row r="953" hidden="1">
      <c r="A953" s="6" t="s">
        <v>28</v>
      </c>
      <c r="B953" s="13" t="s">
        <v>993</v>
      </c>
      <c r="C953" s="13" t="s">
        <v>994</v>
      </c>
      <c r="D953" s="15">
        <v>5.0</v>
      </c>
      <c r="E953" s="67">
        <f t="shared" si="11"/>
        <v>1250</v>
      </c>
      <c r="F953" s="67"/>
    </row>
    <row r="954" hidden="1">
      <c r="A954" s="6" t="s">
        <v>28</v>
      </c>
      <c r="B954" s="13" t="s">
        <v>560</v>
      </c>
      <c r="C954" s="13" t="s">
        <v>561</v>
      </c>
      <c r="D954" s="15">
        <v>8.0</v>
      </c>
      <c r="E954" s="67">
        <f t="shared" si="11"/>
        <v>2000</v>
      </c>
      <c r="F954" s="67"/>
    </row>
    <row r="955" hidden="1">
      <c r="A955" s="6" t="s">
        <v>28</v>
      </c>
      <c r="B955" s="13" t="s">
        <v>564</v>
      </c>
      <c r="C955" s="13" t="s">
        <v>565</v>
      </c>
      <c r="D955" s="15">
        <v>1.0</v>
      </c>
      <c r="E955" s="67">
        <f t="shared" si="11"/>
        <v>250</v>
      </c>
      <c r="F955" s="67"/>
    </row>
    <row r="956" hidden="1">
      <c r="A956" s="6" t="s">
        <v>28</v>
      </c>
      <c r="B956" s="13" t="s">
        <v>566</v>
      </c>
      <c r="C956" s="13" t="s">
        <v>567</v>
      </c>
      <c r="D956" s="15">
        <v>5.0</v>
      </c>
      <c r="E956" s="67">
        <f t="shared" si="11"/>
        <v>1250</v>
      </c>
      <c r="F956" s="67"/>
    </row>
    <row r="957" hidden="1">
      <c r="A957" s="6" t="s">
        <v>28</v>
      </c>
      <c r="B957" s="13" t="s">
        <v>995</v>
      </c>
      <c r="C957" s="13" t="s">
        <v>996</v>
      </c>
      <c r="D957" s="15">
        <v>1.0</v>
      </c>
      <c r="E957" s="67">
        <f t="shared" si="11"/>
        <v>250</v>
      </c>
      <c r="F957" s="67"/>
    </row>
    <row r="958" hidden="1">
      <c r="A958" s="6" t="s">
        <v>28</v>
      </c>
      <c r="B958" s="13" t="s">
        <v>862</v>
      </c>
      <c r="C958" s="13" t="s">
        <v>863</v>
      </c>
      <c r="D958" s="15">
        <v>5.0</v>
      </c>
      <c r="E958" s="67">
        <f t="shared" si="11"/>
        <v>1250</v>
      </c>
      <c r="F958" s="67"/>
    </row>
    <row r="959" hidden="1">
      <c r="A959" s="6" t="s">
        <v>28</v>
      </c>
      <c r="B959" s="13" t="s">
        <v>572</v>
      </c>
      <c r="C959" s="13" t="s">
        <v>573</v>
      </c>
      <c r="D959" s="15">
        <v>5.0</v>
      </c>
      <c r="E959" s="67">
        <f t="shared" si="11"/>
        <v>1250</v>
      </c>
      <c r="F959" s="67"/>
    </row>
    <row r="960" hidden="1">
      <c r="A960" s="6" t="s">
        <v>28</v>
      </c>
      <c r="B960" s="13" t="s">
        <v>999</v>
      </c>
      <c r="C960" s="13" t="s">
        <v>1000</v>
      </c>
      <c r="D960" s="15">
        <v>1.0</v>
      </c>
      <c r="E960" s="67">
        <f t="shared" si="11"/>
        <v>250</v>
      </c>
      <c r="F960" s="67"/>
    </row>
    <row r="961" hidden="1">
      <c r="A961" s="6" t="s">
        <v>28</v>
      </c>
      <c r="B961" s="13" t="s">
        <v>576</v>
      </c>
      <c r="C961" s="13" t="s">
        <v>577</v>
      </c>
      <c r="D961" s="15">
        <v>4.0</v>
      </c>
      <c r="E961" s="67">
        <f t="shared" si="11"/>
        <v>1000</v>
      </c>
      <c r="F961" s="67"/>
    </row>
    <row r="962" hidden="1">
      <c r="A962" s="6" t="s">
        <v>28</v>
      </c>
      <c r="B962" s="13" t="s">
        <v>582</v>
      </c>
      <c r="C962" s="13" t="s">
        <v>583</v>
      </c>
      <c r="D962" s="15">
        <v>4.0</v>
      </c>
      <c r="E962" s="67">
        <f t="shared" si="11"/>
        <v>1000</v>
      </c>
      <c r="F962" s="67"/>
    </row>
    <row r="963" hidden="1">
      <c r="A963" s="6" t="s">
        <v>28</v>
      </c>
      <c r="B963" s="13" t="s">
        <v>1053</v>
      </c>
      <c r="C963" s="13" t="s">
        <v>1054</v>
      </c>
      <c r="D963" s="15">
        <v>1.0</v>
      </c>
      <c r="E963" s="67">
        <f t="shared" si="11"/>
        <v>250</v>
      </c>
      <c r="F963" s="67"/>
    </row>
    <row r="964" hidden="1">
      <c r="A964" s="6" t="s">
        <v>28</v>
      </c>
      <c r="B964" s="13" t="s">
        <v>590</v>
      </c>
      <c r="C964" s="13" t="s">
        <v>591</v>
      </c>
      <c r="D964" s="15">
        <v>10.0</v>
      </c>
      <c r="E964" s="67">
        <f t="shared" si="11"/>
        <v>5000</v>
      </c>
      <c r="F964" s="67"/>
    </row>
    <row r="965" hidden="1">
      <c r="A965" s="6" t="s">
        <v>28</v>
      </c>
      <c r="B965" s="13" t="s">
        <v>938</v>
      </c>
      <c r="C965" s="13" t="s">
        <v>939</v>
      </c>
      <c r="D965" s="15">
        <v>1.0</v>
      </c>
      <c r="E965" s="67">
        <f t="shared" si="11"/>
        <v>250</v>
      </c>
      <c r="F965" s="67"/>
    </row>
    <row r="966" hidden="1">
      <c r="A966" s="6" t="s">
        <v>28</v>
      </c>
      <c r="B966" s="13" t="s">
        <v>866</v>
      </c>
      <c r="C966" s="13" t="s">
        <v>867</v>
      </c>
      <c r="D966" s="15">
        <v>7.0</v>
      </c>
      <c r="E966" s="67">
        <f t="shared" si="11"/>
        <v>1750</v>
      </c>
      <c r="F966" s="67"/>
    </row>
    <row r="967" hidden="1">
      <c r="A967" s="6" t="s">
        <v>28</v>
      </c>
      <c r="B967" s="13" t="s">
        <v>596</v>
      </c>
      <c r="C967" s="13" t="s">
        <v>597</v>
      </c>
      <c r="D967" s="15">
        <v>4.0</v>
      </c>
      <c r="E967" s="67">
        <f t="shared" si="11"/>
        <v>1000</v>
      </c>
      <c r="F967" s="67"/>
    </row>
    <row r="968" hidden="1">
      <c r="A968" s="6" t="s">
        <v>28</v>
      </c>
      <c r="B968" s="13" t="s">
        <v>1055</v>
      </c>
      <c r="C968" s="13" t="s">
        <v>1056</v>
      </c>
      <c r="D968" s="15">
        <v>1.0</v>
      </c>
      <c r="E968" s="67">
        <f t="shared" si="11"/>
        <v>250</v>
      </c>
      <c r="F968" s="67"/>
    </row>
    <row r="969" hidden="1">
      <c r="A969" s="6" t="s">
        <v>28</v>
      </c>
      <c r="B969" s="13" t="s">
        <v>602</v>
      </c>
      <c r="C969" s="13" t="s">
        <v>603</v>
      </c>
      <c r="D969" s="15">
        <v>7.0</v>
      </c>
      <c r="E969" s="67">
        <f t="shared" si="11"/>
        <v>1750</v>
      </c>
      <c r="F969" s="67"/>
    </row>
    <row r="970" hidden="1">
      <c r="A970" s="6" t="s">
        <v>28</v>
      </c>
      <c r="B970" s="13" t="s">
        <v>604</v>
      </c>
      <c r="C970" s="13" t="s">
        <v>605</v>
      </c>
      <c r="D970" s="15">
        <v>10.0</v>
      </c>
      <c r="E970" s="67">
        <f t="shared" si="11"/>
        <v>5000</v>
      </c>
      <c r="F970" s="67"/>
    </row>
    <row r="971" hidden="1">
      <c r="A971" s="6" t="s">
        <v>28</v>
      </c>
      <c r="B971" s="13" t="s">
        <v>606</v>
      </c>
      <c r="C971" s="13" t="s">
        <v>607</v>
      </c>
      <c r="D971" s="15">
        <v>3.0</v>
      </c>
      <c r="E971" s="67">
        <f t="shared" si="11"/>
        <v>750</v>
      </c>
      <c r="F971" s="67"/>
    </row>
    <row r="972" hidden="1">
      <c r="A972" s="6" t="s">
        <v>28</v>
      </c>
      <c r="B972" s="13" t="s">
        <v>1057</v>
      </c>
      <c r="C972" s="13" t="s">
        <v>1058</v>
      </c>
      <c r="D972" s="15">
        <v>2.0</v>
      </c>
      <c r="E972" s="67">
        <f t="shared" si="11"/>
        <v>500</v>
      </c>
      <c r="F972" s="67"/>
    </row>
    <row r="973" hidden="1">
      <c r="A973" s="6" t="s">
        <v>28</v>
      </c>
      <c r="B973" s="13" t="s">
        <v>1001</v>
      </c>
      <c r="C973" s="13" t="s">
        <v>1002</v>
      </c>
      <c r="D973" s="15">
        <v>1.0</v>
      </c>
      <c r="E973" s="67">
        <f t="shared" si="11"/>
        <v>250</v>
      </c>
      <c r="F973" s="67"/>
    </row>
    <row r="974" hidden="1">
      <c r="A974" s="6" t="s">
        <v>28</v>
      </c>
      <c r="B974" s="13" t="s">
        <v>1059</v>
      </c>
      <c r="C974" s="13" t="s">
        <v>1060</v>
      </c>
      <c r="D974" s="15">
        <v>1.0</v>
      </c>
      <c r="E974" s="67">
        <f t="shared" si="11"/>
        <v>250</v>
      </c>
      <c r="F974" s="67"/>
    </row>
    <row r="975" hidden="1">
      <c r="A975" s="6" t="s">
        <v>28</v>
      </c>
      <c r="B975" s="13" t="s">
        <v>1061</v>
      </c>
      <c r="C975" s="13" t="s">
        <v>1062</v>
      </c>
      <c r="D975" s="15">
        <v>1.0</v>
      </c>
      <c r="E975" s="67">
        <f t="shared" si="11"/>
        <v>250</v>
      </c>
      <c r="F975" s="67"/>
    </row>
    <row r="976" hidden="1">
      <c r="A976" s="6" t="s">
        <v>28</v>
      </c>
      <c r="B976" s="13" t="s">
        <v>620</v>
      </c>
      <c r="C976" s="13" t="s">
        <v>621</v>
      </c>
      <c r="D976" s="15">
        <v>13.0</v>
      </c>
      <c r="E976" s="67">
        <f t="shared" si="11"/>
        <v>6500</v>
      </c>
      <c r="F976" s="67"/>
    </row>
    <row r="977" hidden="1">
      <c r="A977" s="6" t="s">
        <v>28</v>
      </c>
      <c r="B977" s="13" t="s">
        <v>622</v>
      </c>
      <c r="C977" s="13" t="s">
        <v>623</v>
      </c>
      <c r="D977" s="15">
        <v>4.0</v>
      </c>
      <c r="E977" s="67">
        <f t="shared" si="11"/>
        <v>1000</v>
      </c>
      <c r="F977" s="67"/>
    </row>
    <row r="978" hidden="1">
      <c r="A978" s="6" t="s">
        <v>28</v>
      </c>
      <c r="B978" s="13" t="s">
        <v>624</v>
      </c>
      <c r="C978" s="13" t="s">
        <v>625</v>
      </c>
      <c r="D978" s="15">
        <v>7.0</v>
      </c>
      <c r="E978" s="67">
        <f t="shared" si="11"/>
        <v>1750</v>
      </c>
      <c r="F978" s="67"/>
    </row>
    <row r="979" hidden="1">
      <c r="A979" s="6" t="s">
        <v>28</v>
      </c>
      <c r="B979" s="13" t="s">
        <v>626</v>
      </c>
      <c r="C979" s="13" t="s">
        <v>627</v>
      </c>
      <c r="D979" s="15">
        <v>8.0</v>
      </c>
      <c r="E979" s="67">
        <f t="shared" si="11"/>
        <v>2000</v>
      </c>
      <c r="F979" s="67"/>
    </row>
    <row r="980" hidden="1">
      <c r="A980" s="6" t="s">
        <v>28</v>
      </c>
      <c r="B980" s="13" t="s">
        <v>628</v>
      </c>
      <c r="C980" s="13" t="s">
        <v>629</v>
      </c>
      <c r="D980" s="15">
        <v>5.0</v>
      </c>
      <c r="E980" s="67">
        <f t="shared" si="11"/>
        <v>1250</v>
      </c>
      <c r="F980" s="67"/>
    </row>
    <row r="981" hidden="1">
      <c r="A981" s="6" t="s">
        <v>28</v>
      </c>
      <c r="B981" s="13" t="s">
        <v>1003</v>
      </c>
      <c r="C981" s="13" t="s">
        <v>1004</v>
      </c>
      <c r="D981" s="15">
        <v>1.0</v>
      </c>
      <c r="E981" s="67">
        <f t="shared" si="11"/>
        <v>250</v>
      </c>
      <c r="F981" s="67"/>
    </row>
    <row r="982" hidden="1">
      <c r="A982" s="6" t="s">
        <v>28</v>
      </c>
      <c r="B982" s="13" t="s">
        <v>640</v>
      </c>
      <c r="C982" s="13" t="s">
        <v>641</v>
      </c>
      <c r="D982" s="15">
        <v>10.0</v>
      </c>
      <c r="E982" s="67">
        <f t="shared" si="11"/>
        <v>5000</v>
      </c>
      <c r="F982" s="67"/>
    </row>
    <row r="983" hidden="1">
      <c r="A983" s="6" t="s">
        <v>28</v>
      </c>
      <c r="B983" s="13" t="s">
        <v>311</v>
      </c>
      <c r="C983" s="13" t="s">
        <v>312</v>
      </c>
      <c r="D983" s="15">
        <v>2.0</v>
      </c>
      <c r="E983" s="67">
        <f t="shared" si="11"/>
        <v>500</v>
      </c>
      <c r="F983" s="67"/>
    </row>
    <row r="984" hidden="1">
      <c r="A984" s="6" t="s">
        <v>28</v>
      </c>
      <c r="B984" s="13" t="s">
        <v>642</v>
      </c>
      <c r="C984" s="13" t="s">
        <v>643</v>
      </c>
      <c r="D984" s="15">
        <v>4.0</v>
      </c>
      <c r="E984" s="67">
        <f t="shared" si="11"/>
        <v>1000</v>
      </c>
      <c r="F984" s="67"/>
    </row>
    <row r="985" hidden="1">
      <c r="A985" s="6" t="s">
        <v>28</v>
      </c>
      <c r="B985" s="13" t="s">
        <v>644</v>
      </c>
      <c r="C985" s="13" t="s">
        <v>645</v>
      </c>
      <c r="D985" s="15">
        <v>12.0</v>
      </c>
      <c r="E985" s="67">
        <f t="shared" si="11"/>
        <v>6000</v>
      </c>
      <c r="F985" s="67"/>
    </row>
    <row r="986" hidden="1">
      <c r="A986" s="6" t="s">
        <v>28</v>
      </c>
      <c r="B986" s="13" t="s">
        <v>872</v>
      </c>
      <c r="C986" s="13" t="s">
        <v>873</v>
      </c>
      <c r="D986" s="15">
        <v>0.0</v>
      </c>
      <c r="E986" s="67">
        <f t="shared" si="11"/>
        <v>0</v>
      </c>
      <c r="F986" s="67"/>
    </row>
    <row r="987" hidden="1">
      <c r="A987" s="6" t="s">
        <v>28</v>
      </c>
      <c r="B987" s="13" t="s">
        <v>650</v>
      </c>
      <c r="C987" s="13" t="s">
        <v>651</v>
      </c>
      <c r="D987" s="15">
        <v>3.0</v>
      </c>
      <c r="E987" s="67">
        <f t="shared" si="11"/>
        <v>750</v>
      </c>
      <c r="F987" s="67"/>
    </row>
    <row r="988" hidden="1">
      <c r="A988" s="6" t="s">
        <v>28</v>
      </c>
      <c r="B988" s="13" t="s">
        <v>882</v>
      </c>
      <c r="C988" s="13" t="s">
        <v>883</v>
      </c>
      <c r="D988" s="15">
        <v>7.0</v>
      </c>
      <c r="E988" s="67">
        <f t="shared" si="11"/>
        <v>1750</v>
      </c>
      <c r="F988" s="67"/>
    </row>
    <row r="989" hidden="1">
      <c r="A989" s="6" t="s">
        <v>28</v>
      </c>
      <c r="B989" s="13" t="s">
        <v>1063</v>
      </c>
      <c r="C989" s="13" t="s">
        <v>1064</v>
      </c>
      <c r="D989" s="15">
        <v>2.0</v>
      </c>
      <c r="E989" s="67">
        <f t="shared" si="11"/>
        <v>500</v>
      </c>
      <c r="F989" s="67"/>
    </row>
    <row r="990" hidden="1">
      <c r="A990" s="6" t="s">
        <v>28</v>
      </c>
      <c r="B990" s="13" t="s">
        <v>966</v>
      </c>
      <c r="C990" s="13" t="s">
        <v>967</v>
      </c>
      <c r="D990" s="15">
        <v>1.0</v>
      </c>
      <c r="E990" s="67">
        <f t="shared" si="11"/>
        <v>250</v>
      </c>
      <c r="F990" s="67"/>
    </row>
    <row r="991" hidden="1">
      <c r="A991" s="6" t="s">
        <v>28</v>
      </c>
      <c r="B991" s="13" t="s">
        <v>1065</v>
      </c>
      <c r="C991" s="13" t="s">
        <v>1066</v>
      </c>
      <c r="D991" s="15">
        <v>0.0</v>
      </c>
      <c r="E991" s="67">
        <f t="shared" si="11"/>
        <v>0</v>
      </c>
      <c r="F991" s="67"/>
    </row>
    <row r="992" hidden="1">
      <c r="A992" s="6" t="s">
        <v>28</v>
      </c>
      <c r="B992" s="13" t="s">
        <v>807</v>
      </c>
      <c r="C992" s="13" t="s">
        <v>808</v>
      </c>
      <c r="D992" s="15">
        <v>3.0</v>
      </c>
      <c r="E992" s="67">
        <f t="shared" si="11"/>
        <v>750</v>
      </c>
      <c r="F992" s="67"/>
    </row>
    <row r="993" hidden="1">
      <c r="A993" s="6" t="s">
        <v>28</v>
      </c>
      <c r="B993" s="13" t="s">
        <v>656</v>
      </c>
      <c r="C993" s="13" t="s">
        <v>657</v>
      </c>
      <c r="D993" s="15">
        <v>4.0</v>
      </c>
      <c r="E993" s="67">
        <f t="shared" si="11"/>
        <v>1000</v>
      </c>
      <c r="F993" s="67"/>
    </row>
    <row r="994" hidden="1">
      <c r="A994" s="6" t="s">
        <v>28</v>
      </c>
      <c r="B994" s="13" t="s">
        <v>944</v>
      </c>
      <c r="C994" s="13" t="s">
        <v>945</v>
      </c>
      <c r="D994" s="15">
        <v>7.0</v>
      </c>
      <c r="E994" s="67">
        <f t="shared" si="11"/>
        <v>1750</v>
      </c>
      <c r="F994" s="67"/>
    </row>
    <row r="995" hidden="1">
      <c r="A995" s="6" t="s">
        <v>28</v>
      </c>
      <c r="B995" s="13" t="s">
        <v>1007</v>
      </c>
      <c r="C995" s="13" t="s">
        <v>1008</v>
      </c>
      <c r="D995" s="15">
        <v>4.0</v>
      </c>
      <c r="E995" s="67">
        <f t="shared" si="11"/>
        <v>1000</v>
      </c>
      <c r="F995" s="67"/>
    </row>
    <row r="996" hidden="1">
      <c r="A996" s="6" t="s">
        <v>28</v>
      </c>
      <c r="B996" s="13" t="s">
        <v>821</v>
      </c>
      <c r="C996" s="13" t="s">
        <v>822</v>
      </c>
      <c r="D996" s="15">
        <v>6.0</v>
      </c>
      <c r="E996" s="67">
        <f t="shared" si="11"/>
        <v>1500</v>
      </c>
      <c r="F996" s="67"/>
    </row>
    <row r="997" hidden="1">
      <c r="A997" s="6" t="s">
        <v>28</v>
      </c>
      <c r="B997" s="13" t="s">
        <v>1005</v>
      </c>
      <c r="C997" s="13" t="s">
        <v>1006</v>
      </c>
      <c r="D997" s="15">
        <v>0.0</v>
      </c>
      <c r="E997" s="67">
        <f t="shared" si="11"/>
        <v>0</v>
      </c>
      <c r="F997" s="67"/>
    </row>
    <row r="998" hidden="1">
      <c r="A998" s="6" t="s">
        <v>28</v>
      </c>
      <c r="B998" s="13" t="s">
        <v>1011</v>
      </c>
      <c r="C998" s="13" t="s">
        <v>1012</v>
      </c>
      <c r="D998" s="15">
        <v>3.0</v>
      </c>
      <c r="E998" s="67">
        <f t="shared" si="11"/>
        <v>750</v>
      </c>
      <c r="F998" s="67"/>
    </row>
    <row r="999" hidden="1">
      <c r="A999" s="6" t="s">
        <v>28</v>
      </c>
      <c r="B999" s="13" t="s">
        <v>1067</v>
      </c>
      <c r="C999" s="13" t="s">
        <v>1068</v>
      </c>
      <c r="D999" s="15">
        <v>2.0</v>
      </c>
      <c r="E999" s="67">
        <f t="shared" si="11"/>
        <v>500</v>
      </c>
      <c r="F999" s="67"/>
    </row>
    <row r="1000" hidden="1">
      <c r="A1000" s="6" t="s">
        <v>28</v>
      </c>
      <c r="B1000" s="13" t="s">
        <v>1013</v>
      </c>
      <c r="C1000" s="13" t="s">
        <v>1014</v>
      </c>
      <c r="D1000" s="15">
        <v>4.0</v>
      </c>
      <c r="E1000" s="67">
        <f t="shared" si="11"/>
        <v>1000</v>
      </c>
      <c r="F1000" s="67"/>
    </row>
    <row r="1001" hidden="1">
      <c r="A1001" s="6" t="s">
        <v>28</v>
      </c>
      <c r="B1001" s="13" t="s">
        <v>813</v>
      </c>
      <c r="C1001" s="13" t="s">
        <v>814</v>
      </c>
      <c r="D1001" s="15">
        <v>7.0</v>
      </c>
      <c r="E1001" s="67">
        <f t="shared" si="11"/>
        <v>1750</v>
      </c>
      <c r="F1001" s="67"/>
    </row>
    <row r="1002" hidden="1">
      <c r="A1002" s="6" t="s">
        <v>28</v>
      </c>
      <c r="B1002" s="13" t="s">
        <v>1069</v>
      </c>
      <c r="C1002" s="13" t="s">
        <v>1070</v>
      </c>
      <c r="D1002" s="15">
        <v>2.0</v>
      </c>
      <c r="E1002" s="67">
        <f t="shared" si="11"/>
        <v>500</v>
      </c>
      <c r="F1002" s="67"/>
    </row>
    <row r="1003" hidden="1">
      <c r="A1003" s="6" t="s">
        <v>28</v>
      </c>
      <c r="B1003" s="13" t="s">
        <v>1071</v>
      </c>
      <c r="C1003" s="13" t="s">
        <v>1072</v>
      </c>
      <c r="D1003" s="15">
        <v>3.0</v>
      </c>
      <c r="E1003" s="67">
        <f t="shared" si="11"/>
        <v>750</v>
      </c>
      <c r="F1003" s="67"/>
    </row>
    <row r="1004" hidden="1">
      <c r="A1004" s="6" t="s">
        <v>28</v>
      </c>
      <c r="B1004" s="13" t="s">
        <v>1015</v>
      </c>
      <c r="C1004" s="13" t="s">
        <v>1016</v>
      </c>
      <c r="D1004" s="15">
        <v>4.0</v>
      </c>
      <c r="E1004" s="67">
        <f t="shared" si="11"/>
        <v>1000</v>
      </c>
      <c r="F1004" s="67"/>
    </row>
    <row r="1005" hidden="1">
      <c r="A1005" s="6" t="s">
        <v>28</v>
      </c>
      <c r="B1005" s="13" t="s">
        <v>672</v>
      </c>
      <c r="C1005" s="13" t="s">
        <v>673</v>
      </c>
      <c r="D1005" s="15">
        <v>9.0</v>
      </c>
      <c r="E1005" s="67">
        <f t="shared" si="11"/>
        <v>2250</v>
      </c>
      <c r="F1005" s="67"/>
    </row>
    <row r="1006" hidden="1">
      <c r="A1006" s="6" t="s">
        <v>28</v>
      </c>
      <c r="B1006" s="13" t="s">
        <v>1017</v>
      </c>
      <c r="C1006" s="13" t="s">
        <v>1018</v>
      </c>
      <c r="D1006" s="15">
        <v>5.0</v>
      </c>
      <c r="E1006" s="67">
        <f t="shared" si="11"/>
        <v>1250</v>
      </c>
      <c r="F1006" s="67"/>
    </row>
    <row r="1007" hidden="1">
      <c r="A1007" s="6" t="s">
        <v>28</v>
      </c>
      <c r="B1007" s="13" t="s">
        <v>680</v>
      </c>
      <c r="C1007" s="13" t="s">
        <v>681</v>
      </c>
      <c r="D1007" s="15">
        <v>10.0</v>
      </c>
      <c r="E1007" s="67">
        <f t="shared" si="11"/>
        <v>5000</v>
      </c>
      <c r="F1007" s="67"/>
    </row>
    <row r="1008" hidden="1">
      <c r="A1008" s="6" t="s">
        <v>28</v>
      </c>
      <c r="B1008" s="13" t="s">
        <v>682</v>
      </c>
      <c r="C1008" s="13" t="s">
        <v>683</v>
      </c>
      <c r="D1008" s="15">
        <v>11.0</v>
      </c>
      <c r="E1008" s="67">
        <f t="shared" si="11"/>
        <v>5500</v>
      </c>
      <c r="F1008" s="67"/>
    </row>
    <row r="1009" hidden="1">
      <c r="A1009" s="6" t="s">
        <v>28</v>
      </c>
      <c r="B1009" s="13" t="s">
        <v>684</v>
      </c>
      <c r="C1009" s="13" t="s">
        <v>685</v>
      </c>
      <c r="D1009" s="15">
        <v>7.0</v>
      </c>
      <c r="E1009" s="67">
        <f t="shared" si="11"/>
        <v>1750</v>
      </c>
      <c r="F1009" s="67"/>
    </row>
    <row r="1010" hidden="1">
      <c r="A1010" s="6" t="s">
        <v>28</v>
      </c>
      <c r="B1010" s="13" t="s">
        <v>1073</v>
      </c>
      <c r="C1010" s="13" t="s">
        <v>1074</v>
      </c>
      <c r="D1010" s="15">
        <v>1.0</v>
      </c>
      <c r="E1010" s="67">
        <f t="shared" si="11"/>
        <v>250</v>
      </c>
      <c r="F1010" s="67"/>
    </row>
    <row r="1011" hidden="1">
      <c r="A1011" s="6" t="s">
        <v>28</v>
      </c>
      <c r="B1011" s="13" t="s">
        <v>688</v>
      </c>
      <c r="C1011" s="13" t="s">
        <v>689</v>
      </c>
      <c r="D1011" s="15">
        <v>3.0</v>
      </c>
      <c r="E1011" s="67">
        <f t="shared" si="11"/>
        <v>750</v>
      </c>
      <c r="F1011" s="67"/>
    </row>
    <row r="1012" hidden="1">
      <c r="A1012" s="6" t="s">
        <v>28</v>
      </c>
      <c r="B1012" s="13" t="s">
        <v>1019</v>
      </c>
      <c r="C1012" s="13" t="s">
        <v>1020</v>
      </c>
      <c r="D1012" s="15">
        <v>5.0</v>
      </c>
      <c r="E1012" s="67">
        <f t="shared" si="11"/>
        <v>1250</v>
      </c>
      <c r="F1012" s="67"/>
    </row>
    <row r="1013" hidden="1">
      <c r="A1013" s="6" t="s">
        <v>28</v>
      </c>
      <c r="B1013" s="13" t="s">
        <v>1021</v>
      </c>
      <c r="C1013" s="13" t="s">
        <v>1022</v>
      </c>
      <c r="D1013" s="15">
        <v>5.0</v>
      </c>
      <c r="E1013" s="67">
        <f t="shared" si="11"/>
        <v>1250</v>
      </c>
      <c r="F1013" s="67"/>
    </row>
    <row r="1014" hidden="1">
      <c r="A1014" s="6" t="s">
        <v>28</v>
      </c>
      <c r="B1014" s="13" t="s">
        <v>307</v>
      </c>
      <c r="C1014" s="13" t="s">
        <v>692</v>
      </c>
      <c r="D1014" s="15">
        <v>5.0</v>
      </c>
      <c r="E1014" s="67">
        <f t="shared" si="11"/>
        <v>1250</v>
      </c>
      <c r="F1014" s="67"/>
    </row>
    <row r="1015" hidden="1">
      <c r="A1015" s="6" t="s">
        <v>28</v>
      </c>
      <c r="B1015" s="13" t="s">
        <v>1075</v>
      </c>
      <c r="C1015" s="13" t="s">
        <v>1076</v>
      </c>
      <c r="D1015" s="15">
        <v>0.0</v>
      </c>
      <c r="E1015" s="67">
        <f t="shared" si="11"/>
        <v>0</v>
      </c>
      <c r="F1015" s="67"/>
    </row>
    <row r="1016" hidden="1">
      <c r="A1016" s="6" t="s">
        <v>28</v>
      </c>
      <c r="B1016" s="13" t="s">
        <v>693</v>
      </c>
      <c r="C1016" s="13" t="s">
        <v>694</v>
      </c>
      <c r="D1016" s="15">
        <v>6.0</v>
      </c>
      <c r="E1016" s="67">
        <f t="shared" si="11"/>
        <v>1500</v>
      </c>
      <c r="F1016" s="67"/>
    </row>
    <row r="1017" hidden="1">
      <c r="A1017" s="6" t="s">
        <v>28</v>
      </c>
      <c r="B1017" s="13" t="s">
        <v>1023</v>
      </c>
      <c r="C1017" s="13" t="s">
        <v>1024</v>
      </c>
      <c r="D1017" s="15">
        <v>2.0</v>
      </c>
      <c r="E1017" s="67">
        <f t="shared" si="11"/>
        <v>500</v>
      </c>
      <c r="F1017" s="67"/>
    </row>
    <row r="1018" hidden="1">
      <c r="A1018" s="6" t="s">
        <v>28</v>
      </c>
      <c r="B1018" s="13" t="s">
        <v>699</v>
      </c>
      <c r="C1018" s="13" t="s">
        <v>700</v>
      </c>
      <c r="D1018" s="15">
        <v>4.0</v>
      </c>
      <c r="E1018" s="67">
        <f t="shared" si="11"/>
        <v>1000</v>
      </c>
      <c r="F1018" s="67"/>
    </row>
    <row r="1019" hidden="1">
      <c r="A1019" s="6" t="s">
        <v>28</v>
      </c>
      <c r="B1019" s="13" t="s">
        <v>950</v>
      </c>
      <c r="C1019" s="13" t="s">
        <v>951</v>
      </c>
      <c r="D1019" s="15">
        <v>2.0</v>
      </c>
      <c r="E1019" s="67">
        <f t="shared" si="11"/>
        <v>500</v>
      </c>
      <c r="F1019" s="67"/>
    </row>
    <row r="1020" hidden="1">
      <c r="A1020" s="6" t="s">
        <v>28</v>
      </c>
      <c r="B1020" s="13" t="s">
        <v>701</v>
      </c>
      <c r="C1020" s="13" t="s">
        <v>702</v>
      </c>
      <c r="D1020" s="15">
        <v>5.0</v>
      </c>
      <c r="E1020" s="67">
        <f t="shared" si="11"/>
        <v>1250</v>
      </c>
      <c r="F1020" s="67"/>
    </row>
    <row r="1021" hidden="1">
      <c r="A1021" s="6" t="s">
        <v>28</v>
      </c>
      <c r="B1021" s="13" t="s">
        <v>703</v>
      </c>
      <c r="C1021" s="13" t="s">
        <v>704</v>
      </c>
      <c r="D1021" s="15">
        <v>4.0</v>
      </c>
      <c r="E1021" s="67">
        <f t="shared" si="11"/>
        <v>1000</v>
      </c>
      <c r="F1021" s="67"/>
    </row>
    <row r="1022" hidden="1">
      <c r="A1022" s="6" t="s">
        <v>28</v>
      </c>
      <c r="B1022" s="13" t="s">
        <v>709</v>
      </c>
      <c r="C1022" s="13" t="s">
        <v>710</v>
      </c>
      <c r="D1022" s="15">
        <v>1.0</v>
      </c>
      <c r="E1022" s="67">
        <f t="shared" si="11"/>
        <v>250</v>
      </c>
      <c r="F1022" s="67"/>
    </row>
    <row r="1023" hidden="1">
      <c r="A1023" s="6" t="s">
        <v>28</v>
      </c>
      <c r="B1023" s="13" t="s">
        <v>717</v>
      </c>
      <c r="C1023" s="13" t="s">
        <v>718</v>
      </c>
      <c r="D1023" s="15">
        <v>4.0</v>
      </c>
      <c r="E1023" s="67">
        <f t="shared" si="11"/>
        <v>1000</v>
      </c>
      <c r="F1023" s="67"/>
    </row>
    <row r="1024" hidden="1">
      <c r="A1024" s="6" t="s">
        <v>28</v>
      </c>
      <c r="B1024" s="13" t="s">
        <v>719</v>
      </c>
      <c r="C1024" s="13" t="s">
        <v>720</v>
      </c>
      <c r="D1024" s="15">
        <v>7.0</v>
      </c>
      <c r="E1024" s="67">
        <f t="shared" si="11"/>
        <v>1750</v>
      </c>
      <c r="F1024" s="67"/>
    </row>
    <row r="1025" hidden="1">
      <c r="A1025" s="6" t="s">
        <v>28</v>
      </c>
      <c r="B1025" s="13" t="s">
        <v>1077</v>
      </c>
      <c r="C1025" s="13" t="s">
        <v>1078</v>
      </c>
      <c r="D1025" s="15">
        <v>1.0</v>
      </c>
      <c r="E1025" s="67">
        <f t="shared" si="11"/>
        <v>250</v>
      </c>
      <c r="F1025" s="67"/>
    </row>
    <row r="1026" hidden="1">
      <c r="A1026" s="6" t="s">
        <v>28</v>
      </c>
      <c r="B1026" s="13" t="s">
        <v>721</v>
      </c>
      <c r="C1026" s="13" t="s">
        <v>722</v>
      </c>
      <c r="D1026" s="15">
        <v>5.0</v>
      </c>
      <c r="E1026" s="67">
        <f t="shared" si="11"/>
        <v>1250</v>
      </c>
      <c r="F1026" s="67"/>
    </row>
    <row r="1027" hidden="1">
      <c r="A1027" s="6" t="s">
        <v>28</v>
      </c>
      <c r="B1027" s="13" t="s">
        <v>1079</v>
      </c>
      <c r="C1027" s="13" t="s">
        <v>1080</v>
      </c>
      <c r="D1027" s="15">
        <v>3.0</v>
      </c>
      <c r="E1027" s="67">
        <f t="shared" si="11"/>
        <v>750</v>
      </c>
      <c r="F1027" s="67"/>
    </row>
    <row r="1028" hidden="1">
      <c r="A1028" s="6" t="s">
        <v>28</v>
      </c>
      <c r="B1028" s="13" t="s">
        <v>723</v>
      </c>
      <c r="C1028" s="13" t="s">
        <v>724</v>
      </c>
      <c r="D1028" s="15">
        <v>12.0</v>
      </c>
      <c r="E1028" s="67">
        <f t="shared" si="11"/>
        <v>6000</v>
      </c>
      <c r="F1028" s="67"/>
    </row>
    <row r="1029" hidden="1">
      <c r="A1029" s="6" t="s">
        <v>28</v>
      </c>
      <c r="B1029" s="13" t="s">
        <v>1027</v>
      </c>
      <c r="C1029" s="13" t="s">
        <v>1028</v>
      </c>
      <c r="D1029" s="15">
        <v>0.0</v>
      </c>
      <c r="E1029" s="67">
        <f t="shared" si="11"/>
        <v>0</v>
      </c>
      <c r="F1029" s="67"/>
    </row>
    <row r="1030" hidden="1">
      <c r="A1030" s="6" t="s">
        <v>28</v>
      </c>
      <c r="B1030" s="13" t="s">
        <v>725</v>
      </c>
      <c r="C1030" s="13" t="s">
        <v>726</v>
      </c>
      <c r="D1030" s="15">
        <v>8.0</v>
      </c>
      <c r="E1030" s="67">
        <f t="shared" si="11"/>
        <v>2000</v>
      </c>
      <c r="F1030" s="67"/>
    </row>
    <row r="1031" hidden="1">
      <c r="A1031" s="6" t="s">
        <v>28</v>
      </c>
      <c r="B1031" s="13" t="s">
        <v>1081</v>
      </c>
      <c r="C1031" s="13" t="s">
        <v>1082</v>
      </c>
      <c r="D1031" s="15">
        <v>6.0</v>
      </c>
      <c r="E1031" s="67">
        <f t="shared" si="11"/>
        <v>1500</v>
      </c>
      <c r="F1031" s="67"/>
    </row>
    <row r="1032" hidden="1">
      <c r="A1032" s="6" t="s">
        <v>28</v>
      </c>
      <c r="B1032" s="13" t="s">
        <v>729</v>
      </c>
      <c r="C1032" s="13" t="s">
        <v>730</v>
      </c>
      <c r="D1032" s="15">
        <v>2.0</v>
      </c>
      <c r="E1032" s="67">
        <f t="shared" si="11"/>
        <v>500</v>
      </c>
      <c r="F1032" s="67"/>
    </row>
    <row r="1033" hidden="1">
      <c r="A1033" s="6" t="s">
        <v>28</v>
      </c>
      <c r="B1033" s="13" t="s">
        <v>890</v>
      </c>
      <c r="C1033" s="13" t="s">
        <v>891</v>
      </c>
      <c r="D1033" s="15">
        <v>2.0</v>
      </c>
      <c r="E1033" s="67">
        <f t="shared" si="11"/>
        <v>500</v>
      </c>
      <c r="F1033" s="67"/>
    </row>
    <row r="1034" hidden="1">
      <c r="A1034" s="6" t="s">
        <v>28</v>
      </c>
      <c r="B1034" s="13" t="s">
        <v>1025</v>
      </c>
      <c r="C1034" s="13" t="s">
        <v>1026</v>
      </c>
      <c r="D1034" s="15">
        <v>11.0</v>
      </c>
      <c r="E1034" s="67">
        <f t="shared" si="11"/>
        <v>5500</v>
      </c>
      <c r="F1034" s="67"/>
    </row>
    <row r="1035" hidden="1">
      <c r="A1035" s="6" t="s">
        <v>28</v>
      </c>
      <c r="B1035" s="13" t="s">
        <v>964</v>
      </c>
      <c r="C1035" s="13" t="s">
        <v>965</v>
      </c>
      <c r="D1035" s="15">
        <v>3.0</v>
      </c>
      <c r="E1035" s="67">
        <f t="shared" si="11"/>
        <v>750</v>
      </c>
      <c r="F1035" s="67"/>
    </row>
    <row r="1036" hidden="1">
      <c r="A1036" s="6" t="s">
        <v>28</v>
      </c>
      <c r="B1036" s="13" t="s">
        <v>823</v>
      </c>
      <c r="C1036" s="13" t="s">
        <v>824</v>
      </c>
      <c r="D1036" s="15">
        <v>6.0</v>
      </c>
      <c r="E1036" s="67">
        <f t="shared" si="11"/>
        <v>1500</v>
      </c>
      <c r="F1036" s="67"/>
    </row>
    <row r="1037" hidden="1">
      <c r="A1037" s="6" t="s">
        <v>28</v>
      </c>
      <c r="B1037" s="13" t="s">
        <v>1083</v>
      </c>
      <c r="C1037" s="13" t="s">
        <v>1084</v>
      </c>
      <c r="D1037" s="15">
        <v>0.0</v>
      </c>
      <c r="E1037" s="67">
        <f t="shared" si="11"/>
        <v>0</v>
      </c>
      <c r="F1037" s="67"/>
    </row>
    <row r="1038" hidden="1">
      <c r="A1038" s="6" t="s">
        <v>28</v>
      </c>
      <c r="B1038" s="13" t="s">
        <v>302</v>
      </c>
      <c r="C1038" s="13" t="s">
        <v>733</v>
      </c>
      <c r="D1038" s="15">
        <v>5.0</v>
      </c>
      <c r="E1038" s="67">
        <f t="shared" si="11"/>
        <v>1250</v>
      </c>
      <c r="F1038" s="67"/>
    </row>
    <row r="1039" hidden="1">
      <c r="A1039" s="6" t="s">
        <v>28</v>
      </c>
      <c r="B1039" s="13" t="s">
        <v>736</v>
      </c>
      <c r="C1039" s="13" t="s">
        <v>737</v>
      </c>
      <c r="D1039" s="15">
        <v>8.0</v>
      </c>
      <c r="E1039" s="67">
        <f t="shared" si="11"/>
        <v>2000</v>
      </c>
      <c r="F1039" s="67"/>
    </row>
    <row r="1040" hidden="1">
      <c r="A1040" s="6" t="s">
        <v>28</v>
      </c>
      <c r="B1040" s="13" t="s">
        <v>742</v>
      </c>
      <c r="C1040" s="13" t="s">
        <v>743</v>
      </c>
      <c r="D1040" s="15">
        <v>8.0</v>
      </c>
      <c r="E1040" s="67">
        <f t="shared" si="11"/>
        <v>2000</v>
      </c>
      <c r="F1040" s="67"/>
    </row>
    <row r="1041" hidden="1">
      <c r="A1041" s="6" t="s">
        <v>28</v>
      </c>
      <c r="B1041" s="13" t="s">
        <v>954</v>
      </c>
      <c r="C1041" s="13" t="s">
        <v>955</v>
      </c>
      <c r="D1041" s="15">
        <v>4.0</v>
      </c>
      <c r="E1041" s="67">
        <f t="shared" si="11"/>
        <v>1000</v>
      </c>
      <c r="F1041" s="67"/>
    </row>
    <row r="1042" hidden="1">
      <c r="A1042" s="6" t="s">
        <v>28</v>
      </c>
      <c r="B1042" s="13" t="s">
        <v>744</v>
      </c>
      <c r="C1042" s="13" t="s">
        <v>745</v>
      </c>
      <c r="D1042" s="15">
        <v>4.0</v>
      </c>
      <c r="E1042" s="67">
        <f t="shared" si="11"/>
        <v>1000</v>
      </c>
      <c r="F1042" s="67"/>
    </row>
    <row r="1043" hidden="1">
      <c r="A1043" s="6" t="s">
        <v>28</v>
      </c>
      <c r="B1043" s="13" t="s">
        <v>746</v>
      </c>
      <c r="C1043" s="13" t="s">
        <v>747</v>
      </c>
      <c r="D1043" s="15">
        <v>13.0</v>
      </c>
      <c r="E1043" s="67">
        <f t="shared" si="11"/>
        <v>6500</v>
      </c>
      <c r="F1043" s="67"/>
    </row>
    <row r="1044" hidden="1">
      <c r="A1044" s="6" t="s">
        <v>28</v>
      </c>
      <c r="B1044" s="13" t="s">
        <v>1085</v>
      </c>
      <c r="C1044" s="13" t="s">
        <v>1086</v>
      </c>
      <c r="D1044" s="15">
        <v>1.0</v>
      </c>
      <c r="E1044" s="67">
        <f t="shared" si="11"/>
        <v>250</v>
      </c>
      <c r="F1044" s="67"/>
    </row>
    <row r="1045" hidden="1">
      <c r="A1045" s="6" t="s">
        <v>28</v>
      </c>
      <c r="B1045" s="13" t="s">
        <v>752</v>
      </c>
      <c r="C1045" s="13" t="s">
        <v>753</v>
      </c>
      <c r="D1045" s="15">
        <v>6.0</v>
      </c>
      <c r="E1045" s="67">
        <f t="shared" si="11"/>
        <v>1500</v>
      </c>
      <c r="F1045" s="67"/>
    </row>
    <row r="1046" hidden="1">
      <c r="A1046" s="6" t="s">
        <v>28</v>
      </c>
      <c r="B1046" s="13" t="s">
        <v>758</v>
      </c>
      <c r="C1046" s="13" t="s">
        <v>759</v>
      </c>
      <c r="D1046" s="15">
        <v>8.0</v>
      </c>
      <c r="E1046" s="67">
        <f t="shared" si="11"/>
        <v>2000</v>
      </c>
      <c r="F1046" s="67"/>
    </row>
    <row r="1047" hidden="1">
      <c r="A1047" s="6" t="s">
        <v>28</v>
      </c>
      <c r="B1047" s="13" t="s">
        <v>960</v>
      </c>
      <c r="C1047" s="13" t="s">
        <v>961</v>
      </c>
      <c r="D1047" s="15">
        <v>9.0</v>
      </c>
      <c r="E1047" s="67">
        <f t="shared" si="11"/>
        <v>2250</v>
      </c>
      <c r="F1047" s="67"/>
    </row>
    <row r="1048" hidden="1">
      <c r="A1048" s="6" t="s">
        <v>28</v>
      </c>
      <c r="B1048" s="13" t="s">
        <v>762</v>
      </c>
      <c r="C1048" s="13" t="s">
        <v>763</v>
      </c>
      <c r="D1048" s="15">
        <v>1.0</v>
      </c>
      <c r="E1048" s="67">
        <f t="shared" si="11"/>
        <v>250</v>
      </c>
      <c r="F1048" s="67"/>
    </row>
    <row r="1049" hidden="1">
      <c r="A1049" s="6" t="s">
        <v>28</v>
      </c>
      <c r="B1049" s="13" t="s">
        <v>898</v>
      </c>
      <c r="C1049" s="13" t="s">
        <v>899</v>
      </c>
      <c r="D1049" s="15">
        <v>9.0</v>
      </c>
      <c r="E1049" s="67">
        <f t="shared" si="11"/>
        <v>2250</v>
      </c>
      <c r="F1049" s="67"/>
    </row>
    <row r="1050" hidden="1">
      <c r="A1050" s="6" t="s">
        <v>28</v>
      </c>
      <c r="B1050" s="13" t="s">
        <v>1035</v>
      </c>
      <c r="C1050" s="13" t="s">
        <v>1036</v>
      </c>
      <c r="D1050" s="15">
        <v>3.0</v>
      </c>
      <c r="E1050" s="67">
        <f t="shared" si="11"/>
        <v>750</v>
      </c>
      <c r="F1050" s="67"/>
    </row>
    <row r="1051" hidden="1">
      <c r="A1051" s="6" t="s">
        <v>28</v>
      </c>
      <c r="B1051" s="13" t="s">
        <v>1037</v>
      </c>
      <c r="C1051" s="13" t="s">
        <v>1038</v>
      </c>
      <c r="D1051" s="15">
        <v>7.0</v>
      </c>
      <c r="E1051" s="67">
        <f t="shared" si="11"/>
        <v>1750</v>
      </c>
      <c r="F1051" s="67"/>
    </row>
    <row r="1052" hidden="1">
      <c r="A1052" s="6" t="s">
        <v>28</v>
      </c>
      <c r="B1052" s="13" t="s">
        <v>764</v>
      </c>
      <c r="C1052" s="13" t="s">
        <v>765</v>
      </c>
      <c r="D1052" s="15">
        <v>4.0</v>
      </c>
      <c r="E1052" s="67">
        <f t="shared" si="11"/>
        <v>1000</v>
      </c>
      <c r="F1052" s="67"/>
    </row>
    <row r="1053" hidden="1">
      <c r="A1053" s="6" t="s">
        <v>28</v>
      </c>
      <c r="B1053" s="13" t="s">
        <v>1039</v>
      </c>
      <c r="C1053" s="13" t="s">
        <v>1040</v>
      </c>
      <c r="D1053" s="15">
        <v>12.0</v>
      </c>
      <c r="E1053" s="67">
        <f t="shared" si="11"/>
        <v>6000</v>
      </c>
      <c r="F1053" s="67"/>
    </row>
    <row r="1054" hidden="1">
      <c r="A1054" s="6" t="s">
        <v>28</v>
      </c>
      <c r="B1054" s="13" t="s">
        <v>900</v>
      </c>
      <c r="C1054" s="13" t="s">
        <v>901</v>
      </c>
      <c r="D1054" s="15">
        <v>1.0</v>
      </c>
      <c r="E1054" s="67">
        <f t="shared" si="11"/>
        <v>250</v>
      </c>
      <c r="F1054" s="67"/>
    </row>
    <row r="1055" hidden="1">
      <c r="A1055" s="6" t="s">
        <v>28</v>
      </c>
      <c r="B1055" s="13" t="s">
        <v>766</v>
      </c>
      <c r="C1055" s="13" t="s">
        <v>767</v>
      </c>
      <c r="D1055" s="15">
        <v>11.0</v>
      </c>
      <c r="E1055" s="67">
        <f t="shared" si="11"/>
        <v>5500</v>
      </c>
      <c r="F1055" s="67"/>
    </row>
    <row r="1056" hidden="1">
      <c r="A1056" s="6" t="s">
        <v>28</v>
      </c>
      <c r="B1056" s="13" t="s">
        <v>902</v>
      </c>
      <c r="C1056" s="13" t="s">
        <v>903</v>
      </c>
      <c r="D1056" s="15">
        <v>6.0</v>
      </c>
      <c r="E1056" s="67">
        <f t="shared" si="11"/>
        <v>1500</v>
      </c>
      <c r="F1056" s="67"/>
    </row>
    <row r="1057" hidden="1">
      <c r="A1057" s="6" t="s">
        <v>28</v>
      </c>
      <c r="B1057" s="13" t="s">
        <v>1087</v>
      </c>
      <c r="C1057" s="13" t="s">
        <v>1088</v>
      </c>
      <c r="D1057" s="15">
        <v>1.0</v>
      </c>
      <c r="E1057" s="67">
        <f t="shared" si="11"/>
        <v>250</v>
      </c>
      <c r="F1057" s="67"/>
    </row>
    <row r="1058" hidden="1">
      <c r="A1058" s="6" t="s">
        <v>111</v>
      </c>
      <c r="B1058" s="13" t="s">
        <v>815</v>
      </c>
      <c r="C1058" s="13" t="s">
        <v>816</v>
      </c>
      <c r="D1058" s="15">
        <v>4.0</v>
      </c>
      <c r="E1058" s="67">
        <f t="shared" si="11"/>
        <v>1000</v>
      </c>
      <c r="F1058" s="67"/>
    </row>
    <row r="1059" hidden="1">
      <c r="A1059" s="6" t="s">
        <v>111</v>
      </c>
      <c r="B1059" s="13" t="s">
        <v>405</v>
      </c>
      <c r="C1059" s="13" t="s">
        <v>406</v>
      </c>
      <c r="D1059" s="15">
        <v>1.0</v>
      </c>
      <c r="E1059" s="67">
        <f t="shared" si="11"/>
        <v>250</v>
      </c>
      <c r="F1059" s="67"/>
    </row>
    <row r="1060" hidden="1">
      <c r="A1060" s="6" t="s">
        <v>111</v>
      </c>
      <c r="B1060" s="13" t="s">
        <v>409</v>
      </c>
      <c r="C1060" s="13" t="s">
        <v>410</v>
      </c>
      <c r="D1060" s="15">
        <v>2.0</v>
      </c>
      <c r="E1060" s="67">
        <f t="shared" si="11"/>
        <v>500</v>
      </c>
      <c r="F1060" s="67"/>
    </row>
    <row r="1061" hidden="1">
      <c r="A1061" s="6" t="s">
        <v>111</v>
      </c>
      <c r="B1061" s="13" t="s">
        <v>411</v>
      </c>
      <c r="C1061" s="13" t="s">
        <v>412</v>
      </c>
      <c r="D1061" s="15">
        <v>11.0</v>
      </c>
      <c r="E1061" s="67">
        <f t="shared" si="11"/>
        <v>5500</v>
      </c>
      <c r="F1061" s="67"/>
    </row>
    <row r="1062" hidden="1">
      <c r="A1062" s="6" t="s">
        <v>111</v>
      </c>
      <c r="B1062" s="13" t="s">
        <v>413</v>
      </c>
      <c r="C1062" s="13" t="s">
        <v>414</v>
      </c>
      <c r="D1062" s="15">
        <v>10.0</v>
      </c>
      <c r="E1062" s="67">
        <f t="shared" si="11"/>
        <v>5000</v>
      </c>
      <c r="F1062" s="67"/>
    </row>
    <row r="1063" hidden="1">
      <c r="A1063" s="6" t="s">
        <v>111</v>
      </c>
      <c r="B1063" s="13" t="s">
        <v>1089</v>
      </c>
      <c r="C1063" s="13" t="s">
        <v>1090</v>
      </c>
      <c r="D1063" s="15">
        <v>1.0</v>
      </c>
      <c r="E1063" s="67">
        <f t="shared" si="11"/>
        <v>250</v>
      </c>
      <c r="F1063" s="67"/>
    </row>
    <row r="1064" hidden="1">
      <c r="A1064" s="6" t="s">
        <v>111</v>
      </c>
      <c r="B1064" s="13" t="s">
        <v>825</v>
      </c>
      <c r="C1064" s="13" t="s">
        <v>826</v>
      </c>
      <c r="D1064" s="15">
        <v>7.0</v>
      </c>
      <c r="E1064" s="67">
        <f t="shared" si="11"/>
        <v>1750</v>
      </c>
      <c r="F1064" s="67"/>
    </row>
    <row r="1065" hidden="1">
      <c r="A1065" s="6" t="s">
        <v>111</v>
      </c>
      <c r="B1065" s="13" t="s">
        <v>417</v>
      </c>
      <c r="C1065" s="13" t="s">
        <v>418</v>
      </c>
      <c r="D1065" s="15">
        <v>2.0</v>
      </c>
      <c r="E1065" s="67">
        <f t="shared" si="11"/>
        <v>500</v>
      </c>
      <c r="F1065" s="67"/>
    </row>
    <row r="1066" hidden="1">
      <c r="A1066" s="6" t="s">
        <v>111</v>
      </c>
      <c r="B1066" s="13" t="s">
        <v>435</v>
      </c>
      <c r="C1066" s="13" t="s">
        <v>436</v>
      </c>
      <c r="D1066" s="15">
        <v>18.0</v>
      </c>
      <c r="E1066" s="67">
        <f t="shared" si="11"/>
        <v>9000</v>
      </c>
      <c r="F1066" s="67"/>
    </row>
    <row r="1067" hidden="1">
      <c r="A1067" s="6" t="s">
        <v>111</v>
      </c>
      <c r="B1067" s="13" t="s">
        <v>841</v>
      </c>
      <c r="C1067" s="13" t="s">
        <v>842</v>
      </c>
      <c r="D1067" s="15">
        <v>3.0</v>
      </c>
      <c r="E1067" s="67">
        <f t="shared" si="11"/>
        <v>750</v>
      </c>
      <c r="F1067" s="67"/>
    </row>
    <row r="1068" hidden="1">
      <c r="A1068" s="6" t="s">
        <v>111</v>
      </c>
      <c r="B1068" s="13" t="s">
        <v>439</v>
      </c>
      <c r="C1068" s="13" t="s">
        <v>440</v>
      </c>
      <c r="D1068" s="15">
        <v>10.0</v>
      </c>
      <c r="E1068" s="67">
        <f t="shared" si="11"/>
        <v>5000</v>
      </c>
      <c r="F1068" s="67"/>
    </row>
    <row r="1069" hidden="1">
      <c r="A1069" s="6" t="s">
        <v>111</v>
      </c>
      <c r="B1069" s="13" t="s">
        <v>1043</v>
      </c>
      <c r="C1069" s="13" t="s">
        <v>1044</v>
      </c>
      <c r="D1069" s="15">
        <v>2.0</v>
      </c>
      <c r="E1069" s="62">
        <f t="shared" si="11"/>
        <v>500</v>
      </c>
      <c r="F1069" s="62"/>
    </row>
    <row r="1070" hidden="1">
      <c r="A1070" s="6" t="s">
        <v>111</v>
      </c>
      <c r="B1070" s="8" t="s">
        <v>443</v>
      </c>
      <c r="C1070" s="8" t="s">
        <v>444</v>
      </c>
      <c r="D1070" s="9">
        <v>9.0</v>
      </c>
      <c r="E1070" s="67">
        <f t="shared" si="11"/>
        <v>2250</v>
      </c>
      <c r="F1070" s="67"/>
    </row>
    <row r="1071" hidden="1">
      <c r="A1071" s="6" t="s">
        <v>111</v>
      </c>
      <c r="B1071" s="13" t="s">
        <v>803</v>
      </c>
      <c r="C1071" s="13" t="s">
        <v>804</v>
      </c>
      <c r="D1071" s="15">
        <v>5.0</v>
      </c>
      <c r="E1071" s="67">
        <f t="shared" si="11"/>
        <v>1250</v>
      </c>
      <c r="F1071" s="67"/>
    </row>
    <row r="1072" hidden="1">
      <c r="A1072" s="6" t="s">
        <v>111</v>
      </c>
      <c r="B1072" s="13" t="s">
        <v>445</v>
      </c>
      <c r="C1072" s="13" t="s">
        <v>446</v>
      </c>
      <c r="D1072" s="15">
        <v>6.0</v>
      </c>
      <c r="E1072" s="67">
        <f t="shared" si="11"/>
        <v>1500</v>
      </c>
      <c r="F1072" s="67"/>
    </row>
    <row r="1073" hidden="1">
      <c r="A1073" s="6" t="s">
        <v>111</v>
      </c>
      <c r="B1073" s="13" t="s">
        <v>447</v>
      </c>
      <c r="C1073" s="13" t="s">
        <v>448</v>
      </c>
      <c r="D1073" s="15">
        <v>2.0</v>
      </c>
      <c r="E1073" s="67">
        <f t="shared" si="11"/>
        <v>500</v>
      </c>
      <c r="F1073" s="67"/>
    </row>
    <row r="1074" hidden="1">
      <c r="A1074" s="6" t="s">
        <v>111</v>
      </c>
      <c r="B1074" s="13" t="s">
        <v>974</v>
      </c>
      <c r="C1074" s="13" t="s">
        <v>975</v>
      </c>
      <c r="D1074" s="15">
        <v>4.0</v>
      </c>
      <c r="E1074" s="67">
        <f t="shared" si="11"/>
        <v>1000</v>
      </c>
      <c r="F1074" s="67"/>
    </row>
    <row r="1075" hidden="1">
      <c r="A1075" s="6" t="s">
        <v>111</v>
      </c>
      <c r="B1075" s="13" t="s">
        <v>1091</v>
      </c>
      <c r="C1075" s="13" t="s">
        <v>1092</v>
      </c>
      <c r="D1075" s="15">
        <v>2.0</v>
      </c>
      <c r="E1075" s="67">
        <f t="shared" si="11"/>
        <v>500</v>
      </c>
      <c r="F1075" s="67"/>
    </row>
    <row r="1076" hidden="1">
      <c r="A1076" s="6" t="s">
        <v>111</v>
      </c>
      <c r="B1076" s="13" t="s">
        <v>449</v>
      </c>
      <c r="C1076" s="13" t="s">
        <v>450</v>
      </c>
      <c r="D1076" s="15">
        <v>3.0</v>
      </c>
      <c r="E1076" s="67">
        <f t="shared" si="11"/>
        <v>750</v>
      </c>
      <c r="F1076" s="67"/>
    </row>
    <row r="1077" hidden="1">
      <c r="A1077" s="6" t="s">
        <v>111</v>
      </c>
      <c r="B1077" s="13" t="s">
        <v>451</v>
      </c>
      <c r="C1077" s="13" t="s">
        <v>452</v>
      </c>
      <c r="D1077" s="15">
        <v>7.0</v>
      </c>
      <c r="E1077" s="67">
        <f t="shared" si="11"/>
        <v>1750</v>
      </c>
      <c r="F1077" s="67"/>
    </row>
    <row r="1078" hidden="1">
      <c r="A1078" s="6" t="s">
        <v>111</v>
      </c>
      <c r="B1078" s="13" t="s">
        <v>1049</v>
      </c>
      <c r="C1078" s="13" t="s">
        <v>1050</v>
      </c>
      <c r="D1078" s="15">
        <v>3.0</v>
      </c>
      <c r="E1078" s="67">
        <f t="shared" si="11"/>
        <v>750</v>
      </c>
      <c r="F1078" s="67"/>
    </row>
    <row r="1079" hidden="1">
      <c r="A1079" s="6" t="s">
        <v>111</v>
      </c>
      <c r="B1079" s="13" t="s">
        <v>833</v>
      </c>
      <c r="C1079" s="13" t="s">
        <v>834</v>
      </c>
      <c r="D1079" s="15">
        <v>3.0</v>
      </c>
      <c r="E1079" s="67">
        <f t="shared" si="11"/>
        <v>750</v>
      </c>
      <c r="F1079" s="67"/>
    </row>
    <row r="1080" hidden="1">
      <c r="A1080" s="6" t="s">
        <v>111</v>
      </c>
      <c r="B1080" s="13" t="s">
        <v>1093</v>
      </c>
      <c r="C1080" s="13" t="s">
        <v>1094</v>
      </c>
      <c r="D1080" s="15">
        <v>2.0</v>
      </c>
      <c r="E1080" s="67">
        <f t="shared" si="11"/>
        <v>500</v>
      </c>
      <c r="F1080" s="67"/>
    </row>
    <row r="1081" hidden="1">
      <c r="A1081" s="6" t="s">
        <v>111</v>
      </c>
      <c r="B1081" s="13" t="s">
        <v>976</v>
      </c>
      <c r="C1081" s="13" t="s">
        <v>977</v>
      </c>
      <c r="D1081" s="15">
        <v>3.0</v>
      </c>
      <c r="E1081" s="67">
        <f t="shared" si="11"/>
        <v>750</v>
      </c>
      <c r="F1081" s="67"/>
    </row>
    <row r="1082" hidden="1">
      <c r="A1082" s="6" t="s">
        <v>111</v>
      </c>
      <c r="B1082" s="13" t="s">
        <v>457</v>
      </c>
      <c r="C1082" s="13" t="s">
        <v>458</v>
      </c>
      <c r="D1082" s="15">
        <v>14.0</v>
      </c>
      <c r="E1082" s="67">
        <f t="shared" si="11"/>
        <v>7000</v>
      </c>
      <c r="F1082" s="67"/>
    </row>
    <row r="1083" hidden="1">
      <c r="A1083" s="6" t="s">
        <v>111</v>
      </c>
      <c r="B1083" s="13" t="s">
        <v>319</v>
      </c>
      <c r="C1083" s="13" t="s">
        <v>459</v>
      </c>
      <c r="D1083" s="15">
        <v>4.0</v>
      </c>
      <c r="E1083" s="67">
        <f t="shared" si="11"/>
        <v>1000</v>
      </c>
      <c r="F1083" s="67"/>
    </row>
    <row r="1084" hidden="1">
      <c r="A1084" s="6" t="s">
        <v>111</v>
      </c>
      <c r="B1084" s="13" t="s">
        <v>805</v>
      </c>
      <c r="C1084" s="13" t="s">
        <v>806</v>
      </c>
      <c r="D1084" s="15">
        <v>3.0</v>
      </c>
      <c r="E1084" s="67">
        <f t="shared" si="11"/>
        <v>750</v>
      </c>
      <c r="F1084" s="67"/>
    </row>
    <row r="1085" hidden="1">
      <c r="A1085" s="6" t="s">
        <v>111</v>
      </c>
      <c r="B1085" s="13" t="s">
        <v>910</v>
      </c>
      <c r="C1085" s="13" t="s">
        <v>911</v>
      </c>
      <c r="D1085" s="15">
        <v>6.0</v>
      </c>
      <c r="E1085" s="67">
        <f t="shared" si="11"/>
        <v>1500</v>
      </c>
      <c r="F1085" s="67"/>
    </row>
    <row r="1086" hidden="1">
      <c r="A1086" s="6" t="s">
        <v>111</v>
      </c>
      <c r="B1086" s="13" t="s">
        <v>462</v>
      </c>
      <c r="C1086" s="13" t="s">
        <v>463</v>
      </c>
      <c r="D1086" s="15">
        <v>5.0</v>
      </c>
      <c r="E1086" s="67">
        <f t="shared" si="11"/>
        <v>1250</v>
      </c>
      <c r="F1086" s="67"/>
    </row>
    <row r="1087" hidden="1">
      <c r="A1087" s="6" t="s">
        <v>111</v>
      </c>
      <c r="B1087" s="13" t="s">
        <v>472</v>
      </c>
      <c r="C1087" s="13" t="s">
        <v>473</v>
      </c>
      <c r="D1087" s="15">
        <v>4.0</v>
      </c>
      <c r="E1087" s="67">
        <f t="shared" si="11"/>
        <v>1000</v>
      </c>
      <c r="F1087" s="67"/>
    </row>
    <row r="1088" hidden="1">
      <c r="A1088" s="6" t="s">
        <v>111</v>
      </c>
      <c r="B1088" s="13" t="s">
        <v>1047</v>
      </c>
      <c r="C1088" s="13" t="s">
        <v>1048</v>
      </c>
      <c r="D1088" s="15">
        <v>3.0</v>
      </c>
      <c r="E1088" s="62">
        <f t="shared" si="11"/>
        <v>750</v>
      </c>
      <c r="F1088" s="62"/>
    </row>
    <row r="1089" hidden="1">
      <c r="A1089" s="6" t="s">
        <v>111</v>
      </c>
      <c r="B1089" s="13" t="s">
        <v>476</v>
      </c>
      <c r="C1089" s="13" t="s">
        <v>477</v>
      </c>
      <c r="D1089" s="15">
        <v>30.0</v>
      </c>
      <c r="E1089" s="67">
        <f t="shared" si="11"/>
        <v>15000</v>
      </c>
      <c r="F1089" s="67"/>
    </row>
    <row r="1090" hidden="1">
      <c r="A1090" s="6" t="s">
        <v>111</v>
      </c>
      <c r="B1090" s="13" t="s">
        <v>486</v>
      </c>
      <c r="C1090" s="13" t="s">
        <v>487</v>
      </c>
      <c r="D1090" s="15">
        <v>7.0</v>
      </c>
      <c r="E1090" s="67">
        <f t="shared" si="11"/>
        <v>1750</v>
      </c>
      <c r="F1090" s="67"/>
    </row>
    <row r="1091" hidden="1">
      <c r="A1091" s="6" t="s">
        <v>111</v>
      </c>
      <c r="B1091" s="13" t="s">
        <v>1095</v>
      </c>
      <c r="C1091" s="13" t="s">
        <v>1096</v>
      </c>
      <c r="D1091" s="15">
        <v>1.0</v>
      </c>
      <c r="E1091" s="67">
        <f t="shared" si="11"/>
        <v>250</v>
      </c>
      <c r="F1091" s="67"/>
    </row>
    <row r="1092" hidden="1">
      <c r="A1092" s="6" t="s">
        <v>111</v>
      </c>
      <c r="B1092" s="13" t="s">
        <v>1097</v>
      </c>
      <c r="C1092" s="13" t="s">
        <v>1098</v>
      </c>
      <c r="D1092" s="15">
        <v>1.0</v>
      </c>
      <c r="E1092" s="67">
        <f t="shared" si="11"/>
        <v>250</v>
      </c>
      <c r="F1092" s="67"/>
    </row>
    <row r="1093" hidden="1">
      <c r="A1093" s="6" t="s">
        <v>111</v>
      </c>
      <c r="B1093" s="13" t="s">
        <v>500</v>
      </c>
      <c r="C1093" s="13" t="s">
        <v>501</v>
      </c>
      <c r="D1093" s="15">
        <v>4.0</v>
      </c>
      <c r="E1093" s="67">
        <f t="shared" si="11"/>
        <v>1000</v>
      </c>
      <c r="F1093" s="67"/>
    </row>
    <row r="1094" hidden="1">
      <c r="A1094" s="6" t="s">
        <v>111</v>
      </c>
      <c r="B1094" s="13" t="s">
        <v>502</v>
      </c>
      <c r="C1094" s="13" t="s">
        <v>503</v>
      </c>
      <c r="D1094" s="15">
        <v>6.0</v>
      </c>
      <c r="E1094" s="67">
        <f t="shared" si="11"/>
        <v>1500</v>
      </c>
      <c r="F1094" s="67"/>
    </row>
    <row r="1095" hidden="1">
      <c r="A1095" s="6" t="s">
        <v>111</v>
      </c>
      <c r="B1095" s="13" t="s">
        <v>916</v>
      </c>
      <c r="C1095" s="13" t="s">
        <v>917</v>
      </c>
      <c r="D1095" s="15">
        <v>2.0</v>
      </c>
      <c r="E1095" s="67">
        <f t="shared" si="11"/>
        <v>500</v>
      </c>
      <c r="F1095" s="67"/>
    </row>
    <row r="1096" hidden="1">
      <c r="A1096" s="6" t="s">
        <v>111</v>
      </c>
      <c r="B1096" s="13" t="s">
        <v>510</v>
      </c>
      <c r="C1096" s="13" t="s">
        <v>511</v>
      </c>
      <c r="D1096" s="15">
        <v>6.0</v>
      </c>
      <c r="E1096" s="67">
        <f t="shared" si="11"/>
        <v>1500</v>
      </c>
      <c r="F1096" s="67"/>
    </row>
    <row r="1097" hidden="1">
      <c r="A1097" s="6" t="s">
        <v>111</v>
      </c>
      <c r="B1097" s="13" t="s">
        <v>1099</v>
      </c>
      <c r="C1097" s="13" t="s">
        <v>1100</v>
      </c>
      <c r="D1097" s="15">
        <v>1.0</v>
      </c>
      <c r="E1097" s="67">
        <f t="shared" si="11"/>
        <v>250</v>
      </c>
      <c r="F1097" s="67"/>
    </row>
    <row r="1098" hidden="1">
      <c r="A1098" s="6" t="s">
        <v>111</v>
      </c>
      <c r="B1098" s="13" t="s">
        <v>980</v>
      </c>
      <c r="C1098" s="13" t="s">
        <v>981</v>
      </c>
      <c r="D1098" s="15">
        <v>5.0</v>
      </c>
      <c r="E1098" s="67">
        <f t="shared" si="11"/>
        <v>1250</v>
      </c>
      <c r="F1098" s="67"/>
    </row>
    <row r="1099" hidden="1">
      <c r="A1099" s="6" t="s">
        <v>111</v>
      </c>
      <c r="B1099" s="13" t="s">
        <v>516</v>
      </c>
      <c r="C1099" s="13" t="s">
        <v>517</v>
      </c>
      <c r="D1099" s="15">
        <v>10.0</v>
      </c>
      <c r="E1099" s="67">
        <f t="shared" si="11"/>
        <v>5000</v>
      </c>
      <c r="F1099" s="67"/>
    </row>
    <row r="1100" hidden="1">
      <c r="A1100" s="6" t="s">
        <v>111</v>
      </c>
      <c r="B1100" s="13" t="s">
        <v>518</v>
      </c>
      <c r="C1100" s="13" t="s">
        <v>519</v>
      </c>
      <c r="D1100" s="15">
        <v>6.0</v>
      </c>
      <c r="E1100" s="67">
        <f t="shared" si="11"/>
        <v>1500</v>
      </c>
      <c r="F1100" s="67"/>
    </row>
    <row r="1101" hidden="1">
      <c r="A1101" s="6" t="s">
        <v>111</v>
      </c>
      <c r="B1101" s="13" t="s">
        <v>848</v>
      </c>
      <c r="C1101" s="13" t="s">
        <v>849</v>
      </c>
      <c r="D1101" s="15">
        <v>2.0</v>
      </c>
      <c r="E1101" s="67">
        <f t="shared" si="11"/>
        <v>500</v>
      </c>
      <c r="F1101" s="67"/>
    </row>
    <row r="1102" hidden="1">
      <c r="A1102" s="6" t="s">
        <v>111</v>
      </c>
      <c r="B1102" s="13" t="s">
        <v>986</v>
      </c>
      <c r="C1102" s="13" t="s">
        <v>987</v>
      </c>
      <c r="D1102" s="15">
        <v>1.0</v>
      </c>
      <c r="E1102" s="67">
        <f t="shared" si="11"/>
        <v>250</v>
      </c>
      <c r="F1102" s="67"/>
    </row>
    <row r="1103" hidden="1">
      <c r="A1103" s="6" t="s">
        <v>111</v>
      </c>
      <c r="B1103" s="13" t="s">
        <v>988</v>
      </c>
      <c r="C1103" s="13" t="s">
        <v>989</v>
      </c>
      <c r="D1103" s="15">
        <v>4.0</v>
      </c>
      <c r="E1103" s="67">
        <f t="shared" si="11"/>
        <v>1000</v>
      </c>
      <c r="F1103" s="67"/>
    </row>
    <row r="1104" hidden="1">
      <c r="A1104" s="6" t="s">
        <v>111</v>
      </c>
      <c r="B1104" s="13" t="s">
        <v>522</v>
      </c>
      <c r="C1104" s="13" t="s">
        <v>523</v>
      </c>
      <c r="D1104" s="15">
        <v>4.0</v>
      </c>
      <c r="E1104" s="67">
        <f t="shared" si="11"/>
        <v>1000</v>
      </c>
      <c r="F1104" s="67"/>
    </row>
    <row r="1105" hidden="1">
      <c r="A1105" s="6" t="s">
        <v>111</v>
      </c>
      <c r="B1105" s="13" t="s">
        <v>852</v>
      </c>
      <c r="C1105" s="13" t="s">
        <v>853</v>
      </c>
      <c r="D1105" s="15">
        <v>12.0</v>
      </c>
      <c r="E1105" s="67">
        <f t="shared" si="11"/>
        <v>6000</v>
      </c>
      <c r="F1105" s="67"/>
    </row>
    <row r="1106" hidden="1">
      <c r="A1106" s="6" t="s">
        <v>111</v>
      </c>
      <c r="B1106" s="13" t="s">
        <v>1051</v>
      </c>
      <c r="C1106" s="13" t="s">
        <v>1052</v>
      </c>
      <c r="D1106" s="15">
        <v>2.0</v>
      </c>
      <c r="E1106" s="67">
        <f t="shared" si="11"/>
        <v>500</v>
      </c>
      <c r="F1106" s="67"/>
    </row>
    <row r="1107" hidden="1">
      <c r="A1107" s="6" t="s">
        <v>111</v>
      </c>
      <c r="B1107" s="13" t="s">
        <v>532</v>
      </c>
      <c r="C1107" s="13" t="s">
        <v>533</v>
      </c>
      <c r="D1107" s="15">
        <v>3.0</v>
      </c>
      <c r="E1107" s="67">
        <f t="shared" si="11"/>
        <v>750</v>
      </c>
      <c r="F1107" s="67"/>
    </row>
    <row r="1108" hidden="1">
      <c r="A1108" s="6" t="s">
        <v>111</v>
      </c>
      <c r="B1108" s="13" t="s">
        <v>540</v>
      </c>
      <c r="C1108" s="13" t="s">
        <v>541</v>
      </c>
      <c r="D1108" s="15">
        <v>15.0</v>
      </c>
      <c r="E1108" s="67">
        <f t="shared" si="11"/>
        <v>7500</v>
      </c>
      <c r="F1108" s="67"/>
    </row>
    <row r="1109" hidden="1">
      <c r="A1109" s="6" t="s">
        <v>111</v>
      </c>
      <c r="B1109" s="13" t="s">
        <v>932</v>
      </c>
      <c r="C1109" s="13" t="s">
        <v>933</v>
      </c>
      <c r="D1109" s="15">
        <v>2.0</v>
      </c>
      <c r="E1109" s="67">
        <f t="shared" si="11"/>
        <v>500</v>
      </c>
      <c r="F1109" s="67"/>
    </row>
    <row r="1110" hidden="1">
      <c r="A1110" s="6" t="s">
        <v>111</v>
      </c>
      <c r="B1110" s="13" t="s">
        <v>542</v>
      </c>
      <c r="C1110" s="13" t="s">
        <v>543</v>
      </c>
      <c r="D1110" s="15">
        <v>7.0</v>
      </c>
      <c r="E1110" s="67">
        <f t="shared" si="11"/>
        <v>1750</v>
      </c>
      <c r="F1110" s="67"/>
    </row>
    <row r="1111" hidden="1">
      <c r="A1111" s="6" t="s">
        <v>111</v>
      </c>
      <c r="B1111" s="13" t="s">
        <v>546</v>
      </c>
      <c r="C1111" s="13" t="s">
        <v>547</v>
      </c>
      <c r="D1111" s="15">
        <v>11.0</v>
      </c>
      <c r="E1111" s="67">
        <f t="shared" si="11"/>
        <v>5500</v>
      </c>
      <c r="F1111" s="67"/>
    </row>
    <row r="1112" hidden="1">
      <c r="A1112" s="6" t="s">
        <v>111</v>
      </c>
      <c r="B1112" s="13" t="s">
        <v>1101</v>
      </c>
      <c r="C1112" s="13" t="s">
        <v>1102</v>
      </c>
      <c r="D1112" s="15">
        <v>5.0</v>
      </c>
      <c r="E1112" s="67">
        <f t="shared" si="11"/>
        <v>1250</v>
      </c>
      <c r="F1112" s="67"/>
    </row>
    <row r="1113" hidden="1">
      <c r="A1113" s="6" t="s">
        <v>111</v>
      </c>
      <c r="B1113" s="13" t="s">
        <v>1103</v>
      </c>
      <c r="C1113" s="13" t="s">
        <v>1104</v>
      </c>
      <c r="D1113" s="15">
        <v>2.0</v>
      </c>
      <c r="E1113" s="67">
        <f t="shared" si="11"/>
        <v>500</v>
      </c>
      <c r="F1113" s="67"/>
    </row>
    <row r="1114" hidden="1">
      <c r="A1114" s="6" t="s">
        <v>111</v>
      </c>
      <c r="B1114" s="13" t="s">
        <v>997</v>
      </c>
      <c r="C1114" s="13" t="s">
        <v>998</v>
      </c>
      <c r="D1114" s="15">
        <v>2.0</v>
      </c>
      <c r="E1114" s="67">
        <f t="shared" si="11"/>
        <v>500</v>
      </c>
      <c r="F1114" s="67"/>
    </row>
    <row r="1115" hidden="1">
      <c r="A1115" s="6" t="s">
        <v>111</v>
      </c>
      <c r="B1115" s="13" t="s">
        <v>993</v>
      </c>
      <c r="C1115" s="13" t="s">
        <v>994</v>
      </c>
      <c r="D1115" s="15">
        <v>6.0</v>
      </c>
      <c r="E1115" s="67">
        <f t="shared" si="11"/>
        <v>1500</v>
      </c>
      <c r="F1115" s="67"/>
    </row>
    <row r="1116" hidden="1">
      <c r="A1116" s="6" t="s">
        <v>111</v>
      </c>
      <c r="B1116" s="8" t="s">
        <v>560</v>
      </c>
      <c r="C1116" s="8" t="s">
        <v>561</v>
      </c>
      <c r="D1116" s="9">
        <v>7.0</v>
      </c>
      <c r="E1116" s="67">
        <f t="shared" si="11"/>
        <v>1750</v>
      </c>
      <c r="F1116" s="67"/>
    </row>
    <row r="1117" hidden="1">
      <c r="A1117" s="6" t="s">
        <v>111</v>
      </c>
      <c r="B1117" s="13" t="s">
        <v>566</v>
      </c>
      <c r="C1117" s="13" t="s">
        <v>567</v>
      </c>
      <c r="D1117" s="15">
        <v>3.0</v>
      </c>
      <c r="E1117" s="67">
        <f t="shared" si="11"/>
        <v>750</v>
      </c>
      <c r="F1117" s="67"/>
    </row>
    <row r="1118" hidden="1">
      <c r="A1118" s="6" t="s">
        <v>111</v>
      </c>
      <c r="B1118" s="13" t="s">
        <v>982</v>
      </c>
      <c r="C1118" s="13" t="s">
        <v>983</v>
      </c>
      <c r="D1118" s="15">
        <v>0.0</v>
      </c>
      <c r="E1118" s="67">
        <f t="shared" si="11"/>
        <v>0</v>
      </c>
      <c r="F1118" s="67"/>
    </row>
    <row r="1119" hidden="1">
      <c r="A1119" s="6" t="s">
        <v>111</v>
      </c>
      <c r="B1119" s="13" t="s">
        <v>995</v>
      </c>
      <c r="C1119" s="13" t="s">
        <v>996</v>
      </c>
      <c r="D1119" s="15">
        <v>2.0</v>
      </c>
      <c r="E1119" s="67">
        <f t="shared" si="11"/>
        <v>500</v>
      </c>
      <c r="F1119" s="67"/>
    </row>
    <row r="1120" hidden="1">
      <c r="A1120" s="6" t="s">
        <v>111</v>
      </c>
      <c r="B1120" s="13" t="s">
        <v>1105</v>
      </c>
      <c r="C1120" s="13" t="s">
        <v>1106</v>
      </c>
      <c r="D1120" s="15">
        <v>1.0</v>
      </c>
      <c r="E1120" s="62">
        <f t="shared" si="11"/>
        <v>250</v>
      </c>
      <c r="F1120" s="62"/>
    </row>
    <row r="1121" hidden="1">
      <c r="A1121" s="6" t="s">
        <v>111</v>
      </c>
      <c r="B1121" s="13" t="s">
        <v>862</v>
      </c>
      <c r="C1121" s="13" t="s">
        <v>863</v>
      </c>
      <c r="D1121" s="15">
        <v>4.0</v>
      </c>
      <c r="E1121" s="67">
        <f t="shared" si="11"/>
        <v>1000</v>
      </c>
      <c r="F1121" s="67"/>
    </row>
    <row r="1122" hidden="1">
      <c r="A1122" s="6" t="s">
        <v>111</v>
      </c>
      <c r="B1122" s="13" t="s">
        <v>572</v>
      </c>
      <c r="C1122" s="13" t="s">
        <v>573</v>
      </c>
      <c r="D1122" s="15">
        <v>4.0</v>
      </c>
      <c r="E1122" s="67">
        <f t="shared" si="11"/>
        <v>1000</v>
      </c>
      <c r="F1122" s="67"/>
    </row>
    <row r="1123" hidden="1">
      <c r="A1123" s="6" t="s">
        <v>111</v>
      </c>
      <c r="B1123" s="13" t="s">
        <v>1053</v>
      </c>
      <c r="C1123" s="13" t="s">
        <v>1054</v>
      </c>
      <c r="D1123" s="15">
        <v>2.0</v>
      </c>
      <c r="E1123" s="67">
        <f t="shared" si="11"/>
        <v>500</v>
      </c>
      <c r="F1123" s="67"/>
    </row>
    <row r="1124" hidden="1">
      <c r="A1124" s="6" t="s">
        <v>111</v>
      </c>
      <c r="B1124" s="13" t="s">
        <v>1107</v>
      </c>
      <c r="C1124" s="13" t="s">
        <v>1108</v>
      </c>
      <c r="D1124" s="15">
        <v>1.0</v>
      </c>
      <c r="E1124" s="67">
        <f t="shared" si="11"/>
        <v>250</v>
      </c>
      <c r="F1124" s="67"/>
    </row>
    <row r="1125" hidden="1">
      <c r="A1125" s="6" t="s">
        <v>111</v>
      </c>
      <c r="B1125" s="13" t="s">
        <v>590</v>
      </c>
      <c r="C1125" s="13" t="s">
        <v>591</v>
      </c>
      <c r="D1125" s="15">
        <v>10.0</v>
      </c>
      <c r="E1125" s="67">
        <f t="shared" si="11"/>
        <v>5000</v>
      </c>
      <c r="F1125" s="67"/>
    </row>
    <row r="1126" hidden="1">
      <c r="A1126" s="6" t="s">
        <v>111</v>
      </c>
      <c r="B1126" s="13" t="s">
        <v>1109</v>
      </c>
      <c r="C1126" s="13" t="s">
        <v>1110</v>
      </c>
      <c r="D1126" s="15">
        <v>1.0</v>
      </c>
      <c r="E1126" s="67">
        <f t="shared" si="11"/>
        <v>250</v>
      </c>
      <c r="F1126" s="67"/>
    </row>
    <row r="1127" hidden="1">
      <c r="A1127" s="6" t="s">
        <v>111</v>
      </c>
      <c r="B1127" s="13" t="s">
        <v>596</v>
      </c>
      <c r="C1127" s="13" t="s">
        <v>597</v>
      </c>
      <c r="D1127" s="15">
        <v>2.0</v>
      </c>
      <c r="E1127" s="67">
        <f t="shared" si="11"/>
        <v>500</v>
      </c>
      <c r="F1127" s="67"/>
    </row>
    <row r="1128" hidden="1">
      <c r="A1128" s="6" t="s">
        <v>111</v>
      </c>
      <c r="B1128" s="13" t="s">
        <v>1055</v>
      </c>
      <c r="C1128" s="13" t="s">
        <v>1056</v>
      </c>
      <c r="D1128" s="15">
        <v>1.0</v>
      </c>
      <c r="E1128" s="67">
        <f t="shared" si="11"/>
        <v>250</v>
      </c>
      <c r="F1128" s="67"/>
    </row>
    <row r="1129" hidden="1">
      <c r="A1129" s="6" t="s">
        <v>111</v>
      </c>
      <c r="B1129" s="13" t="s">
        <v>1111</v>
      </c>
      <c r="C1129" s="13" t="s">
        <v>1112</v>
      </c>
      <c r="D1129" s="15">
        <v>1.0</v>
      </c>
      <c r="E1129" s="67">
        <f t="shared" si="11"/>
        <v>250</v>
      </c>
      <c r="F1129" s="67"/>
    </row>
    <row r="1130" hidden="1">
      <c r="A1130" s="6" t="s">
        <v>111</v>
      </c>
      <c r="B1130" s="13" t="s">
        <v>602</v>
      </c>
      <c r="C1130" s="13" t="s">
        <v>603</v>
      </c>
      <c r="D1130" s="15">
        <v>5.0</v>
      </c>
      <c r="E1130" s="62">
        <f t="shared" si="11"/>
        <v>1250</v>
      </c>
      <c r="F1130" s="62"/>
    </row>
    <row r="1131" hidden="1">
      <c r="A1131" s="6" t="s">
        <v>111</v>
      </c>
      <c r="B1131" s="13" t="s">
        <v>604</v>
      </c>
      <c r="C1131" s="13" t="s">
        <v>605</v>
      </c>
      <c r="D1131" s="15">
        <v>10.0</v>
      </c>
      <c r="E1131" s="67">
        <f t="shared" si="11"/>
        <v>5000</v>
      </c>
      <c r="F1131" s="67"/>
    </row>
    <row r="1132" hidden="1">
      <c r="A1132" s="6" t="s">
        <v>111</v>
      </c>
      <c r="B1132" s="13" t="s">
        <v>606</v>
      </c>
      <c r="C1132" s="13" t="s">
        <v>607</v>
      </c>
      <c r="D1132" s="15">
        <v>6.0</v>
      </c>
      <c r="E1132" s="67">
        <f t="shared" si="11"/>
        <v>1500</v>
      </c>
      <c r="F1132" s="67"/>
    </row>
    <row r="1133" hidden="1">
      <c r="A1133" s="6" t="s">
        <v>111</v>
      </c>
      <c r="B1133" s="13" t="s">
        <v>1057</v>
      </c>
      <c r="C1133" s="13" t="s">
        <v>1058</v>
      </c>
      <c r="D1133" s="15">
        <v>3.0</v>
      </c>
      <c r="E1133" s="67">
        <f t="shared" si="11"/>
        <v>750</v>
      </c>
      <c r="F1133" s="67"/>
    </row>
    <row r="1134" hidden="1">
      <c r="A1134" s="6" t="s">
        <v>111</v>
      </c>
      <c r="B1134" s="13" t="s">
        <v>1001</v>
      </c>
      <c r="C1134" s="13" t="s">
        <v>1002</v>
      </c>
      <c r="D1134" s="15">
        <v>3.0</v>
      </c>
      <c r="E1134" s="67">
        <f t="shared" si="11"/>
        <v>750</v>
      </c>
      <c r="F1134" s="67"/>
    </row>
    <row r="1135" hidden="1">
      <c r="A1135" s="6" t="s">
        <v>111</v>
      </c>
      <c r="B1135" s="13" t="s">
        <v>1059</v>
      </c>
      <c r="C1135" s="13" t="s">
        <v>1060</v>
      </c>
      <c r="D1135" s="15">
        <v>4.0</v>
      </c>
      <c r="E1135" s="67">
        <f t="shared" si="11"/>
        <v>1000</v>
      </c>
      <c r="F1135" s="67"/>
    </row>
    <row r="1136" hidden="1">
      <c r="A1136" s="6" t="s">
        <v>111</v>
      </c>
      <c r="B1136" s="13" t="s">
        <v>1113</v>
      </c>
      <c r="C1136" s="13" t="s">
        <v>37</v>
      </c>
      <c r="D1136" s="15">
        <v>2.0</v>
      </c>
      <c r="E1136" s="67">
        <f t="shared" si="11"/>
        <v>500</v>
      </c>
      <c r="F1136" s="67"/>
    </row>
    <row r="1137" hidden="1">
      <c r="A1137" s="6" t="s">
        <v>111</v>
      </c>
      <c r="B1137" s="13" t="s">
        <v>1061</v>
      </c>
      <c r="C1137" s="13" t="s">
        <v>1062</v>
      </c>
      <c r="D1137" s="15">
        <v>5.0</v>
      </c>
      <c r="E1137" s="67">
        <f t="shared" si="11"/>
        <v>1250</v>
      </c>
      <c r="F1137" s="67"/>
    </row>
    <row r="1138" hidden="1">
      <c r="A1138" s="6" t="s">
        <v>111</v>
      </c>
      <c r="B1138" s="13" t="s">
        <v>1114</v>
      </c>
      <c r="C1138" s="13" t="s">
        <v>1115</v>
      </c>
      <c r="D1138" s="15">
        <v>3.0</v>
      </c>
      <c r="E1138" s="67">
        <f t="shared" si="11"/>
        <v>750</v>
      </c>
      <c r="F1138" s="67"/>
    </row>
    <row r="1139" hidden="1">
      <c r="A1139" s="6" t="s">
        <v>111</v>
      </c>
      <c r="B1139" s="13" t="s">
        <v>620</v>
      </c>
      <c r="C1139" s="13" t="s">
        <v>621</v>
      </c>
      <c r="D1139" s="15">
        <v>10.0</v>
      </c>
      <c r="E1139" s="67">
        <f t="shared" si="11"/>
        <v>5000</v>
      </c>
      <c r="F1139" s="67"/>
    </row>
    <row r="1140" hidden="1">
      <c r="A1140" s="6" t="s">
        <v>111</v>
      </c>
      <c r="B1140" s="13" t="s">
        <v>622</v>
      </c>
      <c r="C1140" s="13" t="s">
        <v>623</v>
      </c>
      <c r="D1140" s="15">
        <v>3.0</v>
      </c>
      <c r="E1140" s="67">
        <f t="shared" si="11"/>
        <v>750</v>
      </c>
      <c r="F1140" s="67"/>
    </row>
    <row r="1141" hidden="1">
      <c r="A1141" s="6" t="s">
        <v>111</v>
      </c>
      <c r="B1141" s="13" t="s">
        <v>624</v>
      </c>
      <c r="C1141" s="13" t="s">
        <v>625</v>
      </c>
      <c r="D1141" s="15">
        <v>7.0</v>
      </c>
      <c r="E1141" s="67">
        <f t="shared" si="11"/>
        <v>1750</v>
      </c>
      <c r="F1141" s="67"/>
    </row>
    <row r="1142" hidden="1">
      <c r="A1142" s="6" t="s">
        <v>111</v>
      </c>
      <c r="B1142" s="13" t="s">
        <v>626</v>
      </c>
      <c r="C1142" s="13" t="s">
        <v>627</v>
      </c>
      <c r="D1142" s="15">
        <v>7.0</v>
      </c>
      <c r="E1142" s="67">
        <f t="shared" si="11"/>
        <v>1750</v>
      </c>
      <c r="F1142" s="67"/>
    </row>
    <row r="1143" hidden="1">
      <c r="A1143" s="6" t="s">
        <v>111</v>
      </c>
      <c r="B1143" s="13" t="s">
        <v>628</v>
      </c>
      <c r="C1143" s="13" t="s">
        <v>629</v>
      </c>
      <c r="D1143" s="15">
        <v>3.0</v>
      </c>
      <c r="E1143" s="67">
        <f t="shared" si="11"/>
        <v>750</v>
      </c>
      <c r="F1143" s="67"/>
    </row>
    <row r="1144" hidden="1">
      <c r="A1144" s="6" t="s">
        <v>111</v>
      </c>
      <c r="B1144" s="13" t="s">
        <v>872</v>
      </c>
      <c r="C1144" s="13" t="s">
        <v>873</v>
      </c>
      <c r="D1144" s="15">
        <v>3.0</v>
      </c>
      <c r="E1144" s="62">
        <f t="shared" si="11"/>
        <v>750</v>
      </c>
      <c r="F1144" s="62"/>
    </row>
    <row r="1145" hidden="1">
      <c r="A1145" s="6" t="s">
        <v>111</v>
      </c>
      <c r="B1145" s="13" t="s">
        <v>640</v>
      </c>
      <c r="C1145" s="13" t="s">
        <v>641</v>
      </c>
      <c r="D1145" s="15">
        <v>17.0</v>
      </c>
      <c r="E1145" s="67">
        <f t="shared" si="11"/>
        <v>8500</v>
      </c>
      <c r="F1145" s="67"/>
    </row>
    <row r="1146" hidden="1">
      <c r="A1146" s="6" t="s">
        <v>111</v>
      </c>
      <c r="B1146" s="13" t="s">
        <v>311</v>
      </c>
      <c r="C1146" s="13" t="s">
        <v>312</v>
      </c>
      <c r="D1146" s="15">
        <v>1.0</v>
      </c>
      <c r="E1146" s="67">
        <f t="shared" si="11"/>
        <v>250</v>
      </c>
      <c r="F1146" s="67"/>
    </row>
    <row r="1147" hidden="1">
      <c r="A1147" s="6" t="s">
        <v>111</v>
      </c>
      <c r="B1147" s="13" t="s">
        <v>644</v>
      </c>
      <c r="C1147" s="13" t="s">
        <v>645</v>
      </c>
      <c r="D1147" s="15">
        <v>18.0</v>
      </c>
      <c r="E1147" s="67">
        <f t="shared" si="11"/>
        <v>9000</v>
      </c>
      <c r="F1147" s="67"/>
    </row>
    <row r="1148" hidden="1">
      <c r="A1148" s="6" t="s">
        <v>111</v>
      </c>
      <c r="B1148" s="13" t="s">
        <v>650</v>
      </c>
      <c r="C1148" s="13" t="s">
        <v>651</v>
      </c>
      <c r="D1148" s="15">
        <v>8.0</v>
      </c>
      <c r="E1148" s="67">
        <f t="shared" si="11"/>
        <v>2000</v>
      </c>
      <c r="F1148" s="67"/>
    </row>
    <row r="1149" hidden="1">
      <c r="A1149" s="6" t="s">
        <v>111</v>
      </c>
      <c r="B1149" s="13" t="s">
        <v>882</v>
      </c>
      <c r="C1149" s="13" t="s">
        <v>883</v>
      </c>
      <c r="D1149" s="15">
        <v>5.0</v>
      </c>
      <c r="E1149" s="67">
        <f t="shared" si="11"/>
        <v>1250</v>
      </c>
      <c r="F1149" s="67"/>
    </row>
    <row r="1150" hidden="1">
      <c r="A1150" s="6" t="s">
        <v>111</v>
      </c>
      <c r="B1150" s="13" t="s">
        <v>966</v>
      </c>
      <c r="C1150" s="13" t="s">
        <v>967</v>
      </c>
      <c r="D1150" s="15">
        <v>4.0</v>
      </c>
      <c r="E1150" s="67">
        <f t="shared" si="11"/>
        <v>1000</v>
      </c>
      <c r="F1150" s="67"/>
    </row>
    <row r="1151" hidden="1">
      <c r="A1151" s="6" t="s">
        <v>111</v>
      </c>
      <c r="B1151" s="13" t="s">
        <v>807</v>
      </c>
      <c r="C1151" s="13" t="s">
        <v>808</v>
      </c>
      <c r="D1151" s="15">
        <v>6.0</v>
      </c>
      <c r="E1151" s="67">
        <f t="shared" si="11"/>
        <v>1500</v>
      </c>
      <c r="F1151" s="67"/>
    </row>
    <row r="1152" hidden="1">
      <c r="A1152" s="6" t="s">
        <v>111</v>
      </c>
      <c r="B1152" s="13" t="s">
        <v>1116</v>
      </c>
      <c r="C1152" s="13" t="s">
        <v>1117</v>
      </c>
      <c r="D1152" s="15">
        <v>1.0</v>
      </c>
      <c r="E1152" s="67">
        <f t="shared" si="11"/>
        <v>250</v>
      </c>
      <c r="F1152" s="67"/>
    </row>
    <row r="1153" hidden="1">
      <c r="A1153" s="6" t="s">
        <v>111</v>
      </c>
      <c r="B1153" s="13" t="s">
        <v>1005</v>
      </c>
      <c r="C1153" s="13" t="s">
        <v>1006</v>
      </c>
      <c r="D1153" s="15">
        <v>3.0</v>
      </c>
      <c r="E1153" s="67">
        <f t="shared" si="11"/>
        <v>750</v>
      </c>
      <c r="F1153" s="67"/>
    </row>
    <row r="1154" hidden="1">
      <c r="A1154" s="6" t="s">
        <v>111</v>
      </c>
      <c r="B1154" s="13" t="s">
        <v>1007</v>
      </c>
      <c r="C1154" s="13" t="s">
        <v>1008</v>
      </c>
      <c r="D1154" s="15">
        <v>4.0</v>
      </c>
      <c r="E1154" s="67">
        <f t="shared" si="11"/>
        <v>1000</v>
      </c>
      <c r="F1154" s="67"/>
    </row>
    <row r="1155" hidden="1">
      <c r="A1155" s="6" t="s">
        <v>111</v>
      </c>
      <c r="B1155" s="13" t="s">
        <v>821</v>
      </c>
      <c r="C1155" s="13" t="s">
        <v>822</v>
      </c>
      <c r="D1155" s="15">
        <v>1.0</v>
      </c>
      <c r="E1155" s="67">
        <f t="shared" si="11"/>
        <v>250</v>
      </c>
      <c r="F1155" s="67"/>
    </row>
    <row r="1156" hidden="1">
      <c r="A1156" s="6" t="s">
        <v>111</v>
      </c>
      <c r="B1156" s="13" t="s">
        <v>1011</v>
      </c>
      <c r="C1156" s="13" t="s">
        <v>1012</v>
      </c>
      <c r="D1156" s="15">
        <v>1.0</v>
      </c>
      <c r="E1156" s="67">
        <f t="shared" si="11"/>
        <v>250</v>
      </c>
      <c r="F1156" s="67"/>
    </row>
    <row r="1157" hidden="1">
      <c r="A1157" s="6" t="s">
        <v>111</v>
      </c>
      <c r="B1157" s="13" t="s">
        <v>1067</v>
      </c>
      <c r="C1157" s="13" t="s">
        <v>1068</v>
      </c>
      <c r="D1157" s="15">
        <v>4.0</v>
      </c>
      <c r="E1157" s="67">
        <f t="shared" si="11"/>
        <v>1000</v>
      </c>
      <c r="F1157" s="67"/>
    </row>
    <row r="1158" hidden="1">
      <c r="A1158" s="6" t="s">
        <v>111</v>
      </c>
      <c r="B1158" s="13" t="s">
        <v>1013</v>
      </c>
      <c r="C1158" s="13" t="s">
        <v>1014</v>
      </c>
      <c r="D1158" s="15">
        <v>2.0</v>
      </c>
      <c r="E1158" s="67">
        <f t="shared" si="11"/>
        <v>500</v>
      </c>
      <c r="F1158" s="67"/>
    </row>
    <row r="1159" hidden="1">
      <c r="A1159" s="6" t="s">
        <v>111</v>
      </c>
      <c r="B1159" s="13" t="s">
        <v>813</v>
      </c>
      <c r="C1159" s="13" t="s">
        <v>814</v>
      </c>
      <c r="D1159" s="15">
        <v>2.0</v>
      </c>
      <c r="E1159" s="67">
        <f t="shared" si="11"/>
        <v>500</v>
      </c>
      <c r="F1159" s="67"/>
    </row>
    <row r="1160" hidden="1">
      <c r="A1160" s="6" t="s">
        <v>111</v>
      </c>
      <c r="B1160" s="13" t="s">
        <v>1069</v>
      </c>
      <c r="C1160" s="13" t="s">
        <v>1070</v>
      </c>
      <c r="D1160" s="15">
        <v>8.0</v>
      </c>
      <c r="E1160" s="67">
        <f t="shared" si="11"/>
        <v>2000</v>
      </c>
      <c r="F1160" s="67"/>
    </row>
    <row r="1161" hidden="1">
      <c r="A1161" s="6" t="s">
        <v>111</v>
      </c>
      <c r="B1161" s="13" t="s">
        <v>1071</v>
      </c>
      <c r="C1161" s="13" t="s">
        <v>1072</v>
      </c>
      <c r="D1161" s="15">
        <v>4.0</v>
      </c>
      <c r="E1161" s="67">
        <f t="shared" si="11"/>
        <v>1000</v>
      </c>
      <c r="F1161" s="67"/>
    </row>
    <row r="1162" hidden="1">
      <c r="A1162" s="6" t="s">
        <v>111</v>
      </c>
      <c r="B1162" s="13" t="s">
        <v>672</v>
      </c>
      <c r="C1162" s="13" t="s">
        <v>673</v>
      </c>
      <c r="D1162" s="15">
        <v>2.0</v>
      </c>
      <c r="E1162" s="67">
        <f t="shared" si="11"/>
        <v>500</v>
      </c>
      <c r="F1162" s="67"/>
    </row>
    <row r="1163" hidden="1">
      <c r="A1163" s="6" t="s">
        <v>111</v>
      </c>
      <c r="B1163" s="13" t="s">
        <v>680</v>
      </c>
      <c r="C1163" s="13" t="s">
        <v>681</v>
      </c>
      <c r="D1163" s="15">
        <v>6.0</v>
      </c>
      <c r="E1163" s="67">
        <f t="shared" si="11"/>
        <v>1500</v>
      </c>
      <c r="F1163" s="67"/>
    </row>
    <row r="1164" hidden="1">
      <c r="A1164" s="6" t="s">
        <v>111</v>
      </c>
      <c r="B1164" s="13" t="s">
        <v>682</v>
      </c>
      <c r="C1164" s="13" t="s">
        <v>683</v>
      </c>
      <c r="D1164" s="15">
        <v>13.0</v>
      </c>
      <c r="E1164" s="67">
        <f t="shared" si="11"/>
        <v>6500</v>
      </c>
      <c r="F1164" s="67"/>
    </row>
    <row r="1165" hidden="1">
      <c r="A1165" s="6" t="s">
        <v>111</v>
      </c>
      <c r="B1165" s="13" t="s">
        <v>684</v>
      </c>
      <c r="C1165" s="13" t="s">
        <v>685</v>
      </c>
      <c r="D1165" s="15">
        <v>10.0</v>
      </c>
      <c r="E1165" s="62">
        <f t="shared" si="11"/>
        <v>5000</v>
      </c>
      <c r="F1165" s="62"/>
    </row>
    <row r="1166" hidden="1">
      <c r="A1166" s="6" t="s">
        <v>111</v>
      </c>
      <c r="B1166" s="13" t="s">
        <v>1073</v>
      </c>
      <c r="C1166" s="13" t="s">
        <v>1074</v>
      </c>
      <c r="D1166" s="15">
        <v>1.0</v>
      </c>
      <c r="E1166" s="67">
        <f t="shared" si="11"/>
        <v>250</v>
      </c>
      <c r="F1166" s="67"/>
    </row>
    <row r="1167" hidden="1">
      <c r="A1167" s="6" t="s">
        <v>111</v>
      </c>
      <c r="B1167" s="13" t="s">
        <v>1019</v>
      </c>
      <c r="C1167" s="13" t="s">
        <v>1020</v>
      </c>
      <c r="D1167" s="15">
        <v>2.0</v>
      </c>
      <c r="E1167" s="67">
        <f t="shared" si="11"/>
        <v>500</v>
      </c>
      <c r="F1167" s="67"/>
    </row>
    <row r="1168" hidden="1">
      <c r="A1168" s="6" t="s">
        <v>111</v>
      </c>
      <c r="B1168" s="13" t="s">
        <v>307</v>
      </c>
      <c r="C1168" s="13" t="s">
        <v>692</v>
      </c>
      <c r="D1168" s="15">
        <v>1.0</v>
      </c>
      <c r="E1168" s="67">
        <f t="shared" si="11"/>
        <v>250</v>
      </c>
      <c r="F1168" s="67"/>
    </row>
    <row r="1169" hidden="1">
      <c r="A1169" s="6" t="s">
        <v>111</v>
      </c>
      <c r="B1169" s="13" t="s">
        <v>693</v>
      </c>
      <c r="C1169" s="13" t="s">
        <v>694</v>
      </c>
      <c r="D1169" s="15">
        <v>10.0</v>
      </c>
      <c r="E1169" s="67">
        <f t="shared" si="11"/>
        <v>5000</v>
      </c>
      <c r="F1169" s="67"/>
    </row>
    <row r="1170" hidden="1">
      <c r="A1170" s="6" t="s">
        <v>111</v>
      </c>
      <c r="B1170" s="13" t="s">
        <v>1023</v>
      </c>
      <c r="C1170" s="13" t="s">
        <v>1024</v>
      </c>
      <c r="D1170" s="15">
        <v>4.0</v>
      </c>
      <c r="E1170" s="67">
        <f t="shared" si="11"/>
        <v>1000</v>
      </c>
      <c r="F1170" s="67"/>
    </row>
    <row r="1171" hidden="1">
      <c r="A1171" s="6" t="s">
        <v>111</v>
      </c>
      <c r="B1171" s="13" t="s">
        <v>699</v>
      </c>
      <c r="C1171" s="13" t="s">
        <v>700</v>
      </c>
      <c r="D1171" s="15">
        <v>10.0</v>
      </c>
      <c r="E1171" s="67">
        <f t="shared" si="11"/>
        <v>5000</v>
      </c>
      <c r="F1171" s="67"/>
    </row>
    <row r="1172" hidden="1">
      <c r="A1172" s="6" t="s">
        <v>111</v>
      </c>
      <c r="B1172" s="13" t="s">
        <v>950</v>
      </c>
      <c r="C1172" s="13" t="s">
        <v>951</v>
      </c>
      <c r="D1172" s="15">
        <v>2.0</v>
      </c>
      <c r="E1172" s="67">
        <f t="shared" si="11"/>
        <v>500</v>
      </c>
      <c r="F1172" s="67"/>
    </row>
    <row r="1173" hidden="1">
      <c r="A1173" s="6" t="s">
        <v>111</v>
      </c>
      <c r="B1173" s="13" t="s">
        <v>701</v>
      </c>
      <c r="C1173" s="13" t="s">
        <v>702</v>
      </c>
      <c r="D1173" s="15">
        <v>4.0</v>
      </c>
      <c r="E1173" s="67">
        <f t="shared" si="11"/>
        <v>1000</v>
      </c>
      <c r="F1173" s="67"/>
    </row>
    <row r="1174" hidden="1">
      <c r="A1174" s="6" t="s">
        <v>111</v>
      </c>
      <c r="B1174" s="13" t="s">
        <v>703</v>
      </c>
      <c r="C1174" s="13" t="s">
        <v>704</v>
      </c>
      <c r="D1174" s="15">
        <v>3.0</v>
      </c>
      <c r="E1174" s="67">
        <f t="shared" si="11"/>
        <v>750</v>
      </c>
      <c r="F1174" s="67"/>
    </row>
    <row r="1175" hidden="1">
      <c r="A1175" s="6" t="s">
        <v>111</v>
      </c>
      <c r="B1175" s="13" t="s">
        <v>709</v>
      </c>
      <c r="C1175" s="13" t="s">
        <v>710</v>
      </c>
      <c r="D1175" s="15">
        <v>3.0</v>
      </c>
      <c r="E1175" s="67">
        <f t="shared" si="11"/>
        <v>750</v>
      </c>
      <c r="F1175" s="67"/>
    </row>
    <row r="1176" hidden="1">
      <c r="A1176" s="6" t="s">
        <v>111</v>
      </c>
      <c r="B1176" s="13" t="s">
        <v>717</v>
      </c>
      <c r="C1176" s="13" t="s">
        <v>718</v>
      </c>
      <c r="D1176" s="15">
        <v>3.0</v>
      </c>
      <c r="E1176" s="67">
        <f t="shared" si="11"/>
        <v>750</v>
      </c>
      <c r="F1176" s="67"/>
    </row>
    <row r="1177" hidden="1">
      <c r="A1177" s="6" t="s">
        <v>111</v>
      </c>
      <c r="B1177" s="13" t="s">
        <v>719</v>
      </c>
      <c r="C1177" s="13" t="s">
        <v>720</v>
      </c>
      <c r="D1177" s="15">
        <v>13.0</v>
      </c>
      <c r="E1177" s="67">
        <f t="shared" si="11"/>
        <v>6500</v>
      </c>
      <c r="F1177" s="67"/>
    </row>
    <row r="1178" hidden="1">
      <c r="A1178" s="6" t="s">
        <v>111</v>
      </c>
      <c r="B1178" s="13" t="s">
        <v>1077</v>
      </c>
      <c r="C1178" s="13" t="s">
        <v>1078</v>
      </c>
      <c r="D1178" s="15">
        <v>1.0</v>
      </c>
      <c r="E1178" s="67">
        <f t="shared" si="11"/>
        <v>250</v>
      </c>
      <c r="F1178" s="67"/>
    </row>
    <row r="1179" hidden="1">
      <c r="A1179" s="6" t="s">
        <v>111</v>
      </c>
      <c r="B1179" s="13" t="s">
        <v>1118</v>
      </c>
      <c r="C1179" s="13" t="s">
        <v>1119</v>
      </c>
      <c r="D1179" s="15">
        <v>4.0</v>
      </c>
      <c r="E1179" s="67">
        <f t="shared" si="11"/>
        <v>1000</v>
      </c>
      <c r="F1179" s="67"/>
    </row>
    <row r="1180" hidden="1">
      <c r="A1180" s="6" t="s">
        <v>111</v>
      </c>
      <c r="B1180" s="13" t="s">
        <v>721</v>
      </c>
      <c r="C1180" s="13" t="s">
        <v>722</v>
      </c>
      <c r="D1180" s="15">
        <v>2.0</v>
      </c>
      <c r="E1180" s="62">
        <f t="shared" si="11"/>
        <v>500</v>
      </c>
      <c r="F1180" s="62"/>
    </row>
    <row r="1181" hidden="1">
      <c r="A1181" s="6" t="s">
        <v>111</v>
      </c>
      <c r="B1181" s="13" t="s">
        <v>1079</v>
      </c>
      <c r="C1181" s="13" t="s">
        <v>1080</v>
      </c>
      <c r="D1181" s="15">
        <v>2.0</v>
      </c>
      <c r="E1181" s="67">
        <f t="shared" si="11"/>
        <v>500</v>
      </c>
      <c r="F1181" s="67"/>
    </row>
    <row r="1182" hidden="1">
      <c r="A1182" s="6" t="s">
        <v>111</v>
      </c>
      <c r="B1182" s="13" t="s">
        <v>723</v>
      </c>
      <c r="C1182" s="13" t="s">
        <v>724</v>
      </c>
      <c r="D1182" s="15">
        <v>18.0</v>
      </c>
      <c r="E1182" s="67">
        <f t="shared" si="11"/>
        <v>9000</v>
      </c>
      <c r="F1182" s="67"/>
    </row>
    <row r="1183" hidden="1">
      <c r="A1183" s="6" t="s">
        <v>111</v>
      </c>
      <c r="B1183" s="13" t="s">
        <v>725</v>
      </c>
      <c r="C1183" s="13" t="s">
        <v>726</v>
      </c>
      <c r="D1183" s="15">
        <v>7.0</v>
      </c>
      <c r="E1183" s="67">
        <f t="shared" si="11"/>
        <v>1750</v>
      </c>
      <c r="F1183" s="67"/>
    </row>
    <row r="1184" hidden="1">
      <c r="A1184" s="6" t="s">
        <v>111</v>
      </c>
      <c r="B1184" s="13" t="s">
        <v>1081</v>
      </c>
      <c r="C1184" s="13" t="s">
        <v>1082</v>
      </c>
      <c r="D1184" s="15">
        <v>17.0</v>
      </c>
      <c r="E1184" s="67">
        <f t="shared" si="11"/>
        <v>8500</v>
      </c>
      <c r="F1184" s="67"/>
    </row>
    <row r="1185" hidden="1">
      <c r="A1185" s="6" t="s">
        <v>111</v>
      </c>
      <c r="B1185" s="13" t="s">
        <v>1025</v>
      </c>
      <c r="C1185" s="13" t="s">
        <v>1026</v>
      </c>
      <c r="D1185" s="15">
        <v>13.0</v>
      </c>
      <c r="E1185" s="67">
        <f t="shared" si="11"/>
        <v>6500</v>
      </c>
      <c r="F1185" s="67"/>
    </row>
    <row r="1186" hidden="1">
      <c r="A1186" s="6" t="s">
        <v>111</v>
      </c>
      <c r="B1186" s="8" t="s">
        <v>1120</v>
      </c>
      <c r="C1186" s="8" t="s">
        <v>1121</v>
      </c>
      <c r="D1186" s="9">
        <v>0.0</v>
      </c>
      <c r="E1186" s="67">
        <f t="shared" si="11"/>
        <v>0</v>
      </c>
      <c r="F1186" s="67"/>
    </row>
    <row r="1187" hidden="1">
      <c r="A1187" s="6" t="s">
        <v>111</v>
      </c>
      <c r="B1187" s="13" t="s">
        <v>1027</v>
      </c>
      <c r="C1187" s="13" t="s">
        <v>1028</v>
      </c>
      <c r="D1187" s="15">
        <v>5.0</v>
      </c>
      <c r="E1187" s="62">
        <f t="shared" si="11"/>
        <v>1250</v>
      </c>
      <c r="F1187" s="62"/>
    </row>
    <row r="1188" hidden="1">
      <c r="A1188" s="6" t="s">
        <v>111</v>
      </c>
      <c r="B1188" s="13" t="s">
        <v>823</v>
      </c>
      <c r="C1188" s="13" t="s">
        <v>824</v>
      </c>
      <c r="D1188" s="15">
        <v>5.0</v>
      </c>
      <c r="E1188" s="67">
        <f t="shared" si="11"/>
        <v>1250</v>
      </c>
      <c r="F1188" s="67"/>
    </row>
    <row r="1189" hidden="1">
      <c r="A1189" s="6" t="s">
        <v>111</v>
      </c>
      <c r="B1189" s="13" t="s">
        <v>736</v>
      </c>
      <c r="C1189" s="13" t="s">
        <v>737</v>
      </c>
      <c r="D1189" s="15">
        <v>8.0</v>
      </c>
      <c r="E1189" s="67">
        <f t="shared" si="11"/>
        <v>2000</v>
      </c>
      <c r="F1189" s="67"/>
    </row>
    <row r="1190" hidden="1">
      <c r="A1190" s="6" t="s">
        <v>111</v>
      </c>
      <c r="B1190" s="13" t="s">
        <v>1122</v>
      </c>
      <c r="C1190" s="13" t="s">
        <v>1123</v>
      </c>
      <c r="D1190" s="15">
        <v>2.0</v>
      </c>
      <c r="E1190" s="67">
        <f t="shared" si="11"/>
        <v>500</v>
      </c>
      <c r="F1190" s="67"/>
    </row>
    <row r="1191" hidden="1">
      <c r="A1191" s="6" t="s">
        <v>111</v>
      </c>
      <c r="B1191" s="13" t="s">
        <v>744</v>
      </c>
      <c r="C1191" s="13" t="s">
        <v>745</v>
      </c>
      <c r="D1191" s="15">
        <v>1.0</v>
      </c>
      <c r="E1191" s="67">
        <f t="shared" si="11"/>
        <v>250</v>
      </c>
      <c r="F1191" s="67"/>
    </row>
    <row r="1192" hidden="1">
      <c r="A1192" s="6" t="s">
        <v>111</v>
      </c>
      <c r="B1192" s="13" t="s">
        <v>898</v>
      </c>
      <c r="C1192" s="13" t="s">
        <v>899</v>
      </c>
      <c r="D1192" s="15">
        <v>0.0</v>
      </c>
      <c r="E1192" s="67">
        <f t="shared" si="11"/>
        <v>0</v>
      </c>
      <c r="F1192" s="67"/>
    </row>
    <row r="1193" hidden="1">
      <c r="A1193" s="6" t="s">
        <v>111</v>
      </c>
      <c r="B1193" s="13" t="s">
        <v>746</v>
      </c>
      <c r="C1193" s="13" t="s">
        <v>747</v>
      </c>
      <c r="D1193" s="15">
        <v>17.0</v>
      </c>
      <c r="E1193" s="67">
        <f t="shared" si="11"/>
        <v>8500</v>
      </c>
      <c r="F1193" s="67"/>
    </row>
    <row r="1194" hidden="1">
      <c r="A1194" s="6" t="s">
        <v>111</v>
      </c>
      <c r="B1194" s="13" t="s">
        <v>1083</v>
      </c>
      <c r="C1194" s="13" t="s">
        <v>1084</v>
      </c>
      <c r="D1194" s="15">
        <v>1.0</v>
      </c>
      <c r="E1194" s="67">
        <f t="shared" si="11"/>
        <v>250</v>
      </c>
      <c r="F1194" s="67"/>
    </row>
    <row r="1195" hidden="1">
      <c r="A1195" s="6" t="s">
        <v>111</v>
      </c>
      <c r="B1195" s="13" t="s">
        <v>1085</v>
      </c>
      <c r="C1195" s="13" t="s">
        <v>1086</v>
      </c>
      <c r="D1195" s="15">
        <v>2.0</v>
      </c>
      <c r="E1195" s="67">
        <f t="shared" si="11"/>
        <v>500</v>
      </c>
      <c r="F1195" s="67"/>
    </row>
    <row r="1196" hidden="1">
      <c r="A1196" s="6" t="s">
        <v>111</v>
      </c>
      <c r="B1196" s="13" t="s">
        <v>752</v>
      </c>
      <c r="C1196" s="13" t="s">
        <v>753</v>
      </c>
      <c r="D1196" s="15">
        <v>5.0</v>
      </c>
      <c r="E1196" s="67">
        <f t="shared" si="11"/>
        <v>1250</v>
      </c>
      <c r="F1196" s="67"/>
    </row>
    <row r="1197" hidden="1">
      <c r="A1197" s="6" t="s">
        <v>111</v>
      </c>
      <c r="B1197" s="13" t="s">
        <v>758</v>
      </c>
      <c r="C1197" s="13" t="s">
        <v>759</v>
      </c>
      <c r="D1197" s="15">
        <v>15.0</v>
      </c>
      <c r="E1197" s="62">
        <f t="shared" si="11"/>
        <v>7500</v>
      </c>
      <c r="F1197" s="62"/>
    </row>
    <row r="1198" hidden="1">
      <c r="A1198" s="6" t="s">
        <v>111</v>
      </c>
      <c r="B1198" s="13" t="s">
        <v>960</v>
      </c>
      <c r="C1198" s="13" t="s">
        <v>961</v>
      </c>
      <c r="D1198" s="15">
        <v>11.0</v>
      </c>
      <c r="E1198" s="67">
        <f t="shared" si="11"/>
        <v>5500</v>
      </c>
      <c r="F1198" s="67"/>
    </row>
    <row r="1199" hidden="1">
      <c r="A1199" s="6" t="s">
        <v>111</v>
      </c>
      <c r="B1199" s="13" t="s">
        <v>762</v>
      </c>
      <c r="C1199" s="13" t="s">
        <v>763</v>
      </c>
      <c r="D1199" s="15">
        <v>4.0</v>
      </c>
      <c r="E1199" s="67">
        <f t="shared" si="11"/>
        <v>1000</v>
      </c>
      <c r="F1199" s="67"/>
    </row>
    <row r="1200" hidden="1">
      <c r="A1200" s="6" t="s">
        <v>111</v>
      </c>
      <c r="B1200" s="13" t="s">
        <v>1037</v>
      </c>
      <c r="C1200" s="13" t="s">
        <v>1038</v>
      </c>
      <c r="D1200" s="15">
        <v>8.0</v>
      </c>
      <c r="E1200" s="67">
        <f t="shared" si="11"/>
        <v>2000</v>
      </c>
      <c r="F1200" s="67"/>
    </row>
    <row r="1201" hidden="1">
      <c r="A1201" s="6" t="s">
        <v>111</v>
      </c>
      <c r="B1201" s="8" t="s">
        <v>1039</v>
      </c>
      <c r="C1201" s="8" t="s">
        <v>1040</v>
      </c>
      <c r="D1201" s="9">
        <v>8.0</v>
      </c>
      <c r="E1201" s="67">
        <f t="shared" si="11"/>
        <v>2000</v>
      </c>
      <c r="F1201" s="67"/>
    </row>
    <row r="1202" hidden="1">
      <c r="A1202" s="6" t="s">
        <v>111</v>
      </c>
      <c r="B1202" s="13" t="s">
        <v>900</v>
      </c>
      <c r="C1202" s="13" t="s">
        <v>901</v>
      </c>
      <c r="D1202" s="15">
        <v>1.0</v>
      </c>
      <c r="E1202" s="67">
        <f t="shared" si="11"/>
        <v>250</v>
      </c>
      <c r="F1202" s="67"/>
    </row>
    <row r="1203" hidden="1">
      <c r="A1203" s="6" t="s">
        <v>111</v>
      </c>
      <c r="B1203" s="13" t="s">
        <v>766</v>
      </c>
      <c r="C1203" s="13" t="s">
        <v>767</v>
      </c>
      <c r="D1203" s="15">
        <v>19.0</v>
      </c>
      <c r="E1203" s="67">
        <f t="shared" si="11"/>
        <v>9500</v>
      </c>
      <c r="F1203" s="67"/>
    </row>
    <row r="1204" hidden="1">
      <c r="A1204" s="6" t="s">
        <v>111</v>
      </c>
      <c r="B1204" s="13" t="s">
        <v>902</v>
      </c>
      <c r="C1204" s="13" t="s">
        <v>903</v>
      </c>
      <c r="D1204" s="15">
        <v>3.0</v>
      </c>
      <c r="E1204" s="67">
        <f t="shared" si="11"/>
        <v>750</v>
      </c>
      <c r="F1204" s="67"/>
    </row>
    <row r="1205" hidden="1">
      <c r="A1205" s="6" t="s">
        <v>112</v>
      </c>
      <c r="B1205" s="13" t="s">
        <v>815</v>
      </c>
      <c r="C1205" s="13" t="s">
        <v>816</v>
      </c>
      <c r="D1205" s="15">
        <v>6.0</v>
      </c>
      <c r="E1205" s="67">
        <f t="shared" si="11"/>
        <v>1500</v>
      </c>
      <c r="F1205" s="67"/>
    </row>
    <row r="1206" hidden="1">
      <c r="A1206" s="6" t="s">
        <v>112</v>
      </c>
      <c r="B1206" s="13" t="s">
        <v>405</v>
      </c>
      <c r="C1206" s="13" t="s">
        <v>406</v>
      </c>
      <c r="D1206" s="15">
        <v>6.0</v>
      </c>
      <c r="E1206" s="67">
        <f t="shared" si="11"/>
        <v>1500</v>
      </c>
      <c r="F1206" s="67"/>
    </row>
    <row r="1207" hidden="1">
      <c r="A1207" s="6" t="s">
        <v>112</v>
      </c>
      <c r="B1207" s="13" t="s">
        <v>409</v>
      </c>
      <c r="C1207" s="13" t="s">
        <v>410</v>
      </c>
      <c r="D1207" s="15">
        <v>2.0</v>
      </c>
      <c r="E1207" s="67">
        <f t="shared" si="11"/>
        <v>500</v>
      </c>
      <c r="F1207" s="67"/>
    </row>
    <row r="1208" hidden="1">
      <c r="A1208" s="6" t="s">
        <v>112</v>
      </c>
      <c r="B1208" s="13" t="s">
        <v>411</v>
      </c>
      <c r="C1208" s="13" t="s">
        <v>412</v>
      </c>
      <c r="D1208" s="15">
        <v>13.0</v>
      </c>
      <c r="E1208" s="67">
        <f t="shared" si="11"/>
        <v>6500</v>
      </c>
      <c r="F1208" s="67"/>
    </row>
    <row r="1209" hidden="1">
      <c r="A1209" s="6" t="s">
        <v>112</v>
      </c>
      <c r="B1209" s="13" t="s">
        <v>413</v>
      </c>
      <c r="C1209" s="13" t="s">
        <v>414</v>
      </c>
      <c r="D1209" s="15">
        <v>13.0</v>
      </c>
      <c r="E1209" s="67">
        <f t="shared" si="11"/>
        <v>6500</v>
      </c>
      <c r="F1209" s="67"/>
    </row>
    <row r="1210" hidden="1">
      <c r="A1210" s="6" t="s">
        <v>112</v>
      </c>
      <c r="B1210" s="13" t="s">
        <v>825</v>
      </c>
      <c r="C1210" s="13" t="s">
        <v>826</v>
      </c>
      <c r="D1210" s="15">
        <v>1.0</v>
      </c>
      <c r="E1210" s="67">
        <f t="shared" si="11"/>
        <v>250</v>
      </c>
      <c r="F1210" s="67"/>
    </row>
    <row r="1211" hidden="1">
      <c r="A1211" s="6" t="s">
        <v>112</v>
      </c>
      <c r="B1211" s="13" t="s">
        <v>1124</v>
      </c>
      <c r="C1211" s="13" t="s">
        <v>1125</v>
      </c>
      <c r="D1211" s="13">
        <v>1.0</v>
      </c>
      <c r="E1211" s="67">
        <f t="shared" si="11"/>
        <v>250</v>
      </c>
      <c r="F1211" s="67"/>
    </row>
    <row r="1212" hidden="1">
      <c r="A1212" s="6" t="s">
        <v>112</v>
      </c>
      <c r="B1212" s="13" t="s">
        <v>417</v>
      </c>
      <c r="C1212" s="13" t="s">
        <v>418</v>
      </c>
      <c r="D1212" s="15">
        <v>4.0</v>
      </c>
      <c r="E1212" s="67">
        <f t="shared" si="11"/>
        <v>1000</v>
      </c>
      <c r="F1212" s="67"/>
    </row>
    <row r="1213" hidden="1">
      <c r="A1213" s="6" t="s">
        <v>112</v>
      </c>
      <c r="B1213" s="13" t="s">
        <v>433</v>
      </c>
      <c r="C1213" s="13" t="s">
        <v>434</v>
      </c>
      <c r="D1213" s="15">
        <v>1.0</v>
      </c>
      <c r="E1213" s="67">
        <f t="shared" si="11"/>
        <v>250</v>
      </c>
      <c r="F1213" s="67"/>
    </row>
    <row r="1214" hidden="1">
      <c r="A1214" s="6" t="s">
        <v>112</v>
      </c>
      <c r="B1214" s="13" t="s">
        <v>435</v>
      </c>
      <c r="C1214" s="13" t="s">
        <v>436</v>
      </c>
      <c r="D1214" s="15">
        <v>18.0</v>
      </c>
      <c r="E1214" s="67">
        <f t="shared" si="11"/>
        <v>9000</v>
      </c>
      <c r="F1214" s="67"/>
    </row>
    <row r="1215" hidden="1">
      <c r="A1215" s="6" t="s">
        <v>112</v>
      </c>
      <c r="B1215" s="13" t="s">
        <v>841</v>
      </c>
      <c r="C1215" s="13" t="s">
        <v>842</v>
      </c>
      <c r="D1215" s="15">
        <v>5.0</v>
      </c>
      <c r="E1215" s="67">
        <f t="shared" si="11"/>
        <v>1250</v>
      </c>
      <c r="F1215" s="67"/>
    </row>
    <row r="1216" hidden="1">
      <c r="A1216" s="6" t="s">
        <v>112</v>
      </c>
      <c r="B1216" s="13" t="s">
        <v>972</v>
      </c>
      <c r="C1216" s="13" t="s">
        <v>973</v>
      </c>
      <c r="D1216" s="15">
        <v>2.0</v>
      </c>
      <c r="E1216" s="67">
        <f t="shared" si="11"/>
        <v>500</v>
      </c>
      <c r="F1216" s="67"/>
    </row>
    <row r="1217" hidden="1">
      <c r="A1217" s="6" t="s">
        <v>112</v>
      </c>
      <c r="B1217" s="13" t="s">
        <v>439</v>
      </c>
      <c r="C1217" s="13" t="s">
        <v>440</v>
      </c>
      <c r="D1217" s="15">
        <v>13.0</v>
      </c>
      <c r="E1217" s="67">
        <f t="shared" si="11"/>
        <v>6500</v>
      </c>
      <c r="F1217" s="67"/>
    </row>
    <row r="1218" hidden="1">
      <c r="A1218" s="6" t="s">
        <v>112</v>
      </c>
      <c r="B1218" s="13" t="s">
        <v>1043</v>
      </c>
      <c r="C1218" s="13" t="s">
        <v>1044</v>
      </c>
      <c r="D1218" s="15">
        <v>2.0</v>
      </c>
      <c r="E1218" s="67">
        <f t="shared" si="11"/>
        <v>500</v>
      </c>
      <c r="F1218" s="67"/>
    </row>
    <row r="1219" hidden="1">
      <c r="A1219" s="6" t="s">
        <v>112</v>
      </c>
      <c r="B1219" s="13" t="s">
        <v>443</v>
      </c>
      <c r="C1219" s="13" t="s">
        <v>444</v>
      </c>
      <c r="D1219" s="15">
        <v>13.0</v>
      </c>
      <c r="E1219" s="67">
        <f t="shared" si="11"/>
        <v>6500</v>
      </c>
      <c r="F1219" s="67"/>
    </row>
    <row r="1220" hidden="1">
      <c r="A1220" s="6" t="s">
        <v>112</v>
      </c>
      <c r="B1220" s="13" t="s">
        <v>445</v>
      </c>
      <c r="C1220" s="13" t="s">
        <v>1126</v>
      </c>
      <c r="D1220" s="15">
        <v>6.0</v>
      </c>
      <c r="E1220" s="67">
        <f t="shared" si="11"/>
        <v>1500</v>
      </c>
      <c r="F1220" s="67"/>
    </row>
    <row r="1221" hidden="1">
      <c r="A1221" s="6" t="s">
        <v>112</v>
      </c>
      <c r="B1221" s="13" t="s">
        <v>447</v>
      </c>
      <c r="C1221" s="13" t="s">
        <v>448</v>
      </c>
      <c r="D1221" s="15">
        <v>3.0</v>
      </c>
      <c r="E1221" s="62">
        <f t="shared" si="11"/>
        <v>750</v>
      </c>
      <c r="F1221" s="62"/>
    </row>
    <row r="1222" hidden="1">
      <c r="A1222" s="6" t="s">
        <v>112</v>
      </c>
      <c r="B1222" s="13" t="s">
        <v>449</v>
      </c>
      <c r="C1222" s="13" t="s">
        <v>450</v>
      </c>
      <c r="D1222" s="15">
        <v>6.0</v>
      </c>
      <c r="E1222" s="67">
        <f t="shared" si="11"/>
        <v>1500</v>
      </c>
      <c r="F1222" s="67"/>
    </row>
    <row r="1223" hidden="1">
      <c r="A1223" s="6" t="s">
        <v>112</v>
      </c>
      <c r="B1223" s="13" t="s">
        <v>451</v>
      </c>
      <c r="C1223" s="13" t="s">
        <v>452</v>
      </c>
      <c r="D1223" s="15">
        <v>5.0</v>
      </c>
      <c r="E1223" s="67">
        <f t="shared" si="11"/>
        <v>1250</v>
      </c>
      <c r="F1223" s="67"/>
    </row>
    <row r="1224" hidden="1">
      <c r="A1224" s="6" t="s">
        <v>112</v>
      </c>
      <c r="B1224" s="13" t="s">
        <v>1049</v>
      </c>
      <c r="C1224" s="13" t="s">
        <v>1050</v>
      </c>
      <c r="D1224" s="15">
        <v>1.0</v>
      </c>
      <c r="E1224" s="67">
        <f t="shared" si="11"/>
        <v>250</v>
      </c>
      <c r="F1224" s="67"/>
    </row>
    <row r="1225" hidden="1">
      <c r="A1225" s="6" t="s">
        <v>112</v>
      </c>
      <c r="B1225" s="13" t="s">
        <v>833</v>
      </c>
      <c r="C1225" s="13" t="s">
        <v>834</v>
      </c>
      <c r="D1225" s="15">
        <v>4.0</v>
      </c>
      <c r="E1225" s="67">
        <f t="shared" si="11"/>
        <v>1000</v>
      </c>
      <c r="F1225" s="67"/>
    </row>
    <row r="1226" hidden="1">
      <c r="A1226" s="6" t="s">
        <v>112</v>
      </c>
      <c r="B1226" s="13" t="s">
        <v>1093</v>
      </c>
      <c r="C1226" s="13" t="s">
        <v>1094</v>
      </c>
      <c r="D1226" s="15">
        <v>4.0</v>
      </c>
      <c r="E1226" s="67">
        <f t="shared" si="11"/>
        <v>1000</v>
      </c>
      <c r="F1226" s="67"/>
    </row>
    <row r="1227" hidden="1">
      <c r="A1227" s="6" t="s">
        <v>112</v>
      </c>
      <c r="B1227" s="13" t="s">
        <v>976</v>
      </c>
      <c r="C1227" s="13" t="s">
        <v>977</v>
      </c>
      <c r="D1227" s="15">
        <v>3.0</v>
      </c>
      <c r="E1227" s="67">
        <f t="shared" si="11"/>
        <v>750</v>
      </c>
      <c r="F1227" s="67"/>
    </row>
    <row r="1228" hidden="1">
      <c r="A1228" s="6" t="s">
        <v>112</v>
      </c>
      <c r="B1228" s="13" t="s">
        <v>457</v>
      </c>
      <c r="C1228" s="13" t="s">
        <v>458</v>
      </c>
      <c r="D1228" s="15">
        <v>11.0</v>
      </c>
      <c r="E1228" s="67">
        <f t="shared" si="11"/>
        <v>5500</v>
      </c>
      <c r="F1228" s="67"/>
    </row>
    <row r="1229" hidden="1">
      <c r="A1229" s="6" t="s">
        <v>112</v>
      </c>
      <c r="B1229" s="13" t="s">
        <v>319</v>
      </c>
      <c r="C1229" s="13" t="s">
        <v>459</v>
      </c>
      <c r="D1229" s="15">
        <v>7.0</v>
      </c>
      <c r="E1229" s="62">
        <f t="shared" si="11"/>
        <v>1750</v>
      </c>
      <c r="F1229" s="62"/>
    </row>
    <row r="1230" hidden="1">
      <c r="A1230" s="6" t="s">
        <v>112</v>
      </c>
      <c r="B1230" s="13" t="s">
        <v>1127</v>
      </c>
      <c r="C1230" s="13" t="s">
        <v>1128</v>
      </c>
      <c r="D1230" s="15">
        <v>10.0</v>
      </c>
      <c r="E1230" s="67">
        <f t="shared" si="11"/>
        <v>5000</v>
      </c>
      <c r="F1230" s="67"/>
    </row>
    <row r="1231" hidden="1">
      <c r="A1231" s="6" t="s">
        <v>112</v>
      </c>
      <c r="B1231" s="13" t="s">
        <v>805</v>
      </c>
      <c r="C1231" s="13" t="s">
        <v>806</v>
      </c>
      <c r="D1231" s="15">
        <v>1.0</v>
      </c>
      <c r="E1231" s="67">
        <f t="shared" si="11"/>
        <v>250</v>
      </c>
      <c r="F1231" s="67"/>
    </row>
    <row r="1232" hidden="1">
      <c r="A1232" s="6" t="s">
        <v>112</v>
      </c>
      <c r="B1232" s="13" t="s">
        <v>910</v>
      </c>
      <c r="C1232" s="13" t="s">
        <v>911</v>
      </c>
      <c r="D1232" s="15">
        <v>3.0</v>
      </c>
      <c r="E1232" s="67">
        <f t="shared" si="11"/>
        <v>750</v>
      </c>
      <c r="F1232" s="67"/>
    </row>
    <row r="1233" hidden="1">
      <c r="A1233" s="6" t="s">
        <v>112</v>
      </c>
      <c r="B1233" s="13" t="s">
        <v>462</v>
      </c>
      <c r="C1233" s="13" t="s">
        <v>463</v>
      </c>
      <c r="D1233" s="15">
        <v>2.0</v>
      </c>
      <c r="E1233" s="67">
        <f t="shared" si="11"/>
        <v>500</v>
      </c>
      <c r="F1233" s="67"/>
    </row>
    <row r="1234" hidden="1">
      <c r="A1234" s="6" t="s">
        <v>112</v>
      </c>
      <c r="B1234" s="13" t="s">
        <v>1129</v>
      </c>
      <c r="C1234" s="13" t="s">
        <v>1130</v>
      </c>
      <c r="D1234" s="13">
        <v>1.0</v>
      </c>
      <c r="E1234" s="67">
        <f t="shared" si="11"/>
        <v>250</v>
      </c>
      <c r="F1234" s="67"/>
    </row>
    <row r="1235" hidden="1">
      <c r="A1235" s="6" t="s">
        <v>112</v>
      </c>
      <c r="B1235" s="13" t="s">
        <v>472</v>
      </c>
      <c r="C1235" s="13" t="s">
        <v>473</v>
      </c>
      <c r="D1235" s="15">
        <v>3.0</v>
      </c>
      <c r="E1235" s="67">
        <f t="shared" si="11"/>
        <v>750</v>
      </c>
      <c r="F1235" s="67"/>
    </row>
    <row r="1236" hidden="1">
      <c r="A1236" s="6" t="s">
        <v>112</v>
      </c>
      <c r="B1236" s="13" t="s">
        <v>1047</v>
      </c>
      <c r="C1236" s="13" t="s">
        <v>1048</v>
      </c>
      <c r="D1236" s="15">
        <v>3.0</v>
      </c>
      <c r="E1236" s="67">
        <f t="shared" si="11"/>
        <v>750</v>
      </c>
      <c r="F1236" s="67"/>
    </row>
    <row r="1237" hidden="1">
      <c r="A1237" s="6" t="s">
        <v>112</v>
      </c>
      <c r="B1237" s="13" t="s">
        <v>476</v>
      </c>
      <c r="C1237" s="13" t="s">
        <v>477</v>
      </c>
      <c r="D1237" s="15">
        <v>41.0</v>
      </c>
      <c r="E1237" s="67">
        <f t="shared" si="11"/>
        <v>20500</v>
      </c>
      <c r="F1237" s="67"/>
    </row>
    <row r="1238" hidden="1">
      <c r="A1238" s="6" t="s">
        <v>112</v>
      </c>
      <c r="B1238" s="13" t="s">
        <v>1131</v>
      </c>
      <c r="C1238" s="13" t="s">
        <v>1132</v>
      </c>
      <c r="D1238" s="15">
        <v>0.0</v>
      </c>
      <c r="E1238" s="67">
        <f t="shared" si="11"/>
        <v>0</v>
      </c>
      <c r="F1238" s="67"/>
    </row>
    <row r="1239" hidden="1">
      <c r="A1239" s="6" t="s">
        <v>112</v>
      </c>
      <c r="B1239" s="13" t="s">
        <v>803</v>
      </c>
      <c r="C1239" s="13" t="s">
        <v>804</v>
      </c>
      <c r="D1239" s="15">
        <v>0.0</v>
      </c>
      <c r="E1239" s="67">
        <f t="shared" si="11"/>
        <v>0</v>
      </c>
      <c r="F1239" s="67"/>
    </row>
    <row r="1240" hidden="1">
      <c r="A1240" s="6" t="s">
        <v>112</v>
      </c>
      <c r="B1240" s="13" t="s">
        <v>486</v>
      </c>
      <c r="C1240" s="13" t="s">
        <v>487</v>
      </c>
      <c r="D1240" s="15">
        <v>13.0</v>
      </c>
      <c r="E1240" s="67">
        <f t="shared" si="11"/>
        <v>6500</v>
      </c>
      <c r="F1240" s="67"/>
    </row>
    <row r="1241" hidden="1">
      <c r="A1241" s="6" t="s">
        <v>112</v>
      </c>
      <c r="B1241" s="13" t="s">
        <v>1095</v>
      </c>
      <c r="C1241" s="13" t="s">
        <v>1096</v>
      </c>
      <c r="D1241" s="15">
        <v>7.0</v>
      </c>
      <c r="E1241" s="62">
        <f t="shared" si="11"/>
        <v>1750</v>
      </c>
      <c r="F1241" s="62"/>
    </row>
    <row r="1242" hidden="1">
      <c r="A1242" s="6" t="s">
        <v>112</v>
      </c>
      <c r="B1242" s="8" t="s">
        <v>500</v>
      </c>
      <c r="C1242" s="8" t="s">
        <v>501</v>
      </c>
      <c r="D1242" s="9">
        <v>7.0</v>
      </c>
      <c r="E1242" s="67">
        <f t="shared" si="11"/>
        <v>1750</v>
      </c>
      <c r="F1242" s="67"/>
    </row>
    <row r="1243" hidden="1">
      <c r="A1243" s="6" t="s">
        <v>112</v>
      </c>
      <c r="B1243" s="13" t="s">
        <v>502</v>
      </c>
      <c r="C1243" s="13" t="s">
        <v>503</v>
      </c>
      <c r="D1243" s="15">
        <v>7.0</v>
      </c>
      <c r="E1243" s="67">
        <f t="shared" si="11"/>
        <v>1750</v>
      </c>
      <c r="F1243" s="67"/>
    </row>
    <row r="1244" hidden="1">
      <c r="A1244" s="6" t="s">
        <v>112</v>
      </c>
      <c r="B1244" s="13" t="s">
        <v>916</v>
      </c>
      <c r="C1244" s="13" t="s">
        <v>917</v>
      </c>
      <c r="D1244" s="15">
        <v>4.0</v>
      </c>
      <c r="E1244" s="67">
        <f t="shared" si="11"/>
        <v>1000</v>
      </c>
      <c r="F1244" s="67"/>
    </row>
    <row r="1245" hidden="1">
      <c r="A1245" s="6" t="s">
        <v>112</v>
      </c>
      <c r="B1245" s="13" t="s">
        <v>510</v>
      </c>
      <c r="C1245" s="13" t="s">
        <v>511</v>
      </c>
      <c r="D1245" s="15">
        <v>9.0</v>
      </c>
      <c r="E1245" s="67">
        <f t="shared" si="11"/>
        <v>2250</v>
      </c>
      <c r="F1245" s="67"/>
    </row>
    <row r="1246" hidden="1">
      <c r="A1246" s="6" t="s">
        <v>112</v>
      </c>
      <c r="B1246" s="13" t="s">
        <v>1099</v>
      </c>
      <c r="C1246" s="13" t="s">
        <v>1100</v>
      </c>
      <c r="D1246" s="15">
        <v>1.0</v>
      </c>
      <c r="E1246" s="67">
        <f t="shared" si="11"/>
        <v>250</v>
      </c>
      <c r="F1246" s="67"/>
    </row>
    <row r="1247" hidden="1">
      <c r="A1247" s="6" t="s">
        <v>112</v>
      </c>
      <c r="B1247" s="13" t="s">
        <v>516</v>
      </c>
      <c r="C1247" s="13" t="s">
        <v>517</v>
      </c>
      <c r="D1247" s="15">
        <v>12.0</v>
      </c>
      <c r="E1247" s="67">
        <f t="shared" si="11"/>
        <v>6000</v>
      </c>
      <c r="F1247" s="67"/>
    </row>
    <row r="1248" hidden="1">
      <c r="A1248" s="6" t="s">
        <v>112</v>
      </c>
      <c r="B1248" s="13" t="s">
        <v>518</v>
      </c>
      <c r="C1248" s="13" t="s">
        <v>519</v>
      </c>
      <c r="D1248" s="15">
        <v>4.0</v>
      </c>
      <c r="E1248" s="67">
        <f t="shared" si="11"/>
        <v>1000</v>
      </c>
      <c r="F1248" s="67"/>
    </row>
    <row r="1249" hidden="1">
      <c r="A1249" s="6" t="s">
        <v>112</v>
      </c>
      <c r="B1249" s="13" t="s">
        <v>982</v>
      </c>
      <c r="C1249" s="13" t="s">
        <v>983</v>
      </c>
      <c r="D1249" s="15">
        <v>4.0</v>
      </c>
      <c r="E1249" s="67">
        <f t="shared" si="11"/>
        <v>1000</v>
      </c>
      <c r="F1249" s="67"/>
    </row>
    <row r="1250" hidden="1">
      <c r="A1250" s="6" t="s">
        <v>112</v>
      </c>
      <c r="B1250" s="13" t="s">
        <v>848</v>
      </c>
      <c r="C1250" s="13" t="s">
        <v>849</v>
      </c>
      <c r="D1250" s="15">
        <v>5.0</v>
      </c>
      <c r="E1250" s="67">
        <f t="shared" si="11"/>
        <v>1250</v>
      </c>
      <c r="F1250" s="67"/>
    </row>
    <row r="1251" hidden="1">
      <c r="A1251" s="6" t="s">
        <v>112</v>
      </c>
      <c r="B1251" s="13" t="s">
        <v>986</v>
      </c>
      <c r="C1251" s="13" t="s">
        <v>987</v>
      </c>
      <c r="D1251" s="15">
        <v>2.0</v>
      </c>
      <c r="E1251" s="67">
        <f t="shared" si="11"/>
        <v>500</v>
      </c>
      <c r="F1251" s="67"/>
    </row>
    <row r="1252" hidden="1">
      <c r="A1252" s="6" t="s">
        <v>112</v>
      </c>
      <c r="B1252" s="13" t="s">
        <v>522</v>
      </c>
      <c r="C1252" s="13" t="s">
        <v>523</v>
      </c>
      <c r="D1252" s="15">
        <v>5.0</v>
      </c>
      <c r="E1252" s="67">
        <f t="shared" si="11"/>
        <v>1250</v>
      </c>
      <c r="F1252" s="67"/>
    </row>
    <row r="1253" hidden="1">
      <c r="A1253" s="6" t="s">
        <v>112</v>
      </c>
      <c r="B1253" s="13" t="s">
        <v>852</v>
      </c>
      <c r="C1253" s="13" t="s">
        <v>853</v>
      </c>
      <c r="D1253" s="15">
        <v>13.0</v>
      </c>
      <c r="E1253" s="67">
        <f t="shared" si="11"/>
        <v>6500</v>
      </c>
      <c r="F1253" s="67"/>
    </row>
    <row r="1254" hidden="1">
      <c r="A1254" s="6" t="s">
        <v>112</v>
      </c>
      <c r="B1254" s="13" t="s">
        <v>1133</v>
      </c>
      <c r="C1254" s="13" t="s">
        <v>1134</v>
      </c>
      <c r="D1254" s="15">
        <v>0.0</v>
      </c>
      <c r="E1254" s="67">
        <f t="shared" si="11"/>
        <v>0</v>
      </c>
      <c r="F1254" s="67"/>
    </row>
    <row r="1255" hidden="1">
      <c r="A1255" s="6" t="s">
        <v>112</v>
      </c>
      <c r="B1255" s="13" t="s">
        <v>1051</v>
      </c>
      <c r="C1255" s="13" t="s">
        <v>1052</v>
      </c>
      <c r="D1255" s="15">
        <v>5.0</v>
      </c>
      <c r="E1255" s="67">
        <f t="shared" si="11"/>
        <v>1250</v>
      </c>
      <c r="F1255" s="67"/>
    </row>
    <row r="1256" hidden="1">
      <c r="A1256" s="6" t="s">
        <v>112</v>
      </c>
      <c r="B1256" s="13" t="s">
        <v>532</v>
      </c>
      <c r="C1256" s="13" t="s">
        <v>533</v>
      </c>
      <c r="D1256" s="15">
        <v>17.0</v>
      </c>
      <c r="E1256" s="67">
        <f t="shared" si="11"/>
        <v>8500</v>
      </c>
      <c r="F1256" s="67"/>
    </row>
    <row r="1257" hidden="1">
      <c r="A1257" s="6" t="s">
        <v>112</v>
      </c>
      <c r="B1257" s="13" t="s">
        <v>540</v>
      </c>
      <c r="C1257" s="13" t="s">
        <v>541</v>
      </c>
      <c r="D1257" s="15">
        <v>20.0</v>
      </c>
      <c r="E1257" s="67">
        <f t="shared" si="11"/>
        <v>10000</v>
      </c>
      <c r="F1257" s="67"/>
    </row>
    <row r="1258" hidden="1">
      <c r="A1258" s="6" t="s">
        <v>112</v>
      </c>
      <c r="B1258" s="13" t="s">
        <v>542</v>
      </c>
      <c r="C1258" s="13" t="s">
        <v>543</v>
      </c>
      <c r="D1258" s="15">
        <v>9.0</v>
      </c>
      <c r="E1258" s="62">
        <f t="shared" si="11"/>
        <v>2250</v>
      </c>
      <c r="F1258" s="62"/>
    </row>
    <row r="1259" hidden="1">
      <c r="A1259" s="6" t="s">
        <v>112</v>
      </c>
      <c r="B1259" s="13" t="s">
        <v>546</v>
      </c>
      <c r="C1259" s="13" t="s">
        <v>547</v>
      </c>
      <c r="D1259" s="15">
        <v>6.0</v>
      </c>
      <c r="E1259" s="67">
        <f t="shared" si="11"/>
        <v>1500</v>
      </c>
      <c r="F1259" s="67"/>
    </row>
    <row r="1260" hidden="1">
      <c r="A1260" s="6" t="s">
        <v>112</v>
      </c>
      <c r="B1260" s="13" t="s">
        <v>1101</v>
      </c>
      <c r="C1260" s="13" t="s">
        <v>1102</v>
      </c>
      <c r="D1260" s="15">
        <v>5.0</v>
      </c>
      <c r="E1260" s="67">
        <f t="shared" si="11"/>
        <v>1250</v>
      </c>
      <c r="F1260" s="67"/>
    </row>
    <row r="1261" hidden="1">
      <c r="A1261" s="6" t="s">
        <v>112</v>
      </c>
      <c r="B1261" s="13" t="s">
        <v>1103</v>
      </c>
      <c r="C1261" s="13" t="s">
        <v>1104</v>
      </c>
      <c r="D1261" s="15">
        <v>4.0</v>
      </c>
      <c r="E1261" s="67">
        <f t="shared" si="11"/>
        <v>1000</v>
      </c>
      <c r="F1261" s="67"/>
    </row>
    <row r="1262" hidden="1">
      <c r="A1262" s="6" t="s">
        <v>112</v>
      </c>
      <c r="B1262" s="13" t="s">
        <v>993</v>
      </c>
      <c r="C1262" s="13" t="s">
        <v>994</v>
      </c>
      <c r="D1262" s="15">
        <v>3.0</v>
      </c>
      <c r="E1262" s="67">
        <f t="shared" si="11"/>
        <v>750</v>
      </c>
      <c r="F1262" s="67"/>
    </row>
    <row r="1263" hidden="1">
      <c r="A1263" s="6" t="s">
        <v>112</v>
      </c>
      <c r="B1263" s="13" t="s">
        <v>560</v>
      </c>
      <c r="C1263" s="13" t="s">
        <v>561</v>
      </c>
      <c r="D1263" s="15">
        <v>7.0</v>
      </c>
      <c r="E1263" s="67">
        <f t="shared" si="11"/>
        <v>1750</v>
      </c>
      <c r="F1263" s="67"/>
    </row>
    <row r="1264" hidden="1">
      <c r="A1264" s="6" t="s">
        <v>112</v>
      </c>
      <c r="B1264" s="13" t="s">
        <v>566</v>
      </c>
      <c r="C1264" s="13" t="s">
        <v>567</v>
      </c>
      <c r="D1264" s="15">
        <v>6.0</v>
      </c>
      <c r="E1264" s="67">
        <f t="shared" si="11"/>
        <v>1500</v>
      </c>
      <c r="F1264" s="67"/>
    </row>
    <row r="1265" hidden="1">
      <c r="A1265" s="6" t="s">
        <v>112</v>
      </c>
      <c r="B1265" s="13" t="s">
        <v>1135</v>
      </c>
      <c r="C1265" s="13" t="s">
        <v>1136</v>
      </c>
      <c r="D1265" s="15">
        <v>1.0</v>
      </c>
      <c r="E1265" s="67">
        <f t="shared" si="11"/>
        <v>250</v>
      </c>
      <c r="F1265" s="67"/>
    </row>
    <row r="1266" hidden="1">
      <c r="A1266" s="6" t="s">
        <v>112</v>
      </c>
      <c r="B1266" s="13" t="s">
        <v>1105</v>
      </c>
      <c r="C1266" s="13" t="s">
        <v>1106</v>
      </c>
      <c r="D1266" s="15">
        <v>2.0</v>
      </c>
      <c r="E1266" s="67">
        <f t="shared" si="11"/>
        <v>500</v>
      </c>
      <c r="F1266" s="67"/>
    </row>
    <row r="1267" hidden="1">
      <c r="A1267" s="6" t="s">
        <v>112</v>
      </c>
      <c r="B1267" s="13" t="s">
        <v>862</v>
      </c>
      <c r="C1267" s="13" t="s">
        <v>863</v>
      </c>
      <c r="D1267" s="15">
        <v>4.0</v>
      </c>
      <c r="E1267" s="67">
        <f t="shared" si="11"/>
        <v>1000</v>
      </c>
      <c r="F1267" s="67"/>
    </row>
    <row r="1268" hidden="1">
      <c r="A1268" s="6" t="s">
        <v>112</v>
      </c>
      <c r="B1268" s="13" t="s">
        <v>572</v>
      </c>
      <c r="C1268" s="13" t="s">
        <v>573</v>
      </c>
      <c r="D1268" s="15">
        <v>4.0</v>
      </c>
      <c r="E1268" s="67">
        <f t="shared" si="11"/>
        <v>1000</v>
      </c>
      <c r="F1268" s="67"/>
    </row>
    <row r="1269" hidden="1">
      <c r="A1269" s="6" t="s">
        <v>112</v>
      </c>
      <c r="B1269" s="13" t="s">
        <v>1053</v>
      </c>
      <c r="C1269" s="13" t="s">
        <v>1054</v>
      </c>
      <c r="D1269" s="15">
        <v>3.0</v>
      </c>
      <c r="E1269" s="67">
        <f t="shared" si="11"/>
        <v>750</v>
      </c>
      <c r="F1269" s="67"/>
    </row>
    <row r="1270" hidden="1">
      <c r="A1270" s="6" t="s">
        <v>112</v>
      </c>
      <c r="B1270" s="13" t="s">
        <v>1107</v>
      </c>
      <c r="C1270" s="13" t="s">
        <v>1108</v>
      </c>
      <c r="D1270" s="15">
        <v>4.0</v>
      </c>
      <c r="E1270" s="67">
        <f t="shared" si="11"/>
        <v>1000</v>
      </c>
      <c r="F1270" s="67"/>
    </row>
    <row r="1271" hidden="1">
      <c r="A1271" s="6" t="s">
        <v>112</v>
      </c>
      <c r="B1271" s="13" t="s">
        <v>590</v>
      </c>
      <c r="C1271" s="13" t="s">
        <v>591</v>
      </c>
      <c r="D1271" s="15">
        <v>13.0</v>
      </c>
      <c r="E1271" s="67">
        <f t="shared" si="11"/>
        <v>6500</v>
      </c>
      <c r="F1271" s="67"/>
    </row>
    <row r="1272" hidden="1">
      <c r="A1272" s="6" t="s">
        <v>112</v>
      </c>
      <c r="B1272" s="13" t="s">
        <v>596</v>
      </c>
      <c r="C1272" s="13" t="s">
        <v>597</v>
      </c>
      <c r="D1272" s="15">
        <v>7.0</v>
      </c>
      <c r="E1272" s="67">
        <f t="shared" si="11"/>
        <v>1750</v>
      </c>
      <c r="F1272" s="67"/>
    </row>
    <row r="1273" hidden="1">
      <c r="A1273" s="6" t="s">
        <v>112</v>
      </c>
      <c r="B1273" s="13" t="s">
        <v>602</v>
      </c>
      <c r="C1273" s="13" t="s">
        <v>603</v>
      </c>
      <c r="D1273" s="15">
        <v>4.0</v>
      </c>
      <c r="E1273" s="67">
        <f t="shared" si="11"/>
        <v>1000</v>
      </c>
      <c r="F1273" s="67"/>
    </row>
    <row r="1274" hidden="1">
      <c r="A1274" s="6" t="s">
        <v>112</v>
      </c>
      <c r="B1274" s="13" t="s">
        <v>604</v>
      </c>
      <c r="C1274" s="13" t="s">
        <v>605</v>
      </c>
      <c r="D1274" s="15">
        <v>3.0</v>
      </c>
      <c r="E1274" s="67">
        <f t="shared" si="11"/>
        <v>750</v>
      </c>
      <c r="F1274" s="67"/>
    </row>
    <row r="1275" hidden="1">
      <c r="A1275" s="6" t="s">
        <v>112</v>
      </c>
      <c r="B1275" s="13" t="s">
        <v>1137</v>
      </c>
      <c r="C1275" s="13" t="s">
        <v>1138</v>
      </c>
      <c r="D1275" s="15">
        <v>0.0</v>
      </c>
      <c r="E1275" s="67">
        <f t="shared" si="11"/>
        <v>0</v>
      </c>
      <c r="F1275" s="67"/>
    </row>
    <row r="1276" hidden="1">
      <c r="A1276" s="6" t="s">
        <v>112</v>
      </c>
      <c r="B1276" s="13" t="s">
        <v>606</v>
      </c>
      <c r="C1276" s="13" t="s">
        <v>607</v>
      </c>
      <c r="D1276" s="15">
        <v>4.0</v>
      </c>
      <c r="E1276" s="67">
        <f t="shared" si="11"/>
        <v>1000</v>
      </c>
      <c r="F1276" s="67"/>
    </row>
    <row r="1277" hidden="1">
      <c r="A1277" s="6" t="s">
        <v>112</v>
      </c>
      <c r="B1277" s="13" t="s">
        <v>1057</v>
      </c>
      <c r="C1277" s="13" t="s">
        <v>1058</v>
      </c>
      <c r="D1277" s="15">
        <v>3.0</v>
      </c>
      <c r="E1277" s="67">
        <f t="shared" si="11"/>
        <v>750</v>
      </c>
      <c r="F1277" s="67"/>
    </row>
    <row r="1278" hidden="1">
      <c r="A1278" s="6" t="s">
        <v>112</v>
      </c>
      <c r="B1278" s="13" t="s">
        <v>1139</v>
      </c>
      <c r="C1278" s="13" t="s">
        <v>1140</v>
      </c>
      <c r="D1278" s="15">
        <v>2.0</v>
      </c>
      <c r="E1278" s="67">
        <f t="shared" si="11"/>
        <v>500</v>
      </c>
      <c r="F1278" s="67"/>
    </row>
    <row r="1279" hidden="1">
      <c r="A1279" s="6" t="s">
        <v>112</v>
      </c>
      <c r="B1279" s="13" t="s">
        <v>1059</v>
      </c>
      <c r="C1279" s="13" t="s">
        <v>1060</v>
      </c>
      <c r="D1279" s="15">
        <v>2.0</v>
      </c>
      <c r="E1279" s="67">
        <f t="shared" si="11"/>
        <v>500</v>
      </c>
      <c r="F1279" s="67"/>
    </row>
    <row r="1280" hidden="1">
      <c r="A1280" s="6" t="s">
        <v>112</v>
      </c>
      <c r="B1280" s="13" t="s">
        <v>1113</v>
      </c>
      <c r="C1280" s="13" t="s">
        <v>37</v>
      </c>
      <c r="D1280" s="15">
        <v>2.0</v>
      </c>
      <c r="E1280" s="67">
        <f t="shared" si="11"/>
        <v>500</v>
      </c>
      <c r="F1280" s="67"/>
    </row>
    <row r="1281" hidden="1">
      <c r="A1281" s="6" t="s">
        <v>112</v>
      </c>
      <c r="B1281" s="8" t="s">
        <v>1061</v>
      </c>
      <c r="C1281" s="8" t="s">
        <v>1062</v>
      </c>
      <c r="D1281" s="9">
        <v>9.0</v>
      </c>
      <c r="E1281" s="67">
        <f t="shared" si="11"/>
        <v>2250</v>
      </c>
      <c r="F1281" s="67"/>
    </row>
    <row r="1282" hidden="1">
      <c r="A1282" s="6" t="s">
        <v>112</v>
      </c>
      <c r="B1282" s="13" t="s">
        <v>1114</v>
      </c>
      <c r="C1282" s="13" t="s">
        <v>1115</v>
      </c>
      <c r="D1282" s="15">
        <v>1.0</v>
      </c>
      <c r="E1282" s="67">
        <f t="shared" si="11"/>
        <v>250</v>
      </c>
      <c r="F1282" s="67"/>
    </row>
    <row r="1283" hidden="1">
      <c r="A1283" s="6" t="s">
        <v>112</v>
      </c>
      <c r="B1283" s="13" t="s">
        <v>620</v>
      </c>
      <c r="C1283" s="13" t="s">
        <v>621</v>
      </c>
      <c r="D1283" s="15">
        <v>3.0</v>
      </c>
      <c r="E1283" s="67">
        <f t="shared" si="11"/>
        <v>750</v>
      </c>
      <c r="F1283" s="67"/>
    </row>
    <row r="1284" hidden="1">
      <c r="A1284" s="6" t="s">
        <v>112</v>
      </c>
      <c r="B1284" s="13" t="s">
        <v>622</v>
      </c>
      <c r="C1284" s="13" t="s">
        <v>623</v>
      </c>
      <c r="D1284" s="15">
        <v>4.0</v>
      </c>
      <c r="E1284" s="62">
        <f t="shared" si="11"/>
        <v>1000</v>
      </c>
      <c r="F1284" s="62"/>
    </row>
    <row r="1285" hidden="1">
      <c r="A1285" s="6" t="s">
        <v>112</v>
      </c>
      <c r="B1285" s="13" t="s">
        <v>624</v>
      </c>
      <c r="C1285" s="13" t="s">
        <v>625</v>
      </c>
      <c r="D1285" s="15">
        <v>4.0</v>
      </c>
      <c r="E1285" s="67">
        <f t="shared" si="11"/>
        <v>1000</v>
      </c>
      <c r="F1285" s="67"/>
    </row>
    <row r="1286" hidden="1">
      <c r="A1286" s="6" t="s">
        <v>112</v>
      </c>
      <c r="B1286" s="13" t="s">
        <v>626</v>
      </c>
      <c r="C1286" s="13" t="s">
        <v>627</v>
      </c>
      <c r="D1286" s="15">
        <v>4.0</v>
      </c>
      <c r="E1286" s="67">
        <f t="shared" si="11"/>
        <v>1000</v>
      </c>
      <c r="F1286" s="67"/>
    </row>
    <row r="1287" hidden="1">
      <c r="A1287" s="6" t="s">
        <v>112</v>
      </c>
      <c r="B1287" s="13" t="s">
        <v>628</v>
      </c>
      <c r="C1287" s="13" t="s">
        <v>629</v>
      </c>
      <c r="D1287" s="15">
        <v>4.0</v>
      </c>
      <c r="E1287" s="67">
        <f t="shared" si="11"/>
        <v>1000</v>
      </c>
      <c r="F1287" s="67"/>
    </row>
    <row r="1288" hidden="1">
      <c r="A1288" s="6" t="s">
        <v>112</v>
      </c>
      <c r="B1288" s="13" t="s">
        <v>872</v>
      </c>
      <c r="C1288" s="13" t="s">
        <v>873</v>
      </c>
      <c r="D1288" s="15">
        <v>1.0</v>
      </c>
      <c r="E1288" s="67">
        <f t="shared" si="11"/>
        <v>250</v>
      </c>
      <c r="F1288" s="67"/>
    </row>
    <row r="1289" hidden="1">
      <c r="A1289" s="6" t="s">
        <v>112</v>
      </c>
      <c r="B1289" s="13" t="s">
        <v>640</v>
      </c>
      <c r="C1289" s="13" t="s">
        <v>641</v>
      </c>
      <c r="D1289" s="15">
        <v>9.0</v>
      </c>
      <c r="E1289" s="67">
        <f t="shared" si="11"/>
        <v>2250</v>
      </c>
      <c r="F1289" s="67"/>
    </row>
    <row r="1290" hidden="1">
      <c r="A1290" s="6" t="s">
        <v>112</v>
      </c>
      <c r="B1290" s="13" t="s">
        <v>644</v>
      </c>
      <c r="C1290" s="13" t="s">
        <v>645</v>
      </c>
      <c r="D1290" s="15">
        <v>24.0</v>
      </c>
      <c r="E1290" s="67">
        <f t="shared" si="11"/>
        <v>12000</v>
      </c>
      <c r="F1290" s="67"/>
    </row>
    <row r="1291" hidden="1">
      <c r="A1291" s="6" t="s">
        <v>112</v>
      </c>
      <c r="B1291" s="13" t="s">
        <v>650</v>
      </c>
      <c r="C1291" s="13" t="s">
        <v>651</v>
      </c>
      <c r="D1291" s="15">
        <v>4.0</v>
      </c>
      <c r="E1291" s="67">
        <f t="shared" si="11"/>
        <v>1000</v>
      </c>
      <c r="F1291" s="67"/>
    </row>
    <row r="1292" hidden="1">
      <c r="A1292" s="6" t="s">
        <v>112</v>
      </c>
      <c r="B1292" s="13" t="s">
        <v>1141</v>
      </c>
      <c r="C1292" s="13" t="s">
        <v>1142</v>
      </c>
      <c r="D1292" s="15">
        <v>1.0</v>
      </c>
      <c r="E1292" s="62">
        <f t="shared" si="11"/>
        <v>250</v>
      </c>
      <c r="F1292" s="62"/>
    </row>
    <row r="1293" hidden="1">
      <c r="A1293" s="6" t="s">
        <v>112</v>
      </c>
      <c r="B1293" s="13" t="s">
        <v>1143</v>
      </c>
      <c r="C1293" s="13" t="s">
        <v>1144</v>
      </c>
      <c r="D1293" s="15">
        <v>3.0</v>
      </c>
      <c r="E1293" s="67">
        <f t="shared" si="11"/>
        <v>750</v>
      </c>
      <c r="F1293" s="67"/>
    </row>
    <row r="1294" hidden="1">
      <c r="A1294" s="6" t="s">
        <v>112</v>
      </c>
      <c r="B1294" s="13" t="s">
        <v>882</v>
      </c>
      <c r="C1294" s="13" t="s">
        <v>883</v>
      </c>
      <c r="D1294" s="15">
        <v>4.0</v>
      </c>
      <c r="E1294" s="67">
        <f t="shared" si="11"/>
        <v>1000</v>
      </c>
      <c r="F1294" s="67"/>
    </row>
    <row r="1295" hidden="1">
      <c r="A1295" s="6" t="s">
        <v>112</v>
      </c>
      <c r="B1295" s="13" t="s">
        <v>966</v>
      </c>
      <c r="C1295" s="13" t="s">
        <v>967</v>
      </c>
      <c r="D1295" s="15">
        <v>3.0</v>
      </c>
      <c r="E1295" s="67">
        <f t="shared" si="11"/>
        <v>750</v>
      </c>
      <c r="F1295" s="67"/>
    </row>
    <row r="1296" hidden="1">
      <c r="A1296" s="6" t="s">
        <v>112</v>
      </c>
      <c r="B1296" s="13" t="s">
        <v>807</v>
      </c>
      <c r="C1296" s="13" t="s">
        <v>808</v>
      </c>
      <c r="D1296" s="15">
        <v>5.0</v>
      </c>
      <c r="E1296" s="67">
        <f t="shared" si="11"/>
        <v>1250</v>
      </c>
      <c r="F1296" s="67"/>
    </row>
    <row r="1297" hidden="1">
      <c r="A1297" s="6" t="s">
        <v>112</v>
      </c>
      <c r="B1297" s="13" t="s">
        <v>1065</v>
      </c>
      <c r="C1297" s="13" t="s">
        <v>1066</v>
      </c>
      <c r="D1297" s="15">
        <v>0.0</v>
      </c>
      <c r="E1297" s="67">
        <f t="shared" si="11"/>
        <v>0</v>
      </c>
      <c r="F1297" s="67"/>
    </row>
    <row r="1298" hidden="1">
      <c r="A1298" s="6" t="s">
        <v>112</v>
      </c>
      <c r="B1298" s="13" t="s">
        <v>1116</v>
      </c>
      <c r="C1298" s="13" t="s">
        <v>1117</v>
      </c>
      <c r="D1298" s="15">
        <v>2.0</v>
      </c>
      <c r="E1298" s="67">
        <f t="shared" si="11"/>
        <v>500</v>
      </c>
      <c r="F1298" s="67"/>
    </row>
    <row r="1299" hidden="1">
      <c r="A1299" s="6" t="s">
        <v>112</v>
      </c>
      <c r="B1299" s="13" t="s">
        <v>1005</v>
      </c>
      <c r="C1299" s="13" t="s">
        <v>1006</v>
      </c>
      <c r="D1299" s="15">
        <v>1.0</v>
      </c>
      <c r="E1299" s="67">
        <f t="shared" si="11"/>
        <v>250</v>
      </c>
      <c r="F1299" s="67"/>
    </row>
    <row r="1300" hidden="1">
      <c r="A1300" s="6" t="s">
        <v>112</v>
      </c>
      <c r="B1300" s="13" t="s">
        <v>1007</v>
      </c>
      <c r="C1300" s="13" t="s">
        <v>1008</v>
      </c>
      <c r="D1300" s="15">
        <v>2.0</v>
      </c>
      <c r="E1300" s="67">
        <f t="shared" si="11"/>
        <v>500</v>
      </c>
      <c r="F1300" s="67"/>
    </row>
    <row r="1301" hidden="1">
      <c r="A1301" s="6" t="s">
        <v>112</v>
      </c>
      <c r="B1301" s="13" t="s">
        <v>821</v>
      </c>
      <c r="C1301" s="13" t="s">
        <v>822</v>
      </c>
      <c r="D1301" s="15">
        <v>5.0</v>
      </c>
      <c r="E1301" s="67">
        <f t="shared" si="11"/>
        <v>1250</v>
      </c>
      <c r="F1301" s="67"/>
    </row>
    <row r="1302" hidden="1">
      <c r="A1302" s="6" t="s">
        <v>112</v>
      </c>
      <c r="B1302" s="13" t="s">
        <v>1145</v>
      </c>
      <c r="C1302" s="13" t="s">
        <v>1146</v>
      </c>
      <c r="D1302" s="13">
        <v>2.0</v>
      </c>
      <c r="E1302" s="67">
        <f t="shared" si="11"/>
        <v>500</v>
      </c>
      <c r="F1302" s="67"/>
    </row>
    <row r="1303" hidden="1">
      <c r="A1303" s="6" t="s">
        <v>112</v>
      </c>
      <c r="B1303" s="13" t="s">
        <v>1067</v>
      </c>
      <c r="C1303" s="13" t="s">
        <v>1068</v>
      </c>
      <c r="D1303" s="15">
        <v>7.0</v>
      </c>
      <c r="E1303" s="62">
        <f t="shared" si="11"/>
        <v>1750</v>
      </c>
      <c r="F1303" s="62"/>
    </row>
    <row r="1304" hidden="1">
      <c r="A1304" s="6" t="s">
        <v>112</v>
      </c>
      <c r="B1304" s="13" t="s">
        <v>1013</v>
      </c>
      <c r="C1304" s="13" t="s">
        <v>1014</v>
      </c>
      <c r="D1304" s="15">
        <v>9.0</v>
      </c>
      <c r="E1304" s="67">
        <f t="shared" si="11"/>
        <v>2250</v>
      </c>
      <c r="F1304" s="67"/>
    </row>
    <row r="1305" hidden="1">
      <c r="A1305" s="6" t="s">
        <v>112</v>
      </c>
      <c r="B1305" s="13" t="s">
        <v>1069</v>
      </c>
      <c r="C1305" s="13" t="s">
        <v>1070</v>
      </c>
      <c r="D1305" s="15">
        <v>6.0</v>
      </c>
      <c r="E1305" s="67">
        <f t="shared" si="11"/>
        <v>1500</v>
      </c>
      <c r="F1305" s="67"/>
    </row>
    <row r="1306" hidden="1">
      <c r="A1306" s="6" t="s">
        <v>112</v>
      </c>
      <c r="B1306" s="13" t="s">
        <v>1147</v>
      </c>
      <c r="C1306" s="13" t="s">
        <v>1148</v>
      </c>
      <c r="D1306" s="15">
        <v>1.0</v>
      </c>
      <c r="E1306" s="67">
        <f t="shared" si="11"/>
        <v>250</v>
      </c>
      <c r="F1306" s="67"/>
    </row>
    <row r="1307" hidden="1">
      <c r="A1307" s="6" t="s">
        <v>112</v>
      </c>
      <c r="B1307" s="13" t="s">
        <v>672</v>
      </c>
      <c r="C1307" s="13" t="s">
        <v>673</v>
      </c>
      <c r="D1307" s="15">
        <v>1.0</v>
      </c>
      <c r="E1307" s="67">
        <f t="shared" si="11"/>
        <v>250</v>
      </c>
      <c r="F1307" s="67"/>
    </row>
    <row r="1308" hidden="1">
      <c r="A1308" s="6" t="s">
        <v>112</v>
      </c>
      <c r="B1308" s="13" t="s">
        <v>680</v>
      </c>
      <c r="C1308" s="13" t="s">
        <v>681</v>
      </c>
      <c r="D1308" s="15">
        <v>4.0</v>
      </c>
      <c r="E1308" s="67">
        <f t="shared" si="11"/>
        <v>1000</v>
      </c>
      <c r="F1308" s="67"/>
    </row>
    <row r="1309" hidden="1">
      <c r="A1309" s="6" t="s">
        <v>112</v>
      </c>
      <c r="B1309" s="13" t="s">
        <v>682</v>
      </c>
      <c r="C1309" s="13" t="s">
        <v>683</v>
      </c>
      <c r="D1309" s="15">
        <v>13.0</v>
      </c>
      <c r="E1309" s="67">
        <f t="shared" si="11"/>
        <v>6500</v>
      </c>
      <c r="F1309" s="67"/>
    </row>
    <row r="1310" hidden="1">
      <c r="A1310" s="6" t="s">
        <v>112</v>
      </c>
      <c r="B1310" s="13" t="s">
        <v>684</v>
      </c>
      <c r="C1310" s="13" t="s">
        <v>685</v>
      </c>
      <c r="D1310" s="15">
        <v>9.0</v>
      </c>
      <c r="E1310" s="67">
        <f t="shared" si="11"/>
        <v>2250</v>
      </c>
      <c r="F1310" s="67"/>
    </row>
    <row r="1311" hidden="1">
      <c r="A1311" s="6" t="s">
        <v>112</v>
      </c>
      <c r="B1311" s="13" t="s">
        <v>307</v>
      </c>
      <c r="C1311" s="13" t="s">
        <v>692</v>
      </c>
      <c r="D1311" s="15">
        <v>3.0</v>
      </c>
      <c r="E1311" s="67">
        <f t="shared" si="11"/>
        <v>750</v>
      </c>
      <c r="F1311" s="67"/>
    </row>
    <row r="1312" hidden="1">
      <c r="A1312" s="6" t="s">
        <v>112</v>
      </c>
      <c r="B1312" s="13" t="s">
        <v>693</v>
      </c>
      <c r="C1312" s="13" t="s">
        <v>694</v>
      </c>
      <c r="D1312" s="15">
        <v>5.0</v>
      </c>
      <c r="E1312" s="67">
        <f t="shared" si="11"/>
        <v>1250</v>
      </c>
      <c r="F1312" s="67"/>
    </row>
    <row r="1313" hidden="1">
      <c r="A1313" s="6" t="s">
        <v>112</v>
      </c>
      <c r="B1313" s="13" t="s">
        <v>1023</v>
      </c>
      <c r="C1313" s="13" t="s">
        <v>1024</v>
      </c>
      <c r="D1313" s="15">
        <v>3.0</v>
      </c>
      <c r="E1313" s="67">
        <f t="shared" si="11"/>
        <v>750</v>
      </c>
      <c r="F1313" s="67"/>
    </row>
    <row r="1314" hidden="1">
      <c r="A1314" s="6" t="s">
        <v>112</v>
      </c>
      <c r="B1314" s="13" t="s">
        <v>1075</v>
      </c>
      <c r="C1314" s="13" t="s">
        <v>1076</v>
      </c>
      <c r="D1314" s="15">
        <v>1.0</v>
      </c>
      <c r="E1314" s="67">
        <f t="shared" si="11"/>
        <v>250</v>
      </c>
      <c r="F1314" s="67"/>
    </row>
    <row r="1315" hidden="1">
      <c r="A1315" s="6" t="s">
        <v>112</v>
      </c>
      <c r="B1315" s="13" t="s">
        <v>699</v>
      </c>
      <c r="C1315" s="13" t="s">
        <v>700</v>
      </c>
      <c r="D1315" s="15">
        <v>4.0</v>
      </c>
      <c r="E1315" s="67">
        <f t="shared" si="11"/>
        <v>1000</v>
      </c>
      <c r="F1315" s="67"/>
    </row>
    <row r="1316" hidden="1">
      <c r="A1316" s="6" t="s">
        <v>112</v>
      </c>
      <c r="B1316" s="13" t="s">
        <v>1149</v>
      </c>
      <c r="C1316" s="13" t="s">
        <v>1150</v>
      </c>
      <c r="D1316" s="15">
        <v>3.0</v>
      </c>
      <c r="E1316" s="67">
        <f t="shared" si="11"/>
        <v>750</v>
      </c>
      <c r="F1316" s="67"/>
    </row>
    <row r="1317" hidden="1">
      <c r="A1317" s="6" t="s">
        <v>112</v>
      </c>
      <c r="B1317" s="13" t="s">
        <v>701</v>
      </c>
      <c r="C1317" s="13" t="s">
        <v>702</v>
      </c>
      <c r="D1317" s="15">
        <v>4.0</v>
      </c>
      <c r="E1317" s="67">
        <f t="shared" si="11"/>
        <v>1000</v>
      </c>
      <c r="F1317" s="67"/>
    </row>
    <row r="1318" hidden="1">
      <c r="A1318" s="6" t="s">
        <v>112</v>
      </c>
      <c r="B1318" s="13" t="s">
        <v>703</v>
      </c>
      <c r="C1318" s="13" t="s">
        <v>704</v>
      </c>
      <c r="D1318" s="15">
        <v>4.0</v>
      </c>
      <c r="E1318" s="67">
        <f t="shared" si="11"/>
        <v>1000</v>
      </c>
      <c r="F1318" s="67"/>
    </row>
    <row r="1319" hidden="1">
      <c r="A1319" s="6" t="s">
        <v>112</v>
      </c>
      <c r="B1319" s="13" t="s">
        <v>705</v>
      </c>
      <c r="C1319" s="13" t="s">
        <v>706</v>
      </c>
      <c r="D1319" s="13">
        <v>4.0</v>
      </c>
      <c r="E1319" s="67">
        <f t="shared" si="11"/>
        <v>1000</v>
      </c>
      <c r="F1319" s="67"/>
    </row>
    <row r="1320" hidden="1">
      <c r="A1320" s="6" t="s">
        <v>112</v>
      </c>
      <c r="B1320" s="13" t="s">
        <v>709</v>
      </c>
      <c r="C1320" s="13" t="s">
        <v>710</v>
      </c>
      <c r="D1320" s="15">
        <v>3.0</v>
      </c>
      <c r="E1320" s="67">
        <f t="shared" si="11"/>
        <v>750</v>
      </c>
      <c r="F1320" s="67"/>
    </row>
    <row r="1321" hidden="1">
      <c r="A1321" s="6" t="s">
        <v>112</v>
      </c>
      <c r="B1321" s="13" t="s">
        <v>717</v>
      </c>
      <c r="C1321" s="13" t="s">
        <v>718</v>
      </c>
      <c r="D1321" s="15">
        <v>4.0</v>
      </c>
      <c r="E1321" s="67">
        <f t="shared" si="11"/>
        <v>1000</v>
      </c>
      <c r="F1321" s="67"/>
    </row>
    <row r="1322" hidden="1">
      <c r="A1322" s="6" t="s">
        <v>112</v>
      </c>
      <c r="B1322" s="13" t="s">
        <v>719</v>
      </c>
      <c r="C1322" s="13" t="s">
        <v>720</v>
      </c>
      <c r="D1322" s="15">
        <v>11.0</v>
      </c>
      <c r="E1322" s="67">
        <f t="shared" si="11"/>
        <v>5500</v>
      </c>
      <c r="F1322" s="67"/>
    </row>
    <row r="1323" hidden="1">
      <c r="A1323" s="6" t="s">
        <v>112</v>
      </c>
      <c r="B1323" s="13" t="s">
        <v>721</v>
      </c>
      <c r="C1323" s="13" t="s">
        <v>722</v>
      </c>
      <c r="D1323" s="15">
        <v>2.0</v>
      </c>
      <c r="E1323" s="67">
        <f t="shared" si="11"/>
        <v>500</v>
      </c>
      <c r="F1323" s="67"/>
    </row>
    <row r="1324" hidden="1">
      <c r="A1324" s="6" t="s">
        <v>112</v>
      </c>
      <c r="B1324" s="13" t="s">
        <v>1079</v>
      </c>
      <c r="C1324" s="13" t="s">
        <v>1080</v>
      </c>
      <c r="D1324" s="15">
        <v>3.0</v>
      </c>
      <c r="E1324" s="67">
        <f t="shared" si="11"/>
        <v>750</v>
      </c>
      <c r="F1324" s="67"/>
    </row>
    <row r="1325" hidden="1">
      <c r="A1325" s="6" t="s">
        <v>112</v>
      </c>
      <c r="B1325" s="13" t="s">
        <v>723</v>
      </c>
      <c r="C1325" s="13" t="s">
        <v>724</v>
      </c>
      <c r="D1325" s="15">
        <v>21.0</v>
      </c>
      <c r="E1325" s="67">
        <f t="shared" si="11"/>
        <v>10500</v>
      </c>
      <c r="F1325" s="67"/>
    </row>
    <row r="1326" hidden="1">
      <c r="A1326" s="6" t="s">
        <v>112</v>
      </c>
      <c r="B1326" s="13" t="s">
        <v>725</v>
      </c>
      <c r="C1326" s="13" t="s">
        <v>726</v>
      </c>
      <c r="D1326" s="15">
        <v>6.0</v>
      </c>
      <c r="E1326" s="67">
        <f t="shared" si="11"/>
        <v>1500</v>
      </c>
      <c r="F1326" s="67"/>
    </row>
    <row r="1327" hidden="1">
      <c r="A1327" s="6" t="s">
        <v>112</v>
      </c>
      <c r="B1327" s="13" t="s">
        <v>1081</v>
      </c>
      <c r="C1327" s="13" t="s">
        <v>1082</v>
      </c>
      <c r="D1327" s="15">
        <v>17.0</v>
      </c>
      <c r="E1327" s="67">
        <f t="shared" si="11"/>
        <v>8500</v>
      </c>
      <c r="F1327" s="67"/>
    </row>
    <row r="1328" hidden="1">
      <c r="A1328" s="6" t="s">
        <v>112</v>
      </c>
      <c r="B1328" s="13" t="s">
        <v>1151</v>
      </c>
      <c r="C1328" s="13" t="s">
        <v>1152</v>
      </c>
      <c r="D1328" s="15">
        <v>4.0</v>
      </c>
      <c r="E1328" s="67">
        <f t="shared" si="11"/>
        <v>1000</v>
      </c>
      <c r="F1328" s="67"/>
    </row>
    <row r="1329" hidden="1">
      <c r="A1329" s="6" t="s">
        <v>112</v>
      </c>
      <c r="B1329" s="13" t="s">
        <v>1025</v>
      </c>
      <c r="C1329" s="13" t="s">
        <v>1026</v>
      </c>
      <c r="D1329" s="15">
        <v>7.0</v>
      </c>
      <c r="E1329" s="67">
        <f t="shared" si="11"/>
        <v>1750</v>
      </c>
      <c r="F1329" s="67"/>
    </row>
    <row r="1330" hidden="1">
      <c r="A1330" s="6" t="s">
        <v>112</v>
      </c>
      <c r="B1330" s="13" t="s">
        <v>1027</v>
      </c>
      <c r="C1330" s="13" t="s">
        <v>1028</v>
      </c>
      <c r="D1330" s="15">
        <v>9.0</v>
      </c>
      <c r="E1330" s="67">
        <f t="shared" si="11"/>
        <v>2250</v>
      </c>
      <c r="F1330" s="67"/>
    </row>
    <row r="1331" hidden="1">
      <c r="A1331" s="6" t="s">
        <v>112</v>
      </c>
      <c r="B1331" s="13" t="s">
        <v>1153</v>
      </c>
      <c r="C1331" s="13" t="s">
        <v>1154</v>
      </c>
      <c r="D1331" s="15">
        <v>0.0</v>
      </c>
      <c r="E1331" s="67">
        <f t="shared" si="11"/>
        <v>0</v>
      </c>
      <c r="F1331" s="67"/>
    </row>
    <row r="1332" hidden="1">
      <c r="A1332" s="6" t="s">
        <v>112</v>
      </c>
      <c r="B1332" s="13" t="s">
        <v>823</v>
      </c>
      <c r="C1332" s="13" t="s">
        <v>824</v>
      </c>
      <c r="D1332" s="15">
        <v>1.0</v>
      </c>
      <c r="E1332" s="67">
        <f t="shared" si="11"/>
        <v>250</v>
      </c>
      <c r="F1332" s="67"/>
    </row>
    <row r="1333" hidden="1">
      <c r="A1333" s="6" t="s">
        <v>112</v>
      </c>
      <c r="B1333" s="13" t="s">
        <v>736</v>
      </c>
      <c r="C1333" s="13" t="s">
        <v>737</v>
      </c>
      <c r="D1333" s="15">
        <v>7.0</v>
      </c>
      <c r="E1333" s="62">
        <f t="shared" si="11"/>
        <v>1750</v>
      </c>
      <c r="F1333" s="62"/>
    </row>
    <row r="1334" hidden="1">
      <c r="A1334" s="6" t="s">
        <v>112</v>
      </c>
      <c r="B1334" s="13" t="s">
        <v>1122</v>
      </c>
      <c r="C1334" s="13" t="s">
        <v>1123</v>
      </c>
      <c r="D1334" s="15">
        <v>3.0</v>
      </c>
      <c r="E1334" s="67">
        <f t="shared" si="11"/>
        <v>750</v>
      </c>
      <c r="F1334" s="67"/>
    </row>
    <row r="1335" hidden="1">
      <c r="A1335" s="6" t="s">
        <v>112</v>
      </c>
      <c r="B1335" s="13" t="s">
        <v>1120</v>
      </c>
      <c r="C1335" s="13" t="s">
        <v>1121</v>
      </c>
      <c r="D1335" s="15">
        <v>3.0</v>
      </c>
      <c r="E1335" s="67">
        <f t="shared" si="11"/>
        <v>750</v>
      </c>
      <c r="F1335" s="67"/>
    </row>
    <row r="1336" hidden="1">
      <c r="A1336" s="6" t="s">
        <v>112</v>
      </c>
      <c r="B1336" s="13" t="s">
        <v>744</v>
      </c>
      <c r="C1336" s="13" t="s">
        <v>745</v>
      </c>
      <c r="D1336" s="15">
        <v>9.0</v>
      </c>
      <c r="E1336" s="62">
        <f t="shared" si="11"/>
        <v>2250</v>
      </c>
      <c r="F1336" s="62"/>
    </row>
    <row r="1337" hidden="1">
      <c r="A1337" s="6" t="s">
        <v>112</v>
      </c>
      <c r="B1337" s="13" t="s">
        <v>746</v>
      </c>
      <c r="C1337" s="13" t="s">
        <v>747</v>
      </c>
      <c r="D1337" s="15">
        <v>15.0</v>
      </c>
      <c r="E1337" s="67">
        <f t="shared" si="11"/>
        <v>7500</v>
      </c>
      <c r="F1337" s="67"/>
    </row>
    <row r="1338" hidden="1">
      <c r="A1338" s="6" t="s">
        <v>112</v>
      </c>
      <c r="B1338" s="13" t="s">
        <v>1085</v>
      </c>
      <c r="C1338" s="13" t="s">
        <v>1086</v>
      </c>
      <c r="D1338" s="15">
        <v>2.0</v>
      </c>
      <c r="E1338" s="67">
        <f t="shared" si="11"/>
        <v>500</v>
      </c>
      <c r="F1338" s="67"/>
    </row>
    <row r="1339" hidden="1">
      <c r="A1339" s="6" t="s">
        <v>112</v>
      </c>
      <c r="B1339" s="8" t="s">
        <v>1155</v>
      </c>
      <c r="C1339" s="8" t="s">
        <v>1156</v>
      </c>
      <c r="D1339" s="9">
        <v>1.0</v>
      </c>
      <c r="E1339" s="67">
        <f t="shared" si="11"/>
        <v>250</v>
      </c>
      <c r="F1339" s="67"/>
    </row>
    <row r="1340" hidden="1">
      <c r="A1340" s="6" t="s">
        <v>112</v>
      </c>
      <c r="B1340" s="13" t="s">
        <v>752</v>
      </c>
      <c r="C1340" s="13" t="s">
        <v>753</v>
      </c>
      <c r="D1340" s="15">
        <v>5.0</v>
      </c>
      <c r="E1340" s="67">
        <f t="shared" si="11"/>
        <v>1250</v>
      </c>
      <c r="F1340" s="67"/>
    </row>
    <row r="1341" hidden="1">
      <c r="A1341" s="6" t="s">
        <v>112</v>
      </c>
      <c r="B1341" s="13" t="s">
        <v>758</v>
      </c>
      <c r="C1341" s="13" t="s">
        <v>759</v>
      </c>
      <c r="D1341" s="15">
        <v>16.0</v>
      </c>
      <c r="E1341" s="67">
        <f t="shared" si="11"/>
        <v>8000</v>
      </c>
      <c r="F1341" s="67"/>
    </row>
    <row r="1342" hidden="1">
      <c r="A1342" s="6" t="s">
        <v>112</v>
      </c>
      <c r="B1342" s="13" t="s">
        <v>960</v>
      </c>
      <c r="C1342" s="13" t="s">
        <v>961</v>
      </c>
      <c r="D1342" s="15">
        <v>15.0</v>
      </c>
      <c r="E1342" s="67">
        <f t="shared" si="11"/>
        <v>7500</v>
      </c>
      <c r="F1342" s="67"/>
    </row>
    <row r="1343" hidden="1">
      <c r="A1343" s="6" t="s">
        <v>112</v>
      </c>
      <c r="B1343" s="13" t="s">
        <v>762</v>
      </c>
      <c r="C1343" s="13" t="s">
        <v>763</v>
      </c>
      <c r="D1343" s="15">
        <v>3.0</v>
      </c>
      <c r="E1343" s="67">
        <f t="shared" si="11"/>
        <v>750</v>
      </c>
      <c r="F1343" s="67"/>
    </row>
    <row r="1344" hidden="1">
      <c r="A1344" s="6" t="s">
        <v>112</v>
      </c>
      <c r="B1344" s="13" t="s">
        <v>898</v>
      </c>
      <c r="C1344" s="13" t="s">
        <v>899</v>
      </c>
      <c r="D1344" s="15">
        <v>5.0</v>
      </c>
      <c r="E1344" s="67">
        <f t="shared" si="11"/>
        <v>1250</v>
      </c>
      <c r="F1344" s="67"/>
    </row>
    <row r="1345" hidden="1">
      <c r="A1345" s="6" t="s">
        <v>112</v>
      </c>
      <c r="B1345" s="13" t="s">
        <v>1037</v>
      </c>
      <c r="C1345" s="13" t="s">
        <v>1038</v>
      </c>
      <c r="D1345" s="15">
        <v>8.0</v>
      </c>
      <c r="E1345" s="67">
        <f t="shared" si="11"/>
        <v>2000</v>
      </c>
      <c r="F1345" s="67"/>
    </row>
    <row r="1346" hidden="1">
      <c r="A1346" s="6" t="s">
        <v>112</v>
      </c>
      <c r="B1346" s="13" t="s">
        <v>1039</v>
      </c>
      <c r="C1346" s="13" t="s">
        <v>1040</v>
      </c>
      <c r="D1346" s="15">
        <v>11.0</v>
      </c>
      <c r="E1346" s="67">
        <f t="shared" si="11"/>
        <v>5500</v>
      </c>
      <c r="F1346" s="67"/>
    </row>
    <row r="1347" hidden="1">
      <c r="A1347" s="6" t="s">
        <v>112</v>
      </c>
      <c r="B1347" s="8" t="s">
        <v>900</v>
      </c>
      <c r="C1347" s="8" t="s">
        <v>901</v>
      </c>
      <c r="D1347" s="9">
        <v>1.0</v>
      </c>
      <c r="E1347" s="67">
        <f t="shared" si="11"/>
        <v>250</v>
      </c>
      <c r="F1347" s="67"/>
    </row>
    <row r="1348" hidden="1">
      <c r="A1348" s="6" t="s">
        <v>112</v>
      </c>
      <c r="B1348" s="13" t="s">
        <v>766</v>
      </c>
      <c r="C1348" s="13" t="s">
        <v>767</v>
      </c>
      <c r="D1348" s="15">
        <v>11.0</v>
      </c>
      <c r="E1348" s="67">
        <f t="shared" si="11"/>
        <v>5500</v>
      </c>
      <c r="F1348" s="67"/>
    </row>
    <row r="1349" hidden="1">
      <c r="A1349" s="6" t="s">
        <v>112</v>
      </c>
      <c r="B1349" s="13" t="s">
        <v>902</v>
      </c>
      <c r="C1349" s="13" t="s">
        <v>903</v>
      </c>
      <c r="D1349" s="15">
        <v>5.0</v>
      </c>
      <c r="E1349" s="67">
        <f t="shared" si="11"/>
        <v>1250</v>
      </c>
      <c r="F1349" s="67"/>
    </row>
    <row r="1350" hidden="1">
      <c r="A1350" s="6" t="s">
        <v>114</v>
      </c>
      <c r="B1350" s="13" t="s">
        <v>1157</v>
      </c>
      <c r="C1350" s="13" t="s">
        <v>1158</v>
      </c>
      <c r="D1350" s="15">
        <v>5.0</v>
      </c>
      <c r="E1350" s="67">
        <f t="shared" si="11"/>
        <v>1250</v>
      </c>
      <c r="F1350" s="67"/>
    </row>
    <row r="1351" hidden="1">
      <c r="A1351" s="6" t="s">
        <v>114</v>
      </c>
      <c r="B1351" s="13" t="s">
        <v>815</v>
      </c>
      <c r="C1351" s="13" t="s">
        <v>816</v>
      </c>
      <c r="D1351" s="15">
        <v>2.0</v>
      </c>
      <c r="E1351" s="67">
        <f t="shared" si="11"/>
        <v>500</v>
      </c>
      <c r="F1351" s="67"/>
    </row>
    <row r="1352" hidden="1">
      <c r="A1352" s="6" t="s">
        <v>114</v>
      </c>
      <c r="B1352" s="13" t="s">
        <v>1159</v>
      </c>
      <c r="C1352" s="13" t="s">
        <v>1160</v>
      </c>
      <c r="D1352" s="15">
        <v>0.0</v>
      </c>
      <c r="E1352" s="67">
        <f t="shared" si="11"/>
        <v>0</v>
      </c>
      <c r="F1352" s="67"/>
    </row>
    <row r="1353" hidden="1">
      <c r="A1353" s="6" t="s">
        <v>114</v>
      </c>
      <c r="B1353" s="13" t="s">
        <v>405</v>
      </c>
      <c r="C1353" s="13" t="s">
        <v>406</v>
      </c>
      <c r="D1353" s="15">
        <v>3.0</v>
      </c>
      <c r="E1353" s="67">
        <f t="shared" si="11"/>
        <v>750</v>
      </c>
      <c r="F1353" s="67"/>
    </row>
    <row r="1354" hidden="1">
      <c r="A1354" s="6" t="s">
        <v>114</v>
      </c>
      <c r="B1354" s="13" t="s">
        <v>409</v>
      </c>
      <c r="C1354" s="13" t="s">
        <v>410</v>
      </c>
      <c r="D1354" s="15">
        <v>3.0</v>
      </c>
      <c r="E1354" s="67">
        <f t="shared" si="11"/>
        <v>750</v>
      </c>
      <c r="F1354" s="67"/>
    </row>
    <row r="1355" hidden="1">
      <c r="A1355" s="6" t="s">
        <v>114</v>
      </c>
      <c r="B1355" s="13" t="s">
        <v>411</v>
      </c>
      <c r="C1355" s="13" t="s">
        <v>412</v>
      </c>
      <c r="D1355" s="15">
        <v>7.0</v>
      </c>
      <c r="E1355" s="67">
        <f t="shared" si="11"/>
        <v>1750</v>
      </c>
      <c r="F1355" s="67"/>
    </row>
    <row r="1356" hidden="1">
      <c r="A1356" s="6" t="s">
        <v>114</v>
      </c>
      <c r="B1356" s="13" t="s">
        <v>413</v>
      </c>
      <c r="C1356" s="13" t="s">
        <v>414</v>
      </c>
      <c r="D1356" s="15">
        <v>4.0</v>
      </c>
      <c r="E1356" s="67">
        <f t="shared" si="11"/>
        <v>1000</v>
      </c>
      <c r="F1356" s="67"/>
    </row>
    <row r="1357" hidden="1">
      <c r="A1357" s="6" t="s">
        <v>114</v>
      </c>
      <c r="B1357" s="13" t="s">
        <v>1089</v>
      </c>
      <c r="C1357" s="13" t="s">
        <v>1090</v>
      </c>
      <c r="D1357" s="15">
        <v>3.0</v>
      </c>
      <c r="E1357" s="67">
        <f t="shared" si="11"/>
        <v>750</v>
      </c>
      <c r="F1357" s="67"/>
    </row>
    <row r="1358" hidden="1">
      <c r="A1358" s="6" t="s">
        <v>114</v>
      </c>
      <c r="B1358" s="13" t="s">
        <v>825</v>
      </c>
      <c r="C1358" s="13" t="s">
        <v>826</v>
      </c>
      <c r="D1358" s="15">
        <v>7.0</v>
      </c>
      <c r="E1358" s="67">
        <f t="shared" si="11"/>
        <v>1750</v>
      </c>
      <c r="F1358" s="67"/>
    </row>
    <row r="1359" hidden="1">
      <c r="A1359" s="6" t="s">
        <v>114</v>
      </c>
      <c r="B1359" s="13" t="s">
        <v>1124</v>
      </c>
      <c r="C1359" s="13" t="s">
        <v>1125</v>
      </c>
      <c r="D1359" s="15">
        <v>6.0</v>
      </c>
      <c r="E1359" s="67">
        <f t="shared" si="11"/>
        <v>1500</v>
      </c>
      <c r="F1359" s="67"/>
    </row>
    <row r="1360" hidden="1">
      <c r="A1360" s="6" t="s">
        <v>114</v>
      </c>
      <c r="B1360" s="13" t="s">
        <v>417</v>
      </c>
      <c r="C1360" s="13" t="s">
        <v>418</v>
      </c>
      <c r="D1360" s="15">
        <v>12.0</v>
      </c>
      <c r="E1360" s="67">
        <f t="shared" si="11"/>
        <v>6000</v>
      </c>
      <c r="F1360" s="67"/>
    </row>
    <row r="1361" hidden="1">
      <c r="A1361" s="6" t="s">
        <v>114</v>
      </c>
      <c r="B1361" s="13" t="s">
        <v>1161</v>
      </c>
      <c r="C1361" s="13" t="s">
        <v>1162</v>
      </c>
      <c r="D1361" s="15">
        <v>1.0</v>
      </c>
      <c r="E1361" s="67">
        <f t="shared" si="11"/>
        <v>250</v>
      </c>
      <c r="F1361" s="67"/>
    </row>
    <row r="1362" hidden="1">
      <c r="A1362" s="6" t="s">
        <v>114</v>
      </c>
      <c r="B1362" s="13" t="s">
        <v>435</v>
      </c>
      <c r="C1362" s="70" t="s">
        <v>436</v>
      </c>
      <c r="D1362" s="15">
        <v>15.0</v>
      </c>
      <c r="E1362" s="67">
        <f t="shared" si="11"/>
        <v>7500</v>
      </c>
      <c r="F1362" s="67"/>
    </row>
    <row r="1363" hidden="1">
      <c r="A1363" s="6" t="s">
        <v>114</v>
      </c>
      <c r="B1363" s="13" t="s">
        <v>841</v>
      </c>
      <c r="C1363" s="13" t="s">
        <v>842</v>
      </c>
      <c r="D1363" s="15">
        <v>2.0</v>
      </c>
      <c r="E1363" s="67">
        <f t="shared" si="11"/>
        <v>500</v>
      </c>
      <c r="F1363" s="67"/>
    </row>
    <row r="1364" hidden="1">
      <c r="A1364" s="6" t="s">
        <v>114</v>
      </c>
      <c r="B1364" s="13" t="s">
        <v>972</v>
      </c>
      <c r="C1364" s="13" t="s">
        <v>973</v>
      </c>
      <c r="D1364" s="15">
        <v>4.0</v>
      </c>
      <c r="E1364" s="67">
        <f t="shared" si="11"/>
        <v>1000</v>
      </c>
      <c r="F1364" s="67"/>
    </row>
    <row r="1365" hidden="1">
      <c r="A1365" s="6" t="s">
        <v>114</v>
      </c>
      <c r="B1365" s="13" t="s">
        <v>439</v>
      </c>
      <c r="C1365" s="13" t="s">
        <v>440</v>
      </c>
      <c r="D1365" s="15">
        <v>11.0</v>
      </c>
      <c r="E1365" s="67">
        <f t="shared" si="11"/>
        <v>5500</v>
      </c>
      <c r="F1365" s="67"/>
    </row>
    <row r="1366" hidden="1">
      <c r="A1366" s="6" t="s">
        <v>114</v>
      </c>
      <c r="B1366" s="13" t="s">
        <v>443</v>
      </c>
      <c r="C1366" s="13" t="s">
        <v>444</v>
      </c>
      <c r="D1366" s="15">
        <v>7.0</v>
      </c>
      <c r="E1366" s="67">
        <f t="shared" si="11"/>
        <v>1750</v>
      </c>
      <c r="F1366" s="67"/>
    </row>
    <row r="1367" hidden="1">
      <c r="A1367" s="6" t="s">
        <v>114</v>
      </c>
      <c r="B1367" s="13" t="s">
        <v>803</v>
      </c>
      <c r="C1367" s="13" t="s">
        <v>804</v>
      </c>
      <c r="D1367" s="15">
        <v>3.0</v>
      </c>
      <c r="E1367" s="67">
        <f t="shared" si="11"/>
        <v>750</v>
      </c>
      <c r="F1367" s="67"/>
    </row>
    <row r="1368" hidden="1">
      <c r="A1368" s="6" t="s">
        <v>114</v>
      </c>
      <c r="B1368" s="13" t="s">
        <v>445</v>
      </c>
      <c r="C1368" s="13" t="s">
        <v>446</v>
      </c>
      <c r="D1368" s="15">
        <v>8.0</v>
      </c>
      <c r="E1368" s="67">
        <f t="shared" si="11"/>
        <v>2000</v>
      </c>
      <c r="F1368" s="67"/>
    </row>
    <row r="1369" hidden="1">
      <c r="A1369" s="6" t="s">
        <v>114</v>
      </c>
      <c r="B1369" s="13" t="s">
        <v>447</v>
      </c>
      <c r="C1369" s="13" t="s">
        <v>448</v>
      </c>
      <c r="D1369" s="15">
        <v>5.0</v>
      </c>
      <c r="E1369" s="67">
        <f t="shared" si="11"/>
        <v>1250</v>
      </c>
      <c r="F1369" s="67"/>
    </row>
    <row r="1370" hidden="1">
      <c r="A1370" s="6" t="s">
        <v>114</v>
      </c>
      <c r="B1370" s="13" t="s">
        <v>451</v>
      </c>
      <c r="C1370" s="13" t="s">
        <v>452</v>
      </c>
      <c r="D1370" s="15">
        <v>3.0</v>
      </c>
      <c r="E1370" s="67">
        <f t="shared" si="11"/>
        <v>750</v>
      </c>
      <c r="F1370" s="67"/>
    </row>
    <row r="1371" hidden="1">
      <c r="A1371" s="6" t="s">
        <v>114</v>
      </c>
      <c r="B1371" s="13" t="s">
        <v>1093</v>
      </c>
      <c r="C1371" s="13" t="s">
        <v>1094</v>
      </c>
      <c r="D1371" s="15">
        <v>4.0</v>
      </c>
      <c r="E1371" s="67">
        <f t="shared" si="11"/>
        <v>1000</v>
      </c>
      <c r="F1371" s="67"/>
    </row>
    <row r="1372" hidden="1">
      <c r="A1372" s="6" t="s">
        <v>114</v>
      </c>
      <c r="B1372" s="13" t="s">
        <v>976</v>
      </c>
      <c r="C1372" s="13" t="s">
        <v>977</v>
      </c>
      <c r="D1372" s="15">
        <v>6.0</v>
      </c>
      <c r="E1372" s="67">
        <f t="shared" si="11"/>
        <v>1500</v>
      </c>
      <c r="F1372" s="67"/>
    </row>
    <row r="1373" hidden="1">
      <c r="A1373" s="6" t="s">
        <v>114</v>
      </c>
      <c r="B1373" s="13" t="s">
        <v>457</v>
      </c>
      <c r="C1373" s="70" t="s">
        <v>458</v>
      </c>
      <c r="D1373" s="15">
        <v>11.0</v>
      </c>
      <c r="E1373" s="67">
        <f t="shared" si="11"/>
        <v>5500</v>
      </c>
      <c r="F1373" s="67"/>
    </row>
    <row r="1374" hidden="1">
      <c r="A1374" s="6" t="s">
        <v>114</v>
      </c>
      <c r="B1374" s="13" t="s">
        <v>1127</v>
      </c>
      <c r="C1374" s="13" t="s">
        <v>1128</v>
      </c>
      <c r="D1374" s="15">
        <v>10.0</v>
      </c>
      <c r="E1374" s="67">
        <f t="shared" si="11"/>
        <v>5000</v>
      </c>
      <c r="F1374" s="67"/>
    </row>
    <row r="1375" hidden="1">
      <c r="A1375" s="6" t="s">
        <v>114</v>
      </c>
      <c r="B1375" s="13" t="s">
        <v>805</v>
      </c>
      <c r="C1375" s="13" t="s">
        <v>806</v>
      </c>
      <c r="D1375" s="15">
        <v>4.0</v>
      </c>
      <c r="E1375" s="67">
        <f t="shared" si="11"/>
        <v>1000</v>
      </c>
      <c r="F1375" s="67"/>
    </row>
    <row r="1376" hidden="1">
      <c r="A1376" s="6" t="s">
        <v>114</v>
      </c>
      <c r="B1376" s="13" t="s">
        <v>910</v>
      </c>
      <c r="C1376" s="13" t="s">
        <v>911</v>
      </c>
      <c r="D1376" s="15">
        <v>7.0</v>
      </c>
      <c r="E1376" s="67">
        <f t="shared" si="11"/>
        <v>1750</v>
      </c>
      <c r="F1376" s="67"/>
    </row>
    <row r="1377" hidden="1">
      <c r="A1377" s="6" t="s">
        <v>114</v>
      </c>
      <c r="B1377" s="13" t="s">
        <v>462</v>
      </c>
      <c r="C1377" s="13" t="s">
        <v>463</v>
      </c>
      <c r="D1377" s="15">
        <v>2.0</v>
      </c>
      <c r="E1377" s="67">
        <f t="shared" si="11"/>
        <v>500</v>
      </c>
      <c r="F1377" s="67"/>
    </row>
    <row r="1378" hidden="1">
      <c r="A1378" s="6" t="s">
        <v>114</v>
      </c>
      <c r="B1378" s="13" t="s">
        <v>1163</v>
      </c>
      <c r="C1378" s="13" t="s">
        <v>1164</v>
      </c>
      <c r="D1378" s="15">
        <v>2.0</v>
      </c>
      <c r="E1378" s="67">
        <f t="shared" si="11"/>
        <v>500</v>
      </c>
      <c r="F1378" s="67"/>
    </row>
    <row r="1379" hidden="1">
      <c r="A1379" s="6" t="s">
        <v>114</v>
      </c>
      <c r="B1379" s="13" t="s">
        <v>1129</v>
      </c>
      <c r="C1379" s="13" t="s">
        <v>1130</v>
      </c>
      <c r="D1379" s="15">
        <v>1.0</v>
      </c>
      <c r="E1379" s="67">
        <f t="shared" si="11"/>
        <v>250</v>
      </c>
      <c r="F1379" s="67"/>
    </row>
    <row r="1380" hidden="1">
      <c r="A1380" s="6" t="s">
        <v>114</v>
      </c>
      <c r="B1380" s="13" t="s">
        <v>472</v>
      </c>
      <c r="C1380" s="13" t="s">
        <v>473</v>
      </c>
      <c r="D1380" s="15">
        <v>3.0</v>
      </c>
      <c r="E1380" s="67">
        <f t="shared" si="11"/>
        <v>750</v>
      </c>
      <c r="F1380" s="67"/>
    </row>
    <row r="1381" hidden="1">
      <c r="A1381" s="6" t="s">
        <v>114</v>
      </c>
      <c r="B1381" s="13" t="s">
        <v>1047</v>
      </c>
      <c r="C1381" s="70" t="s">
        <v>1048</v>
      </c>
      <c r="D1381" s="15">
        <v>0.0</v>
      </c>
      <c r="E1381" s="67">
        <f t="shared" si="11"/>
        <v>0</v>
      </c>
      <c r="F1381" s="67"/>
    </row>
    <row r="1382" hidden="1">
      <c r="A1382" s="6" t="s">
        <v>114</v>
      </c>
      <c r="B1382" s="13" t="s">
        <v>476</v>
      </c>
      <c r="C1382" s="13" t="s">
        <v>477</v>
      </c>
      <c r="D1382" s="15">
        <v>43.0</v>
      </c>
      <c r="E1382" s="67">
        <f t="shared" si="11"/>
        <v>21500</v>
      </c>
      <c r="F1382" s="67"/>
    </row>
    <row r="1383" hidden="1">
      <c r="A1383" s="6" t="s">
        <v>114</v>
      </c>
      <c r="B1383" s="13" t="s">
        <v>486</v>
      </c>
      <c r="C1383" s="13" t="s">
        <v>487</v>
      </c>
      <c r="D1383" s="15">
        <v>10.0</v>
      </c>
      <c r="E1383" s="67">
        <f t="shared" si="11"/>
        <v>5000</v>
      </c>
      <c r="F1383" s="67"/>
    </row>
    <row r="1384" hidden="1">
      <c r="A1384" s="6" t="s">
        <v>114</v>
      </c>
      <c r="B1384" s="13" t="s">
        <v>1095</v>
      </c>
      <c r="C1384" s="13" t="s">
        <v>1096</v>
      </c>
      <c r="D1384" s="15">
        <v>4.0</v>
      </c>
      <c r="E1384" s="67">
        <f t="shared" si="11"/>
        <v>1000</v>
      </c>
      <c r="F1384" s="67"/>
    </row>
    <row r="1385" hidden="1">
      <c r="A1385" s="6" t="s">
        <v>114</v>
      </c>
      <c r="B1385" s="13" t="s">
        <v>1133</v>
      </c>
      <c r="C1385" s="13" t="s">
        <v>1134</v>
      </c>
      <c r="D1385" s="15">
        <v>5.0</v>
      </c>
      <c r="E1385" s="67">
        <f t="shared" si="11"/>
        <v>1250</v>
      </c>
      <c r="F1385" s="67"/>
    </row>
    <row r="1386" hidden="1">
      <c r="A1386" s="6" t="s">
        <v>114</v>
      </c>
      <c r="B1386" s="13" t="s">
        <v>500</v>
      </c>
      <c r="C1386" s="13" t="s">
        <v>501</v>
      </c>
      <c r="D1386" s="15">
        <v>6.0</v>
      </c>
      <c r="E1386" s="67">
        <f t="shared" si="11"/>
        <v>1500</v>
      </c>
      <c r="F1386" s="67"/>
    </row>
    <row r="1387" hidden="1">
      <c r="A1387" s="71" t="s">
        <v>114</v>
      </c>
      <c r="B1387" s="13" t="s">
        <v>502</v>
      </c>
      <c r="C1387" s="13" t="s">
        <v>503</v>
      </c>
      <c r="D1387" s="15">
        <v>12.0</v>
      </c>
      <c r="E1387" s="62">
        <f t="shared" si="11"/>
        <v>6000</v>
      </c>
      <c r="F1387" s="62"/>
    </row>
    <row r="1388" hidden="1">
      <c r="A1388" s="6" t="s">
        <v>114</v>
      </c>
      <c r="B1388" s="13" t="s">
        <v>1165</v>
      </c>
      <c r="C1388" s="13" t="s">
        <v>1166</v>
      </c>
      <c r="D1388" s="15">
        <v>0.0</v>
      </c>
      <c r="E1388" s="67">
        <f t="shared" si="11"/>
        <v>0</v>
      </c>
      <c r="F1388" s="67"/>
    </row>
    <row r="1389" hidden="1">
      <c r="A1389" s="6" t="s">
        <v>114</v>
      </c>
      <c r="B1389" s="13" t="s">
        <v>916</v>
      </c>
      <c r="C1389" s="13" t="s">
        <v>917</v>
      </c>
      <c r="D1389" s="15">
        <v>3.0</v>
      </c>
      <c r="E1389" s="67">
        <f t="shared" si="11"/>
        <v>750</v>
      </c>
      <c r="F1389" s="67"/>
    </row>
    <row r="1390" hidden="1">
      <c r="A1390" s="6" t="s">
        <v>114</v>
      </c>
      <c r="B1390" s="13" t="s">
        <v>510</v>
      </c>
      <c r="C1390" s="70" t="s">
        <v>511</v>
      </c>
      <c r="D1390" s="15">
        <v>12.0</v>
      </c>
      <c r="E1390" s="67">
        <f t="shared" si="11"/>
        <v>6000</v>
      </c>
      <c r="F1390" s="67"/>
    </row>
    <row r="1391" hidden="1">
      <c r="A1391" s="6" t="s">
        <v>114</v>
      </c>
      <c r="B1391" s="13" t="s">
        <v>516</v>
      </c>
      <c r="C1391" s="13" t="s">
        <v>517</v>
      </c>
      <c r="D1391" s="15">
        <v>6.0</v>
      </c>
      <c r="E1391" s="67">
        <f t="shared" si="11"/>
        <v>1500</v>
      </c>
      <c r="F1391" s="67"/>
    </row>
    <row r="1392" hidden="1">
      <c r="A1392" s="6" t="s">
        <v>114</v>
      </c>
      <c r="B1392" s="13" t="s">
        <v>518</v>
      </c>
      <c r="C1392" s="13" t="s">
        <v>519</v>
      </c>
      <c r="D1392" s="15">
        <v>5.0</v>
      </c>
      <c r="E1392" s="67">
        <f t="shared" si="11"/>
        <v>1250</v>
      </c>
      <c r="F1392" s="67"/>
    </row>
    <row r="1393" hidden="1">
      <c r="A1393" s="6" t="s">
        <v>114</v>
      </c>
      <c r="B1393" s="13" t="s">
        <v>982</v>
      </c>
      <c r="C1393" s="13" t="s">
        <v>983</v>
      </c>
      <c r="D1393" s="15">
        <v>3.0</v>
      </c>
      <c r="E1393" s="67">
        <f t="shared" si="11"/>
        <v>750</v>
      </c>
      <c r="F1393" s="67"/>
    </row>
    <row r="1394" hidden="1">
      <c r="A1394" s="6" t="s">
        <v>114</v>
      </c>
      <c r="B1394" s="13" t="s">
        <v>848</v>
      </c>
      <c r="C1394" s="13" t="s">
        <v>849</v>
      </c>
      <c r="D1394" s="15">
        <v>5.0</v>
      </c>
      <c r="E1394" s="67">
        <f t="shared" si="11"/>
        <v>1250</v>
      </c>
      <c r="F1394" s="67"/>
    </row>
    <row r="1395" hidden="1">
      <c r="A1395" s="71" t="s">
        <v>114</v>
      </c>
      <c r="B1395" s="13" t="s">
        <v>922</v>
      </c>
      <c r="C1395" s="13" t="s">
        <v>923</v>
      </c>
      <c r="D1395" s="15">
        <v>1.0</v>
      </c>
      <c r="E1395" s="62">
        <f t="shared" si="11"/>
        <v>250</v>
      </c>
      <c r="F1395" s="62"/>
    </row>
    <row r="1396" hidden="1">
      <c r="A1396" s="6" t="s">
        <v>114</v>
      </c>
      <c r="B1396" s="13" t="s">
        <v>986</v>
      </c>
      <c r="C1396" s="13" t="s">
        <v>987</v>
      </c>
      <c r="D1396" s="15">
        <v>8.0</v>
      </c>
      <c r="E1396" s="67">
        <f t="shared" si="11"/>
        <v>2000</v>
      </c>
      <c r="F1396" s="67"/>
    </row>
    <row r="1397" hidden="1">
      <c r="A1397" s="6" t="s">
        <v>114</v>
      </c>
      <c r="B1397" s="13" t="s">
        <v>852</v>
      </c>
      <c r="C1397" s="13" t="s">
        <v>853</v>
      </c>
      <c r="D1397" s="15">
        <v>12.0</v>
      </c>
      <c r="E1397" s="67">
        <f t="shared" si="11"/>
        <v>6000</v>
      </c>
      <c r="F1397" s="67"/>
    </row>
    <row r="1398" hidden="1">
      <c r="A1398" s="6" t="s">
        <v>114</v>
      </c>
      <c r="B1398" s="13" t="s">
        <v>1051</v>
      </c>
      <c r="C1398" s="13" t="s">
        <v>1052</v>
      </c>
      <c r="D1398" s="15">
        <v>8.0</v>
      </c>
      <c r="E1398" s="67">
        <f t="shared" si="11"/>
        <v>2000</v>
      </c>
      <c r="F1398" s="67"/>
    </row>
    <row r="1399" hidden="1">
      <c r="A1399" s="6" t="s">
        <v>114</v>
      </c>
      <c r="B1399" s="13" t="s">
        <v>532</v>
      </c>
      <c r="C1399" s="13" t="s">
        <v>533</v>
      </c>
      <c r="D1399" s="15">
        <v>6.0</v>
      </c>
      <c r="E1399" s="67">
        <f t="shared" si="11"/>
        <v>1500</v>
      </c>
      <c r="F1399" s="67"/>
    </row>
    <row r="1400" hidden="1">
      <c r="A1400" s="6" t="s">
        <v>114</v>
      </c>
      <c r="B1400" s="13" t="s">
        <v>540</v>
      </c>
      <c r="C1400" s="13" t="s">
        <v>541</v>
      </c>
      <c r="D1400" s="15">
        <v>13.0</v>
      </c>
      <c r="E1400" s="67">
        <f t="shared" si="11"/>
        <v>6500</v>
      </c>
      <c r="F1400" s="67"/>
    </row>
    <row r="1401" hidden="1">
      <c r="A1401" s="71" t="s">
        <v>114</v>
      </c>
      <c r="B1401" s="13" t="s">
        <v>542</v>
      </c>
      <c r="C1401" s="13" t="s">
        <v>543</v>
      </c>
      <c r="D1401" s="15">
        <v>7.0</v>
      </c>
      <c r="E1401" s="62">
        <f t="shared" si="11"/>
        <v>1750</v>
      </c>
      <c r="F1401" s="62"/>
    </row>
    <row r="1402" hidden="1">
      <c r="A1402" s="6" t="s">
        <v>114</v>
      </c>
      <c r="B1402" s="13" t="s">
        <v>546</v>
      </c>
      <c r="C1402" s="70" t="s">
        <v>547</v>
      </c>
      <c r="D1402" s="15">
        <v>9.0</v>
      </c>
      <c r="E1402" s="67">
        <f t="shared" si="11"/>
        <v>2250</v>
      </c>
      <c r="F1402" s="67"/>
    </row>
    <row r="1403" hidden="1">
      <c r="A1403" s="6" t="s">
        <v>114</v>
      </c>
      <c r="B1403" s="8" t="s">
        <v>1101</v>
      </c>
      <c r="C1403" s="8" t="s">
        <v>1102</v>
      </c>
      <c r="D1403" s="9">
        <v>5.0</v>
      </c>
      <c r="E1403" s="67">
        <f t="shared" si="11"/>
        <v>1250</v>
      </c>
      <c r="F1403" s="67"/>
    </row>
    <row r="1404" hidden="1">
      <c r="A1404" s="6" t="s">
        <v>114</v>
      </c>
      <c r="B1404" s="13" t="s">
        <v>1103</v>
      </c>
      <c r="C1404" s="13" t="s">
        <v>1104</v>
      </c>
      <c r="D1404" s="15">
        <v>2.0</v>
      </c>
      <c r="E1404" s="67">
        <f t="shared" si="11"/>
        <v>500</v>
      </c>
      <c r="F1404" s="67"/>
    </row>
    <row r="1405" hidden="1">
      <c r="A1405" s="6" t="s">
        <v>114</v>
      </c>
      <c r="B1405" s="13" t="s">
        <v>1167</v>
      </c>
      <c r="C1405" s="13" t="s">
        <v>1168</v>
      </c>
      <c r="D1405" s="15">
        <v>5.0</v>
      </c>
      <c r="E1405" s="67">
        <f t="shared" si="11"/>
        <v>1250</v>
      </c>
      <c r="F1405" s="67"/>
    </row>
    <row r="1406" hidden="1">
      <c r="A1406" s="6" t="s">
        <v>114</v>
      </c>
      <c r="B1406" s="13" t="s">
        <v>1169</v>
      </c>
      <c r="C1406" s="13" t="s">
        <v>1170</v>
      </c>
      <c r="D1406" s="15">
        <v>1.0</v>
      </c>
      <c r="E1406" s="67">
        <f t="shared" si="11"/>
        <v>250</v>
      </c>
      <c r="F1406" s="67"/>
    </row>
    <row r="1407" hidden="1">
      <c r="A1407" s="6" t="s">
        <v>114</v>
      </c>
      <c r="B1407" s="13" t="s">
        <v>560</v>
      </c>
      <c r="C1407" s="13" t="s">
        <v>561</v>
      </c>
      <c r="D1407" s="15">
        <v>9.0</v>
      </c>
      <c r="E1407" s="67">
        <f t="shared" si="11"/>
        <v>2250</v>
      </c>
      <c r="F1407" s="67"/>
    </row>
    <row r="1408" hidden="1">
      <c r="A1408" s="6" t="s">
        <v>114</v>
      </c>
      <c r="B1408" s="13" t="s">
        <v>566</v>
      </c>
      <c r="C1408" s="13" t="s">
        <v>567</v>
      </c>
      <c r="D1408" s="15">
        <v>7.0</v>
      </c>
      <c r="E1408" s="67">
        <f t="shared" si="11"/>
        <v>1750</v>
      </c>
      <c r="F1408" s="67"/>
    </row>
    <row r="1409" hidden="1">
      <c r="A1409" s="6" t="s">
        <v>114</v>
      </c>
      <c r="B1409" s="13" t="s">
        <v>1135</v>
      </c>
      <c r="C1409" s="13" t="s">
        <v>1136</v>
      </c>
      <c r="D1409" s="15">
        <v>6.0</v>
      </c>
      <c r="E1409" s="67">
        <f t="shared" si="11"/>
        <v>1500</v>
      </c>
      <c r="F1409" s="67"/>
    </row>
    <row r="1410" hidden="1">
      <c r="A1410" s="6" t="s">
        <v>114</v>
      </c>
      <c r="B1410" s="13" t="s">
        <v>1105</v>
      </c>
      <c r="C1410" s="13" t="s">
        <v>1106</v>
      </c>
      <c r="D1410" s="15">
        <v>4.0</v>
      </c>
      <c r="E1410" s="67">
        <f t="shared" si="11"/>
        <v>1000</v>
      </c>
      <c r="F1410" s="67"/>
    </row>
    <row r="1411" hidden="1">
      <c r="A1411" s="6" t="s">
        <v>114</v>
      </c>
      <c r="B1411" s="13" t="s">
        <v>862</v>
      </c>
      <c r="C1411" s="13" t="s">
        <v>863</v>
      </c>
      <c r="D1411" s="15">
        <v>6.0</v>
      </c>
      <c r="E1411" s="67">
        <f t="shared" si="11"/>
        <v>1500</v>
      </c>
      <c r="F1411" s="67"/>
    </row>
    <row r="1412" hidden="1">
      <c r="A1412" s="6" t="s">
        <v>114</v>
      </c>
      <c r="B1412" s="13" t="s">
        <v>1137</v>
      </c>
      <c r="C1412" s="13" t="s">
        <v>1138</v>
      </c>
      <c r="D1412" s="15">
        <v>2.0</v>
      </c>
      <c r="E1412" s="67">
        <f t="shared" si="11"/>
        <v>500</v>
      </c>
      <c r="F1412" s="67"/>
    </row>
    <row r="1413" hidden="1">
      <c r="A1413" s="6" t="s">
        <v>114</v>
      </c>
      <c r="B1413" s="13" t="s">
        <v>572</v>
      </c>
      <c r="C1413" s="13" t="s">
        <v>573</v>
      </c>
      <c r="D1413" s="15">
        <v>6.0</v>
      </c>
      <c r="E1413" s="67">
        <f t="shared" si="11"/>
        <v>1500</v>
      </c>
      <c r="F1413" s="67"/>
    </row>
    <row r="1414" hidden="1">
      <c r="A1414" s="71" t="s">
        <v>114</v>
      </c>
      <c r="B1414" s="13" t="s">
        <v>1171</v>
      </c>
      <c r="C1414" s="13" t="s">
        <v>1172</v>
      </c>
      <c r="D1414" s="15">
        <v>3.0</v>
      </c>
      <c r="E1414" s="62">
        <f t="shared" si="11"/>
        <v>750</v>
      </c>
      <c r="F1414" s="62"/>
    </row>
    <row r="1415" hidden="1">
      <c r="A1415" s="6" t="s">
        <v>114</v>
      </c>
      <c r="B1415" s="13" t="s">
        <v>1107</v>
      </c>
      <c r="C1415" s="13" t="s">
        <v>1108</v>
      </c>
      <c r="D1415" s="15">
        <v>10.0</v>
      </c>
      <c r="E1415" s="67">
        <f t="shared" si="11"/>
        <v>5000</v>
      </c>
      <c r="F1415" s="67"/>
    </row>
    <row r="1416" hidden="1">
      <c r="A1416" s="6" t="s">
        <v>114</v>
      </c>
      <c r="B1416" s="13" t="s">
        <v>590</v>
      </c>
      <c r="C1416" s="70" t="s">
        <v>591</v>
      </c>
      <c r="D1416" s="15">
        <v>13.0</v>
      </c>
      <c r="E1416" s="67">
        <f t="shared" si="11"/>
        <v>6500</v>
      </c>
      <c r="F1416" s="67"/>
    </row>
    <row r="1417" hidden="1">
      <c r="A1417" s="6" t="s">
        <v>114</v>
      </c>
      <c r="B1417" s="13" t="s">
        <v>596</v>
      </c>
      <c r="C1417" s="13" t="s">
        <v>597</v>
      </c>
      <c r="D1417" s="15">
        <v>6.0</v>
      </c>
      <c r="E1417" s="67">
        <f t="shared" si="11"/>
        <v>1500</v>
      </c>
      <c r="F1417" s="67"/>
    </row>
    <row r="1418" hidden="1">
      <c r="A1418" s="6" t="s">
        <v>114</v>
      </c>
      <c r="B1418" s="13" t="s">
        <v>602</v>
      </c>
      <c r="C1418" s="13" t="s">
        <v>603</v>
      </c>
      <c r="D1418" s="15">
        <v>11.0</v>
      </c>
      <c r="E1418" s="67">
        <f t="shared" si="11"/>
        <v>5500</v>
      </c>
      <c r="F1418" s="67"/>
    </row>
    <row r="1419" hidden="1">
      <c r="A1419" s="6" t="s">
        <v>114</v>
      </c>
      <c r="B1419" s="13" t="s">
        <v>604</v>
      </c>
      <c r="C1419" s="13" t="s">
        <v>605</v>
      </c>
      <c r="D1419" s="15">
        <v>10.0</v>
      </c>
      <c r="E1419" s="67">
        <f t="shared" si="11"/>
        <v>5000</v>
      </c>
      <c r="F1419" s="67"/>
    </row>
    <row r="1420" hidden="1">
      <c r="A1420" s="6" t="s">
        <v>114</v>
      </c>
      <c r="B1420" s="13" t="s">
        <v>606</v>
      </c>
      <c r="C1420" s="13" t="s">
        <v>607</v>
      </c>
      <c r="D1420" s="15">
        <v>5.0</v>
      </c>
      <c r="E1420" s="67">
        <f t="shared" si="11"/>
        <v>1250</v>
      </c>
      <c r="F1420" s="67"/>
    </row>
    <row r="1421" hidden="1">
      <c r="A1421" s="6" t="s">
        <v>114</v>
      </c>
      <c r="B1421" s="13" t="s">
        <v>1057</v>
      </c>
      <c r="C1421" s="13" t="s">
        <v>1058</v>
      </c>
      <c r="D1421" s="15">
        <v>2.0</v>
      </c>
      <c r="E1421" s="67">
        <f t="shared" si="11"/>
        <v>500</v>
      </c>
      <c r="F1421" s="67"/>
    </row>
    <row r="1422" hidden="1">
      <c r="A1422" s="6" t="s">
        <v>114</v>
      </c>
      <c r="B1422" s="13" t="s">
        <v>1139</v>
      </c>
      <c r="C1422" s="13" t="s">
        <v>1140</v>
      </c>
      <c r="D1422" s="15">
        <v>5.0</v>
      </c>
      <c r="E1422" s="67">
        <f t="shared" si="11"/>
        <v>1250</v>
      </c>
      <c r="F1422" s="67"/>
    </row>
    <row r="1423" hidden="1">
      <c r="A1423" s="6" t="s">
        <v>114</v>
      </c>
      <c r="B1423" s="13" t="s">
        <v>1059</v>
      </c>
      <c r="C1423" s="13" t="s">
        <v>1060</v>
      </c>
      <c r="D1423" s="15">
        <v>4.0</v>
      </c>
      <c r="E1423" s="67">
        <f t="shared" si="11"/>
        <v>1000</v>
      </c>
      <c r="F1423" s="67"/>
    </row>
    <row r="1424" hidden="1">
      <c r="A1424" s="6" t="s">
        <v>114</v>
      </c>
      <c r="B1424" s="13" t="s">
        <v>1113</v>
      </c>
      <c r="C1424" s="13" t="s">
        <v>37</v>
      </c>
      <c r="D1424" s="15">
        <v>7.0</v>
      </c>
      <c r="E1424" s="67">
        <f t="shared" si="11"/>
        <v>1750</v>
      </c>
      <c r="F1424" s="67"/>
    </row>
    <row r="1425" hidden="1">
      <c r="A1425" s="6" t="s">
        <v>114</v>
      </c>
      <c r="B1425" s="13" t="s">
        <v>1061</v>
      </c>
      <c r="C1425" s="13" t="s">
        <v>1062</v>
      </c>
      <c r="D1425" s="15">
        <v>4.0</v>
      </c>
      <c r="E1425" s="67">
        <f t="shared" si="11"/>
        <v>1000</v>
      </c>
      <c r="F1425" s="67"/>
    </row>
    <row r="1426" hidden="1">
      <c r="A1426" s="6" t="s">
        <v>114</v>
      </c>
      <c r="B1426" s="13" t="s">
        <v>1114</v>
      </c>
      <c r="C1426" s="70" t="s">
        <v>1115</v>
      </c>
      <c r="D1426" s="15">
        <v>13.0</v>
      </c>
      <c r="E1426" s="67">
        <f t="shared" si="11"/>
        <v>6500</v>
      </c>
      <c r="F1426" s="67"/>
    </row>
    <row r="1427" hidden="1">
      <c r="A1427" s="6" t="s">
        <v>114</v>
      </c>
      <c r="B1427" s="13" t="s">
        <v>620</v>
      </c>
      <c r="C1427" s="13" t="s">
        <v>621</v>
      </c>
      <c r="D1427" s="15">
        <v>7.0</v>
      </c>
      <c r="E1427" s="67">
        <f t="shared" si="11"/>
        <v>1750</v>
      </c>
      <c r="F1427" s="67"/>
    </row>
    <row r="1428" hidden="1">
      <c r="A1428" s="6" t="s">
        <v>114</v>
      </c>
      <c r="B1428" s="13" t="s">
        <v>622</v>
      </c>
      <c r="C1428" s="13" t="s">
        <v>623</v>
      </c>
      <c r="D1428" s="15">
        <v>5.0</v>
      </c>
      <c r="E1428" s="67">
        <f t="shared" si="11"/>
        <v>1250</v>
      </c>
      <c r="F1428" s="67"/>
    </row>
    <row r="1429" hidden="1">
      <c r="A1429" s="6" t="s">
        <v>114</v>
      </c>
      <c r="B1429" s="13" t="s">
        <v>624</v>
      </c>
      <c r="C1429" s="13" t="s">
        <v>625</v>
      </c>
      <c r="D1429" s="15">
        <v>10.0</v>
      </c>
      <c r="E1429" s="67">
        <f t="shared" si="11"/>
        <v>5000</v>
      </c>
      <c r="F1429" s="67"/>
    </row>
    <row r="1430" hidden="1">
      <c r="A1430" s="6" t="s">
        <v>114</v>
      </c>
      <c r="B1430" s="13" t="s">
        <v>626</v>
      </c>
      <c r="C1430" s="13" t="s">
        <v>627</v>
      </c>
      <c r="D1430" s="15">
        <v>4.0</v>
      </c>
      <c r="E1430" s="67">
        <f t="shared" si="11"/>
        <v>1000</v>
      </c>
      <c r="F1430" s="67"/>
    </row>
    <row r="1431" hidden="1">
      <c r="A1431" s="6" t="s">
        <v>114</v>
      </c>
      <c r="B1431" s="13" t="s">
        <v>628</v>
      </c>
      <c r="C1431" s="13" t="s">
        <v>629</v>
      </c>
      <c r="D1431" s="15">
        <v>4.0</v>
      </c>
      <c r="E1431" s="67">
        <f t="shared" si="11"/>
        <v>1000</v>
      </c>
      <c r="F1431" s="67"/>
    </row>
    <row r="1432" hidden="1">
      <c r="A1432" s="6" t="s">
        <v>114</v>
      </c>
      <c r="B1432" s="13" t="s">
        <v>872</v>
      </c>
      <c r="C1432" s="13" t="s">
        <v>873</v>
      </c>
      <c r="D1432" s="15">
        <v>4.0</v>
      </c>
      <c r="E1432" s="67">
        <f t="shared" si="11"/>
        <v>1000</v>
      </c>
      <c r="F1432" s="67"/>
    </row>
    <row r="1433" hidden="1">
      <c r="A1433" s="6" t="s">
        <v>114</v>
      </c>
      <c r="B1433" s="13" t="s">
        <v>1173</v>
      </c>
      <c r="C1433" s="13" t="s">
        <v>1174</v>
      </c>
      <c r="D1433" s="15">
        <v>1.0</v>
      </c>
      <c r="E1433" s="67">
        <f t="shared" si="11"/>
        <v>250</v>
      </c>
      <c r="F1433" s="67"/>
    </row>
    <row r="1434" hidden="1">
      <c r="A1434" s="6" t="s">
        <v>114</v>
      </c>
      <c r="B1434" s="13" t="s">
        <v>1175</v>
      </c>
      <c r="C1434" s="70" t="s">
        <v>1176</v>
      </c>
      <c r="D1434" s="15">
        <v>0.0</v>
      </c>
      <c r="E1434" s="67">
        <f t="shared" si="11"/>
        <v>0</v>
      </c>
      <c r="F1434" s="67"/>
    </row>
    <row r="1435" hidden="1">
      <c r="A1435" s="6" t="s">
        <v>114</v>
      </c>
      <c r="B1435" s="13" t="s">
        <v>1177</v>
      </c>
      <c r="C1435" s="13" t="s">
        <v>1178</v>
      </c>
      <c r="D1435" s="15">
        <v>0.0</v>
      </c>
      <c r="E1435" s="67">
        <f t="shared" si="11"/>
        <v>0</v>
      </c>
      <c r="F1435" s="67"/>
    </row>
    <row r="1436" hidden="1">
      <c r="A1436" s="6" t="s">
        <v>114</v>
      </c>
      <c r="B1436" s="13" t="s">
        <v>640</v>
      </c>
      <c r="C1436" s="70" t="s">
        <v>641</v>
      </c>
      <c r="D1436" s="15">
        <v>19.0</v>
      </c>
      <c r="E1436" s="67">
        <f t="shared" si="11"/>
        <v>9500</v>
      </c>
      <c r="F1436" s="67"/>
    </row>
    <row r="1437" hidden="1">
      <c r="A1437" s="6" t="s">
        <v>114</v>
      </c>
      <c r="B1437" s="8" t="s">
        <v>644</v>
      </c>
      <c r="C1437" s="8" t="s">
        <v>645</v>
      </c>
      <c r="D1437" s="9">
        <v>28.0</v>
      </c>
      <c r="E1437" s="67">
        <f t="shared" si="11"/>
        <v>14000</v>
      </c>
      <c r="F1437" s="67"/>
    </row>
    <row r="1438" hidden="1">
      <c r="A1438" s="6" t="s">
        <v>114</v>
      </c>
      <c r="B1438" s="13" t="s">
        <v>650</v>
      </c>
      <c r="C1438" s="13" t="s">
        <v>651</v>
      </c>
      <c r="D1438" s="15">
        <v>2.0</v>
      </c>
      <c r="E1438" s="67">
        <f t="shared" si="11"/>
        <v>500</v>
      </c>
      <c r="F1438" s="67"/>
    </row>
    <row r="1439" hidden="1">
      <c r="A1439" s="6" t="s">
        <v>114</v>
      </c>
      <c r="B1439" s="13" t="s">
        <v>1065</v>
      </c>
      <c r="C1439" s="13" t="s">
        <v>1066</v>
      </c>
      <c r="D1439" s="15">
        <v>3.0</v>
      </c>
      <c r="E1439" s="67">
        <f t="shared" si="11"/>
        <v>750</v>
      </c>
      <c r="F1439" s="67"/>
    </row>
    <row r="1440" hidden="1">
      <c r="A1440" s="71" t="s">
        <v>114</v>
      </c>
      <c r="B1440" s="13" t="s">
        <v>1179</v>
      </c>
      <c r="C1440" s="13" t="s">
        <v>1180</v>
      </c>
      <c r="D1440" s="15">
        <v>4.0</v>
      </c>
      <c r="E1440" s="62">
        <f t="shared" si="11"/>
        <v>1000</v>
      </c>
      <c r="F1440" s="62"/>
    </row>
    <row r="1441" hidden="1">
      <c r="A1441" s="6" t="s">
        <v>114</v>
      </c>
      <c r="B1441" s="13" t="s">
        <v>1143</v>
      </c>
      <c r="C1441" s="13" t="s">
        <v>1144</v>
      </c>
      <c r="D1441" s="15">
        <v>8.0</v>
      </c>
      <c r="E1441" s="67">
        <f t="shared" si="11"/>
        <v>2000</v>
      </c>
      <c r="F1441" s="67"/>
    </row>
    <row r="1442" hidden="1">
      <c r="A1442" s="6" t="s">
        <v>114</v>
      </c>
      <c r="B1442" s="13" t="s">
        <v>882</v>
      </c>
      <c r="C1442" s="13" t="s">
        <v>883</v>
      </c>
      <c r="D1442" s="15">
        <v>5.0</v>
      </c>
      <c r="E1442" s="67">
        <f t="shared" si="11"/>
        <v>1250</v>
      </c>
      <c r="F1442" s="67"/>
    </row>
    <row r="1443" hidden="1">
      <c r="A1443" s="6" t="s">
        <v>114</v>
      </c>
      <c r="B1443" s="13" t="s">
        <v>966</v>
      </c>
      <c r="C1443" s="13" t="s">
        <v>967</v>
      </c>
      <c r="D1443" s="15">
        <v>6.0</v>
      </c>
      <c r="E1443" s="67">
        <f t="shared" si="11"/>
        <v>1500</v>
      </c>
      <c r="F1443" s="67"/>
    </row>
    <row r="1444" hidden="1">
      <c r="A1444" s="6" t="s">
        <v>114</v>
      </c>
      <c r="B1444" s="13" t="s">
        <v>807</v>
      </c>
      <c r="C1444" s="13" t="s">
        <v>808</v>
      </c>
      <c r="D1444" s="15">
        <v>10.0</v>
      </c>
      <c r="E1444" s="67">
        <f t="shared" si="11"/>
        <v>5000</v>
      </c>
      <c r="F1444" s="67"/>
    </row>
    <row r="1445" hidden="1">
      <c r="A1445" s="6" t="s">
        <v>114</v>
      </c>
      <c r="B1445" s="13" t="s">
        <v>1116</v>
      </c>
      <c r="C1445" s="70" t="s">
        <v>1117</v>
      </c>
      <c r="D1445" s="15">
        <v>1.0</v>
      </c>
      <c r="E1445" s="67">
        <f t="shared" si="11"/>
        <v>250</v>
      </c>
      <c r="F1445" s="67"/>
    </row>
    <row r="1446" hidden="1">
      <c r="A1446" s="6" t="s">
        <v>114</v>
      </c>
      <c r="B1446" s="13" t="s">
        <v>1005</v>
      </c>
      <c r="C1446" s="13" t="s">
        <v>1006</v>
      </c>
      <c r="D1446" s="15">
        <v>2.0</v>
      </c>
      <c r="E1446" s="67">
        <f t="shared" si="11"/>
        <v>500</v>
      </c>
      <c r="F1446" s="67"/>
    </row>
    <row r="1447" hidden="1">
      <c r="A1447" s="6" t="s">
        <v>114</v>
      </c>
      <c r="B1447" s="13" t="s">
        <v>821</v>
      </c>
      <c r="C1447" s="13" t="s">
        <v>822</v>
      </c>
      <c r="D1447" s="15">
        <v>7.0</v>
      </c>
      <c r="E1447" s="67">
        <f t="shared" si="11"/>
        <v>1750</v>
      </c>
      <c r="F1447" s="67"/>
    </row>
    <row r="1448" hidden="1">
      <c r="A1448" s="71" t="s">
        <v>114</v>
      </c>
      <c r="B1448" s="13" t="s">
        <v>1145</v>
      </c>
      <c r="C1448" s="13" t="s">
        <v>1146</v>
      </c>
      <c r="D1448" s="15">
        <v>6.0</v>
      </c>
      <c r="E1448" s="62">
        <f t="shared" si="11"/>
        <v>1500</v>
      </c>
      <c r="F1448" s="62"/>
    </row>
    <row r="1449" hidden="1">
      <c r="A1449" s="6" t="s">
        <v>114</v>
      </c>
      <c r="B1449" s="13" t="s">
        <v>1067</v>
      </c>
      <c r="C1449" s="70" t="s">
        <v>1068</v>
      </c>
      <c r="D1449" s="15">
        <v>5.0</v>
      </c>
      <c r="E1449" s="67">
        <f t="shared" si="11"/>
        <v>1250</v>
      </c>
      <c r="F1449" s="67"/>
    </row>
    <row r="1450" hidden="1">
      <c r="A1450" s="6" t="s">
        <v>114</v>
      </c>
      <c r="B1450" s="13" t="s">
        <v>1013</v>
      </c>
      <c r="C1450" s="13" t="s">
        <v>1014</v>
      </c>
      <c r="D1450" s="15">
        <v>2.0</v>
      </c>
      <c r="E1450" s="67">
        <f t="shared" si="11"/>
        <v>500</v>
      </c>
      <c r="F1450" s="67"/>
    </row>
    <row r="1451" hidden="1">
      <c r="A1451" s="6" t="s">
        <v>114</v>
      </c>
      <c r="B1451" s="13" t="s">
        <v>1069</v>
      </c>
      <c r="C1451" s="13" t="s">
        <v>1070</v>
      </c>
      <c r="D1451" s="15">
        <v>3.0</v>
      </c>
      <c r="E1451" s="67">
        <f t="shared" si="11"/>
        <v>750</v>
      </c>
      <c r="F1451" s="67"/>
    </row>
    <row r="1452" hidden="1">
      <c r="A1452" s="6" t="s">
        <v>114</v>
      </c>
      <c r="B1452" s="13" t="s">
        <v>1147</v>
      </c>
      <c r="C1452" s="13" t="s">
        <v>1148</v>
      </c>
      <c r="D1452" s="15">
        <v>1.0</v>
      </c>
      <c r="E1452" s="67">
        <f t="shared" si="11"/>
        <v>250</v>
      </c>
      <c r="F1452" s="67"/>
    </row>
    <row r="1453" hidden="1">
      <c r="A1453" s="6" t="s">
        <v>114</v>
      </c>
      <c r="B1453" s="13" t="s">
        <v>672</v>
      </c>
      <c r="C1453" s="13" t="s">
        <v>673</v>
      </c>
      <c r="D1453" s="15">
        <v>7.0</v>
      </c>
      <c r="E1453" s="67">
        <f t="shared" si="11"/>
        <v>1750</v>
      </c>
      <c r="F1453" s="67"/>
    </row>
    <row r="1454" hidden="1">
      <c r="A1454" s="6" t="s">
        <v>114</v>
      </c>
      <c r="B1454" s="13" t="s">
        <v>680</v>
      </c>
      <c r="C1454" s="13" t="s">
        <v>681</v>
      </c>
      <c r="D1454" s="15">
        <v>11.0</v>
      </c>
      <c r="E1454" s="67">
        <f t="shared" si="11"/>
        <v>5500</v>
      </c>
      <c r="F1454" s="67"/>
    </row>
    <row r="1455" hidden="1">
      <c r="A1455" s="6" t="s">
        <v>114</v>
      </c>
      <c r="B1455" s="13" t="s">
        <v>682</v>
      </c>
      <c r="C1455" s="13" t="s">
        <v>683</v>
      </c>
      <c r="D1455" s="15">
        <v>17.0</v>
      </c>
      <c r="E1455" s="67">
        <f t="shared" si="11"/>
        <v>8500</v>
      </c>
      <c r="F1455" s="67"/>
    </row>
    <row r="1456" hidden="1">
      <c r="A1456" s="6" t="s">
        <v>114</v>
      </c>
      <c r="B1456" s="13" t="s">
        <v>684</v>
      </c>
      <c r="C1456" s="13" t="s">
        <v>685</v>
      </c>
      <c r="D1456" s="15">
        <v>3.0</v>
      </c>
      <c r="E1456" s="67">
        <f t="shared" si="11"/>
        <v>750</v>
      </c>
      <c r="F1456" s="67"/>
    </row>
    <row r="1457" hidden="1">
      <c r="A1457" s="71" t="s">
        <v>114</v>
      </c>
      <c r="B1457" s="13" t="s">
        <v>1181</v>
      </c>
      <c r="C1457" s="13" t="s">
        <v>1182</v>
      </c>
      <c r="D1457" s="15">
        <v>1.0</v>
      </c>
      <c r="E1457" s="62">
        <f t="shared" si="11"/>
        <v>250</v>
      </c>
      <c r="F1457" s="62"/>
    </row>
    <row r="1458" hidden="1">
      <c r="A1458" s="6" t="s">
        <v>114</v>
      </c>
      <c r="B1458" s="13" t="s">
        <v>1183</v>
      </c>
      <c r="C1458" s="70" t="s">
        <v>1184</v>
      </c>
      <c r="D1458" s="15">
        <v>0.0</v>
      </c>
      <c r="E1458" s="67">
        <f t="shared" si="11"/>
        <v>0</v>
      </c>
      <c r="F1458" s="67"/>
    </row>
    <row r="1459" hidden="1">
      <c r="A1459" s="6" t="s">
        <v>114</v>
      </c>
      <c r="B1459" s="13" t="s">
        <v>1185</v>
      </c>
      <c r="C1459" s="13" t="s">
        <v>1186</v>
      </c>
      <c r="D1459" s="15">
        <v>0.0</v>
      </c>
      <c r="E1459" s="67">
        <f t="shared" si="11"/>
        <v>0</v>
      </c>
      <c r="F1459" s="67"/>
    </row>
    <row r="1460" hidden="1">
      <c r="A1460" s="6" t="s">
        <v>114</v>
      </c>
      <c r="B1460" s="13" t="s">
        <v>307</v>
      </c>
      <c r="C1460" s="13" t="s">
        <v>692</v>
      </c>
      <c r="D1460" s="15">
        <v>5.0</v>
      </c>
      <c r="E1460" s="67">
        <f t="shared" si="11"/>
        <v>1250</v>
      </c>
      <c r="F1460" s="67"/>
    </row>
    <row r="1461" hidden="1">
      <c r="A1461" s="6" t="s">
        <v>114</v>
      </c>
      <c r="B1461" s="13" t="s">
        <v>693</v>
      </c>
      <c r="C1461" s="13" t="s">
        <v>694</v>
      </c>
      <c r="D1461" s="15">
        <v>4.0</v>
      </c>
      <c r="E1461" s="67">
        <f t="shared" si="11"/>
        <v>1000</v>
      </c>
      <c r="F1461" s="67"/>
    </row>
    <row r="1462" hidden="1">
      <c r="A1462" s="6" t="s">
        <v>114</v>
      </c>
      <c r="B1462" s="13" t="s">
        <v>1023</v>
      </c>
      <c r="C1462" s="13" t="s">
        <v>1024</v>
      </c>
      <c r="D1462" s="15">
        <v>1.0</v>
      </c>
      <c r="E1462" s="67">
        <f t="shared" si="11"/>
        <v>250</v>
      </c>
      <c r="F1462" s="67"/>
    </row>
    <row r="1463" hidden="1">
      <c r="A1463" s="6" t="s">
        <v>114</v>
      </c>
      <c r="B1463" s="13" t="s">
        <v>1075</v>
      </c>
      <c r="C1463" s="70" t="s">
        <v>1076</v>
      </c>
      <c r="D1463" s="15">
        <v>4.0</v>
      </c>
      <c r="E1463" s="67">
        <f t="shared" si="11"/>
        <v>1000</v>
      </c>
      <c r="F1463" s="67"/>
    </row>
    <row r="1464" hidden="1">
      <c r="A1464" s="6" t="s">
        <v>114</v>
      </c>
      <c r="B1464" s="13" t="s">
        <v>699</v>
      </c>
      <c r="C1464" s="13" t="s">
        <v>700</v>
      </c>
      <c r="D1464" s="15">
        <v>12.0</v>
      </c>
      <c r="E1464" s="67">
        <f t="shared" si="11"/>
        <v>6000</v>
      </c>
      <c r="F1464" s="67"/>
    </row>
    <row r="1465" hidden="1">
      <c r="A1465" s="6" t="s">
        <v>114</v>
      </c>
      <c r="B1465" s="13" t="s">
        <v>1187</v>
      </c>
      <c r="C1465" s="13" t="s">
        <v>1188</v>
      </c>
      <c r="D1465" s="15">
        <v>2.0</v>
      </c>
      <c r="E1465" s="67">
        <f t="shared" si="11"/>
        <v>500</v>
      </c>
      <c r="F1465" s="67"/>
    </row>
    <row r="1466" hidden="1">
      <c r="A1466" s="6" t="s">
        <v>114</v>
      </c>
      <c r="B1466" s="13" t="s">
        <v>1149</v>
      </c>
      <c r="C1466" s="70" t="s">
        <v>1150</v>
      </c>
      <c r="D1466" s="15">
        <v>8.0</v>
      </c>
      <c r="E1466" s="67">
        <f t="shared" si="11"/>
        <v>2000</v>
      </c>
      <c r="F1466" s="67"/>
    </row>
    <row r="1467" hidden="1">
      <c r="A1467" s="6" t="s">
        <v>114</v>
      </c>
      <c r="B1467" s="13" t="s">
        <v>701</v>
      </c>
      <c r="C1467" s="13" t="s">
        <v>702</v>
      </c>
      <c r="D1467" s="15">
        <v>7.0</v>
      </c>
      <c r="E1467" s="67">
        <f t="shared" si="11"/>
        <v>1750</v>
      </c>
      <c r="F1467" s="67"/>
    </row>
    <row r="1468" hidden="1">
      <c r="A1468" s="6" t="s">
        <v>114</v>
      </c>
      <c r="B1468" s="13" t="s">
        <v>703</v>
      </c>
      <c r="C1468" s="13" t="s">
        <v>704</v>
      </c>
      <c r="D1468" s="15">
        <v>7.0</v>
      </c>
      <c r="E1468" s="67">
        <f t="shared" si="11"/>
        <v>1750</v>
      </c>
      <c r="F1468" s="67"/>
    </row>
    <row r="1469" hidden="1">
      <c r="A1469" s="6" t="s">
        <v>114</v>
      </c>
      <c r="B1469" s="13" t="s">
        <v>705</v>
      </c>
      <c r="C1469" s="13" t="s">
        <v>706</v>
      </c>
      <c r="D1469" s="15">
        <v>5.0</v>
      </c>
      <c r="E1469" s="67">
        <f t="shared" si="11"/>
        <v>1250</v>
      </c>
      <c r="F1469" s="67"/>
    </row>
    <row r="1470" hidden="1">
      <c r="A1470" s="6" t="s">
        <v>114</v>
      </c>
      <c r="B1470" s="13" t="s">
        <v>717</v>
      </c>
      <c r="C1470" s="13" t="s">
        <v>718</v>
      </c>
      <c r="D1470" s="15">
        <v>8.0</v>
      </c>
      <c r="E1470" s="67">
        <f t="shared" si="11"/>
        <v>2000</v>
      </c>
      <c r="F1470" s="67"/>
    </row>
    <row r="1471" hidden="1">
      <c r="A1471" s="6" t="s">
        <v>114</v>
      </c>
      <c r="B1471" s="13" t="s">
        <v>719</v>
      </c>
      <c r="C1471" s="13" t="s">
        <v>720</v>
      </c>
      <c r="D1471" s="15">
        <v>6.0</v>
      </c>
      <c r="E1471" s="67">
        <f t="shared" si="11"/>
        <v>1500</v>
      </c>
      <c r="F1471" s="67"/>
    </row>
    <row r="1472" hidden="1">
      <c r="A1472" s="6" t="s">
        <v>114</v>
      </c>
      <c r="B1472" s="13" t="s">
        <v>721</v>
      </c>
      <c r="C1472" s="13" t="s">
        <v>722</v>
      </c>
      <c r="D1472" s="15">
        <v>5.0</v>
      </c>
      <c r="E1472" s="67">
        <f t="shared" si="11"/>
        <v>1250</v>
      </c>
      <c r="F1472" s="67"/>
    </row>
    <row r="1473" hidden="1">
      <c r="A1473" s="6" t="s">
        <v>114</v>
      </c>
      <c r="B1473" s="13" t="s">
        <v>1079</v>
      </c>
      <c r="C1473" s="70" t="s">
        <v>1080</v>
      </c>
      <c r="D1473" s="15">
        <v>11.0</v>
      </c>
      <c r="E1473" s="67">
        <f t="shared" si="11"/>
        <v>5500</v>
      </c>
      <c r="F1473" s="67"/>
    </row>
    <row r="1474" hidden="1">
      <c r="A1474" s="6" t="s">
        <v>114</v>
      </c>
      <c r="B1474" s="13" t="s">
        <v>723</v>
      </c>
      <c r="C1474" s="13" t="s">
        <v>724</v>
      </c>
      <c r="D1474" s="15">
        <v>29.0</v>
      </c>
      <c r="E1474" s="67">
        <f t="shared" si="11"/>
        <v>14500</v>
      </c>
      <c r="F1474" s="67"/>
    </row>
    <row r="1475" hidden="1">
      <c r="A1475" s="6" t="s">
        <v>114</v>
      </c>
      <c r="B1475" s="13" t="s">
        <v>1081</v>
      </c>
      <c r="C1475" s="13" t="s">
        <v>1082</v>
      </c>
      <c r="D1475" s="15">
        <v>12.0</v>
      </c>
      <c r="E1475" s="67">
        <f t="shared" si="11"/>
        <v>6000</v>
      </c>
      <c r="F1475" s="67"/>
    </row>
    <row r="1476" hidden="1">
      <c r="A1476" s="6" t="s">
        <v>114</v>
      </c>
      <c r="B1476" s="13" t="s">
        <v>1189</v>
      </c>
      <c r="C1476" s="13" t="s">
        <v>1190</v>
      </c>
      <c r="D1476" s="15">
        <v>2.0</v>
      </c>
      <c r="E1476" s="67">
        <f t="shared" si="11"/>
        <v>500</v>
      </c>
      <c r="F1476" s="67"/>
    </row>
    <row r="1477" hidden="1">
      <c r="A1477" s="6" t="s">
        <v>114</v>
      </c>
      <c r="B1477" s="13" t="s">
        <v>1151</v>
      </c>
      <c r="C1477" s="13" t="s">
        <v>1152</v>
      </c>
      <c r="D1477" s="15">
        <v>7.0</v>
      </c>
      <c r="E1477" s="67">
        <f t="shared" si="11"/>
        <v>1750</v>
      </c>
      <c r="F1477" s="67"/>
    </row>
    <row r="1478" hidden="1">
      <c r="A1478" s="6" t="s">
        <v>114</v>
      </c>
      <c r="B1478" s="13" t="s">
        <v>1025</v>
      </c>
      <c r="C1478" s="13" t="s">
        <v>1026</v>
      </c>
      <c r="D1478" s="15">
        <v>11.0</v>
      </c>
      <c r="E1478" s="67">
        <f t="shared" si="11"/>
        <v>5500</v>
      </c>
      <c r="F1478" s="67"/>
    </row>
    <row r="1479" hidden="1">
      <c r="A1479" s="6" t="s">
        <v>114</v>
      </c>
      <c r="B1479" s="13" t="s">
        <v>1027</v>
      </c>
      <c r="C1479" s="13" t="s">
        <v>1028</v>
      </c>
      <c r="D1479" s="15">
        <v>6.0</v>
      </c>
      <c r="E1479" s="67">
        <f t="shared" si="11"/>
        <v>1500</v>
      </c>
      <c r="F1479" s="67"/>
    </row>
    <row r="1480" hidden="1">
      <c r="A1480" s="6" t="s">
        <v>114</v>
      </c>
      <c r="B1480" s="13" t="s">
        <v>1153</v>
      </c>
      <c r="C1480" s="13" t="s">
        <v>1154</v>
      </c>
      <c r="D1480" s="15">
        <v>2.0</v>
      </c>
      <c r="E1480" s="67">
        <f t="shared" si="11"/>
        <v>500</v>
      </c>
      <c r="F1480" s="67"/>
    </row>
    <row r="1481" hidden="1">
      <c r="A1481" s="6" t="s">
        <v>114</v>
      </c>
      <c r="B1481" s="13" t="s">
        <v>736</v>
      </c>
      <c r="C1481" s="13" t="s">
        <v>737</v>
      </c>
      <c r="D1481" s="15">
        <v>13.0</v>
      </c>
      <c r="E1481" s="67">
        <f t="shared" si="11"/>
        <v>6500</v>
      </c>
      <c r="F1481" s="67"/>
    </row>
    <row r="1482" hidden="1">
      <c r="A1482" s="6" t="s">
        <v>114</v>
      </c>
      <c r="B1482" s="13" t="s">
        <v>1122</v>
      </c>
      <c r="C1482" s="13" t="s">
        <v>1123</v>
      </c>
      <c r="D1482" s="15">
        <v>11.0</v>
      </c>
      <c r="E1482" s="67">
        <f t="shared" si="11"/>
        <v>5500</v>
      </c>
      <c r="F1482" s="67"/>
    </row>
    <row r="1483" hidden="1">
      <c r="A1483" s="6" t="s">
        <v>114</v>
      </c>
      <c r="B1483" s="13" t="s">
        <v>1120</v>
      </c>
      <c r="C1483" s="13" t="s">
        <v>1121</v>
      </c>
      <c r="D1483" s="15">
        <v>2.0</v>
      </c>
      <c r="E1483" s="67">
        <f t="shared" si="11"/>
        <v>500</v>
      </c>
      <c r="F1483" s="67"/>
    </row>
    <row r="1484" hidden="1">
      <c r="A1484" s="71" t="s">
        <v>114</v>
      </c>
      <c r="B1484" s="13" t="s">
        <v>744</v>
      </c>
      <c r="C1484" s="13" t="s">
        <v>745</v>
      </c>
      <c r="D1484" s="15">
        <v>6.0</v>
      </c>
      <c r="E1484" s="62">
        <f t="shared" si="11"/>
        <v>1500</v>
      </c>
      <c r="F1484" s="62"/>
    </row>
    <row r="1485" hidden="1">
      <c r="A1485" s="6" t="s">
        <v>114</v>
      </c>
      <c r="B1485" s="13" t="s">
        <v>746</v>
      </c>
      <c r="C1485" s="13" t="s">
        <v>747</v>
      </c>
      <c r="D1485" s="15">
        <v>14.0</v>
      </c>
      <c r="E1485" s="67">
        <f t="shared" si="11"/>
        <v>7000</v>
      </c>
      <c r="F1485" s="67"/>
    </row>
    <row r="1486" hidden="1">
      <c r="A1486" s="6" t="s">
        <v>114</v>
      </c>
      <c r="B1486" s="13" t="s">
        <v>1155</v>
      </c>
      <c r="C1486" s="70" t="s">
        <v>1156</v>
      </c>
      <c r="D1486" s="15">
        <v>1.0</v>
      </c>
      <c r="E1486" s="67">
        <f t="shared" si="11"/>
        <v>250</v>
      </c>
      <c r="F1486" s="67"/>
    </row>
    <row r="1487" hidden="1">
      <c r="A1487" s="71" t="s">
        <v>114</v>
      </c>
      <c r="B1487" s="13" t="s">
        <v>1191</v>
      </c>
      <c r="C1487" s="70" t="s">
        <v>1192</v>
      </c>
      <c r="D1487" s="15">
        <v>3.0</v>
      </c>
      <c r="E1487" s="62">
        <f t="shared" si="11"/>
        <v>750</v>
      </c>
      <c r="F1487" s="62"/>
    </row>
    <row r="1488" hidden="1">
      <c r="A1488" s="6" t="s">
        <v>114</v>
      </c>
      <c r="B1488" s="13" t="s">
        <v>752</v>
      </c>
      <c r="C1488" s="13" t="s">
        <v>753</v>
      </c>
      <c r="D1488" s="15">
        <v>7.0</v>
      </c>
      <c r="E1488" s="67">
        <f t="shared" si="11"/>
        <v>1750</v>
      </c>
      <c r="F1488" s="67"/>
    </row>
    <row r="1489" hidden="1">
      <c r="A1489" s="6" t="s">
        <v>114</v>
      </c>
      <c r="B1489" s="13" t="s">
        <v>758</v>
      </c>
      <c r="C1489" s="13" t="s">
        <v>759</v>
      </c>
      <c r="D1489" s="15">
        <v>14.0</v>
      </c>
      <c r="E1489" s="67">
        <f t="shared" si="11"/>
        <v>7000</v>
      </c>
      <c r="F1489" s="67"/>
    </row>
    <row r="1490" hidden="1">
      <c r="A1490" s="6" t="s">
        <v>114</v>
      </c>
      <c r="B1490" s="13" t="s">
        <v>762</v>
      </c>
      <c r="C1490" s="13" t="s">
        <v>763</v>
      </c>
      <c r="D1490" s="15">
        <v>2.0</v>
      </c>
      <c r="E1490" s="67">
        <f t="shared" si="11"/>
        <v>500</v>
      </c>
      <c r="F1490" s="67"/>
    </row>
    <row r="1491" hidden="1">
      <c r="A1491" s="6" t="s">
        <v>114</v>
      </c>
      <c r="B1491" s="13" t="s">
        <v>898</v>
      </c>
      <c r="C1491" s="13" t="s">
        <v>899</v>
      </c>
      <c r="D1491" s="15">
        <v>3.0</v>
      </c>
      <c r="E1491" s="67">
        <f t="shared" si="11"/>
        <v>750</v>
      </c>
      <c r="F1491" s="67"/>
    </row>
    <row r="1492" hidden="1">
      <c r="A1492" s="6" t="s">
        <v>114</v>
      </c>
      <c r="B1492" s="13" t="s">
        <v>1037</v>
      </c>
      <c r="C1492" s="13" t="s">
        <v>1038</v>
      </c>
      <c r="D1492" s="15">
        <v>6.0</v>
      </c>
      <c r="E1492" s="67">
        <f t="shared" si="11"/>
        <v>1500</v>
      </c>
      <c r="F1492" s="67"/>
    </row>
    <row r="1493" hidden="1">
      <c r="A1493" s="6" t="s">
        <v>114</v>
      </c>
      <c r="B1493" s="8" t="s">
        <v>764</v>
      </c>
      <c r="C1493" s="72" t="s">
        <v>765</v>
      </c>
      <c r="D1493" s="9">
        <v>9.0</v>
      </c>
      <c r="E1493" s="67">
        <f t="shared" si="11"/>
        <v>2250</v>
      </c>
      <c r="F1493" s="67"/>
    </row>
    <row r="1494" hidden="1">
      <c r="A1494" s="6" t="s">
        <v>114</v>
      </c>
      <c r="B1494" s="13" t="s">
        <v>1039</v>
      </c>
      <c r="C1494" s="13" t="s">
        <v>1040</v>
      </c>
      <c r="D1494" s="15">
        <v>4.0</v>
      </c>
      <c r="E1494" s="67">
        <f t="shared" si="11"/>
        <v>1000</v>
      </c>
      <c r="F1494" s="67"/>
    </row>
    <row r="1495" hidden="1">
      <c r="A1495" s="6" t="s">
        <v>114</v>
      </c>
      <c r="B1495" s="8" t="s">
        <v>900</v>
      </c>
      <c r="C1495" s="8" t="s">
        <v>901</v>
      </c>
      <c r="D1495" s="9">
        <v>2.0</v>
      </c>
      <c r="E1495" s="67">
        <f t="shared" si="11"/>
        <v>500</v>
      </c>
      <c r="F1495" s="67"/>
    </row>
    <row r="1496" hidden="1">
      <c r="A1496" s="6" t="s">
        <v>114</v>
      </c>
      <c r="B1496" s="8" t="s">
        <v>1193</v>
      </c>
      <c r="C1496" s="8" t="s">
        <v>1194</v>
      </c>
      <c r="D1496" s="9">
        <v>0.0</v>
      </c>
      <c r="E1496" s="67">
        <f t="shared" si="11"/>
        <v>0</v>
      </c>
      <c r="F1496" s="67"/>
    </row>
    <row r="1497" hidden="1">
      <c r="A1497" s="6" t="s">
        <v>114</v>
      </c>
      <c r="B1497" s="13" t="s">
        <v>766</v>
      </c>
      <c r="C1497" s="13" t="s">
        <v>767</v>
      </c>
      <c r="D1497" s="15">
        <v>15.0</v>
      </c>
      <c r="E1497" s="67">
        <f t="shared" si="11"/>
        <v>7500</v>
      </c>
      <c r="F1497" s="67"/>
    </row>
    <row r="1498" hidden="1">
      <c r="A1498" s="6" t="s">
        <v>114</v>
      </c>
      <c r="B1498" s="13" t="s">
        <v>902</v>
      </c>
      <c r="C1498" s="13" t="s">
        <v>903</v>
      </c>
      <c r="D1498" s="15">
        <v>1.0</v>
      </c>
      <c r="E1498" s="67">
        <f t="shared" si="11"/>
        <v>250</v>
      </c>
      <c r="F1498" s="67"/>
    </row>
    <row r="1499" hidden="1">
      <c r="A1499" s="20" t="s">
        <v>383</v>
      </c>
      <c r="B1499" s="7" t="s">
        <v>1157</v>
      </c>
      <c r="C1499" s="7" t="s">
        <v>1158</v>
      </c>
      <c r="D1499" s="15">
        <v>6.0</v>
      </c>
      <c r="E1499" s="67">
        <f t="shared" si="11"/>
        <v>1500</v>
      </c>
      <c r="F1499" s="67"/>
    </row>
    <row r="1500" hidden="1">
      <c r="A1500" s="20" t="s">
        <v>383</v>
      </c>
      <c r="B1500" s="7" t="s">
        <v>1195</v>
      </c>
      <c r="C1500" s="7" t="s">
        <v>1196</v>
      </c>
      <c r="D1500" s="34"/>
      <c r="E1500" s="67">
        <f t="shared" si="11"/>
        <v>0</v>
      </c>
      <c r="F1500" s="67"/>
    </row>
    <row r="1501" hidden="1">
      <c r="A1501" s="20" t="s">
        <v>383</v>
      </c>
      <c r="B1501" s="7" t="s">
        <v>1197</v>
      </c>
      <c r="C1501" s="7" t="s">
        <v>1198</v>
      </c>
      <c r="D1501" s="34"/>
      <c r="E1501" s="67">
        <f t="shared" si="11"/>
        <v>0</v>
      </c>
      <c r="F1501" s="67"/>
    </row>
    <row r="1502" hidden="1">
      <c r="A1502" s="20" t="s">
        <v>383</v>
      </c>
      <c r="B1502" s="7" t="s">
        <v>815</v>
      </c>
      <c r="C1502" s="7" t="s">
        <v>816</v>
      </c>
      <c r="D1502" s="15">
        <v>3.0</v>
      </c>
      <c r="E1502" s="67">
        <f t="shared" si="11"/>
        <v>750</v>
      </c>
      <c r="F1502" s="67"/>
    </row>
    <row r="1503" hidden="1">
      <c r="A1503" s="20" t="s">
        <v>383</v>
      </c>
      <c r="B1503" s="7" t="s">
        <v>1199</v>
      </c>
      <c r="C1503" s="7" t="s">
        <v>1200</v>
      </c>
      <c r="D1503" s="34"/>
      <c r="E1503" s="67">
        <f t="shared" si="11"/>
        <v>0</v>
      </c>
      <c r="F1503" s="67"/>
    </row>
    <row r="1504" hidden="1">
      <c r="A1504" s="20" t="s">
        <v>383</v>
      </c>
      <c r="B1504" s="7" t="s">
        <v>405</v>
      </c>
      <c r="C1504" s="7" t="s">
        <v>406</v>
      </c>
      <c r="D1504" s="15">
        <v>3.0</v>
      </c>
      <c r="E1504" s="67">
        <f t="shared" si="11"/>
        <v>750</v>
      </c>
      <c r="F1504" s="67"/>
    </row>
    <row r="1505" hidden="1">
      <c r="A1505" s="20" t="s">
        <v>383</v>
      </c>
      <c r="B1505" s="7" t="s">
        <v>409</v>
      </c>
      <c r="C1505" s="7" t="s">
        <v>410</v>
      </c>
      <c r="D1505" s="15">
        <v>7.0</v>
      </c>
      <c r="E1505" s="67">
        <f t="shared" si="11"/>
        <v>1750</v>
      </c>
      <c r="F1505" s="67"/>
    </row>
    <row r="1506" hidden="1">
      <c r="A1506" s="20" t="s">
        <v>383</v>
      </c>
      <c r="B1506" s="7" t="s">
        <v>411</v>
      </c>
      <c r="C1506" s="7" t="s">
        <v>412</v>
      </c>
      <c r="D1506" s="15">
        <v>8.0</v>
      </c>
      <c r="E1506" s="67">
        <f t="shared" si="11"/>
        <v>2000</v>
      </c>
      <c r="F1506" s="67"/>
    </row>
    <row r="1507" hidden="1">
      <c r="A1507" s="20" t="s">
        <v>383</v>
      </c>
      <c r="B1507" s="7" t="s">
        <v>413</v>
      </c>
      <c r="C1507" s="7" t="s">
        <v>414</v>
      </c>
      <c r="D1507" s="15">
        <v>1.0</v>
      </c>
      <c r="E1507" s="67">
        <f t="shared" si="11"/>
        <v>250</v>
      </c>
      <c r="F1507" s="67"/>
    </row>
    <row r="1508" hidden="1">
      <c r="A1508" s="20" t="s">
        <v>383</v>
      </c>
      <c r="B1508" s="7" t="s">
        <v>1089</v>
      </c>
      <c r="C1508" s="7" t="s">
        <v>1090</v>
      </c>
      <c r="D1508" s="15">
        <v>5.0</v>
      </c>
      <c r="E1508" s="67">
        <f t="shared" si="11"/>
        <v>1250</v>
      </c>
      <c r="F1508" s="67"/>
    </row>
    <row r="1509" hidden="1">
      <c r="A1509" s="20" t="s">
        <v>383</v>
      </c>
      <c r="B1509" s="7" t="s">
        <v>825</v>
      </c>
      <c r="C1509" s="7" t="s">
        <v>826</v>
      </c>
      <c r="D1509" s="15">
        <v>4.0</v>
      </c>
      <c r="E1509" s="67">
        <f t="shared" si="11"/>
        <v>1000</v>
      </c>
      <c r="F1509" s="67"/>
    </row>
    <row r="1510" hidden="1">
      <c r="A1510" s="20" t="s">
        <v>383</v>
      </c>
      <c r="B1510" s="7" t="s">
        <v>1124</v>
      </c>
      <c r="C1510" s="7" t="s">
        <v>1125</v>
      </c>
      <c r="D1510" s="15">
        <v>4.0</v>
      </c>
      <c r="E1510" s="67">
        <f t="shared" si="11"/>
        <v>1000</v>
      </c>
      <c r="F1510" s="67"/>
    </row>
    <row r="1511" hidden="1">
      <c r="A1511" s="20" t="s">
        <v>383</v>
      </c>
      <c r="B1511" s="7" t="s">
        <v>417</v>
      </c>
      <c r="C1511" s="7" t="s">
        <v>418</v>
      </c>
      <c r="D1511" s="15">
        <v>4.0</v>
      </c>
      <c r="E1511" s="67">
        <f t="shared" si="11"/>
        <v>1000</v>
      </c>
      <c r="F1511" s="67"/>
    </row>
    <row r="1512" hidden="1">
      <c r="A1512" s="20" t="s">
        <v>383</v>
      </c>
      <c r="B1512" s="7" t="s">
        <v>1201</v>
      </c>
      <c r="C1512" s="7" t="s">
        <v>1202</v>
      </c>
      <c r="D1512" s="15">
        <v>0.0</v>
      </c>
      <c r="E1512" s="67">
        <f t="shared" si="11"/>
        <v>0</v>
      </c>
      <c r="F1512" s="67"/>
    </row>
    <row r="1513" hidden="1">
      <c r="A1513" s="20" t="s">
        <v>383</v>
      </c>
      <c r="B1513" s="7" t="s">
        <v>1161</v>
      </c>
      <c r="C1513" s="7" t="s">
        <v>1162</v>
      </c>
      <c r="D1513" s="15">
        <v>2.0</v>
      </c>
      <c r="E1513" s="67">
        <f t="shared" si="11"/>
        <v>500</v>
      </c>
      <c r="F1513" s="67"/>
    </row>
    <row r="1514" hidden="1">
      <c r="A1514" s="20" t="s">
        <v>383</v>
      </c>
      <c r="B1514" s="7" t="s">
        <v>1203</v>
      </c>
      <c r="C1514" s="7" t="s">
        <v>1204</v>
      </c>
      <c r="D1514" s="15">
        <v>0.0</v>
      </c>
      <c r="E1514" s="67">
        <f t="shared" si="11"/>
        <v>0</v>
      </c>
      <c r="F1514" s="67"/>
    </row>
    <row r="1515" hidden="1">
      <c r="A1515" s="20" t="s">
        <v>383</v>
      </c>
      <c r="B1515" s="7" t="s">
        <v>431</v>
      </c>
      <c r="C1515" s="7" t="s">
        <v>432</v>
      </c>
      <c r="D1515" s="15">
        <v>3.0</v>
      </c>
      <c r="E1515" s="67">
        <f t="shared" si="11"/>
        <v>750</v>
      </c>
      <c r="F1515" s="67"/>
    </row>
    <row r="1516" hidden="1">
      <c r="A1516" s="20" t="s">
        <v>383</v>
      </c>
      <c r="B1516" s="25" t="s">
        <v>433</v>
      </c>
      <c r="C1516" s="59" t="s">
        <v>434</v>
      </c>
      <c r="D1516" s="15">
        <v>1.0</v>
      </c>
      <c r="E1516" s="67">
        <f t="shared" si="11"/>
        <v>250</v>
      </c>
      <c r="F1516" s="67"/>
    </row>
    <row r="1517" hidden="1">
      <c r="A1517" s="20" t="s">
        <v>383</v>
      </c>
      <c r="B1517" s="7" t="s">
        <v>435</v>
      </c>
      <c r="C1517" s="7" t="s">
        <v>436</v>
      </c>
      <c r="D1517" s="15">
        <v>24.0</v>
      </c>
      <c r="E1517" s="67">
        <f t="shared" si="11"/>
        <v>12000</v>
      </c>
      <c r="F1517" s="67"/>
    </row>
    <row r="1518" hidden="1">
      <c r="A1518" s="20" t="s">
        <v>383</v>
      </c>
      <c r="B1518" s="7" t="s">
        <v>841</v>
      </c>
      <c r="C1518" s="7" t="s">
        <v>842</v>
      </c>
      <c r="D1518" s="15">
        <v>3.0</v>
      </c>
      <c r="E1518" s="67">
        <f t="shared" si="11"/>
        <v>750</v>
      </c>
      <c r="F1518" s="67"/>
    </row>
    <row r="1519" hidden="1">
      <c r="A1519" s="20" t="s">
        <v>383</v>
      </c>
      <c r="B1519" s="7" t="s">
        <v>972</v>
      </c>
      <c r="C1519" s="7" t="s">
        <v>973</v>
      </c>
      <c r="D1519" s="15">
        <v>3.0</v>
      </c>
      <c r="E1519" s="67">
        <f t="shared" si="11"/>
        <v>750</v>
      </c>
      <c r="F1519" s="67"/>
    </row>
    <row r="1520" hidden="1">
      <c r="A1520" s="20" t="s">
        <v>383</v>
      </c>
      <c r="B1520" s="7" t="s">
        <v>439</v>
      </c>
      <c r="C1520" s="7" t="s">
        <v>440</v>
      </c>
      <c r="D1520" s="15">
        <v>9.0</v>
      </c>
      <c r="E1520" s="67">
        <f t="shared" si="11"/>
        <v>2250</v>
      </c>
      <c r="F1520" s="67"/>
    </row>
    <row r="1521" hidden="1">
      <c r="A1521" s="20" t="s">
        <v>383</v>
      </c>
      <c r="B1521" s="7" t="s">
        <v>443</v>
      </c>
      <c r="C1521" s="7" t="s">
        <v>444</v>
      </c>
      <c r="D1521" s="15">
        <v>12.0</v>
      </c>
      <c r="E1521" s="67">
        <f t="shared" si="11"/>
        <v>6000</v>
      </c>
      <c r="F1521" s="67"/>
    </row>
    <row r="1522" hidden="1">
      <c r="A1522" s="20" t="s">
        <v>383</v>
      </c>
      <c r="B1522" s="7" t="s">
        <v>803</v>
      </c>
      <c r="C1522" s="7" t="s">
        <v>804</v>
      </c>
      <c r="D1522" s="15">
        <v>6.0</v>
      </c>
      <c r="E1522" s="67">
        <f t="shared" si="11"/>
        <v>1500</v>
      </c>
      <c r="F1522" s="67"/>
    </row>
    <row r="1523" hidden="1">
      <c r="A1523" s="20" t="s">
        <v>383</v>
      </c>
      <c r="B1523" s="7" t="s">
        <v>445</v>
      </c>
      <c r="C1523" s="7" t="s">
        <v>446</v>
      </c>
      <c r="D1523" s="15">
        <v>5.0</v>
      </c>
      <c r="E1523" s="67">
        <f t="shared" si="11"/>
        <v>1250</v>
      </c>
      <c r="F1523" s="67"/>
    </row>
    <row r="1524" hidden="1">
      <c r="A1524" s="20" t="s">
        <v>383</v>
      </c>
      <c r="B1524" s="7" t="s">
        <v>447</v>
      </c>
      <c r="C1524" s="7" t="s">
        <v>448</v>
      </c>
      <c r="D1524" s="15">
        <v>6.0</v>
      </c>
      <c r="E1524" s="67">
        <f t="shared" si="11"/>
        <v>1500</v>
      </c>
      <c r="F1524" s="67"/>
    </row>
    <row r="1525" hidden="1">
      <c r="A1525" s="20" t="s">
        <v>383</v>
      </c>
      <c r="B1525" s="7" t="s">
        <v>451</v>
      </c>
      <c r="C1525" s="7" t="s">
        <v>452</v>
      </c>
      <c r="D1525" s="15">
        <v>1.0</v>
      </c>
      <c r="E1525" s="67">
        <f t="shared" si="11"/>
        <v>250</v>
      </c>
      <c r="F1525" s="67"/>
    </row>
    <row r="1526" hidden="1">
      <c r="A1526" s="20" t="s">
        <v>383</v>
      </c>
      <c r="B1526" s="7" t="s">
        <v>1093</v>
      </c>
      <c r="C1526" s="7" t="s">
        <v>1094</v>
      </c>
      <c r="D1526" s="15">
        <v>4.0</v>
      </c>
      <c r="E1526" s="67">
        <f t="shared" si="11"/>
        <v>1000</v>
      </c>
      <c r="F1526" s="67"/>
    </row>
    <row r="1527" hidden="1">
      <c r="A1527" s="20" t="s">
        <v>383</v>
      </c>
      <c r="B1527" s="13" t="s">
        <v>976</v>
      </c>
      <c r="C1527" s="59" t="s">
        <v>977</v>
      </c>
      <c r="D1527" s="15">
        <v>7.0</v>
      </c>
      <c r="E1527" s="67">
        <f t="shared" si="11"/>
        <v>1750</v>
      </c>
      <c r="F1527" s="67"/>
    </row>
    <row r="1528" hidden="1">
      <c r="A1528" s="20" t="s">
        <v>383</v>
      </c>
      <c r="B1528" s="7" t="s">
        <v>457</v>
      </c>
      <c r="C1528" s="7" t="s">
        <v>458</v>
      </c>
      <c r="D1528" s="15">
        <v>11.0</v>
      </c>
      <c r="E1528" s="67">
        <f t="shared" si="11"/>
        <v>5500</v>
      </c>
      <c r="F1528" s="67"/>
    </row>
    <row r="1529" hidden="1">
      <c r="A1529" s="20" t="s">
        <v>383</v>
      </c>
      <c r="B1529" s="7" t="s">
        <v>1127</v>
      </c>
      <c r="C1529" s="7" t="s">
        <v>1128</v>
      </c>
      <c r="D1529" s="15">
        <v>6.0</v>
      </c>
      <c r="E1529" s="67">
        <f t="shared" si="11"/>
        <v>1500</v>
      </c>
      <c r="F1529" s="67"/>
    </row>
    <row r="1530" hidden="1">
      <c r="A1530" s="20" t="s">
        <v>383</v>
      </c>
      <c r="B1530" s="7" t="s">
        <v>805</v>
      </c>
      <c r="C1530" s="7" t="s">
        <v>806</v>
      </c>
      <c r="D1530" s="15">
        <v>10.0</v>
      </c>
      <c r="E1530" s="67">
        <f t="shared" si="11"/>
        <v>5000</v>
      </c>
      <c r="F1530" s="67"/>
    </row>
    <row r="1531" hidden="1">
      <c r="A1531" s="20" t="s">
        <v>383</v>
      </c>
      <c r="B1531" s="7" t="s">
        <v>910</v>
      </c>
      <c r="C1531" s="7" t="s">
        <v>911</v>
      </c>
      <c r="D1531" s="15">
        <v>4.0</v>
      </c>
      <c r="E1531" s="67">
        <f t="shared" si="11"/>
        <v>1000</v>
      </c>
      <c r="F1531" s="67"/>
    </row>
    <row r="1532" hidden="1">
      <c r="A1532" s="20" t="s">
        <v>383</v>
      </c>
      <c r="B1532" s="7" t="s">
        <v>462</v>
      </c>
      <c r="C1532" s="7" t="s">
        <v>463</v>
      </c>
      <c r="D1532" s="15">
        <v>5.0</v>
      </c>
      <c r="E1532" s="67">
        <f t="shared" si="11"/>
        <v>1250</v>
      </c>
      <c r="F1532" s="67"/>
    </row>
    <row r="1533" hidden="1">
      <c r="A1533" s="20" t="s">
        <v>383</v>
      </c>
      <c r="B1533" s="7" t="s">
        <v>1163</v>
      </c>
      <c r="C1533" s="7" t="s">
        <v>1164</v>
      </c>
      <c r="D1533" s="15">
        <v>8.0</v>
      </c>
      <c r="E1533" s="67">
        <f t="shared" si="11"/>
        <v>2000</v>
      </c>
      <c r="F1533" s="67"/>
    </row>
    <row r="1534" hidden="1">
      <c r="A1534" s="20" t="s">
        <v>383</v>
      </c>
      <c r="B1534" s="7" t="s">
        <v>1129</v>
      </c>
      <c r="C1534" s="7" t="s">
        <v>1130</v>
      </c>
      <c r="D1534" s="15">
        <v>2.0</v>
      </c>
      <c r="E1534" s="67">
        <f t="shared" si="11"/>
        <v>500</v>
      </c>
      <c r="F1534" s="67"/>
    </row>
    <row r="1535" hidden="1">
      <c r="A1535" s="20" t="s">
        <v>383</v>
      </c>
      <c r="B1535" s="7" t="s">
        <v>472</v>
      </c>
      <c r="C1535" s="7" t="s">
        <v>473</v>
      </c>
      <c r="D1535" s="15">
        <v>0.0</v>
      </c>
      <c r="E1535" s="67">
        <f t="shared" si="11"/>
        <v>0</v>
      </c>
      <c r="F1535" s="67"/>
    </row>
    <row r="1536" hidden="1">
      <c r="A1536" s="20" t="s">
        <v>383</v>
      </c>
      <c r="B1536" s="13" t="s">
        <v>1047</v>
      </c>
      <c r="C1536" s="59" t="s">
        <v>1048</v>
      </c>
      <c r="D1536" s="15">
        <v>4.0</v>
      </c>
      <c r="E1536" s="67">
        <f t="shared" si="11"/>
        <v>1000</v>
      </c>
      <c r="F1536" s="67"/>
    </row>
    <row r="1537" hidden="1">
      <c r="A1537" s="20" t="s">
        <v>383</v>
      </c>
      <c r="B1537" s="7" t="s">
        <v>476</v>
      </c>
      <c r="C1537" s="7" t="s">
        <v>477</v>
      </c>
      <c r="D1537" s="15">
        <v>40.0</v>
      </c>
      <c r="E1537" s="67">
        <f t="shared" si="11"/>
        <v>20000</v>
      </c>
      <c r="F1537" s="67"/>
    </row>
    <row r="1538" hidden="1">
      <c r="A1538" s="20" t="s">
        <v>383</v>
      </c>
      <c r="B1538" s="7" t="s">
        <v>486</v>
      </c>
      <c r="C1538" s="7" t="s">
        <v>487</v>
      </c>
      <c r="D1538" s="15">
        <v>11.0</v>
      </c>
      <c r="E1538" s="67">
        <f t="shared" si="11"/>
        <v>5500</v>
      </c>
      <c r="F1538" s="67"/>
    </row>
    <row r="1539" hidden="1">
      <c r="A1539" s="20" t="s">
        <v>383</v>
      </c>
      <c r="B1539" s="7" t="s">
        <v>1095</v>
      </c>
      <c r="C1539" s="7" t="s">
        <v>1096</v>
      </c>
      <c r="D1539" s="15">
        <v>6.0</v>
      </c>
      <c r="E1539" s="67">
        <f t="shared" si="11"/>
        <v>1500</v>
      </c>
      <c r="F1539" s="67"/>
    </row>
    <row r="1540" hidden="1">
      <c r="A1540" s="20" t="s">
        <v>383</v>
      </c>
      <c r="B1540" s="7" t="s">
        <v>1133</v>
      </c>
      <c r="C1540" s="7" t="s">
        <v>1134</v>
      </c>
      <c r="D1540" s="15">
        <v>2.0</v>
      </c>
      <c r="E1540" s="67">
        <f t="shared" si="11"/>
        <v>500</v>
      </c>
      <c r="F1540" s="67"/>
    </row>
    <row r="1541" hidden="1">
      <c r="A1541" s="20" t="s">
        <v>383</v>
      </c>
      <c r="B1541" s="7" t="s">
        <v>500</v>
      </c>
      <c r="C1541" s="7" t="s">
        <v>501</v>
      </c>
      <c r="D1541" s="15">
        <v>8.0</v>
      </c>
      <c r="E1541" s="67">
        <f t="shared" si="11"/>
        <v>2000</v>
      </c>
      <c r="F1541" s="67"/>
    </row>
    <row r="1542" hidden="1">
      <c r="A1542" s="20" t="s">
        <v>383</v>
      </c>
      <c r="B1542" s="13" t="s">
        <v>1205</v>
      </c>
      <c r="C1542" s="7" t="s">
        <v>1206</v>
      </c>
      <c r="D1542" s="15">
        <v>1.0</v>
      </c>
      <c r="E1542" s="67">
        <f t="shared" si="11"/>
        <v>250</v>
      </c>
      <c r="F1542" s="67"/>
    </row>
    <row r="1543" hidden="1">
      <c r="A1543" s="20" t="s">
        <v>383</v>
      </c>
      <c r="B1543" s="7" t="s">
        <v>1207</v>
      </c>
      <c r="C1543" s="7" t="s">
        <v>1208</v>
      </c>
      <c r="D1543" s="15">
        <v>4.0</v>
      </c>
      <c r="E1543" s="67">
        <f t="shared" si="11"/>
        <v>1000</v>
      </c>
      <c r="F1543" s="67"/>
    </row>
    <row r="1544" hidden="1">
      <c r="A1544" s="20" t="s">
        <v>383</v>
      </c>
      <c r="B1544" s="7" t="s">
        <v>1165</v>
      </c>
      <c r="C1544" s="7" t="s">
        <v>1166</v>
      </c>
      <c r="D1544" s="15">
        <v>4.0</v>
      </c>
      <c r="E1544" s="67">
        <f t="shared" si="11"/>
        <v>1000</v>
      </c>
      <c r="F1544" s="67"/>
    </row>
    <row r="1545" hidden="1">
      <c r="A1545" s="20" t="s">
        <v>383</v>
      </c>
      <c r="B1545" s="13" t="s">
        <v>916</v>
      </c>
      <c r="C1545" s="59" t="s">
        <v>917</v>
      </c>
      <c r="D1545" s="15">
        <v>1.0</v>
      </c>
      <c r="E1545" s="67">
        <f t="shared" si="11"/>
        <v>250</v>
      </c>
      <c r="F1545" s="67"/>
    </row>
    <row r="1546" hidden="1">
      <c r="A1546" s="20" t="s">
        <v>383</v>
      </c>
      <c r="B1546" s="7" t="s">
        <v>510</v>
      </c>
      <c r="C1546" s="7" t="s">
        <v>511</v>
      </c>
      <c r="D1546" s="15">
        <v>11.0</v>
      </c>
      <c r="E1546" s="67">
        <f t="shared" si="11"/>
        <v>5500</v>
      </c>
      <c r="F1546" s="67"/>
    </row>
    <row r="1547" hidden="1">
      <c r="A1547" s="20" t="s">
        <v>383</v>
      </c>
      <c r="B1547" s="7" t="s">
        <v>1209</v>
      </c>
      <c r="C1547" s="7" t="s">
        <v>1210</v>
      </c>
      <c r="D1547" s="15">
        <v>0.0</v>
      </c>
      <c r="E1547" s="67">
        <f t="shared" si="11"/>
        <v>0</v>
      </c>
      <c r="F1547" s="67"/>
    </row>
    <row r="1548" hidden="1">
      <c r="A1548" s="20" t="s">
        <v>383</v>
      </c>
      <c r="B1548" s="7" t="s">
        <v>918</v>
      </c>
      <c r="C1548" s="7" t="s">
        <v>919</v>
      </c>
      <c r="D1548" s="15">
        <v>0.0</v>
      </c>
      <c r="E1548" s="67">
        <f t="shared" si="11"/>
        <v>0</v>
      </c>
      <c r="F1548" s="67"/>
    </row>
    <row r="1549" hidden="1">
      <c r="A1549" s="20" t="s">
        <v>383</v>
      </c>
      <c r="B1549" s="7" t="s">
        <v>516</v>
      </c>
      <c r="C1549" s="7" t="s">
        <v>517</v>
      </c>
      <c r="D1549" s="15">
        <v>8.0</v>
      </c>
      <c r="E1549" s="67">
        <f t="shared" si="11"/>
        <v>2000</v>
      </c>
      <c r="F1549" s="67"/>
    </row>
    <row r="1550" hidden="1">
      <c r="A1550" s="20" t="s">
        <v>383</v>
      </c>
      <c r="B1550" s="7" t="s">
        <v>518</v>
      </c>
      <c r="C1550" s="7" t="s">
        <v>519</v>
      </c>
      <c r="D1550" s="15">
        <v>7.0</v>
      </c>
      <c r="E1550" s="67">
        <f t="shared" si="11"/>
        <v>1750</v>
      </c>
      <c r="F1550" s="67"/>
    </row>
    <row r="1551" hidden="1">
      <c r="A1551" s="20" t="s">
        <v>383</v>
      </c>
      <c r="B1551" s="7" t="s">
        <v>848</v>
      </c>
      <c r="C1551" s="7" t="s">
        <v>849</v>
      </c>
      <c r="D1551" s="15">
        <v>3.0</v>
      </c>
      <c r="E1551" s="67">
        <f t="shared" si="11"/>
        <v>750</v>
      </c>
      <c r="F1551" s="67"/>
    </row>
    <row r="1552" hidden="1">
      <c r="A1552" s="20" t="s">
        <v>383</v>
      </c>
      <c r="B1552" s="7" t="s">
        <v>986</v>
      </c>
      <c r="C1552" s="7" t="s">
        <v>987</v>
      </c>
      <c r="D1552" s="15">
        <v>4.0</v>
      </c>
      <c r="E1552" s="67">
        <f t="shared" si="11"/>
        <v>1000</v>
      </c>
      <c r="F1552" s="67"/>
    </row>
    <row r="1553" hidden="1">
      <c r="A1553" s="20" t="s">
        <v>383</v>
      </c>
      <c r="B1553" s="13" t="s">
        <v>1211</v>
      </c>
      <c r="C1553" s="59" t="s">
        <v>1212</v>
      </c>
      <c r="D1553" s="15">
        <v>0.0</v>
      </c>
      <c r="E1553" s="67">
        <f t="shared" si="11"/>
        <v>0</v>
      </c>
      <c r="F1553" s="67"/>
    </row>
    <row r="1554" hidden="1">
      <c r="A1554" s="20" t="s">
        <v>383</v>
      </c>
      <c r="B1554" s="7" t="s">
        <v>1213</v>
      </c>
      <c r="C1554" s="7" t="s">
        <v>1214</v>
      </c>
      <c r="D1554" s="15">
        <v>1.0</v>
      </c>
      <c r="E1554" s="67">
        <f t="shared" si="11"/>
        <v>250</v>
      </c>
      <c r="F1554" s="67"/>
    </row>
    <row r="1555" hidden="1">
      <c r="A1555" s="20" t="s">
        <v>383</v>
      </c>
      <c r="B1555" s="7" t="s">
        <v>852</v>
      </c>
      <c r="C1555" s="7" t="s">
        <v>853</v>
      </c>
      <c r="D1555" s="15">
        <v>13.0</v>
      </c>
      <c r="E1555" s="67">
        <f t="shared" si="11"/>
        <v>6500</v>
      </c>
      <c r="F1555" s="67"/>
    </row>
    <row r="1556" hidden="1">
      <c r="A1556" s="20" t="s">
        <v>383</v>
      </c>
      <c r="B1556" s="13" t="s">
        <v>1215</v>
      </c>
      <c r="C1556" s="59" t="s">
        <v>1216</v>
      </c>
      <c r="D1556" s="15">
        <v>0.0</v>
      </c>
      <c r="E1556" s="67">
        <f t="shared" si="11"/>
        <v>0</v>
      </c>
      <c r="F1556" s="67"/>
    </row>
    <row r="1557" hidden="1">
      <c r="A1557" s="20" t="s">
        <v>383</v>
      </c>
      <c r="B1557" s="7" t="s">
        <v>1051</v>
      </c>
      <c r="C1557" s="7" t="s">
        <v>1052</v>
      </c>
      <c r="D1557" s="15">
        <v>5.0</v>
      </c>
      <c r="E1557" s="67">
        <f t="shared" si="11"/>
        <v>1250</v>
      </c>
      <c r="F1557" s="67"/>
    </row>
    <row r="1558" hidden="1">
      <c r="A1558" s="20" t="s">
        <v>383</v>
      </c>
      <c r="B1558" s="7" t="s">
        <v>530</v>
      </c>
      <c r="C1558" s="7" t="s">
        <v>531</v>
      </c>
      <c r="D1558" s="15">
        <v>0.0</v>
      </c>
      <c r="E1558" s="67">
        <f t="shared" si="11"/>
        <v>0</v>
      </c>
      <c r="F1558" s="67"/>
    </row>
    <row r="1559" hidden="1">
      <c r="A1559" s="20" t="s">
        <v>383</v>
      </c>
      <c r="B1559" s="7" t="s">
        <v>532</v>
      </c>
      <c r="C1559" s="7" t="s">
        <v>533</v>
      </c>
      <c r="D1559" s="15">
        <v>6.0</v>
      </c>
      <c r="E1559" s="67">
        <f t="shared" si="11"/>
        <v>1500</v>
      </c>
      <c r="F1559" s="67"/>
    </row>
    <row r="1560" hidden="1">
      <c r="A1560" s="20" t="s">
        <v>383</v>
      </c>
      <c r="B1560" s="7" t="s">
        <v>540</v>
      </c>
      <c r="C1560" s="7" t="s">
        <v>541</v>
      </c>
      <c r="D1560" s="15">
        <v>21.0</v>
      </c>
      <c r="E1560" s="67">
        <f t="shared" si="11"/>
        <v>10500</v>
      </c>
      <c r="F1560" s="67"/>
    </row>
    <row r="1561" hidden="1">
      <c r="A1561" s="20" t="s">
        <v>383</v>
      </c>
      <c r="B1561" s="7" t="s">
        <v>542</v>
      </c>
      <c r="C1561" s="44" t="s">
        <v>543</v>
      </c>
      <c r="D1561" s="9">
        <v>5.0</v>
      </c>
      <c r="E1561" s="67">
        <f t="shared" si="11"/>
        <v>1250</v>
      </c>
      <c r="F1561" s="67"/>
    </row>
    <row r="1562" hidden="1">
      <c r="A1562" s="20" t="s">
        <v>383</v>
      </c>
      <c r="B1562" s="13" t="s">
        <v>546</v>
      </c>
      <c r="C1562" s="59" t="s">
        <v>547</v>
      </c>
      <c r="D1562" s="15">
        <v>8.0</v>
      </c>
      <c r="E1562" s="67">
        <f t="shared" si="11"/>
        <v>2000</v>
      </c>
      <c r="F1562" s="67"/>
    </row>
    <row r="1563" hidden="1">
      <c r="A1563" s="20" t="s">
        <v>383</v>
      </c>
      <c r="B1563" s="44" t="s">
        <v>1101</v>
      </c>
      <c r="C1563" s="44" t="s">
        <v>1102</v>
      </c>
      <c r="D1563" s="9">
        <v>5.0</v>
      </c>
      <c r="E1563" s="67">
        <f t="shared" si="11"/>
        <v>1250</v>
      </c>
      <c r="F1563" s="67"/>
    </row>
    <row r="1564" hidden="1">
      <c r="A1564" s="20" t="s">
        <v>383</v>
      </c>
      <c r="B1564" s="7" t="s">
        <v>1103</v>
      </c>
      <c r="C1564" s="7" t="s">
        <v>1104</v>
      </c>
      <c r="D1564" s="15">
        <v>3.0</v>
      </c>
      <c r="E1564" s="67">
        <f t="shared" si="11"/>
        <v>750</v>
      </c>
      <c r="F1564" s="67"/>
    </row>
    <row r="1565" hidden="1">
      <c r="A1565" s="20" t="s">
        <v>383</v>
      </c>
      <c r="B1565" s="7" t="s">
        <v>1217</v>
      </c>
      <c r="C1565" s="7" t="s">
        <v>1218</v>
      </c>
      <c r="D1565" s="15">
        <v>1.0</v>
      </c>
      <c r="E1565" s="67">
        <f t="shared" si="11"/>
        <v>250</v>
      </c>
      <c r="F1565" s="67"/>
    </row>
    <row r="1566" hidden="1">
      <c r="A1566" s="20" t="s">
        <v>383</v>
      </c>
      <c r="B1566" s="13" t="s">
        <v>1219</v>
      </c>
      <c r="C1566" s="7" t="s">
        <v>1220</v>
      </c>
      <c r="D1566" s="15">
        <v>1.0</v>
      </c>
      <c r="E1566" s="67">
        <f t="shared" si="11"/>
        <v>250</v>
      </c>
      <c r="F1566" s="67"/>
    </row>
    <row r="1567" hidden="1">
      <c r="A1567" s="20" t="s">
        <v>383</v>
      </c>
      <c r="B1567" s="7" t="s">
        <v>1221</v>
      </c>
      <c r="C1567" s="7" t="s">
        <v>1222</v>
      </c>
      <c r="D1567" s="15">
        <v>2.0</v>
      </c>
      <c r="E1567" s="67">
        <f t="shared" si="11"/>
        <v>500</v>
      </c>
      <c r="F1567" s="67"/>
    </row>
    <row r="1568" hidden="1">
      <c r="A1568" s="20" t="s">
        <v>383</v>
      </c>
      <c r="B1568" s="7" t="s">
        <v>1167</v>
      </c>
      <c r="C1568" s="7" t="s">
        <v>1168</v>
      </c>
      <c r="D1568" s="15">
        <v>9.0</v>
      </c>
      <c r="E1568" s="67">
        <f t="shared" si="11"/>
        <v>2250</v>
      </c>
      <c r="F1568" s="67"/>
    </row>
    <row r="1569" hidden="1">
      <c r="A1569" s="20" t="s">
        <v>383</v>
      </c>
      <c r="B1569" s="13" t="s">
        <v>1169</v>
      </c>
      <c r="C1569" s="59" t="s">
        <v>1170</v>
      </c>
      <c r="D1569" s="15">
        <v>0.0</v>
      </c>
      <c r="E1569" s="67">
        <f t="shared" si="11"/>
        <v>0</v>
      </c>
      <c r="F1569" s="67"/>
    </row>
    <row r="1570" hidden="1">
      <c r="A1570" s="20" t="s">
        <v>383</v>
      </c>
      <c r="B1570" s="7" t="s">
        <v>1223</v>
      </c>
      <c r="C1570" s="7" t="s">
        <v>1224</v>
      </c>
      <c r="D1570" s="15">
        <v>1.0</v>
      </c>
      <c r="E1570" s="67">
        <f t="shared" si="11"/>
        <v>250</v>
      </c>
      <c r="F1570" s="67"/>
    </row>
    <row r="1571" hidden="1">
      <c r="A1571" s="20" t="s">
        <v>383</v>
      </c>
      <c r="B1571" s="7" t="s">
        <v>560</v>
      </c>
      <c r="C1571" s="7" t="s">
        <v>561</v>
      </c>
      <c r="D1571" s="15">
        <v>7.0</v>
      </c>
      <c r="E1571" s="67">
        <f t="shared" si="11"/>
        <v>1750</v>
      </c>
      <c r="F1571" s="67"/>
    </row>
    <row r="1572" hidden="1">
      <c r="A1572" s="20" t="s">
        <v>383</v>
      </c>
      <c r="B1572" s="7" t="s">
        <v>564</v>
      </c>
      <c r="C1572" s="7" t="s">
        <v>565</v>
      </c>
      <c r="D1572" s="15">
        <v>3.0</v>
      </c>
      <c r="E1572" s="67">
        <f t="shared" si="11"/>
        <v>750</v>
      </c>
      <c r="F1572" s="67"/>
    </row>
    <row r="1573" hidden="1">
      <c r="A1573" s="20" t="s">
        <v>383</v>
      </c>
      <c r="B1573" s="13" t="s">
        <v>1225</v>
      </c>
      <c r="C1573" s="59" t="s">
        <v>1226</v>
      </c>
      <c r="D1573" s="15">
        <v>0.0</v>
      </c>
      <c r="E1573" s="67">
        <f t="shared" si="11"/>
        <v>0</v>
      </c>
      <c r="F1573" s="67"/>
    </row>
    <row r="1574" hidden="1">
      <c r="A1574" s="20" t="s">
        <v>383</v>
      </c>
      <c r="B1574" s="7" t="s">
        <v>566</v>
      </c>
      <c r="C1574" s="7" t="s">
        <v>567</v>
      </c>
      <c r="D1574" s="15">
        <v>6.0</v>
      </c>
      <c r="E1574" s="67">
        <f t="shared" si="11"/>
        <v>1500</v>
      </c>
      <c r="F1574" s="67"/>
    </row>
    <row r="1575" hidden="1">
      <c r="A1575" s="20" t="s">
        <v>383</v>
      </c>
      <c r="B1575" s="7" t="s">
        <v>1135</v>
      </c>
      <c r="C1575" s="7" t="s">
        <v>1136</v>
      </c>
      <c r="D1575" s="15">
        <v>10.0</v>
      </c>
      <c r="E1575" s="67">
        <f t="shared" si="11"/>
        <v>5000</v>
      </c>
      <c r="F1575" s="67"/>
    </row>
    <row r="1576" hidden="1">
      <c r="A1576" s="20" t="s">
        <v>383</v>
      </c>
      <c r="B1576" s="7" t="s">
        <v>1105</v>
      </c>
      <c r="C1576" s="7" t="s">
        <v>1106</v>
      </c>
      <c r="D1576" s="15">
        <v>2.0</v>
      </c>
      <c r="E1576" s="67">
        <f t="shared" si="11"/>
        <v>500</v>
      </c>
      <c r="F1576" s="67"/>
    </row>
    <row r="1577" hidden="1">
      <c r="A1577" s="20" t="s">
        <v>383</v>
      </c>
      <c r="B1577" s="7" t="s">
        <v>862</v>
      </c>
      <c r="C1577" s="7" t="s">
        <v>863</v>
      </c>
      <c r="D1577" s="15">
        <v>3.0</v>
      </c>
      <c r="E1577" s="67">
        <f t="shared" si="11"/>
        <v>750</v>
      </c>
      <c r="F1577" s="67"/>
    </row>
    <row r="1578" hidden="1">
      <c r="A1578" s="20" t="s">
        <v>383</v>
      </c>
      <c r="B1578" s="7" t="s">
        <v>1227</v>
      </c>
      <c r="C1578" s="7" t="s">
        <v>1228</v>
      </c>
      <c r="D1578" s="15">
        <v>0.0</v>
      </c>
      <c r="E1578" s="67">
        <f t="shared" si="11"/>
        <v>0</v>
      </c>
      <c r="F1578" s="67"/>
    </row>
    <row r="1579" hidden="1">
      <c r="A1579" s="20" t="s">
        <v>383</v>
      </c>
      <c r="B1579" s="13" t="s">
        <v>1137</v>
      </c>
      <c r="C1579" s="59" t="s">
        <v>1138</v>
      </c>
      <c r="D1579" s="15">
        <v>1.0</v>
      </c>
      <c r="E1579" s="67">
        <f t="shared" si="11"/>
        <v>250</v>
      </c>
      <c r="F1579" s="67"/>
    </row>
    <row r="1580" hidden="1">
      <c r="A1580" s="20" t="s">
        <v>383</v>
      </c>
      <c r="B1580" s="7" t="s">
        <v>572</v>
      </c>
      <c r="C1580" s="7" t="s">
        <v>573</v>
      </c>
      <c r="D1580" s="15">
        <v>6.0</v>
      </c>
      <c r="E1580" s="67">
        <f t="shared" si="11"/>
        <v>1500</v>
      </c>
      <c r="F1580" s="67"/>
    </row>
    <row r="1581" hidden="1">
      <c r="A1581" s="20" t="s">
        <v>383</v>
      </c>
      <c r="B1581" s="13" t="s">
        <v>1229</v>
      </c>
      <c r="C1581" s="59" t="s">
        <v>1230</v>
      </c>
      <c r="D1581" s="15">
        <v>0.0</v>
      </c>
      <c r="E1581" s="67">
        <f t="shared" si="11"/>
        <v>0</v>
      </c>
      <c r="F1581" s="67"/>
    </row>
    <row r="1582" hidden="1">
      <c r="A1582" s="20" t="s">
        <v>383</v>
      </c>
      <c r="B1582" s="7" t="s">
        <v>1231</v>
      </c>
      <c r="C1582" s="7" t="s">
        <v>1232</v>
      </c>
      <c r="D1582" s="15">
        <v>0.0</v>
      </c>
      <c r="E1582" s="67">
        <f t="shared" si="11"/>
        <v>0</v>
      </c>
      <c r="F1582" s="67"/>
    </row>
    <row r="1583" hidden="1">
      <c r="A1583" s="20" t="s">
        <v>383</v>
      </c>
      <c r="B1583" s="7" t="s">
        <v>1171</v>
      </c>
      <c r="C1583" s="7" t="s">
        <v>1172</v>
      </c>
      <c r="D1583" s="15">
        <v>7.0</v>
      </c>
      <c r="E1583" s="67">
        <f t="shared" si="11"/>
        <v>1750</v>
      </c>
      <c r="F1583" s="67"/>
    </row>
    <row r="1584" hidden="1">
      <c r="A1584" s="20" t="s">
        <v>383</v>
      </c>
      <c r="B1584" s="7" t="s">
        <v>590</v>
      </c>
      <c r="C1584" s="7" t="s">
        <v>591</v>
      </c>
      <c r="D1584" s="15">
        <v>12.0</v>
      </c>
      <c r="E1584" s="67">
        <f t="shared" si="11"/>
        <v>6000</v>
      </c>
      <c r="F1584" s="67"/>
    </row>
    <row r="1585" hidden="1">
      <c r="A1585" s="20" t="s">
        <v>383</v>
      </c>
      <c r="B1585" s="7" t="s">
        <v>596</v>
      </c>
      <c r="C1585" s="7" t="s">
        <v>597</v>
      </c>
      <c r="D1585" s="15">
        <v>7.0</v>
      </c>
      <c r="E1585" s="67">
        <f t="shared" si="11"/>
        <v>1750</v>
      </c>
      <c r="F1585" s="67"/>
    </row>
    <row r="1586" hidden="1">
      <c r="A1586" s="20" t="s">
        <v>383</v>
      </c>
      <c r="B1586" s="7" t="s">
        <v>1233</v>
      </c>
      <c r="C1586" s="7" t="s">
        <v>1234</v>
      </c>
      <c r="D1586" s="15">
        <v>0.0</v>
      </c>
      <c r="E1586" s="67">
        <f t="shared" si="11"/>
        <v>0</v>
      </c>
      <c r="F1586" s="67"/>
    </row>
    <row r="1587" hidden="1">
      <c r="A1587" s="20" t="s">
        <v>383</v>
      </c>
      <c r="B1587" s="7" t="s">
        <v>1235</v>
      </c>
      <c r="C1587" s="7" t="s">
        <v>1236</v>
      </c>
      <c r="D1587" s="15">
        <v>0.0</v>
      </c>
      <c r="E1587" s="67">
        <f t="shared" si="11"/>
        <v>0</v>
      </c>
      <c r="F1587" s="67"/>
    </row>
    <row r="1588" hidden="1">
      <c r="A1588" s="20" t="s">
        <v>383</v>
      </c>
      <c r="B1588" s="7" t="s">
        <v>602</v>
      </c>
      <c r="C1588" s="7" t="s">
        <v>603</v>
      </c>
      <c r="D1588" s="15">
        <v>6.0</v>
      </c>
      <c r="E1588" s="67">
        <f t="shared" si="11"/>
        <v>1500</v>
      </c>
      <c r="F1588" s="67"/>
    </row>
    <row r="1589" hidden="1">
      <c r="A1589" s="20" t="s">
        <v>383</v>
      </c>
      <c r="B1589" s="7" t="s">
        <v>604</v>
      </c>
      <c r="C1589" s="7" t="s">
        <v>605</v>
      </c>
      <c r="D1589" s="15">
        <v>6.0</v>
      </c>
      <c r="E1589" s="67">
        <f t="shared" si="11"/>
        <v>1500</v>
      </c>
      <c r="F1589" s="67"/>
    </row>
    <row r="1590" hidden="1">
      <c r="A1590" s="20" t="s">
        <v>383</v>
      </c>
      <c r="B1590" s="7" t="s">
        <v>606</v>
      </c>
      <c r="C1590" s="7" t="s">
        <v>607</v>
      </c>
      <c r="D1590" s="15">
        <v>3.0</v>
      </c>
      <c r="E1590" s="67">
        <f t="shared" si="11"/>
        <v>750</v>
      </c>
      <c r="F1590" s="67"/>
    </row>
    <row r="1591" hidden="1">
      <c r="A1591" s="20" t="s">
        <v>383</v>
      </c>
      <c r="B1591" s="7" t="s">
        <v>1237</v>
      </c>
      <c r="C1591" s="7" t="s">
        <v>1238</v>
      </c>
      <c r="D1591" s="15">
        <v>5.0</v>
      </c>
      <c r="E1591" s="67">
        <f t="shared" si="11"/>
        <v>1250</v>
      </c>
      <c r="F1591" s="67"/>
    </row>
    <row r="1592" hidden="1">
      <c r="A1592" s="20" t="s">
        <v>383</v>
      </c>
      <c r="B1592" s="7" t="s">
        <v>1057</v>
      </c>
      <c r="C1592" s="7" t="s">
        <v>1058</v>
      </c>
      <c r="D1592" s="15">
        <v>4.0</v>
      </c>
      <c r="E1592" s="67">
        <f t="shared" si="11"/>
        <v>1000</v>
      </c>
      <c r="F1592" s="67"/>
    </row>
    <row r="1593" hidden="1">
      <c r="A1593" s="20" t="s">
        <v>383</v>
      </c>
      <c r="B1593" s="13" t="s">
        <v>1139</v>
      </c>
      <c r="C1593" s="59" t="s">
        <v>1140</v>
      </c>
      <c r="D1593" s="15">
        <v>2.0</v>
      </c>
      <c r="E1593" s="67">
        <f t="shared" si="11"/>
        <v>500</v>
      </c>
      <c r="F1593" s="67"/>
    </row>
    <row r="1594" hidden="1">
      <c r="A1594" s="20" t="s">
        <v>383</v>
      </c>
      <c r="B1594" s="7" t="s">
        <v>1059</v>
      </c>
      <c r="C1594" s="7" t="s">
        <v>1060</v>
      </c>
      <c r="D1594" s="15">
        <v>5.0</v>
      </c>
      <c r="E1594" s="67">
        <f t="shared" si="11"/>
        <v>1250</v>
      </c>
      <c r="F1594" s="67"/>
    </row>
    <row r="1595" hidden="1">
      <c r="A1595" s="20" t="s">
        <v>383</v>
      </c>
      <c r="B1595" s="7" t="s">
        <v>1114</v>
      </c>
      <c r="C1595" s="7" t="s">
        <v>1115</v>
      </c>
      <c r="D1595" s="15">
        <v>6.0</v>
      </c>
      <c r="E1595" s="67">
        <f t="shared" si="11"/>
        <v>1500</v>
      </c>
      <c r="F1595" s="67"/>
    </row>
    <row r="1596" hidden="1">
      <c r="A1596" s="20" t="s">
        <v>383</v>
      </c>
      <c r="B1596" s="7" t="s">
        <v>620</v>
      </c>
      <c r="C1596" s="7" t="s">
        <v>621</v>
      </c>
      <c r="D1596" s="15">
        <v>11.0</v>
      </c>
      <c r="E1596" s="67">
        <f t="shared" si="11"/>
        <v>5500</v>
      </c>
      <c r="F1596" s="67"/>
    </row>
    <row r="1597" hidden="1">
      <c r="A1597" s="20" t="s">
        <v>383</v>
      </c>
      <c r="B1597" s="7" t="s">
        <v>622</v>
      </c>
      <c r="C1597" s="7" t="s">
        <v>623</v>
      </c>
      <c r="D1597" s="15">
        <v>2.0</v>
      </c>
      <c r="E1597" s="67">
        <f t="shared" si="11"/>
        <v>500</v>
      </c>
      <c r="F1597" s="67"/>
    </row>
    <row r="1598" hidden="1">
      <c r="A1598" s="20" t="s">
        <v>383</v>
      </c>
      <c r="B1598" s="7" t="s">
        <v>624</v>
      </c>
      <c r="C1598" s="7" t="s">
        <v>625</v>
      </c>
      <c r="D1598" s="15">
        <v>11.0</v>
      </c>
      <c r="E1598" s="67">
        <f t="shared" si="11"/>
        <v>5500</v>
      </c>
      <c r="F1598" s="67"/>
    </row>
    <row r="1599" hidden="1">
      <c r="A1599" s="20" t="s">
        <v>383</v>
      </c>
      <c r="B1599" s="7" t="s">
        <v>626</v>
      </c>
      <c r="C1599" s="7" t="s">
        <v>627</v>
      </c>
      <c r="D1599" s="15">
        <v>13.0</v>
      </c>
      <c r="E1599" s="67">
        <f t="shared" si="11"/>
        <v>6500</v>
      </c>
      <c r="F1599" s="67"/>
    </row>
    <row r="1600" hidden="1">
      <c r="A1600" s="20" t="s">
        <v>383</v>
      </c>
      <c r="B1600" s="7" t="s">
        <v>628</v>
      </c>
      <c r="C1600" s="7" t="s">
        <v>629</v>
      </c>
      <c r="D1600" s="15">
        <v>5.0</v>
      </c>
      <c r="E1600" s="67">
        <f t="shared" si="11"/>
        <v>1250</v>
      </c>
      <c r="F1600" s="67"/>
    </row>
    <row r="1601" hidden="1">
      <c r="A1601" s="20" t="s">
        <v>383</v>
      </c>
      <c r="B1601" s="25" t="s">
        <v>1173</v>
      </c>
      <c r="C1601" s="59" t="s">
        <v>1174</v>
      </c>
      <c r="D1601" s="15">
        <v>1.0</v>
      </c>
      <c r="E1601" s="67">
        <f t="shared" si="11"/>
        <v>250</v>
      </c>
      <c r="F1601" s="67"/>
    </row>
    <row r="1602" hidden="1">
      <c r="A1602" s="20" t="s">
        <v>383</v>
      </c>
      <c r="B1602" s="7" t="s">
        <v>1175</v>
      </c>
      <c r="C1602" s="7" t="s">
        <v>1176</v>
      </c>
      <c r="D1602" s="15">
        <v>2.0</v>
      </c>
      <c r="E1602" s="67">
        <f t="shared" si="11"/>
        <v>500</v>
      </c>
      <c r="F1602" s="67"/>
    </row>
    <row r="1603" hidden="1">
      <c r="A1603" s="20" t="s">
        <v>383</v>
      </c>
      <c r="B1603" s="13" t="s">
        <v>1177</v>
      </c>
      <c r="C1603" s="59" t="s">
        <v>1178</v>
      </c>
      <c r="D1603" s="15">
        <v>2.0</v>
      </c>
      <c r="E1603" s="67">
        <f t="shared" si="11"/>
        <v>500</v>
      </c>
      <c r="F1603" s="67"/>
    </row>
    <row r="1604" hidden="1">
      <c r="A1604" s="20" t="s">
        <v>383</v>
      </c>
      <c r="B1604" s="7" t="s">
        <v>640</v>
      </c>
      <c r="C1604" s="7" t="s">
        <v>641</v>
      </c>
      <c r="D1604" s="15">
        <v>15.0</v>
      </c>
      <c r="E1604" s="67">
        <f t="shared" si="11"/>
        <v>7500</v>
      </c>
      <c r="F1604" s="67"/>
    </row>
    <row r="1605" hidden="1">
      <c r="A1605" s="20" t="s">
        <v>383</v>
      </c>
      <c r="B1605" s="7" t="s">
        <v>1239</v>
      </c>
      <c r="C1605" s="7" t="s">
        <v>1240</v>
      </c>
      <c r="D1605" s="15">
        <v>0.0</v>
      </c>
      <c r="E1605" s="67">
        <f t="shared" si="11"/>
        <v>0</v>
      </c>
      <c r="F1605" s="67"/>
    </row>
    <row r="1606" hidden="1">
      <c r="A1606" s="20" t="s">
        <v>383</v>
      </c>
      <c r="B1606" s="7" t="s">
        <v>644</v>
      </c>
      <c r="C1606" s="7" t="s">
        <v>645</v>
      </c>
      <c r="D1606" s="15">
        <v>20.0</v>
      </c>
      <c r="E1606" s="67">
        <f t="shared" si="11"/>
        <v>10000</v>
      </c>
      <c r="F1606" s="67"/>
    </row>
    <row r="1607" hidden="1">
      <c r="A1607" s="20" t="s">
        <v>383</v>
      </c>
      <c r="B1607" s="7" t="s">
        <v>878</v>
      </c>
      <c r="C1607" s="7" t="s">
        <v>879</v>
      </c>
      <c r="D1607" s="15">
        <v>6.0</v>
      </c>
      <c r="E1607" s="67">
        <f t="shared" si="11"/>
        <v>1500</v>
      </c>
      <c r="F1607" s="67"/>
    </row>
    <row r="1608" hidden="1">
      <c r="A1608" s="20" t="s">
        <v>383</v>
      </c>
      <c r="B1608" s="7" t="s">
        <v>650</v>
      </c>
      <c r="C1608" s="7" t="s">
        <v>651</v>
      </c>
      <c r="D1608" s="15">
        <v>5.0</v>
      </c>
      <c r="E1608" s="67">
        <f t="shared" si="11"/>
        <v>1250</v>
      </c>
      <c r="F1608" s="67"/>
    </row>
    <row r="1609" hidden="1">
      <c r="A1609" s="20" t="s">
        <v>383</v>
      </c>
      <c r="B1609" s="7" t="s">
        <v>1179</v>
      </c>
      <c r="C1609" s="7" t="s">
        <v>1180</v>
      </c>
      <c r="D1609" s="15">
        <v>5.0</v>
      </c>
      <c r="E1609" s="67">
        <f t="shared" si="11"/>
        <v>1250</v>
      </c>
      <c r="F1609" s="67"/>
    </row>
    <row r="1610" hidden="1">
      <c r="A1610" s="20" t="s">
        <v>383</v>
      </c>
      <c r="B1610" s="7" t="s">
        <v>1143</v>
      </c>
      <c r="C1610" s="7" t="s">
        <v>1144</v>
      </c>
      <c r="D1610" s="15">
        <v>6.0</v>
      </c>
      <c r="E1610" s="67">
        <f t="shared" si="11"/>
        <v>1500</v>
      </c>
      <c r="F1610" s="67"/>
    </row>
    <row r="1611" hidden="1">
      <c r="A1611" s="20" t="s">
        <v>383</v>
      </c>
      <c r="B1611" s="7" t="s">
        <v>882</v>
      </c>
      <c r="C1611" s="7" t="s">
        <v>883</v>
      </c>
      <c r="D1611" s="15">
        <v>7.0</v>
      </c>
      <c r="E1611" s="67">
        <f t="shared" si="11"/>
        <v>1750</v>
      </c>
      <c r="F1611" s="67"/>
    </row>
    <row r="1612" hidden="1">
      <c r="A1612" s="20" t="s">
        <v>383</v>
      </c>
      <c r="B1612" s="7" t="s">
        <v>966</v>
      </c>
      <c r="C1612" s="7" t="s">
        <v>967</v>
      </c>
      <c r="D1612" s="15">
        <v>3.0</v>
      </c>
      <c r="E1612" s="67">
        <f t="shared" si="11"/>
        <v>750</v>
      </c>
      <c r="F1612" s="67"/>
    </row>
    <row r="1613" hidden="1">
      <c r="A1613" s="20" t="s">
        <v>383</v>
      </c>
      <c r="B1613" s="13" t="s">
        <v>807</v>
      </c>
      <c r="C1613" s="59" t="s">
        <v>808</v>
      </c>
      <c r="D1613" s="15">
        <v>5.0</v>
      </c>
      <c r="E1613" s="67">
        <f t="shared" si="11"/>
        <v>1250</v>
      </c>
      <c r="F1613" s="67"/>
    </row>
    <row r="1614" hidden="1">
      <c r="A1614" s="20" t="s">
        <v>383</v>
      </c>
      <c r="B1614" s="7" t="s">
        <v>1116</v>
      </c>
      <c r="C1614" s="7" t="s">
        <v>1117</v>
      </c>
      <c r="D1614" s="15">
        <v>5.0</v>
      </c>
      <c r="E1614" s="67">
        <f t="shared" si="11"/>
        <v>1250</v>
      </c>
      <c r="F1614" s="67"/>
    </row>
    <row r="1615" hidden="1">
      <c r="A1615" s="20" t="s">
        <v>383</v>
      </c>
      <c r="B1615" s="7" t="s">
        <v>1241</v>
      </c>
      <c r="C1615" s="7" t="s">
        <v>1242</v>
      </c>
      <c r="D1615" s="15">
        <v>0.0</v>
      </c>
      <c r="E1615" s="67">
        <f t="shared" si="11"/>
        <v>0</v>
      </c>
      <c r="F1615" s="67"/>
    </row>
    <row r="1616" hidden="1">
      <c r="A1616" s="20" t="s">
        <v>383</v>
      </c>
      <c r="B1616" s="7" t="s">
        <v>821</v>
      </c>
      <c r="C1616" s="7" t="s">
        <v>822</v>
      </c>
      <c r="D1616" s="15">
        <v>9.0</v>
      </c>
      <c r="E1616" s="67">
        <f t="shared" si="11"/>
        <v>2250</v>
      </c>
      <c r="F1616" s="67"/>
    </row>
    <row r="1617" hidden="1">
      <c r="A1617" s="20" t="s">
        <v>383</v>
      </c>
      <c r="B1617" s="7" t="s">
        <v>1145</v>
      </c>
      <c r="C1617" s="7" t="s">
        <v>1146</v>
      </c>
      <c r="D1617" s="15">
        <v>8.0</v>
      </c>
      <c r="E1617" s="67">
        <f t="shared" si="11"/>
        <v>2000</v>
      </c>
      <c r="F1617" s="67"/>
    </row>
    <row r="1618" hidden="1">
      <c r="A1618" s="20" t="s">
        <v>383</v>
      </c>
      <c r="B1618" s="13" t="s">
        <v>1067</v>
      </c>
      <c r="C1618" s="59" t="s">
        <v>1068</v>
      </c>
      <c r="D1618" s="15">
        <v>3.0</v>
      </c>
      <c r="E1618" s="67">
        <f t="shared" si="11"/>
        <v>750</v>
      </c>
      <c r="F1618" s="67"/>
    </row>
    <row r="1619" hidden="1">
      <c r="A1619" s="20" t="s">
        <v>383</v>
      </c>
      <c r="B1619" s="7" t="s">
        <v>1243</v>
      </c>
      <c r="C1619" s="7" t="s">
        <v>1244</v>
      </c>
      <c r="D1619" s="15">
        <v>0.0</v>
      </c>
      <c r="E1619" s="67">
        <f t="shared" si="11"/>
        <v>0</v>
      </c>
      <c r="F1619" s="67"/>
    </row>
    <row r="1620" hidden="1">
      <c r="A1620" s="20" t="s">
        <v>383</v>
      </c>
      <c r="B1620" s="7" t="s">
        <v>1013</v>
      </c>
      <c r="C1620" s="7" t="s">
        <v>1014</v>
      </c>
      <c r="D1620" s="15">
        <v>4.0</v>
      </c>
      <c r="E1620" s="67">
        <f t="shared" si="11"/>
        <v>1000</v>
      </c>
      <c r="F1620" s="67"/>
    </row>
    <row r="1621" hidden="1">
      <c r="A1621" s="20" t="s">
        <v>383</v>
      </c>
      <c r="B1621" s="7" t="s">
        <v>1069</v>
      </c>
      <c r="C1621" s="7" t="s">
        <v>1070</v>
      </c>
      <c r="D1621" s="15">
        <v>2.0</v>
      </c>
      <c r="E1621" s="67">
        <f t="shared" si="11"/>
        <v>500</v>
      </c>
      <c r="F1621" s="67"/>
    </row>
    <row r="1622" hidden="1">
      <c r="A1622" s="20" t="s">
        <v>383</v>
      </c>
      <c r="B1622" s="7" t="s">
        <v>1245</v>
      </c>
      <c r="C1622" s="7" t="s">
        <v>1246</v>
      </c>
      <c r="D1622" s="15">
        <v>2.0</v>
      </c>
      <c r="E1622" s="67">
        <f t="shared" si="11"/>
        <v>500</v>
      </c>
      <c r="F1622" s="67"/>
    </row>
    <row r="1623" hidden="1">
      <c r="A1623" s="20" t="s">
        <v>383</v>
      </c>
      <c r="B1623" s="7" t="s">
        <v>1247</v>
      </c>
      <c r="C1623" s="7" t="s">
        <v>1248</v>
      </c>
      <c r="D1623" s="15">
        <v>2.0</v>
      </c>
      <c r="E1623" s="67">
        <f t="shared" si="11"/>
        <v>500</v>
      </c>
      <c r="F1623" s="67"/>
    </row>
    <row r="1624" hidden="1">
      <c r="A1624" s="20" t="s">
        <v>383</v>
      </c>
      <c r="B1624" s="7" t="s">
        <v>672</v>
      </c>
      <c r="C1624" s="7" t="s">
        <v>673</v>
      </c>
      <c r="D1624" s="15">
        <v>2.0</v>
      </c>
      <c r="E1624" s="67">
        <f t="shared" si="11"/>
        <v>500</v>
      </c>
      <c r="F1624" s="67"/>
    </row>
    <row r="1625" hidden="1">
      <c r="A1625" s="20" t="s">
        <v>383</v>
      </c>
      <c r="B1625" s="7" t="s">
        <v>1249</v>
      </c>
      <c r="C1625" s="7" t="s">
        <v>1250</v>
      </c>
      <c r="D1625" s="15">
        <v>0.0</v>
      </c>
      <c r="E1625" s="67">
        <f t="shared" si="11"/>
        <v>0</v>
      </c>
      <c r="F1625" s="67"/>
    </row>
    <row r="1626" hidden="1">
      <c r="A1626" s="20" t="s">
        <v>383</v>
      </c>
      <c r="B1626" s="7" t="s">
        <v>680</v>
      </c>
      <c r="C1626" s="7" t="s">
        <v>681</v>
      </c>
      <c r="D1626" s="15">
        <v>10.0</v>
      </c>
      <c r="E1626" s="67">
        <f t="shared" si="11"/>
        <v>5000</v>
      </c>
      <c r="F1626" s="67"/>
    </row>
    <row r="1627" hidden="1">
      <c r="A1627" s="20" t="s">
        <v>383</v>
      </c>
      <c r="B1627" s="7" t="s">
        <v>682</v>
      </c>
      <c r="C1627" s="7" t="s">
        <v>683</v>
      </c>
      <c r="D1627" s="15">
        <v>12.0</v>
      </c>
      <c r="E1627" s="67">
        <f t="shared" si="11"/>
        <v>6000</v>
      </c>
      <c r="F1627" s="67"/>
    </row>
    <row r="1628" hidden="1">
      <c r="A1628" s="20" t="s">
        <v>383</v>
      </c>
      <c r="B1628" s="7" t="s">
        <v>684</v>
      </c>
      <c r="C1628" s="7" t="s">
        <v>685</v>
      </c>
      <c r="D1628" s="15">
        <v>4.0</v>
      </c>
      <c r="E1628" s="67">
        <f t="shared" si="11"/>
        <v>1000</v>
      </c>
      <c r="F1628" s="67"/>
    </row>
    <row r="1629" hidden="1">
      <c r="A1629" s="20" t="s">
        <v>383</v>
      </c>
      <c r="B1629" s="7" t="s">
        <v>1251</v>
      </c>
      <c r="C1629" s="7" t="s">
        <v>1252</v>
      </c>
      <c r="D1629" s="15">
        <v>0.0</v>
      </c>
      <c r="E1629" s="67">
        <f t="shared" si="11"/>
        <v>0</v>
      </c>
      <c r="F1629" s="67"/>
    </row>
    <row r="1630" hidden="1">
      <c r="A1630" s="20" t="s">
        <v>383</v>
      </c>
      <c r="B1630" s="13" t="s">
        <v>1181</v>
      </c>
      <c r="C1630" s="59" t="s">
        <v>1182</v>
      </c>
      <c r="D1630" s="15">
        <v>1.0</v>
      </c>
      <c r="E1630" s="67">
        <f t="shared" si="11"/>
        <v>250</v>
      </c>
      <c r="F1630" s="67"/>
    </row>
    <row r="1631" hidden="1">
      <c r="A1631" s="20" t="s">
        <v>383</v>
      </c>
      <c r="B1631" s="7" t="s">
        <v>1183</v>
      </c>
      <c r="C1631" s="7" t="s">
        <v>1184</v>
      </c>
      <c r="D1631" s="15">
        <v>3.0</v>
      </c>
      <c r="E1631" s="67">
        <f t="shared" si="11"/>
        <v>750</v>
      </c>
      <c r="F1631" s="67"/>
    </row>
    <row r="1632" hidden="1">
      <c r="A1632" s="20" t="s">
        <v>383</v>
      </c>
      <c r="B1632" s="7" t="s">
        <v>1185</v>
      </c>
      <c r="C1632" s="7" t="s">
        <v>1186</v>
      </c>
      <c r="D1632" s="15">
        <v>1.0</v>
      </c>
      <c r="E1632" s="67">
        <f t="shared" si="11"/>
        <v>250</v>
      </c>
      <c r="F1632" s="67"/>
    </row>
    <row r="1633" hidden="1">
      <c r="A1633" s="20" t="s">
        <v>383</v>
      </c>
      <c r="B1633" s="7" t="s">
        <v>307</v>
      </c>
      <c r="C1633" s="7" t="s">
        <v>692</v>
      </c>
      <c r="D1633" s="15">
        <v>4.0</v>
      </c>
      <c r="E1633" s="67">
        <f t="shared" si="11"/>
        <v>1000</v>
      </c>
      <c r="F1633" s="67"/>
    </row>
    <row r="1634" hidden="1">
      <c r="A1634" s="20" t="s">
        <v>383</v>
      </c>
      <c r="B1634" s="7" t="s">
        <v>693</v>
      </c>
      <c r="C1634" s="7" t="s">
        <v>694</v>
      </c>
      <c r="D1634" s="15">
        <v>3.0</v>
      </c>
      <c r="E1634" s="67">
        <f t="shared" si="11"/>
        <v>750</v>
      </c>
      <c r="F1634" s="67"/>
    </row>
    <row r="1635" hidden="1">
      <c r="A1635" s="20" t="s">
        <v>383</v>
      </c>
      <c r="B1635" s="13" t="s">
        <v>1023</v>
      </c>
      <c r="C1635" s="59" t="s">
        <v>1024</v>
      </c>
      <c r="D1635" s="15">
        <v>3.0</v>
      </c>
      <c r="E1635" s="67">
        <f t="shared" si="11"/>
        <v>750</v>
      </c>
      <c r="F1635" s="67"/>
    </row>
    <row r="1636" hidden="1">
      <c r="A1636" s="20" t="s">
        <v>383</v>
      </c>
      <c r="B1636" s="7" t="s">
        <v>1075</v>
      </c>
      <c r="C1636" s="7" t="s">
        <v>1076</v>
      </c>
      <c r="D1636" s="15">
        <v>5.0</v>
      </c>
      <c r="E1636" s="67">
        <f t="shared" si="11"/>
        <v>1250</v>
      </c>
      <c r="F1636" s="67"/>
    </row>
    <row r="1637" hidden="1">
      <c r="A1637" s="20" t="s">
        <v>383</v>
      </c>
      <c r="B1637" s="7" t="s">
        <v>699</v>
      </c>
      <c r="C1637" s="7" t="s">
        <v>700</v>
      </c>
      <c r="D1637" s="15">
        <v>7.0</v>
      </c>
      <c r="E1637" s="67">
        <f t="shared" si="11"/>
        <v>1750</v>
      </c>
      <c r="F1637" s="67"/>
    </row>
    <row r="1638" hidden="1">
      <c r="A1638" s="20" t="s">
        <v>383</v>
      </c>
      <c r="B1638" s="7" t="s">
        <v>1253</v>
      </c>
      <c r="C1638" s="7" t="s">
        <v>1254</v>
      </c>
      <c r="D1638" s="15">
        <v>0.0</v>
      </c>
      <c r="E1638" s="67">
        <f t="shared" si="11"/>
        <v>0</v>
      </c>
      <c r="F1638" s="67"/>
    </row>
    <row r="1639" hidden="1">
      <c r="A1639" s="20" t="s">
        <v>383</v>
      </c>
      <c r="B1639" s="13" t="s">
        <v>1255</v>
      </c>
      <c r="C1639" s="59" t="s">
        <v>1256</v>
      </c>
      <c r="D1639" s="15">
        <v>6.0</v>
      </c>
      <c r="E1639" s="67">
        <f t="shared" si="11"/>
        <v>1500</v>
      </c>
      <c r="F1639" s="67"/>
    </row>
    <row r="1640" hidden="1">
      <c r="A1640" s="20" t="s">
        <v>383</v>
      </c>
      <c r="B1640" s="7" t="s">
        <v>1187</v>
      </c>
      <c r="C1640" s="7" t="s">
        <v>1188</v>
      </c>
      <c r="D1640" s="15">
        <v>2.0</v>
      </c>
      <c r="E1640" s="67">
        <f t="shared" si="11"/>
        <v>500</v>
      </c>
      <c r="F1640" s="67"/>
    </row>
    <row r="1641" hidden="1">
      <c r="A1641" s="20" t="s">
        <v>383</v>
      </c>
      <c r="B1641" s="7" t="s">
        <v>1149</v>
      </c>
      <c r="C1641" s="7" t="s">
        <v>1150</v>
      </c>
      <c r="D1641" s="15">
        <v>1.0</v>
      </c>
      <c r="E1641" s="67">
        <f t="shared" si="11"/>
        <v>250</v>
      </c>
      <c r="F1641" s="67"/>
    </row>
    <row r="1642" hidden="1">
      <c r="A1642" s="20" t="s">
        <v>383</v>
      </c>
      <c r="B1642" s="7" t="s">
        <v>701</v>
      </c>
      <c r="C1642" s="7" t="s">
        <v>702</v>
      </c>
      <c r="D1642" s="15">
        <v>1.0</v>
      </c>
      <c r="E1642" s="67">
        <f t="shared" si="11"/>
        <v>250</v>
      </c>
      <c r="F1642" s="67"/>
    </row>
    <row r="1643" hidden="1">
      <c r="A1643" s="20" t="s">
        <v>383</v>
      </c>
      <c r="B1643" s="7" t="s">
        <v>703</v>
      </c>
      <c r="C1643" s="7" t="s">
        <v>704</v>
      </c>
      <c r="D1643" s="15">
        <v>1.0</v>
      </c>
      <c r="E1643" s="67">
        <f t="shared" si="11"/>
        <v>250</v>
      </c>
      <c r="F1643" s="67"/>
    </row>
    <row r="1644" hidden="1">
      <c r="A1644" s="20" t="s">
        <v>383</v>
      </c>
      <c r="B1644" s="7" t="s">
        <v>1257</v>
      </c>
      <c r="C1644" s="7" t="s">
        <v>1258</v>
      </c>
      <c r="D1644" s="34"/>
      <c r="E1644" s="67">
        <f t="shared" si="11"/>
        <v>0</v>
      </c>
      <c r="F1644" s="67"/>
    </row>
    <row r="1645" hidden="1">
      <c r="A1645" s="20" t="s">
        <v>383</v>
      </c>
      <c r="B1645" s="7" t="s">
        <v>705</v>
      </c>
      <c r="C1645" s="7" t="s">
        <v>706</v>
      </c>
      <c r="D1645" s="15">
        <v>7.0</v>
      </c>
      <c r="E1645" s="67">
        <f t="shared" si="11"/>
        <v>1750</v>
      </c>
      <c r="F1645" s="67"/>
    </row>
    <row r="1646" hidden="1">
      <c r="A1646" s="20" t="s">
        <v>383</v>
      </c>
      <c r="B1646" s="7" t="s">
        <v>717</v>
      </c>
      <c r="C1646" s="7" t="s">
        <v>718</v>
      </c>
      <c r="D1646" s="15">
        <v>1.0</v>
      </c>
      <c r="E1646" s="67">
        <f t="shared" si="11"/>
        <v>250</v>
      </c>
      <c r="F1646" s="67"/>
    </row>
    <row r="1647" hidden="1">
      <c r="A1647" s="20" t="s">
        <v>383</v>
      </c>
      <c r="B1647" s="13" t="s">
        <v>719</v>
      </c>
      <c r="C1647" s="59" t="s">
        <v>720</v>
      </c>
      <c r="D1647" s="15">
        <v>1.0</v>
      </c>
      <c r="E1647" s="67">
        <f t="shared" si="11"/>
        <v>250</v>
      </c>
      <c r="F1647" s="67"/>
    </row>
    <row r="1648" hidden="1">
      <c r="A1648" s="20" t="s">
        <v>383</v>
      </c>
      <c r="B1648" s="7" t="s">
        <v>721</v>
      </c>
      <c r="C1648" s="7" t="s">
        <v>722</v>
      </c>
      <c r="D1648" s="15">
        <v>6.0</v>
      </c>
      <c r="E1648" s="67">
        <f t="shared" si="11"/>
        <v>1500</v>
      </c>
      <c r="F1648" s="67"/>
    </row>
    <row r="1649" hidden="1">
      <c r="A1649" s="20" t="s">
        <v>383</v>
      </c>
      <c r="B1649" s="7" t="s">
        <v>1079</v>
      </c>
      <c r="C1649" s="7" t="s">
        <v>1080</v>
      </c>
      <c r="D1649" s="15">
        <v>3.0</v>
      </c>
      <c r="E1649" s="67">
        <f t="shared" si="11"/>
        <v>750</v>
      </c>
      <c r="F1649" s="67"/>
    </row>
    <row r="1650" hidden="1">
      <c r="A1650" s="20" t="s">
        <v>383</v>
      </c>
      <c r="B1650" s="7" t="s">
        <v>723</v>
      </c>
      <c r="C1650" s="7" t="s">
        <v>724</v>
      </c>
      <c r="D1650" s="15">
        <v>16.0</v>
      </c>
      <c r="E1650" s="67">
        <f t="shared" si="11"/>
        <v>8000</v>
      </c>
      <c r="F1650" s="67"/>
    </row>
    <row r="1651" hidden="1">
      <c r="A1651" s="20" t="s">
        <v>383</v>
      </c>
      <c r="B1651" s="7" t="s">
        <v>1081</v>
      </c>
      <c r="C1651" s="7" t="s">
        <v>1082</v>
      </c>
      <c r="D1651" s="15">
        <v>10.0</v>
      </c>
      <c r="E1651" s="67">
        <f t="shared" si="11"/>
        <v>5000</v>
      </c>
      <c r="F1651" s="67"/>
    </row>
    <row r="1652" hidden="1">
      <c r="A1652" s="20" t="s">
        <v>383</v>
      </c>
      <c r="B1652" s="7" t="s">
        <v>1259</v>
      </c>
      <c r="C1652" s="7" t="s">
        <v>1260</v>
      </c>
      <c r="D1652" s="15">
        <v>1.0</v>
      </c>
      <c r="E1652" s="67">
        <f t="shared" si="11"/>
        <v>250</v>
      </c>
      <c r="F1652" s="67"/>
    </row>
    <row r="1653" hidden="1">
      <c r="A1653" s="20" t="s">
        <v>383</v>
      </c>
      <c r="B1653" s="7" t="s">
        <v>1189</v>
      </c>
      <c r="C1653" s="7" t="s">
        <v>1190</v>
      </c>
      <c r="D1653" s="15">
        <v>1.0</v>
      </c>
      <c r="E1653" s="67">
        <f t="shared" si="11"/>
        <v>250</v>
      </c>
      <c r="F1653" s="67"/>
    </row>
    <row r="1654" hidden="1">
      <c r="A1654" s="20" t="s">
        <v>383</v>
      </c>
      <c r="B1654" s="7" t="s">
        <v>1261</v>
      </c>
      <c r="C1654" s="7" t="s">
        <v>1262</v>
      </c>
      <c r="D1654" s="15">
        <v>0.0</v>
      </c>
      <c r="E1654" s="67">
        <f t="shared" si="11"/>
        <v>0</v>
      </c>
      <c r="F1654" s="67"/>
    </row>
    <row r="1655" hidden="1">
      <c r="A1655" s="20" t="s">
        <v>383</v>
      </c>
      <c r="B1655" s="7" t="s">
        <v>1151</v>
      </c>
      <c r="C1655" s="7" t="s">
        <v>1152</v>
      </c>
      <c r="D1655" s="15">
        <v>4.0</v>
      </c>
      <c r="E1655" s="67">
        <f t="shared" si="11"/>
        <v>1000</v>
      </c>
      <c r="F1655" s="67"/>
    </row>
    <row r="1656" hidden="1">
      <c r="A1656" s="20" t="s">
        <v>383</v>
      </c>
      <c r="B1656" s="7" t="s">
        <v>1025</v>
      </c>
      <c r="C1656" s="7" t="s">
        <v>1026</v>
      </c>
      <c r="D1656" s="15">
        <v>5.0</v>
      </c>
      <c r="E1656" s="67">
        <f t="shared" si="11"/>
        <v>1250</v>
      </c>
      <c r="F1656" s="67"/>
    </row>
    <row r="1657" hidden="1">
      <c r="A1657" s="20" t="s">
        <v>383</v>
      </c>
      <c r="B1657" s="7" t="s">
        <v>1027</v>
      </c>
      <c r="C1657" s="7" t="s">
        <v>1028</v>
      </c>
      <c r="D1657" s="15">
        <v>2.0</v>
      </c>
      <c r="E1657" s="67">
        <f t="shared" si="11"/>
        <v>500</v>
      </c>
      <c r="F1657" s="67"/>
    </row>
    <row r="1658" hidden="1">
      <c r="A1658" s="20" t="s">
        <v>383</v>
      </c>
      <c r="B1658" s="7" t="s">
        <v>736</v>
      </c>
      <c r="C1658" s="7" t="s">
        <v>737</v>
      </c>
      <c r="D1658" s="15">
        <v>14.0</v>
      </c>
      <c r="E1658" s="67">
        <f t="shared" si="11"/>
        <v>7000</v>
      </c>
      <c r="F1658" s="67"/>
    </row>
    <row r="1659" hidden="1">
      <c r="A1659" s="20" t="s">
        <v>383</v>
      </c>
      <c r="B1659" s="7" t="s">
        <v>1122</v>
      </c>
      <c r="C1659" s="7" t="s">
        <v>1123</v>
      </c>
      <c r="D1659" s="15">
        <v>4.0</v>
      </c>
      <c r="E1659" s="67">
        <f t="shared" si="11"/>
        <v>1000</v>
      </c>
      <c r="F1659" s="67"/>
    </row>
    <row r="1660" hidden="1">
      <c r="A1660" s="20" t="s">
        <v>383</v>
      </c>
      <c r="B1660" s="7" t="s">
        <v>1120</v>
      </c>
      <c r="C1660" s="7" t="s">
        <v>1121</v>
      </c>
      <c r="D1660" s="15">
        <v>3.0</v>
      </c>
      <c r="E1660" s="67">
        <f t="shared" si="11"/>
        <v>750</v>
      </c>
      <c r="F1660" s="67"/>
    </row>
    <row r="1661" hidden="1">
      <c r="A1661" s="20" t="s">
        <v>383</v>
      </c>
      <c r="B1661" s="13" t="s">
        <v>1033</v>
      </c>
      <c r="C1661" s="59" t="s">
        <v>1034</v>
      </c>
      <c r="D1661" s="15">
        <v>1.0</v>
      </c>
      <c r="E1661" s="67">
        <f t="shared" si="11"/>
        <v>250</v>
      </c>
      <c r="F1661" s="67"/>
    </row>
    <row r="1662" hidden="1">
      <c r="A1662" s="20" t="s">
        <v>383</v>
      </c>
      <c r="B1662" s="13" t="s">
        <v>744</v>
      </c>
      <c r="C1662" s="59" t="s">
        <v>745</v>
      </c>
      <c r="D1662" s="15">
        <v>4.0</v>
      </c>
      <c r="E1662" s="67">
        <f t="shared" si="11"/>
        <v>1000</v>
      </c>
      <c r="F1662" s="67"/>
    </row>
    <row r="1663" hidden="1">
      <c r="A1663" s="20" t="s">
        <v>383</v>
      </c>
      <c r="B1663" s="7" t="s">
        <v>1263</v>
      </c>
      <c r="C1663" s="7" t="s">
        <v>1264</v>
      </c>
      <c r="D1663" s="15">
        <v>0.0</v>
      </c>
      <c r="E1663" s="67">
        <f t="shared" si="11"/>
        <v>0</v>
      </c>
      <c r="F1663" s="67"/>
    </row>
    <row r="1664" hidden="1">
      <c r="A1664" s="20" t="s">
        <v>383</v>
      </c>
      <c r="B1664" s="7" t="s">
        <v>746</v>
      </c>
      <c r="C1664" s="7" t="s">
        <v>747</v>
      </c>
      <c r="D1664" s="15">
        <v>11.0</v>
      </c>
      <c r="E1664" s="67">
        <f t="shared" si="11"/>
        <v>5500</v>
      </c>
      <c r="F1664" s="67"/>
    </row>
    <row r="1665" hidden="1">
      <c r="A1665" s="20" t="s">
        <v>383</v>
      </c>
      <c r="B1665" s="7" t="s">
        <v>1155</v>
      </c>
      <c r="C1665" s="7" t="s">
        <v>1156</v>
      </c>
      <c r="D1665" s="15">
        <v>1.0</v>
      </c>
      <c r="E1665" s="67">
        <f t="shared" si="11"/>
        <v>250</v>
      </c>
      <c r="F1665" s="67"/>
    </row>
    <row r="1666" hidden="1">
      <c r="A1666" s="20" t="s">
        <v>383</v>
      </c>
      <c r="B1666" s="7" t="s">
        <v>1191</v>
      </c>
      <c r="C1666" s="7" t="s">
        <v>1192</v>
      </c>
      <c r="D1666" s="15">
        <v>4.0</v>
      </c>
      <c r="E1666" s="67">
        <f t="shared" si="11"/>
        <v>1000</v>
      </c>
      <c r="F1666" s="67"/>
    </row>
    <row r="1667" hidden="1">
      <c r="A1667" s="20" t="s">
        <v>383</v>
      </c>
      <c r="B1667" s="7" t="s">
        <v>752</v>
      </c>
      <c r="C1667" s="7" t="s">
        <v>753</v>
      </c>
      <c r="D1667" s="15">
        <v>3.0</v>
      </c>
      <c r="E1667" s="67">
        <f t="shared" si="11"/>
        <v>750</v>
      </c>
      <c r="F1667" s="67"/>
    </row>
    <row r="1668" hidden="1">
      <c r="A1668" s="20" t="s">
        <v>383</v>
      </c>
      <c r="B1668" s="7" t="s">
        <v>758</v>
      </c>
      <c r="C1668" s="7" t="s">
        <v>759</v>
      </c>
      <c r="D1668" s="15">
        <v>10.0</v>
      </c>
      <c r="E1668" s="67">
        <f t="shared" si="11"/>
        <v>5000</v>
      </c>
      <c r="F1668" s="67"/>
    </row>
    <row r="1669" hidden="1">
      <c r="A1669" s="20" t="s">
        <v>383</v>
      </c>
      <c r="B1669" s="13" t="s">
        <v>762</v>
      </c>
      <c r="C1669" s="59" t="s">
        <v>763</v>
      </c>
      <c r="D1669" s="15">
        <v>5.0</v>
      </c>
      <c r="E1669" s="67">
        <f t="shared" si="11"/>
        <v>1250</v>
      </c>
      <c r="F1669" s="67"/>
    </row>
    <row r="1670" hidden="1">
      <c r="A1670" s="20" t="s">
        <v>383</v>
      </c>
      <c r="B1670" s="7" t="s">
        <v>1265</v>
      </c>
      <c r="C1670" s="7" t="s">
        <v>1266</v>
      </c>
      <c r="D1670" s="34"/>
      <c r="E1670" s="67">
        <f t="shared" si="11"/>
        <v>0</v>
      </c>
      <c r="F1670" s="67"/>
    </row>
    <row r="1671" hidden="1">
      <c r="A1671" s="20" t="s">
        <v>383</v>
      </c>
      <c r="B1671" s="7" t="s">
        <v>898</v>
      </c>
      <c r="C1671" s="7" t="s">
        <v>899</v>
      </c>
      <c r="D1671" s="15">
        <v>5.0</v>
      </c>
      <c r="E1671" s="67">
        <f t="shared" si="11"/>
        <v>1250</v>
      </c>
      <c r="F1671" s="67"/>
    </row>
    <row r="1672" hidden="1">
      <c r="A1672" s="20" t="s">
        <v>383</v>
      </c>
      <c r="B1672" s="7" t="s">
        <v>1037</v>
      </c>
      <c r="C1672" s="7" t="s">
        <v>1038</v>
      </c>
      <c r="D1672" s="15">
        <v>5.0</v>
      </c>
      <c r="E1672" s="67">
        <f t="shared" si="11"/>
        <v>1250</v>
      </c>
      <c r="F1672" s="67"/>
    </row>
    <row r="1673" hidden="1">
      <c r="A1673" s="20" t="s">
        <v>383</v>
      </c>
      <c r="B1673" s="44" t="s">
        <v>764</v>
      </c>
      <c r="C1673" s="44" t="s">
        <v>765</v>
      </c>
      <c r="D1673" s="9">
        <v>7.0</v>
      </c>
      <c r="E1673" s="67">
        <f t="shared" si="11"/>
        <v>1750</v>
      </c>
      <c r="F1673" s="67"/>
    </row>
    <row r="1674" hidden="1">
      <c r="A1674" s="20" t="s">
        <v>383</v>
      </c>
      <c r="B1674" s="7" t="s">
        <v>1039</v>
      </c>
      <c r="C1674" s="7" t="s">
        <v>1040</v>
      </c>
      <c r="D1674" s="15">
        <v>9.0</v>
      </c>
      <c r="E1674" s="67">
        <f t="shared" si="11"/>
        <v>2250</v>
      </c>
      <c r="F1674" s="67"/>
    </row>
    <row r="1675" hidden="1">
      <c r="A1675" s="20" t="s">
        <v>383</v>
      </c>
      <c r="B1675" s="7" t="s">
        <v>900</v>
      </c>
      <c r="C1675" s="7" t="s">
        <v>901</v>
      </c>
      <c r="D1675" s="15">
        <v>0.0</v>
      </c>
      <c r="E1675" s="67">
        <f t="shared" si="11"/>
        <v>0</v>
      </c>
      <c r="F1675" s="67"/>
    </row>
    <row r="1676" hidden="1">
      <c r="A1676" s="20" t="s">
        <v>383</v>
      </c>
      <c r="B1676" s="7" t="s">
        <v>766</v>
      </c>
      <c r="C1676" s="7" t="s">
        <v>767</v>
      </c>
      <c r="D1676" s="15">
        <v>11.0</v>
      </c>
      <c r="E1676" s="67">
        <f t="shared" si="11"/>
        <v>5500</v>
      </c>
      <c r="F1676" s="67"/>
    </row>
    <row r="1677" hidden="1">
      <c r="A1677" s="20" t="s">
        <v>383</v>
      </c>
      <c r="B1677" s="7" t="s">
        <v>902</v>
      </c>
      <c r="C1677" s="7" t="s">
        <v>903</v>
      </c>
      <c r="D1677" s="15">
        <v>6.0</v>
      </c>
      <c r="E1677" s="67">
        <f t="shared" si="11"/>
        <v>1500</v>
      </c>
      <c r="F1677" s="67"/>
    </row>
    <row r="1678" hidden="1">
      <c r="A1678" s="24" t="s">
        <v>116</v>
      </c>
      <c r="B1678" s="25" t="s">
        <v>1157</v>
      </c>
      <c r="C1678" s="25" t="s">
        <v>1158</v>
      </c>
      <c r="D1678" s="25">
        <v>3.0</v>
      </c>
      <c r="E1678" s="1">
        <f t="shared" si="11"/>
        <v>750</v>
      </c>
    </row>
    <row r="1679" hidden="1">
      <c r="A1679" s="24" t="s">
        <v>116</v>
      </c>
      <c r="B1679" s="25" t="s">
        <v>1195</v>
      </c>
      <c r="C1679" s="25" t="s">
        <v>1196</v>
      </c>
      <c r="D1679" s="25">
        <v>4.0</v>
      </c>
      <c r="E1679" s="1">
        <f t="shared" si="11"/>
        <v>1000</v>
      </c>
    </row>
    <row r="1680" hidden="1">
      <c r="A1680" s="24" t="s">
        <v>116</v>
      </c>
      <c r="B1680" s="25" t="s">
        <v>1197</v>
      </c>
      <c r="C1680" s="25" t="s">
        <v>1198</v>
      </c>
      <c r="D1680" s="25">
        <v>2.0</v>
      </c>
      <c r="E1680" s="1">
        <f t="shared" si="11"/>
        <v>500</v>
      </c>
    </row>
    <row r="1681" hidden="1">
      <c r="A1681" s="24" t="s">
        <v>116</v>
      </c>
      <c r="B1681" s="25" t="s">
        <v>815</v>
      </c>
      <c r="C1681" s="25" t="s">
        <v>816</v>
      </c>
      <c r="D1681" s="25">
        <v>3.0</v>
      </c>
      <c r="E1681" s="1">
        <f t="shared" si="11"/>
        <v>750</v>
      </c>
    </row>
    <row r="1682" hidden="1">
      <c r="A1682" s="24" t="s">
        <v>116</v>
      </c>
      <c r="B1682" s="25" t="s">
        <v>1199</v>
      </c>
      <c r="C1682" s="25" t="s">
        <v>1200</v>
      </c>
      <c r="D1682" s="25">
        <v>4.0</v>
      </c>
      <c r="E1682" s="1">
        <f t="shared" si="11"/>
        <v>1000</v>
      </c>
    </row>
    <row r="1683" hidden="1">
      <c r="A1683" s="24" t="s">
        <v>116</v>
      </c>
      <c r="B1683" s="25" t="s">
        <v>405</v>
      </c>
      <c r="C1683" s="25" t="s">
        <v>406</v>
      </c>
      <c r="D1683" s="25">
        <v>3.0</v>
      </c>
      <c r="E1683" s="1">
        <f t="shared" si="11"/>
        <v>750</v>
      </c>
    </row>
    <row r="1684" hidden="1">
      <c r="A1684" s="24" t="s">
        <v>116</v>
      </c>
      <c r="B1684" s="25" t="s">
        <v>409</v>
      </c>
      <c r="C1684" s="25" t="s">
        <v>410</v>
      </c>
      <c r="D1684" s="25">
        <v>1.0</v>
      </c>
      <c r="E1684" s="1">
        <f t="shared" si="11"/>
        <v>250</v>
      </c>
    </row>
    <row r="1685" hidden="1">
      <c r="A1685" s="24" t="s">
        <v>116</v>
      </c>
      <c r="B1685" s="25" t="s">
        <v>411</v>
      </c>
      <c r="C1685" s="25" t="s">
        <v>412</v>
      </c>
      <c r="D1685" s="25">
        <v>5.0</v>
      </c>
      <c r="E1685" s="1">
        <f t="shared" si="11"/>
        <v>1250</v>
      </c>
    </row>
    <row r="1686" hidden="1">
      <c r="A1686" s="24" t="s">
        <v>116</v>
      </c>
      <c r="B1686" s="25" t="s">
        <v>413</v>
      </c>
      <c r="C1686" s="25" t="s">
        <v>414</v>
      </c>
      <c r="D1686" s="25">
        <v>11.0</v>
      </c>
      <c r="E1686" s="73">
        <f t="shared" si="11"/>
        <v>5500</v>
      </c>
      <c r="F1686" s="73"/>
    </row>
    <row r="1687" hidden="1">
      <c r="A1687" s="24" t="s">
        <v>116</v>
      </c>
      <c r="B1687" s="25" t="s">
        <v>1089</v>
      </c>
      <c r="C1687" s="25" t="s">
        <v>1090</v>
      </c>
      <c r="D1687" s="25">
        <v>1.0</v>
      </c>
      <c r="E1687" s="1">
        <f t="shared" si="11"/>
        <v>250</v>
      </c>
    </row>
    <row r="1688" hidden="1">
      <c r="A1688" s="24" t="s">
        <v>116</v>
      </c>
      <c r="B1688" s="25" t="s">
        <v>825</v>
      </c>
      <c r="C1688" s="25" t="s">
        <v>826</v>
      </c>
      <c r="D1688" s="25">
        <v>2.0</v>
      </c>
      <c r="E1688" s="1">
        <f t="shared" si="11"/>
        <v>500</v>
      </c>
    </row>
    <row r="1689" hidden="1">
      <c r="A1689" s="24" t="s">
        <v>116</v>
      </c>
      <c r="B1689" s="25" t="s">
        <v>1124</v>
      </c>
      <c r="C1689" s="25" t="s">
        <v>1125</v>
      </c>
      <c r="D1689" s="25">
        <v>4.0</v>
      </c>
      <c r="E1689" s="1">
        <f t="shared" si="11"/>
        <v>1000</v>
      </c>
    </row>
    <row r="1690" hidden="1">
      <c r="A1690" s="24" t="s">
        <v>116</v>
      </c>
      <c r="B1690" s="25" t="s">
        <v>417</v>
      </c>
      <c r="C1690" s="25" t="s">
        <v>418</v>
      </c>
      <c r="D1690" s="25">
        <v>2.0</v>
      </c>
      <c r="E1690" s="1">
        <f t="shared" si="11"/>
        <v>500</v>
      </c>
    </row>
    <row r="1691" hidden="1">
      <c r="A1691" s="24" t="s">
        <v>116</v>
      </c>
      <c r="B1691" s="25" t="s">
        <v>1201</v>
      </c>
      <c r="C1691" s="25" t="s">
        <v>1202</v>
      </c>
      <c r="D1691" s="25">
        <v>0.0</v>
      </c>
      <c r="E1691" s="1">
        <f t="shared" si="11"/>
        <v>0</v>
      </c>
    </row>
    <row r="1692" hidden="1">
      <c r="A1692" s="24" t="s">
        <v>116</v>
      </c>
      <c r="B1692" s="25" t="s">
        <v>1161</v>
      </c>
      <c r="C1692" s="25" t="s">
        <v>1162</v>
      </c>
      <c r="D1692" s="25">
        <v>4.0</v>
      </c>
      <c r="E1692" s="1">
        <f t="shared" si="11"/>
        <v>1000</v>
      </c>
    </row>
    <row r="1693" hidden="1">
      <c r="A1693" s="24" t="s">
        <v>116</v>
      </c>
      <c r="B1693" s="25" t="s">
        <v>1203</v>
      </c>
      <c r="C1693" s="25" t="s">
        <v>1204</v>
      </c>
      <c r="D1693" s="25">
        <v>8.0</v>
      </c>
      <c r="E1693" s="1">
        <f t="shared" si="11"/>
        <v>2000</v>
      </c>
    </row>
    <row r="1694" hidden="1">
      <c r="A1694" s="24" t="s">
        <v>116</v>
      </c>
      <c r="B1694" s="25" t="s">
        <v>431</v>
      </c>
      <c r="C1694" s="25" t="s">
        <v>432</v>
      </c>
      <c r="D1694" s="25">
        <v>1.0</v>
      </c>
      <c r="E1694" s="1">
        <f t="shared" si="11"/>
        <v>250</v>
      </c>
    </row>
    <row r="1695" hidden="1">
      <c r="A1695" s="24" t="s">
        <v>116</v>
      </c>
      <c r="B1695" s="25" t="s">
        <v>435</v>
      </c>
      <c r="C1695" s="25" t="s">
        <v>436</v>
      </c>
      <c r="D1695" s="25">
        <v>7.0</v>
      </c>
      <c r="E1695" s="1">
        <f t="shared" si="11"/>
        <v>1750</v>
      </c>
    </row>
    <row r="1696" hidden="1">
      <c r="A1696" s="24" t="s">
        <v>116</v>
      </c>
      <c r="B1696" s="25" t="s">
        <v>841</v>
      </c>
      <c r="C1696" s="25" t="s">
        <v>842</v>
      </c>
      <c r="D1696" s="25">
        <v>5.0</v>
      </c>
      <c r="E1696" s="1">
        <f t="shared" si="11"/>
        <v>1250</v>
      </c>
    </row>
    <row r="1697" hidden="1">
      <c r="A1697" s="24" t="s">
        <v>116</v>
      </c>
      <c r="B1697" s="25" t="s">
        <v>972</v>
      </c>
      <c r="C1697" s="25" t="s">
        <v>973</v>
      </c>
      <c r="D1697" s="25">
        <v>1.0</v>
      </c>
      <c r="E1697" s="1">
        <f t="shared" si="11"/>
        <v>250</v>
      </c>
    </row>
    <row r="1698" hidden="1">
      <c r="A1698" s="24" t="s">
        <v>116</v>
      </c>
      <c r="B1698" s="25" t="s">
        <v>439</v>
      </c>
      <c r="C1698" s="25" t="s">
        <v>440</v>
      </c>
      <c r="D1698" s="25">
        <v>8.0</v>
      </c>
      <c r="E1698" s="1">
        <f t="shared" si="11"/>
        <v>2000</v>
      </c>
    </row>
    <row r="1699" hidden="1">
      <c r="A1699" s="24" t="s">
        <v>116</v>
      </c>
      <c r="B1699" s="25" t="s">
        <v>443</v>
      </c>
      <c r="C1699" s="25" t="s">
        <v>444</v>
      </c>
      <c r="D1699" s="25">
        <v>7.0</v>
      </c>
      <c r="E1699" s="1">
        <f t="shared" si="11"/>
        <v>1750</v>
      </c>
    </row>
    <row r="1700" hidden="1">
      <c r="A1700" s="24" t="s">
        <v>116</v>
      </c>
      <c r="B1700" s="25" t="s">
        <v>803</v>
      </c>
      <c r="C1700" s="25" t="s">
        <v>804</v>
      </c>
      <c r="D1700" s="25">
        <v>7.0</v>
      </c>
      <c r="E1700" s="1">
        <f t="shared" si="11"/>
        <v>1750</v>
      </c>
    </row>
    <row r="1701" hidden="1">
      <c r="A1701" s="24" t="s">
        <v>116</v>
      </c>
      <c r="B1701" s="25" t="s">
        <v>445</v>
      </c>
      <c r="C1701" s="25" t="s">
        <v>446</v>
      </c>
      <c r="D1701" s="25">
        <v>6.0</v>
      </c>
      <c r="E1701" s="1">
        <f t="shared" si="11"/>
        <v>1500</v>
      </c>
    </row>
    <row r="1702" hidden="1">
      <c r="A1702" s="24" t="s">
        <v>116</v>
      </c>
      <c r="B1702" s="25" t="s">
        <v>447</v>
      </c>
      <c r="C1702" s="25" t="s">
        <v>448</v>
      </c>
      <c r="D1702" s="25">
        <v>3.0</v>
      </c>
      <c r="E1702" s="1">
        <f t="shared" si="11"/>
        <v>750</v>
      </c>
    </row>
    <row r="1703" hidden="1">
      <c r="A1703" s="24" t="s">
        <v>116</v>
      </c>
      <c r="B1703" s="25" t="s">
        <v>451</v>
      </c>
      <c r="C1703" s="25" t="s">
        <v>452</v>
      </c>
      <c r="D1703" s="25">
        <v>5.0</v>
      </c>
      <c r="E1703" s="1">
        <f t="shared" si="11"/>
        <v>1250</v>
      </c>
    </row>
    <row r="1704" hidden="1">
      <c r="A1704" s="24" t="s">
        <v>116</v>
      </c>
      <c r="B1704" s="25" t="s">
        <v>1093</v>
      </c>
      <c r="C1704" s="25" t="s">
        <v>1094</v>
      </c>
      <c r="D1704" s="25">
        <v>2.0</v>
      </c>
      <c r="E1704" s="1">
        <f t="shared" si="11"/>
        <v>500</v>
      </c>
    </row>
    <row r="1705" hidden="1">
      <c r="A1705" s="24" t="s">
        <v>116</v>
      </c>
      <c r="B1705" s="25" t="s">
        <v>457</v>
      </c>
      <c r="C1705" s="25" t="s">
        <v>458</v>
      </c>
      <c r="D1705" s="25">
        <v>6.0</v>
      </c>
      <c r="E1705" s="1">
        <f t="shared" si="11"/>
        <v>1500</v>
      </c>
    </row>
    <row r="1706" hidden="1">
      <c r="A1706" s="24" t="s">
        <v>116</v>
      </c>
      <c r="B1706" s="25" t="s">
        <v>1127</v>
      </c>
      <c r="C1706" s="25" t="s">
        <v>1128</v>
      </c>
      <c r="D1706" s="25">
        <v>2.0</v>
      </c>
      <c r="E1706" s="1">
        <f t="shared" si="11"/>
        <v>500</v>
      </c>
    </row>
    <row r="1707" hidden="1">
      <c r="A1707" s="24" t="s">
        <v>116</v>
      </c>
      <c r="B1707" s="25" t="s">
        <v>805</v>
      </c>
      <c r="C1707" s="25" t="s">
        <v>806</v>
      </c>
      <c r="D1707" s="25">
        <v>2.0</v>
      </c>
      <c r="E1707" s="1">
        <f t="shared" si="11"/>
        <v>500</v>
      </c>
    </row>
    <row r="1708" hidden="1">
      <c r="A1708" s="24" t="s">
        <v>116</v>
      </c>
      <c r="B1708" s="25" t="s">
        <v>910</v>
      </c>
      <c r="C1708" s="25" t="s">
        <v>911</v>
      </c>
      <c r="D1708" s="25">
        <v>5.0</v>
      </c>
      <c r="E1708" s="1">
        <f t="shared" si="11"/>
        <v>1250</v>
      </c>
    </row>
    <row r="1709" hidden="1">
      <c r="A1709" s="24" t="s">
        <v>116</v>
      </c>
      <c r="B1709" s="25" t="s">
        <v>462</v>
      </c>
      <c r="C1709" s="25" t="s">
        <v>463</v>
      </c>
      <c r="D1709" s="25">
        <v>4.0</v>
      </c>
      <c r="E1709" s="1">
        <f t="shared" si="11"/>
        <v>1000</v>
      </c>
    </row>
    <row r="1710" hidden="1">
      <c r="A1710" s="24" t="s">
        <v>116</v>
      </c>
      <c r="B1710" s="25" t="s">
        <v>1163</v>
      </c>
      <c r="C1710" s="25" t="s">
        <v>1164</v>
      </c>
      <c r="D1710" s="25">
        <v>6.0</v>
      </c>
      <c r="E1710" s="1">
        <f t="shared" si="11"/>
        <v>1500</v>
      </c>
    </row>
    <row r="1711" hidden="1">
      <c r="A1711" s="24" t="s">
        <v>116</v>
      </c>
      <c r="B1711" s="25" t="s">
        <v>1129</v>
      </c>
      <c r="C1711" s="25" t="s">
        <v>1130</v>
      </c>
      <c r="D1711" s="25">
        <v>4.0</v>
      </c>
      <c r="E1711" s="1">
        <f t="shared" si="11"/>
        <v>1000</v>
      </c>
    </row>
    <row r="1712" hidden="1">
      <c r="A1712" s="24" t="s">
        <v>116</v>
      </c>
      <c r="B1712" s="25" t="s">
        <v>472</v>
      </c>
      <c r="C1712" s="25" t="s">
        <v>473</v>
      </c>
      <c r="D1712" s="25">
        <v>1.0</v>
      </c>
      <c r="E1712" s="1">
        <f t="shared" si="11"/>
        <v>250</v>
      </c>
    </row>
    <row r="1713" hidden="1">
      <c r="A1713" s="24" t="s">
        <v>116</v>
      </c>
      <c r="B1713" s="25" t="s">
        <v>476</v>
      </c>
      <c r="C1713" s="25" t="s">
        <v>477</v>
      </c>
      <c r="D1713" s="25">
        <v>23.0</v>
      </c>
      <c r="E1713" s="73">
        <f t="shared" si="11"/>
        <v>11500</v>
      </c>
      <c r="F1713" s="73"/>
    </row>
    <row r="1714" hidden="1">
      <c r="A1714" s="24" t="s">
        <v>116</v>
      </c>
      <c r="B1714" s="25" t="s">
        <v>486</v>
      </c>
      <c r="C1714" s="25" t="s">
        <v>487</v>
      </c>
      <c r="D1714" s="25">
        <v>7.0</v>
      </c>
      <c r="E1714" s="1">
        <f t="shared" si="11"/>
        <v>1750</v>
      </c>
    </row>
    <row r="1715" hidden="1">
      <c r="A1715" s="24" t="s">
        <v>116</v>
      </c>
      <c r="B1715" s="25" t="s">
        <v>1095</v>
      </c>
      <c r="C1715" s="25" t="s">
        <v>1096</v>
      </c>
      <c r="D1715" s="25">
        <v>5.0</v>
      </c>
      <c r="E1715" s="1">
        <f t="shared" si="11"/>
        <v>1250</v>
      </c>
    </row>
    <row r="1716" hidden="1">
      <c r="A1716" s="24" t="s">
        <v>116</v>
      </c>
      <c r="B1716" s="25" t="s">
        <v>1133</v>
      </c>
      <c r="C1716" s="25" t="s">
        <v>1134</v>
      </c>
      <c r="D1716" s="25">
        <v>5.0</v>
      </c>
      <c r="E1716" s="1">
        <f t="shared" si="11"/>
        <v>1250</v>
      </c>
    </row>
    <row r="1717" hidden="1">
      <c r="A1717" s="24" t="s">
        <v>116</v>
      </c>
      <c r="B1717" s="25" t="s">
        <v>500</v>
      </c>
      <c r="C1717" s="25" t="s">
        <v>501</v>
      </c>
      <c r="D1717" s="25">
        <v>4.0</v>
      </c>
      <c r="E1717" s="1">
        <f t="shared" si="11"/>
        <v>1000</v>
      </c>
    </row>
    <row r="1718" hidden="1">
      <c r="A1718" s="24" t="s">
        <v>116</v>
      </c>
      <c r="B1718" s="25" t="s">
        <v>1205</v>
      </c>
      <c r="C1718" s="25" t="s">
        <v>1206</v>
      </c>
      <c r="D1718" s="25">
        <v>4.0</v>
      </c>
      <c r="E1718" s="1">
        <f t="shared" si="11"/>
        <v>1000</v>
      </c>
    </row>
    <row r="1719" hidden="1">
      <c r="A1719" s="24" t="s">
        <v>116</v>
      </c>
      <c r="B1719" s="25" t="s">
        <v>1207</v>
      </c>
      <c r="C1719" s="25" t="s">
        <v>1208</v>
      </c>
      <c r="D1719" s="25">
        <v>4.0</v>
      </c>
      <c r="E1719" s="1">
        <f t="shared" si="11"/>
        <v>1000</v>
      </c>
    </row>
    <row r="1720" hidden="1">
      <c r="A1720" s="24" t="s">
        <v>116</v>
      </c>
      <c r="B1720" s="25" t="s">
        <v>1165</v>
      </c>
      <c r="C1720" s="25" t="s">
        <v>1166</v>
      </c>
      <c r="D1720" s="25">
        <v>3.0</v>
      </c>
      <c r="E1720" s="1">
        <f t="shared" si="11"/>
        <v>750</v>
      </c>
    </row>
    <row r="1721" hidden="1">
      <c r="A1721" s="24" t="s">
        <v>116</v>
      </c>
      <c r="B1721" s="25" t="s">
        <v>510</v>
      </c>
      <c r="C1721" s="25" t="s">
        <v>511</v>
      </c>
      <c r="D1721" s="25">
        <v>9.0</v>
      </c>
      <c r="E1721" s="1">
        <f t="shared" si="11"/>
        <v>2250</v>
      </c>
    </row>
    <row r="1722" hidden="1">
      <c r="A1722" s="24" t="s">
        <v>116</v>
      </c>
      <c r="B1722" s="25" t="s">
        <v>1209</v>
      </c>
      <c r="C1722" s="25" t="s">
        <v>1210</v>
      </c>
      <c r="D1722" s="25">
        <v>0.0</v>
      </c>
      <c r="E1722" s="1">
        <f t="shared" si="11"/>
        <v>0</v>
      </c>
    </row>
    <row r="1723" hidden="1">
      <c r="A1723" s="24" t="s">
        <v>116</v>
      </c>
      <c r="B1723" s="25" t="s">
        <v>918</v>
      </c>
      <c r="C1723" s="25" t="s">
        <v>919</v>
      </c>
      <c r="D1723" s="25">
        <v>0.0</v>
      </c>
      <c r="E1723" s="1">
        <f t="shared" si="11"/>
        <v>0</v>
      </c>
    </row>
    <row r="1724" hidden="1">
      <c r="A1724" s="24" t="s">
        <v>116</v>
      </c>
      <c r="B1724" s="25" t="s">
        <v>516</v>
      </c>
      <c r="C1724" s="25" t="s">
        <v>517</v>
      </c>
      <c r="D1724" s="25">
        <v>4.0</v>
      </c>
      <c r="E1724" s="1">
        <f t="shared" si="11"/>
        <v>1000</v>
      </c>
    </row>
    <row r="1725" hidden="1">
      <c r="A1725" s="24" t="s">
        <v>116</v>
      </c>
      <c r="B1725" s="25" t="s">
        <v>518</v>
      </c>
      <c r="C1725" s="25" t="s">
        <v>519</v>
      </c>
      <c r="D1725" s="25">
        <v>2.0</v>
      </c>
      <c r="E1725" s="1">
        <f t="shared" si="11"/>
        <v>500</v>
      </c>
    </row>
    <row r="1726" hidden="1">
      <c r="A1726" s="24" t="s">
        <v>116</v>
      </c>
      <c r="B1726" s="25" t="s">
        <v>848</v>
      </c>
      <c r="C1726" s="25" t="s">
        <v>849</v>
      </c>
      <c r="D1726" s="25">
        <v>2.0</v>
      </c>
      <c r="E1726" s="1">
        <f t="shared" si="11"/>
        <v>500</v>
      </c>
    </row>
    <row r="1727" hidden="1">
      <c r="A1727" s="24" t="s">
        <v>116</v>
      </c>
      <c r="B1727" s="25" t="s">
        <v>986</v>
      </c>
      <c r="C1727" s="25" t="s">
        <v>987</v>
      </c>
      <c r="D1727" s="25">
        <v>1.0</v>
      </c>
      <c r="E1727" s="1">
        <f t="shared" si="11"/>
        <v>250</v>
      </c>
    </row>
    <row r="1728" hidden="1">
      <c r="A1728" s="24" t="s">
        <v>116</v>
      </c>
      <c r="B1728" s="25" t="s">
        <v>1213</v>
      </c>
      <c r="C1728" s="25" t="s">
        <v>1214</v>
      </c>
      <c r="D1728" s="25">
        <v>1.0</v>
      </c>
      <c r="E1728" s="1">
        <f t="shared" si="11"/>
        <v>250</v>
      </c>
    </row>
    <row r="1729" hidden="1">
      <c r="A1729" s="24" t="s">
        <v>116</v>
      </c>
      <c r="B1729" s="25" t="s">
        <v>852</v>
      </c>
      <c r="C1729" s="25" t="s">
        <v>853</v>
      </c>
      <c r="D1729" s="25">
        <v>9.0</v>
      </c>
      <c r="E1729" s="1">
        <f t="shared" si="11"/>
        <v>2250</v>
      </c>
    </row>
    <row r="1730" hidden="1">
      <c r="A1730" s="24" t="s">
        <v>116</v>
      </c>
      <c r="B1730" s="25" t="s">
        <v>1051</v>
      </c>
      <c r="C1730" s="25" t="s">
        <v>1052</v>
      </c>
      <c r="D1730" s="25">
        <v>2.0</v>
      </c>
      <c r="E1730" s="1">
        <f t="shared" si="11"/>
        <v>500</v>
      </c>
    </row>
    <row r="1731" hidden="1">
      <c r="A1731" s="24" t="s">
        <v>116</v>
      </c>
      <c r="B1731" s="25" t="s">
        <v>530</v>
      </c>
      <c r="C1731" s="25" t="s">
        <v>531</v>
      </c>
      <c r="D1731" s="25">
        <v>2.0</v>
      </c>
      <c r="E1731" s="1">
        <f t="shared" si="11"/>
        <v>500</v>
      </c>
    </row>
    <row r="1732" hidden="1">
      <c r="A1732" s="24" t="s">
        <v>116</v>
      </c>
      <c r="B1732" s="25" t="s">
        <v>532</v>
      </c>
      <c r="C1732" s="25" t="s">
        <v>533</v>
      </c>
      <c r="D1732" s="25">
        <v>0.0</v>
      </c>
      <c r="E1732" s="1">
        <f t="shared" si="11"/>
        <v>0</v>
      </c>
    </row>
    <row r="1733" hidden="1">
      <c r="A1733" s="24" t="s">
        <v>116</v>
      </c>
      <c r="B1733" s="25" t="s">
        <v>540</v>
      </c>
      <c r="C1733" s="25" t="s">
        <v>541</v>
      </c>
      <c r="D1733" s="25">
        <v>10.0</v>
      </c>
      <c r="E1733" s="73">
        <f t="shared" si="11"/>
        <v>5000</v>
      </c>
      <c r="F1733" s="73"/>
    </row>
    <row r="1734" hidden="1">
      <c r="A1734" s="24" t="s">
        <v>116</v>
      </c>
      <c r="B1734" s="25" t="s">
        <v>542</v>
      </c>
      <c r="C1734" s="25" t="s">
        <v>543</v>
      </c>
      <c r="D1734" s="25">
        <v>3.0</v>
      </c>
      <c r="E1734" s="1">
        <f t="shared" si="11"/>
        <v>750</v>
      </c>
    </row>
    <row r="1735" hidden="1">
      <c r="A1735" s="24" t="s">
        <v>116</v>
      </c>
      <c r="B1735" s="25" t="s">
        <v>1101</v>
      </c>
      <c r="C1735" s="25" t="s">
        <v>1102</v>
      </c>
      <c r="D1735" s="25">
        <v>1.0</v>
      </c>
      <c r="E1735" s="1">
        <f t="shared" si="11"/>
        <v>250</v>
      </c>
    </row>
    <row r="1736" hidden="1">
      <c r="A1736" s="24" t="s">
        <v>116</v>
      </c>
      <c r="B1736" s="25" t="s">
        <v>1103</v>
      </c>
      <c r="C1736" s="25" t="s">
        <v>1104</v>
      </c>
      <c r="D1736" s="25">
        <v>2.0</v>
      </c>
      <c r="E1736" s="1">
        <f t="shared" si="11"/>
        <v>500</v>
      </c>
    </row>
    <row r="1737" hidden="1">
      <c r="A1737" s="24" t="s">
        <v>116</v>
      </c>
      <c r="B1737" s="25" t="s">
        <v>1217</v>
      </c>
      <c r="C1737" s="25" t="s">
        <v>1218</v>
      </c>
      <c r="D1737" s="25">
        <v>1.0</v>
      </c>
      <c r="E1737" s="1">
        <f t="shared" si="11"/>
        <v>250</v>
      </c>
    </row>
    <row r="1738" hidden="1">
      <c r="A1738" s="24" t="s">
        <v>116</v>
      </c>
      <c r="B1738" s="25" t="s">
        <v>1219</v>
      </c>
      <c r="C1738" s="25" t="s">
        <v>1220</v>
      </c>
      <c r="D1738" s="25">
        <v>2.0</v>
      </c>
      <c r="E1738" s="1">
        <f t="shared" si="11"/>
        <v>500</v>
      </c>
    </row>
    <row r="1739" hidden="1">
      <c r="A1739" s="24" t="s">
        <v>116</v>
      </c>
      <c r="B1739" s="25" t="s">
        <v>1221</v>
      </c>
      <c r="C1739" s="25" t="s">
        <v>1222</v>
      </c>
      <c r="D1739" s="25">
        <v>2.0</v>
      </c>
      <c r="E1739" s="1">
        <f t="shared" si="11"/>
        <v>500</v>
      </c>
    </row>
    <row r="1740" hidden="1">
      <c r="A1740" s="24" t="s">
        <v>116</v>
      </c>
      <c r="B1740" s="25" t="s">
        <v>1167</v>
      </c>
      <c r="C1740" s="25" t="s">
        <v>1168</v>
      </c>
      <c r="D1740" s="25">
        <v>2.0</v>
      </c>
      <c r="E1740" s="1">
        <f t="shared" si="11"/>
        <v>500</v>
      </c>
    </row>
    <row r="1741" hidden="1">
      <c r="A1741" s="24" t="s">
        <v>116</v>
      </c>
      <c r="B1741" s="25" t="s">
        <v>1223</v>
      </c>
      <c r="C1741" s="25" t="s">
        <v>1224</v>
      </c>
      <c r="D1741" s="25">
        <v>2.0</v>
      </c>
      <c r="E1741" s="1">
        <f t="shared" si="11"/>
        <v>500</v>
      </c>
    </row>
    <row r="1742" hidden="1">
      <c r="A1742" s="24" t="s">
        <v>116</v>
      </c>
      <c r="B1742" s="25" t="s">
        <v>560</v>
      </c>
      <c r="C1742" s="25" t="s">
        <v>561</v>
      </c>
      <c r="D1742" s="25">
        <v>5.0</v>
      </c>
      <c r="E1742" s="1">
        <f t="shared" si="11"/>
        <v>1250</v>
      </c>
    </row>
    <row r="1743" hidden="1">
      <c r="A1743" s="24" t="s">
        <v>116</v>
      </c>
      <c r="B1743" s="25" t="s">
        <v>564</v>
      </c>
      <c r="C1743" s="25" t="s">
        <v>565</v>
      </c>
      <c r="D1743" s="25">
        <v>2.0</v>
      </c>
      <c r="E1743" s="1">
        <f t="shared" si="11"/>
        <v>500</v>
      </c>
    </row>
    <row r="1744" hidden="1">
      <c r="A1744" s="24" t="s">
        <v>116</v>
      </c>
      <c r="B1744" s="25" t="s">
        <v>566</v>
      </c>
      <c r="C1744" s="25" t="s">
        <v>567</v>
      </c>
      <c r="D1744" s="25">
        <v>3.0</v>
      </c>
      <c r="E1744" s="1">
        <f t="shared" si="11"/>
        <v>750</v>
      </c>
    </row>
    <row r="1745" hidden="1">
      <c r="A1745" s="24" t="s">
        <v>116</v>
      </c>
      <c r="B1745" s="25" t="s">
        <v>1135</v>
      </c>
      <c r="C1745" s="25" t="s">
        <v>1136</v>
      </c>
      <c r="D1745" s="25">
        <v>7.0</v>
      </c>
      <c r="E1745" s="1">
        <f t="shared" si="11"/>
        <v>1750</v>
      </c>
    </row>
    <row r="1746" hidden="1">
      <c r="A1746" s="24" t="s">
        <v>116</v>
      </c>
      <c r="B1746" s="25" t="s">
        <v>1105</v>
      </c>
      <c r="C1746" s="25" t="s">
        <v>1106</v>
      </c>
      <c r="D1746" s="25">
        <v>1.0</v>
      </c>
      <c r="E1746" s="1">
        <f t="shared" si="11"/>
        <v>250</v>
      </c>
    </row>
    <row r="1747" hidden="1">
      <c r="A1747" s="24" t="s">
        <v>116</v>
      </c>
      <c r="B1747" s="25" t="s">
        <v>862</v>
      </c>
      <c r="C1747" s="25" t="s">
        <v>863</v>
      </c>
      <c r="D1747" s="25">
        <v>5.0</v>
      </c>
      <c r="E1747" s="1">
        <f t="shared" si="11"/>
        <v>1250</v>
      </c>
    </row>
    <row r="1748" hidden="1">
      <c r="A1748" s="24" t="s">
        <v>116</v>
      </c>
      <c r="B1748" s="25" t="s">
        <v>1227</v>
      </c>
      <c r="C1748" s="25" t="s">
        <v>1228</v>
      </c>
      <c r="D1748" s="25">
        <v>4.0</v>
      </c>
      <c r="E1748" s="1">
        <f t="shared" si="11"/>
        <v>1000</v>
      </c>
    </row>
    <row r="1749" hidden="1">
      <c r="A1749" s="24" t="s">
        <v>116</v>
      </c>
      <c r="B1749" s="25" t="s">
        <v>572</v>
      </c>
      <c r="C1749" s="25" t="s">
        <v>573</v>
      </c>
      <c r="D1749" s="25">
        <v>3.0</v>
      </c>
      <c r="E1749" s="1">
        <f t="shared" si="11"/>
        <v>750</v>
      </c>
    </row>
    <row r="1750" hidden="1">
      <c r="A1750" s="24" t="s">
        <v>116</v>
      </c>
      <c r="B1750" s="25" t="s">
        <v>1267</v>
      </c>
      <c r="C1750" s="25" t="s">
        <v>14</v>
      </c>
      <c r="D1750" s="25">
        <v>1.0</v>
      </c>
      <c r="E1750" s="1">
        <f t="shared" si="11"/>
        <v>250</v>
      </c>
    </row>
    <row r="1751" hidden="1">
      <c r="A1751" s="24" t="s">
        <v>116</v>
      </c>
      <c r="B1751" s="25" t="s">
        <v>1231</v>
      </c>
      <c r="C1751" s="25" t="s">
        <v>1232</v>
      </c>
      <c r="D1751" s="25">
        <v>1.0</v>
      </c>
      <c r="E1751" s="1">
        <f t="shared" si="11"/>
        <v>250</v>
      </c>
    </row>
    <row r="1752" hidden="1">
      <c r="A1752" s="24" t="s">
        <v>116</v>
      </c>
      <c r="B1752" s="25" t="s">
        <v>1171</v>
      </c>
      <c r="C1752" s="25" t="s">
        <v>1172</v>
      </c>
      <c r="D1752" s="25">
        <v>6.0</v>
      </c>
      <c r="E1752" s="1">
        <f t="shared" si="11"/>
        <v>1500</v>
      </c>
    </row>
    <row r="1753" hidden="1">
      <c r="A1753" s="24" t="s">
        <v>116</v>
      </c>
      <c r="B1753" s="25" t="s">
        <v>590</v>
      </c>
      <c r="C1753" s="25" t="s">
        <v>591</v>
      </c>
      <c r="D1753" s="25">
        <v>8.0</v>
      </c>
      <c r="E1753" s="1">
        <f t="shared" si="11"/>
        <v>2000</v>
      </c>
    </row>
    <row r="1754" hidden="1">
      <c r="A1754" s="24" t="s">
        <v>116</v>
      </c>
      <c r="B1754" s="25" t="s">
        <v>596</v>
      </c>
      <c r="C1754" s="25" t="s">
        <v>597</v>
      </c>
      <c r="D1754" s="25">
        <v>4.0</v>
      </c>
      <c r="E1754" s="1">
        <f t="shared" si="11"/>
        <v>1000</v>
      </c>
    </row>
    <row r="1755" hidden="1">
      <c r="A1755" s="24" t="s">
        <v>116</v>
      </c>
      <c r="B1755" s="25" t="s">
        <v>1233</v>
      </c>
      <c r="C1755" s="25" t="s">
        <v>1234</v>
      </c>
      <c r="D1755" s="25">
        <v>0.0</v>
      </c>
      <c r="E1755" s="1">
        <f t="shared" si="11"/>
        <v>0</v>
      </c>
    </row>
    <row r="1756" hidden="1">
      <c r="A1756" s="24" t="s">
        <v>116</v>
      </c>
      <c r="B1756" s="25" t="s">
        <v>1235</v>
      </c>
      <c r="C1756" s="25" t="s">
        <v>1236</v>
      </c>
      <c r="D1756" s="25">
        <v>4.0</v>
      </c>
      <c r="E1756" s="1">
        <f t="shared" si="11"/>
        <v>1000</v>
      </c>
    </row>
    <row r="1757" hidden="1">
      <c r="A1757" s="24" t="s">
        <v>116</v>
      </c>
      <c r="B1757" s="25" t="s">
        <v>602</v>
      </c>
      <c r="C1757" s="25" t="s">
        <v>603</v>
      </c>
      <c r="D1757" s="25">
        <v>7.0</v>
      </c>
      <c r="E1757" s="1">
        <f t="shared" si="11"/>
        <v>1750</v>
      </c>
    </row>
    <row r="1758" hidden="1">
      <c r="A1758" s="24" t="s">
        <v>116</v>
      </c>
      <c r="B1758" s="25" t="s">
        <v>604</v>
      </c>
      <c r="C1758" s="25" t="s">
        <v>605</v>
      </c>
      <c r="D1758" s="25">
        <v>10.0</v>
      </c>
      <c r="E1758" s="1">
        <f t="shared" si="11"/>
        <v>5000</v>
      </c>
    </row>
    <row r="1759" hidden="1">
      <c r="A1759" s="24" t="s">
        <v>116</v>
      </c>
      <c r="B1759" s="25" t="s">
        <v>606</v>
      </c>
      <c r="C1759" s="25" t="s">
        <v>607</v>
      </c>
      <c r="D1759" s="25">
        <v>2.0</v>
      </c>
      <c r="E1759" s="1">
        <f t="shared" si="11"/>
        <v>500</v>
      </c>
    </row>
    <row r="1760" hidden="1">
      <c r="A1760" s="24" t="s">
        <v>116</v>
      </c>
      <c r="B1760" s="25" t="s">
        <v>1237</v>
      </c>
      <c r="C1760" s="25" t="s">
        <v>1238</v>
      </c>
      <c r="D1760" s="25">
        <v>2.0</v>
      </c>
      <c r="E1760" s="1">
        <f t="shared" si="11"/>
        <v>500</v>
      </c>
    </row>
    <row r="1761" hidden="1">
      <c r="A1761" s="24" t="s">
        <v>116</v>
      </c>
      <c r="B1761" s="25" t="s">
        <v>1057</v>
      </c>
      <c r="C1761" s="25" t="s">
        <v>1058</v>
      </c>
      <c r="D1761" s="25">
        <v>0.0</v>
      </c>
      <c r="E1761" s="1">
        <f t="shared" si="11"/>
        <v>0</v>
      </c>
    </row>
    <row r="1762" hidden="1">
      <c r="A1762" s="24" t="s">
        <v>116</v>
      </c>
      <c r="B1762" s="25" t="s">
        <v>1059</v>
      </c>
      <c r="C1762" s="25" t="s">
        <v>1060</v>
      </c>
      <c r="D1762" s="25">
        <v>1.0</v>
      </c>
      <c r="E1762" s="1">
        <f t="shared" si="11"/>
        <v>250</v>
      </c>
    </row>
    <row r="1763" hidden="1">
      <c r="A1763" s="24" t="s">
        <v>116</v>
      </c>
      <c r="B1763" s="25" t="s">
        <v>1114</v>
      </c>
      <c r="C1763" s="25" t="s">
        <v>1115</v>
      </c>
      <c r="D1763" s="25">
        <v>0.0</v>
      </c>
      <c r="E1763" s="1">
        <f t="shared" si="11"/>
        <v>0</v>
      </c>
    </row>
    <row r="1764" hidden="1">
      <c r="A1764" s="24" t="s">
        <v>116</v>
      </c>
      <c r="B1764" s="25" t="s">
        <v>620</v>
      </c>
      <c r="C1764" s="25" t="s">
        <v>621</v>
      </c>
      <c r="D1764" s="25">
        <v>4.0</v>
      </c>
      <c r="E1764" s="1">
        <f t="shared" si="11"/>
        <v>1000</v>
      </c>
    </row>
    <row r="1765" hidden="1">
      <c r="A1765" s="24" t="s">
        <v>116</v>
      </c>
      <c r="B1765" s="25" t="s">
        <v>622</v>
      </c>
      <c r="C1765" s="25" t="s">
        <v>623</v>
      </c>
      <c r="D1765" s="25">
        <v>1.0</v>
      </c>
      <c r="E1765" s="1">
        <f t="shared" si="11"/>
        <v>250</v>
      </c>
    </row>
    <row r="1766" hidden="1">
      <c r="A1766" s="24" t="s">
        <v>116</v>
      </c>
      <c r="B1766" s="25" t="s">
        <v>624</v>
      </c>
      <c r="C1766" s="25" t="s">
        <v>625</v>
      </c>
      <c r="D1766" s="25">
        <v>3.0</v>
      </c>
      <c r="E1766" s="1">
        <f t="shared" si="11"/>
        <v>750</v>
      </c>
    </row>
    <row r="1767" hidden="1">
      <c r="A1767" s="24" t="s">
        <v>116</v>
      </c>
      <c r="B1767" s="25" t="s">
        <v>626</v>
      </c>
      <c r="C1767" s="25" t="s">
        <v>627</v>
      </c>
      <c r="D1767" s="25">
        <v>2.0</v>
      </c>
      <c r="E1767" s="1">
        <f t="shared" si="11"/>
        <v>500</v>
      </c>
    </row>
    <row r="1768" hidden="1">
      <c r="A1768" s="24" t="s">
        <v>116</v>
      </c>
      <c r="B1768" s="25" t="s">
        <v>628</v>
      </c>
      <c r="C1768" s="25" t="s">
        <v>629</v>
      </c>
      <c r="D1768" s="25">
        <v>4.0</v>
      </c>
      <c r="E1768" s="1">
        <f t="shared" si="11"/>
        <v>1000</v>
      </c>
    </row>
    <row r="1769" hidden="1">
      <c r="A1769" s="24" t="s">
        <v>116</v>
      </c>
      <c r="B1769" s="25" t="s">
        <v>1175</v>
      </c>
      <c r="C1769" s="25" t="s">
        <v>1176</v>
      </c>
      <c r="D1769" s="25">
        <v>3.0</v>
      </c>
      <c r="E1769" s="1">
        <f t="shared" si="11"/>
        <v>750</v>
      </c>
    </row>
    <row r="1770" hidden="1">
      <c r="A1770" s="24" t="s">
        <v>116</v>
      </c>
      <c r="B1770" s="25" t="s">
        <v>640</v>
      </c>
      <c r="C1770" s="25" t="s">
        <v>641</v>
      </c>
      <c r="D1770" s="25">
        <v>14.0</v>
      </c>
      <c r="E1770" s="1">
        <f t="shared" si="11"/>
        <v>7000</v>
      </c>
    </row>
    <row r="1771" hidden="1">
      <c r="A1771" s="24" t="s">
        <v>116</v>
      </c>
      <c r="B1771" s="25" t="s">
        <v>1239</v>
      </c>
      <c r="C1771" s="25" t="s">
        <v>1240</v>
      </c>
      <c r="D1771" s="25">
        <v>3.0</v>
      </c>
      <c r="E1771" s="1">
        <f t="shared" si="11"/>
        <v>750</v>
      </c>
    </row>
    <row r="1772" hidden="1">
      <c r="A1772" s="24" t="s">
        <v>116</v>
      </c>
      <c r="B1772" s="25" t="s">
        <v>644</v>
      </c>
      <c r="C1772" s="25" t="s">
        <v>645</v>
      </c>
      <c r="D1772" s="25">
        <v>15.0</v>
      </c>
      <c r="E1772" s="1">
        <f t="shared" si="11"/>
        <v>7500</v>
      </c>
    </row>
    <row r="1773" hidden="1">
      <c r="A1773" s="24" t="s">
        <v>116</v>
      </c>
      <c r="B1773" s="25" t="s">
        <v>878</v>
      </c>
      <c r="C1773" s="25" t="s">
        <v>879</v>
      </c>
      <c r="D1773" s="25">
        <v>5.0</v>
      </c>
      <c r="E1773" s="1">
        <f t="shared" si="11"/>
        <v>1250</v>
      </c>
    </row>
    <row r="1774" hidden="1">
      <c r="A1774" s="24" t="s">
        <v>116</v>
      </c>
      <c r="B1774" s="25" t="s">
        <v>650</v>
      </c>
      <c r="C1774" s="25" t="s">
        <v>651</v>
      </c>
      <c r="D1774" s="25">
        <v>1.0</v>
      </c>
      <c r="E1774" s="1">
        <f t="shared" si="11"/>
        <v>250</v>
      </c>
    </row>
    <row r="1775" hidden="1">
      <c r="A1775" s="24" t="s">
        <v>116</v>
      </c>
      <c r="B1775" s="25" t="s">
        <v>1179</v>
      </c>
      <c r="C1775" s="25" t="s">
        <v>1180</v>
      </c>
      <c r="D1775" s="25">
        <v>3.0</v>
      </c>
      <c r="E1775" s="1">
        <f t="shared" si="11"/>
        <v>750</v>
      </c>
    </row>
    <row r="1776" hidden="1">
      <c r="A1776" s="24" t="s">
        <v>116</v>
      </c>
      <c r="B1776" s="25" t="s">
        <v>1143</v>
      </c>
      <c r="C1776" s="25" t="s">
        <v>1144</v>
      </c>
      <c r="D1776" s="25">
        <v>7.0</v>
      </c>
      <c r="E1776" s="1">
        <f t="shared" si="11"/>
        <v>1750</v>
      </c>
    </row>
    <row r="1777" hidden="1">
      <c r="A1777" s="24" t="s">
        <v>116</v>
      </c>
      <c r="B1777" s="25" t="s">
        <v>882</v>
      </c>
      <c r="C1777" s="25" t="s">
        <v>883</v>
      </c>
      <c r="D1777" s="25">
        <v>5.0</v>
      </c>
      <c r="E1777" s="1">
        <f t="shared" si="11"/>
        <v>1250</v>
      </c>
    </row>
    <row r="1778" hidden="1">
      <c r="A1778" s="24" t="s">
        <v>116</v>
      </c>
      <c r="B1778" s="25" t="s">
        <v>966</v>
      </c>
      <c r="C1778" s="25" t="s">
        <v>967</v>
      </c>
      <c r="D1778" s="25">
        <v>1.0</v>
      </c>
      <c r="E1778" s="1">
        <f t="shared" si="11"/>
        <v>250</v>
      </c>
    </row>
    <row r="1779" hidden="1">
      <c r="A1779" s="24" t="s">
        <v>116</v>
      </c>
      <c r="B1779" s="25" t="s">
        <v>1116</v>
      </c>
      <c r="C1779" s="25" t="s">
        <v>1117</v>
      </c>
      <c r="D1779" s="25">
        <v>1.0</v>
      </c>
      <c r="E1779" s="1">
        <f t="shared" si="11"/>
        <v>250</v>
      </c>
    </row>
    <row r="1780" hidden="1">
      <c r="A1780" s="24" t="s">
        <v>116</v>
      </c>
      <c r="B1780" s="25" t="s">
        <v>1241</v>
      </c>
      <c r="C1780" s="25" t="s">
        <v>1242</v>
      </c>
      <c r="D1780" s="25">
        <v>1.0</v>
      </c>
      <c r="E1780" s="1">
        <f t="shared" si="11"/>
        <v>250</v>
      </c>
    </row>
    <row r="1781" hidden="1">
      <c r="A1781" s="24" t="s">
        <v>116</v>
      </c>
      <c r="B1781" s="25" t="s">
        <v>821</v>
      </c>
      <c r="C1781" s="25" t="s">
        <v>822</v>
      </c>
      <c r="D1781" s="25">
        <v>5.0</v>
      </c>
      <c r="E1781" s="1">
        <f t="shared" si="11"/>
        <v>1250</v>
      </c>
    </row>
    <row r="1782" hidden="1">
      <c r="A1782" s="24" t="s">
        <v>116</v>
      </c>
      <c r="B1782" s="25" t="s">
        <v>1145</v>
      </c>
      <c r="C1782" s="25" t="s">
        <v>1146</v>
      </c>
      <c r="D1782" s="25">
        <v>2.0</v>
      </c>
      <c r="E1782" s="1">
        <f t="shared" si="11"/>
        <v>500</v>
      </c>
    </row>
    <row r="1783" hidden="1">
      <c r="A1783" s="24" t="s">
        <v>116</v>
      </c>
      <c r="B1783" s="25" t="s">
        <v>1243</v>
      </c>
      <c r="C1783" s="25" t="s">
        <v>1244</v>
      </c>
      <c r="D1783" s="25">
        <v>0.0</v>
      </c>
      <c r="E1783" s="1">
        <f t="shared" si="11"/>
        <v>0</v>
      </c>
    </row>
    <row r="1784" hidden="1">
      <c r="A1784" s="24" t="s">
        <v>116</v>
      </c>
      <c r="B1784" s="25" t="s">
        <v>1013</v>
      </c>
      <c r="C1784" s="25" t="s">
        <v>1014</v>
      </c>
      <c r="D1784" s="25">
        <v>4.0</v>
      </c>
      <c r="E1784" s="1">
        <f t="shared" si="11"/>
        <v>1000</v>
      </c>
    </row>
    <row r="1785" hidden="1">
      <c r="A1785" s="24" t="s">
        <v>116</v>
      </c>
      <c r="B1785" s="25" t="s">
        <v>1069</v>
      </c>
      <c r="C1785" s="25" t="s">
        <v>1070</v>
      </c>
      <c r="D1785" s="25">
        <v>4.0</v>
      </c>
      <c r="E1785" s="1">
        <f t="shared" si="11"/>
        <v>1000</v>
      </c>
    </row>
    <row r="1786" hidden="1">
      <c r="A1786" s="24" t="s">
        <v>116</v>
      </c>
      <c r="B1786" s="25" t="s">
        <v>1245</v>
      </c>
      <c r="C1786" s="25" t="s">
        <v>1246</v>
      </c>
      <c r="D1786" s="25">
        <v>2.0</v>
      </c>
      <c r="E1786" s="1">
        <f t="shared" si="11"/>
        <v>500</v>
      </c>
    </row>
    <row r="1787" hidden="1">
      <c r="A1787" s="24" t="s">
        <v>116</v>
      </c>
      <c r="B1787" s="25" t="s">
        <v>1247</v>
      </c>
      <c r="C1787" s="25" t="s">
        <v>1248</v>
      </c>
      <c r="D1787" s="25">
        <v>3.0</v>
      </c>
      <c r="E1787" s="1">
        <f t="shared" si="11"/>
        <v>750</v>
      </c>
    </row>
    <row r="1788" hidden="1">
      <c r="A1788" s="24" t="s">
        <v>116</v>
      </c>
      <c r="B1788" s="25" t="s">
        <v>672</v>
      </c>
      <c r="C1788" s="25" t="s">
        <v>673</v>
      </c>
      <c r="D1788" s="25">
        <v>4.0</v>
      </c>
      <c r="E1788" s="1">
        <f t="shared" si="11"/>
        <v>1000</v>
      </c>
    </row>
    <row r="1789" hidden="1">
      <c r="A1789" s="24" t="s">
        <v>116</v>
      </c>
      <c r="B1789" s="25" t="s">
        <v>1249</v>
      </c>
      <c r="C1789" s="25" t="s">
        <v>1250</v>
      </c>
      <c r="D1789" s="25">
        <v>7.0</v>
      </c>
      <c r="E1789" s="1">
        <f t="shared" si="11"/>
        <v>1750</v>
      </c>
    </row>
    <row r="1790" hidden="1">
      <c r="A1790" s="24" t="s">
        <v>116</v>
      </c>
      <c r="B1790" s="25" t="s">
        <v>680</v>
      </c>
      <c r="C1790" s="25" t="s">
        <v>681</v>
      </c>
      <c r="D1790" s="25">
        <v>3.0</v>
      </c>
      <c r="E1790" s="1">
        <f t="shared" si="11"/>
        <v>750</v>
      </c>
    </row>
    <row r="1791" hidden="1">
      <c r="A1791" s="24" t="s">
        <v>116</v>
      </c>
      <c r="B1791" s="25" t="s">
        <v>682</v>
      </c>
      <c r="C1791" s="25" t="s">
        <v>683</v>
      </c>
      <c r="D1791" s="25">
        <v>12.0</v>
      </c>
      <c r="E1791" s="1">
        <f t="shared" si="11"/>
        <v>6000</v>
      </c>
    </row>
    <row r="1792" hidden="1">
      <c r="A1792" s="24" t="s">
        <v>116</v>
      </c>
      <c r="B1792" s="25" t="s">
        <v>684</v>
      </c>
      <c r="C1792" s="25" t="s">
        <v>685</v>
      </c>
      <c r="D1792" s="25">
        <v>5.0</v>
      </c>
      <c r="E1792" s="1">
        <f t="shared" si="11"/>
        <v>1250</v>
      </c>
    </row>
    <row r="1793" hidden="1">
      <c r="A1793" s="24" t="s">
        <v>116</v>
      </c>
      <c r="B1793" s="25" t="s">
        <v>1251</v>
      </c>
      <c r="C1793" s="25" t="s">
        <v>1252</v>
      </c>
      <c r="D1793" s="25">
        <v>0.0</v>
      </c>
      <c r="E1793" s="1">
        <f t="shared" si="11"/>
        <v>0</v>
      </c>
    </row>
    <row r="1794" hidden="1">
      <c r="A1794" s="24" t="s">
        <v>116</v>
      </c>
      <c r="B1794" s="25" t="s">
        <v>1183</v>
      </c>
      <c r="C1794" s="25" t="s">
        <v>1184</v>
      </c>
      <c r="D1794" s="25">
        <v>2.0</v>
      </c>
      <c r="E1794" s="1">
        <f t="shared" si="11"/>
        <v>500</v>
      </c>
    </row>
    <row r="1795" hidden="1">
      <c r="A1795" s="24" t="s">
        <v>116</v>
      </c>
      <c r="B1795" s="25" t="s">
        <v>1185</v>
      </c>
      <c r="C1795" s="25" t="s">
        <v>1186</v>
      </c>
      <c r="D1795" s="25">
        <v>2.0</v>
      </c>
      <c r="E1795" s="1">
        <f t="shared" si="11"/>
        <v>500</v>
      </c>
    </row>
    <row r="1796" hidden="1">
      <c r="A1796" s="24" t="s">
        <v>116</v>
      </c>
      <c r="B1796" s="25" t="s">
        <v>307</v>
      </c>
      <c r="C1796" s="25" t="s">
        <v>692</v>
      </c>
      <c r="D1796" s="25">
        <v>2.0</v>
      </c>
      <c r="E1796" s="1">
        <f t="shared" si="11"/>
        <v>500</v>
      </c>
    </row>
    <row r="1797" hidden="1">
      <c r="A1797" s="24" t="s">
        <v>116</v>
      </c>
      <c r="B1797" s="25" t="s">
        <v>693</v>
      </c>
      <c r="C1797" s="25" t="s">
        <v>694</v>
      </c>
      <c r="D1797" s="25">
        <v>1.0</v>
      </c>
      <c r="E1797" s="1">
        <f t="shared" si="11"/>
        <v>250</v>
      </c>
    </row>
    <row r="1798" hidden="1">
      <c r="A1798" s="24" t="s">
        <v>116</v>
      </c>
      <c r="B1798" s="25" t="s">
        <v>1075</v>
      </c>
      <c r="C1798" s="25" t="s">
        <v>1076</v>
      </c>
      <c r="D1798" s="25">
        <v>3.0</v>
      </c>
      <c r="E1798" s="1">
        <f t="shared" si="11"/>
        <v>750</v>
      </c>
    </row>
    <row r="1799" hidden="1">
      <c r="A1799" s="24" t="s">
        <v>116</v>
      </c>
      <c r="B1799" s="25" t="s">
        <v>699</v>
      </c>
      <c r="C1799" s="25" t="s">
        <v>700</v>
      </c>
      <c r="D1799" s="25">
        <v>7.0</v>
      </c>
      <c r="E1799" s="1">
        <f t="shared" si="11"/>
        <v>1750</v>
      </c>
    </row>
    <row r="1800" hidden="1">
      <c r="A1800" s="24" t="s">
        <v>116</v>
      </c>
      <c r="B1800" s="25" t="s">
        <v>1253</v>
      </c>
      <c r="C1800" s="25" t="s">
        <v>1254</v>
      </c>
      <c r="D1800" s="25">
        <v>1.0</v>
      </c>
      <c r="E1800" s="1">
        <f t="shared" si="11"/>
        <v>250</v>
      </c>
    </row>
    <row r="1801" hidden="1">
      <c r="A1801" s="24" t="s">
        <v>116</v>
      </c>
      <c r="B1801" s="25" t="s">
        <v>1187</v>
      </c>
      <c r="C1801" s="25" t="s">
        <v>1188</v>
      </c>
      <c r="D1801" s="25">
        <v>2.0</v>
      </c>
      <c r="E1801" s="1">
        <f t="shared" si="11"/>
        <v>500</v>
      </c>
    </row>
    <row r="1802" hidden="1">
      <c r="A1802" s="24" t="s">
        <v>116</v>
      </c>
      <c r="B1802" s="25" t="s">
        <v>1149</v>
      </c>
      <c r="C1802" s="25" t="s">
        <v>1150</v>
      </c>
      <c r="D1802" s="25">
        <v>2.0</v>
      </c>
      <c r="E1802" s="1">
        <f t="shared" si="11"/>
        <v>500</v>
      </c>
    </row>
    <row r="1803" hidden="1">
      <c r="A1803" s="24" t="s">
        <v>116</v>
      </c>
      <c r="B1803" s="25" t="s">
        <v>701</v>
      </c>
      <c r="C1803" s="25" t="s">
        <v>702</v>
      </c>
      <c r="D1803" s="25">
        <v>2.0</v>
      </c>
      <c r="E1803" s="1">
        <f t="shared" si="11"/>
        <v>500</v>
      </c>
    </row>
    <row r="1804" hidden="1">
      <c r="A1804" s="24" t="s">
        <v>116</v>
      </c>
      <c r="B1804" s="25" t="s">
        <v>703</v>
      </c>
      <c r="C1804" s="25" t="s">
        <v>704</v>
      </c>
      <c r="D1804" s="25">
        <v>3.0</v>
      </c>
      <c r="E1804" s="1">
        <f t="shared" si="11"/>
        <v>750</v>
      </c>
    </row>
    <row r="1805" hidden="1">
      <c r="A1805" s="24" t="s">
        <v>116</v>
      </c>
      <c r="B1805" s="25" t="s">
        <v>1257</v>
      </c>
      <c r="C1805" s="25" t="s">
        <v>1258</v>
      </c>
      <c r="D1805" s="25">
        <v>2.0</v>
      </c>
      <c r="E1805" s="1">
        <f t="shared" si="11"/>
        <v>500</v>
      </c>
    </row>
    <row r="1806" hidden="1">
      <c r="A1806" s="24" t="s">
        <v>116</v>
      </c>
      <c r="B1806" s="25" t="s">
        <v>705</v>
      </c>
      <c r="C1806" s="25" t="s">
        <v>706</v>
      </c>
      <c r="D1806" s="25">
        <v>3.0</v>
      </c>
      <c r="E1806" s="1">
        <f t="shared" si="11"/>
        <v>750</v>
      </c>
    </row>
    <row r="1807" hidden="1">
      <c r="A1807" s="24" t="s">
        <v>116</v>
      </c>
      <c r="B1807" s="25" t="s">
        <v>717</v>
      </c>
      <c r="C1807" s="25" t="s">
        <v>718</v>
      </c>
      <c r="D1807" s="25">
        <v>6.0</v>
      </c>
      <c r="E1807" s="1">
        <f t="shared" si="11"/>
        <v>1500</v>
      </c>
    </row>
    <row r="1808" hidden="1">
      <c r="A1808" s="24" t="s">
        <v>116</v>
      </c>
      <c r="B1808" s="25" t="s">
        <v>721</v>
      </c>
      <c r="C1808" s="25" t="s">
        <v>722</v>
      </c>
      <c r="D1808" s="25">
        <v>6.0</v>
      </c>
      <c r="E1808" s="1">
        <f t="shared" si="11"/>
        <v>1500</v>
      </c>
    </row>
    <row r="1809" hidden="1">
      <c r="A1809" s="24" t="s">
        <v>116</v>
      </c>
      <c r="B1809" s="25" t="s">
        <v>1079</v>
      </c>
      <c r="C1809" s="25" t="s">
        <v>1080</v>
      </c>
      <c r="D1809" s="25">
        <v>2.0</v>
      </c>
      <c r="E1809" s="1">
        <f t="shared" si="11"/>
        <v>500</v>
      </c>
    </row>
    <row r="1810" hidden="1">
      <c r="A1810" s="24" t="s">
        <v>116</v>
      </c>
      <c r="B1810" s="25" t="s">
        <v>723</v>
      </c>
      <c r="C1810" s="25" t="s">
        <v>724</v>
      </c>
      <c r="D1810" s="25">
        <v>18.0</v>
      </c>
      <c r="E1810" s="1">
        <f t="shared" si="11"/>
        <v>9000</v>
      </c>
    </row>
    <row r="1811" hidden="1">
      <c r="A1811" s="24" t="s">
        <v>116</v>
      </c>
      <c r="B1811" s="25" t="s">
        <v>1081</v>
      </c>
      <c r="C1811" s="25" t="s">
        <v>1082</v>
      </c>
      <c r="D1811" s="25">
        <v>7.0</v>
      </c>
      <c r="E1811" s="1">
        <f t="shared" si="11"/>
        <v>1750</v>
      </c>
    </row>
    <row r="1812" hidden="1">
      <c r="A1812" s="24" t="s">
        <v>116</v>
      </c>
      <c r="B1812" s="25" t="s">
        <v>1259</v>
      </c>
      <c r="C1812" s="25" t="s">
        <v>1260</v>
      </c>
      <c r="D1812" s="25">
        <v>1.0</v>
      </c>
      <c r="E1812" s="1">
        <f t="shared" si="11"/>
        <v>250</v>
      </c>
    </row>
    <row r="1813" hidden="1">
      <c r="A1813" s="24" t="s">
        <v>116</v>
      </c>
      <c r="B1813" s="25" t="s">
        <v>1189</v>
      </c>
      <c r="C1813" s="25" t="s">
        <v>1190</v>
      </c>
      <c r="D1813" s="25">
        <v>3.0</v>
      </c>
      <c r="E1813" s="1">
        <f t="shared" si="11"/>
        <v>750</v>
      </c>
    </row>
    <row r="1814" hidden="1">
      <c r="A1814" s="24" t="s">
        <v>116</v>
      </c>
      <c r="B1814" s="25" t="s">
        <v>1261</v>
      </c>
      <c r="C1814" s="25" t="s">
        <v>1262</v>
      </c>
      <c r="D1814" s="25">
        <v>1.0</v>
      </c>
      <c r="E1814" s="1">
        <f t="shared" si="11"/>
        <v>250</v>
      </c>
    </row>
    <row r="1815" hidden="1">
      <c r="A1815" s="24" t="s">
        <v>116</v>
      </c>
      <c r="B1815" s="25" t="s">
        <v>1151</v>
      </c>
      <c r="C1815" s="25" t="s">
        <v>1152</v>
      </c>
      <c r="D1815" s="25">
        <v>2.0</v>
      </c>
      <c r="E1815" s="1">
        <f t="shared" si="11"/>
        <v>500</v>
      </c>
    </row>
    <row r="1816" hidden="1">
      <c r="A1816" s="24" t="s">
        <v>116</v>
      </c>
      <c r="B1816" s="25" t="s">
        <v>1025</v>
      </c>
      <c r="C1816" s="25" t="s">
        <v>1026</v>
      </c>
      <c r="D1816" s="25">
        <v>2.0</v>
      </c>
      <c r="E1816" s="1">
        <f t="shared" si="11"/>
        <v>500</v>
      </c>
    </row>
    <row r="1817" hidden="1">
      <c r="A1817" s="24" t="s">
        <v>116</v>
      </c>
      <c r="B1817" s="25" t="s">
        <v>1027</v>
      </c>
      <c r="C1817" s="25" t="s">
        <v>1028</v>
      </c>
      <c r="D1817" s="25">
        <v>4.0</v>
      </c>
      <c r="E1817" s="1">
        <f t="shared" si="11"/>
        <v>1000</v>
      </c>
    </row>
    <row r="1818" hidden="1">
      <c r="A1818" s="24" t="s">
        <v>116</v>
      </c>
      <c r="B1818" s="25" t="s">
        <v>736</v>
      </c>
      <c r="C1818" s="25" t="s">
        <v>737</v>
      </c>
      <c r="D1818" s="25">
        <v>3.0</v>
      </c>
      <c r="E1818" s="1">
        <f t="shared" si="11"/>
        <v>750</v>
      </c>
    </row>
    <row r="1819" hidden="1">
      <c r="A1819" s="24" t="s">
        <v>116</v>
      </c>
      <c r="B1819" s="25" t="s">
        <v>1122</v>
      </c>
      <c r="C1819" s="25" t="s">
        <v>1123</v>
      </c>
      <c r="D1819" s="25">
        <v>4.0</v>
      </c>
      <c r="E1819" s="1">
        <f t="shared" si="11"/>
        <v>1000</v>
      </c>
    </row>
    <row r="1820" hidden="1">
      <c r="A1820" s="24" t="s">
        <v>116</v>
      </c>
      <c r="B1820" s="25" t="s">
        <v>1120</v>
      </c>
      <c r="C1820" s="25" t="s">
        <v>1121</v>
      </c>
      <c r="D1820" s="25">
        <v>5.0</v>
      </c>
      <c r="E1820" s="1">
        <f t="shared" si="11"/>
        <v>1250</v>
      </c>
    </row>
    <row r="1821" hidden="1">
      <c r="A1821" s="24" t="s">
        <v>116</v>
      </c>
      <c r="B1821" s="25" t="s">
        <v>1263</v>
      </c>
      <c r="C1821" s="25" t="s">
        <v>1264</v>
      </c>
      <c r="D1821" s="25">
        <v>3.0</v>
      </c>
      <c r="E1821" s="1">
        <f t="shared" si="11"/>
        <v>750</v>
      </c>
    </row>
    <row r="1822" hidden="1">
      <c r="A1822" s="24" t="s">
        <v>116</v>
      </c>
      <c r="B1822" s="25" t="s">
        <v>746</v>
      </c>
      <c r="C1822" s="25" t="s">
        <v>747</v>
      </c>
      <c r="D1822" s="25">
        <v>8.0</v>
      </c>
      <c r="E1822" s="1">
        <f t="shared" si="11"/>
        <v>2000</v>
      </c>
    </row>
    <row r="1823" hidden="1">
      <c r="A1823" s="24" t="s">
        <v>116</v>
      </c>
      <c r="B1823" s="25" t="s">
        <v>1155</v>
      </c>
      <c r="C1823" s="25" t="s">
        <v>1156</v>
      </c>
      <c r="D1823" s="25">
        <v>3.0</v>
      </c>
      <c r="E1823" s="1">
        <f t="shared" si="11"/>
        <v>750</v>
      </c>
    </row>
    <row r="1824" hidden="1">
      <c r="A1824" s="24" t="s">
        <v>116</v>
      </c>
      <c r="B1824" s="25" t="s">
        <v>1191</v>
      </c>
      <c r="C1824" s="25" t="s">
        <v>1192</v>
      </c>
      <c r="D1824" s="25">
        <v>3.0</v>
      </c>
      <c r="E1824" s="1">
        <f t="shared" si="11"/>
        <v>750</v>
      </c>
    </row>
    <row r="1825" hidden="1">
      <c r="A1825" s="24" t="s">
        <v>116</v>
      </c>
      <c r="B1825" s="25" t="s">
        <v>752</v>
      </c>
      <c r="C1825" s="25" t="s">
        <v>753</v>
      </c>
      <c r="D1825" s="25">
        <v>3.0</v>
      </c>
      <c r="E1825" s="1">
        <f t="shared" si="11"/>
        <v>750</v>
      </c>
    </row>
    <row r="1826" hidden="1">
      <c r="A1826" s="24" t="s">
        <v>116</v>
      </c>
      <c r="B1826" s="25" t="s">
        <v>758</v>
      </c>
      <c r="C1826" s="25" t="s">
        <v>759</v>
      </c>
      <c r="D1826" s="25">
        <v>2.0</v>
      </c>
      <c r="E1826" s="1">
        <f t="shared" si="11"/>
        <v>500</v>
      </c>
    </row>
    <row r="1827" hidden="1">
      <c r="A1827" s="24" t="s">
        <v>116</v>
      </c>
      <c r="B1827" s="25" t="s">
        <v>1265</v>
      </c>
      <c r="C1827" s="25" t="s">
        <v>1266</v>
      </c>
      <c r="D1827" s="25">
        <v>0.0</v>
      </c>
      <c r="E1827" s="1">
        <f t="shared" si="11"/>
        <v>0</v>
      </c>
    </row>
    <row r="1828" hidden="1">
      <c r="A1828" s="24" t="s">
        <v>116</v>
      </c>
      <c r="B1828" s="25" t="s">
        <v>898</v>
      </c>
      <c r="C1828" s="25" t="s">
        <v>899</v>
      </c>
      <c r="D1828" s="25">
        <v>2.0</v>
      </c>
      <c r="E1828" s="1">
        <f t="shared" si="11"/>
        <v>500</v>
      </c>
    </row>
    <row r="1829" hidden="1">
      <c r="A1829" s="24" t="s">
        <v>116</v>
      </c>
      <c r="B1829" s="25" t="s">
        <v>1037</v>
      </c>
      <c r="C1829" s="25" t="s">
        <v>1038</v>
      </c>
      <c r="D1829" s="25">
        <v>6.0</v>
      </c>
      <c r="E1829" s="1">
        <f t="shared" si="11"/>
        <v>1500</v>
      </c>
    </row>
    <row r="1830" hidden="1">
      <c r="A1830" s="24" t="s">
        <v>116</v>
      </c>
      <c r="B1830" s="25" t="s">
        <v>764</v>
      </c>
      <c r="C1830" s="25" t="s">
        <v>765</v>
      </c>
      <c r="D1830" s="25">
        <v>2.0</v>
      </c>
      <c r="E1830" s="1">
        <f t="shared" si="11"/>
        <v>500</v>
      </c>
    </row>
    <row r="1831" hidden="1">
      <c r="A1831" s="24" t="s">
        <v>116</v>
      </c>
      <c r="B1831" s="25" t="s">
        <v>1039</v>
      </c>
      <c r="C1831" s="25" t="s">
        <v>1040</v>
      </c>
      <c r="D1831" s="25">
        <v>2.0</v>
      </c>
      <c r="E1831" s="1">
        <f t="shared" si="11"/>
        <v>500</v>
      </c>
    </row>
    <row r="1832" hidden="1">
      <c r="A1832" s="24" t="s">
        <v>116</v>
      </c>
      <c r="B1832" s="25" t="s">
        <v>900</v>
      </c>
      <c r="C1832" s="25" t="s">
        <v>901</v>
      </c>
      <c r="D1832" s="25">
        <v>1.0</v>
      </c>
      <c r="E1832" s="1">
        <f t="shared" si="11"/>
        <v>250</v>
      </c>
    </row>
    <row r="1833" hidden="1">
      <c r="A1833" s="24" t="s">
        <v>116</v>
      </c>
      <c r="B1833" s="25" t="s">
        <v>766</v>
      </c>
      <c r="C1833" s="25" t="s">
        <v>767</v>
      </c>
      <c r="D1833" s="25">
        <v>7.0</v>
      </c>
      <c r="E1833" s="1">
        <f t="shared" si="11"/>
        <v>1750</v>
      </c>
    </row>
    <row r="1834" hidden="1">
      <c r="A1834" s="24" t="s">
        <v>116</v>
      </c>
      <c r="B1834" s="25" t="s">
        <v>902</v>
      </c>
      <c r="C1834" s="25" t="s">
        <v>903</v>
      </c>
      <c r="D1834" s="25">
        <v>5.0</v>
      </c>
      <c r="E1834" s="1">
        <f t="shared" si="11"/>
        <v>1250</v>
      </c>
    </row>
    <row r="1835" hidden="1">
      <c r="A1835" s="24" t="s">
        <v>119</v>
      </c>
      <c r="B1835" s="25"/>
      <c r="C1835" s="25" t="s">
        <v>418</v>
      </c>
      <c r="D1835" s="25">
        <v>12.0</v>
      </c>
      <c r="E1835" s="1">
        <f t="shared" si="11"/>
        <v>6000</v>
      </c>
    </row>
    <row r="1836" hidden="1">
      <c r="A1836" s="24" t="s">
        <v>119</v>
      </c>
      <c r="B1836" s="25"/>
      <c r="C1836" s="25" t="s">
        <v>1204</v>
      </c>
      <c r="D1836" s="25">
        <v>13.0</v>
      </c>
      <c r="E1836" s="1">
        <f t="shared" si="11"/>
        <v>6500</v>
      </c>
    </row>
    <row r="1837" hidden="1">
      <c r="A1837" s="24" t="s">
        <v>119</v>
      </c>
      <c r="B1837" s="25"/>
      <c r="C1837" s="25" t="s">
        <v>436</v>
      </c>
      <c r="D1837" s="25">
        <v>17.0</v>
      </c>
      <c r="E1837" s="1">
        <f t="shared" si="11"/>
        <v>8500</v>
      </c>
    </row>
    <row r="1838" hidden="1">
      <c r="A1838" s="24" t="s">
        <v>119</v>
      </c>
      <c r="B1838" s="25"/>
      <c r="C1838" s="25" t="s">
        <v>440</v>
      </c>
      <c r="D1838" s="25">
        <v>10.0</v>
      </c>
      <c r="E1838" s="1">
        <f t="shared" si="11"/>
        <v>5000</v>
      </c>
    </row>
    <row r="1839" hidden="1">
      <c r="A1839" s="24" t="s">
        <v>119</v>
      </c>
      <c r="B1839" s="25"/>
      <c r="C1839" s="25" t="s">
        <v>477</v>
      </c>
      <c r="D1839" s="25">
        <v>30.0</v>
      </c>
      <c r="E1839" s="1">
        <f t="shared" si="11"/>
        <v>15000</v>
      </c>
    </row>
    <row r="1840" hidden="1">
      <c r="A1840" s="24" t="s">
        <v>119</v>
      </c>
      <c r="B1840" s="25"/>
      <c r="C1840" s="25" t="s">
        <v>487</v>
      </c>
      <c r="D1840" s="25">
        <v>11.0</v>
      </c>
      <c r="E1840" s="1">
        <f t="shared" si="11"/>
        <v>5500</v>
      </c>
    </row>
    <row r="1841" hidden="1">
      <c r="A1841" s="24" t="s">
        <v>119</v>
      </c>
      <c r="B1841" s="25"/>
      <c r="C1841" s="25" t="s">
        <v>517</v>
      </c>
      <c r="D1841" s="25">
        <v>12.0</v>
      </c>
      <c r="E1841" s="1">
        <f t="shared" si="11"/>
        <v>6000</v>
      </c>
    </row>
    <row r="1842" hidden="1">
      <c r="A1842" s="24" t="s">
        <v>119</v>
      </c>
      <c r="B1842" s="25"/>
      <c r="C1842" s="25" t="s">
        <v>853</v>
      </c>
      <c r="D1842" s="25">
        <v>10.0</v>
      </c>
      <c r="E1842" s="1">
        <f t="shared" si="11"/>
        <v>5000</v>
      </c>
    </row>
    <row r="1843" hidden="1">
      <c r="A1843" s="24" t="s">
        <v>119</v>
      </c>
      <c r="B1843" s="25"/>
      <c r="C1843" s="25" t="s">
        <v>541</v>
      </c>
      <c r="D1843" s="25">
        <v>14.0</v>
      </c>
      <c r="E1843" s="1">
        <f t="shared" si="11"/>
        <v>7000</v>
      </c>
    </row>
    <row r="1844" hidden="1">
      <c r="A1844" s="24" t="s">
        <v>119</v>
      </c>
      <c r="B1844" s="25"/>
      <c r="C1844" s="25" t="s">
        <v>641</v>
      </c>
      <c r="D1844" s="25">
        <v>20.0</v>
      </c>
      <c r="E1844" s="1">
        <f t="shared" si="11"/>
        <v>10000</v>
      </c>
    </row>
    <row r="1845" hidden="1">
      <c r="A1845" s="24" t="s">
        <v>119</v>
      </c>
      <c r="B1845" s="25"/>
      <c r="C1845" s="25" t="s">
        <v>645</v>
      </c>
      <c r="D1845" s="25">
        <v>16.0</v>
      </c>
      <c r="E1845" s="1">
        <f t="shared" si="11"/>
        <v>8000</v>
      </c>
    </row>
    <row r="1846" hidden="1">
      <c r="A1846" s="24" t="s">
        <v>119</v>
      </c>
      <c r="B1846" s="25"/>
      <c r="C1846" s="25" t="s">
        <v>683</v>
      </c>
      <c r="D1846" s="25">
        <v>10.0</v>
      </c>
      <c r="E1846" s="1">
        <f t="shared" si="11"/>
        <v>5000</v>
      </c>
    </row>
    <row r="1847" hidden="1">
      <c r="A1847" s="24" t="s">
        <v>119</v>
      </c>
      <c r="B1847" s="25"/>
      <c r="C1847" s="25" t="s">
        <v>724</v>
      </c>
      <c r="D1847" s="25">
        <v>16.0</v>
      </c>
      <c r="E1847" s="1">
        <f t="shared" si="11"/>
        <v>8000</v>
      </c>
    </row>
    <row r="1848" hidden="1">
      <c r="A1848" s="24" t="s">
        <v>119</v>
      </c>
      <c r="B1848" s="25"/>
      <c r="C1848" s="25" t="s">
        <v>747</v>
      </c>
      <c r="D1848" s="25">
        <v>10.0</v>
      </c>
      <c r="E1848" s="1">
        <f t="shared" si="11"/>
        <v>5000</v>
      </c>
    </row>
    <row r="1849" hidden="1">
      <c r="A1849" s="24" t="s">
        <v>119</v>
      </c>
      <c r="B1849" s="25"/>
      <c r="C1849" s="25" t="s">
        <v>1158</v>
      </c>
      <c r="D1849" s="25">
        <v>4.0</v>
      </c>
      <c r="E1849" s="1">
        <f t="shared" si="11"/>
        <v>1000</v>
      </c>
    </row>
    <row r="1850" hidden="1">
      <c r="A1850" s="24" t="s">
        <v>119</v>
      </c>
      <c r="B1850" s="25"/>
      <c r="C1850" s="25" t="s">
        <v>1196</v>
      </c>
      <c r="D1850" s="25">
        <v>4.0</v>
      </c>
      <c r="E1850" s="1">
        <f t="shared" si="11"/>
        <v>1000</v>
      </c>
    </row>
    <row r="1851" hidden="1">
      <c r="A1851" s="24" t="s">
        <v>119</v>
      </c>
      <c r="B1851" s="25"/>
      <c r="C1851" s="25" t="s">
        <v>1198</v>
      </c>
      <c r="D1851" s="25">
        <v>4.0</v>
      </c>
      <c r="E1851" s="1">
        <f t="shared" si="11"/>
        <v>1000</v>
      </c>
    </row>
    <row r="1852" hidden="1">
      <c r="A1852" s="24" t="s">
        <v>119</v>
      </c>
      <c r="B1852" s="25"/>
      <c r="C1852" s="25" t="s">
        <v>816</v>
      </c>
      <c r="D1852" s="25">
        <v>7.0</v>
      </c>
      <c r="E1852" s="1">
        <f t="shared" si="11"/>
        <v>1750</v>
      </c>
    </row>
    <row r="1853" hidden="1">
      <c r="A1853" s="24" t="s">
        <v>119</v>
      </c>
      <c r="B1853" s="25"/>
      <c r="C1853" s="25" t="s">
        <v>1200</v>
      </c>
      <c r="D1853" s="25">
        <v>9.0</v>
      </c>
      <c r="E1853" s="1">
        <f t="shared" si="11"/>
        <v>2250</v>
      </c>
    </row>
    <row r="1854" hidden="1">
      <c r="A1854" s="24" t="s">
        <v>119</v>
      </c>
      <c r="B1854" s="25"/>
      <c r="C1854" s="25" t="s">
        <v>406</v>
      </c>
      <c r="D1854" s="25">
        <v>3.0</v>
      </c>
      <c r="E1854" s="1">
        <f t="shared" si="11"/>
        <v>750</v>
      </c>
    </row>
    <row r="1855" hidden="1">
      <c r="A1855" s="24" t="s">
        <v>119</v>
      </c>
      <c r="B1855" s="25"/>
      <c r="C1855" s="25" t="s">
        <v>410</v>
      </c>
      <c r="D1855" s="25">
        <v>9.0</v>
      </c>
      <c r="E1855" s="1">
        <f t="shared" si="11"/>
        <v>2250</v>
      </c>
    </row>
    <row r="1856" hidden="1">
      <c r="A1856" s="24" t="s">
        <v>119</v>
      </c>
      <c r="B1856" s="25"/>
      <c r="C1856" s="25" t="s">
        <v>412</v>
      </c>
      <c r="D1856" s="25">
        <v>6.0</v>
      </c>
      <c r="E1856" s="1">
        <f t="shared" si="11"/>
        <v>1500</v>
      </c>
    </row>
    <row r="1857" hidden="1">
      <c r="A1857" s="24" t="s">
        <v>119</v>
      </c>
      <c r="B1857" s="25"/>
      <c r="C1857" s="25" t="s">
        <v>414</v>
      </c>
      <c r="D1857" s="25">
        <v>7.0</v>
      </c>
      <c r="E1857" s="1">
        <f t="shared" si="11"/>
        <v>1750</v>
      </c>
    </row>
    <row r="1858" hidden="1">
      <c r="A1858" s="24" t="s">
        <v>119</v>
      </c>
      <c r="B1858" s="25"/>
      <c r="C1858" s="25" t="s">
        <v>1090</v>
      </c>
      <c r="D1858" s="25">
        <v>0.0</v>
      </c>
      <c r="E1858" s="1">
        <f t="shared" si="11"/>
        <v>0</v>
      </c>
    </row>
    <row r="1859" hidden="1">
      <c r="A1859" s="24" t="s">
        <v>119</v>
      </c>
      <c r="B1859" s="25"/>
      <c r="C1859" s="25" t="s">
        <v>826</v>
      </c>
      <c r="D1859" s="25">
        <v>2.0</v>
      </c>
      <c r="E1859" s="1">
        <f t="shared" si="11"/>
        <v>500</v>
      </c>
    </row>
    <row r="1860" hidden="1">
      <c r="A1860" s="24" t="s">
        <v>119</v>
      </c>
      <c r="B1860" s="25"/>
      <c r="C1860" s="25" t="s">
        <v>1125</v>
      </c>
      <c r="D1860" s="25">
        <v>5.0</v>
      </c>
      <c r="E1860" s="1">
        <f t="shared" si="11"/>
        <v>1250</v>
      </c>
    </row>
    <row r="1861" hidden="1">
      <c r="A1861" s="24" t="s">
        <v>119</v>
      </c>
      <c r="B1861" s="25"/>
      <c r="C1861" s="25" t="s">
        <v>1202</v>
      </c>
      <c r="D1861" s="25">
        <v>4.0</v>
      </c>
      <c r="E1861" s="1">
        <f t="shared" si="11"/>
        <v>1000</v>
      </c>
    </row>
    <row r="1862" hidden="1">
      <c r="A1862" s="24" t="s">
        <v>119</v>
      </c>
      <c r="B1862" s="25"/>
      <c r="C1862" s="25" t="s">
        <v>1162</v>
      </c>
      <c r="D1862" s="25">
        <v>0.0</v>
      </c>
      <c r="E1862" s="1">
        <f t="shared" si="11"/>
        <v>0</v>
      </c>
    </row>
    <row r="1863" hidden="1">
      <c r="A1863" s="24" t="s">
        <v>119</v>
      </c>
      <c r="B1863" s="25"/>
      <c r="C1863" s="25" t="s">
        <v>432</v>
      </c>
      <c r="D1863" s="25">
        <v>6.0</v>
      </c>
      <c r="E1863" s="1">
        <f t="shared" si="11"/>
        <v>1500</v>
      </c>
    </row>
    <row r="1864" hidden="1">
      <c r="A1864" s="24" t="s">
        <v>119</v>
      </c>
      <c r="B1864" s="25"/>
      <c r="C1864" s="25" t="s">
        <v>434</v>
      </c>
      <c r="D1864" s="25">
        <v>2.0</v>
      </c>
      <c r="E1864" s="1">
        <f t="shared" si="11"/>
        <v>500</v>
      </c>
    </row>
    <row r="1865" hidden="1">
      <c r="A1865" s="24" t="s">
        <v>119</v>
      </c>
      <c r="B1865" s="25"/>
      <c r="C1865" s="25" t="s">
        <v>842</v>
      </c>
      <c r="D1865" s="25">
        <v>3.0</v>
      </c>
      <c r="E1865" s="1">
        <f t="shared" si="11"/>
        <v>750</v>
      </c>
    </row>
    <row r="1866" hidden="1">
      <c r="A1866" s="24" t="s">
        <v>119</v>
      </c>
      <c r="B1866" s="25"/>
      <c r="C1866" s="25" t="s">
        <v>973</v>
      </c>
      <c r="D1866" s="25">
        <v>3.0</v>
      </c>
      <c r="E1866" s="1">
        <f t="shared" si="11"/>
        <v>750</v>
      </c>
    </row>
    <row r="1867" hidden="1">
      <c r="A1867" s="24" t="s">
        <v>119</v>
      </c>
      <c r="B1867" s="25"/>
      <c r="C1867" s="25" t="s">
        <v>1268</v>
      </c>
      <c r="D1867" s="25">
        <v>0.0</v>
      </c>
      <c r="E1867" s="1">
        <f t="shared" si="11"/>
        <v>0</v>
      </c>
    </row>
    <row r="1868" hidden="1">
      <c r="A1868" s="24" t="s">
        <v>119</v>
      </c>
      <c r="B1868" s="25"/>
      <c r="C1868" s="25" t="s">
        <v>444</v>
      </c>
      <c r="D1868" s="25">
        <v>4.0</v>
      </c>
      <c r="E1868" s="1">
        <f t="shared" si="11"/>
        <v>1000</v>
      </c>
    </row>
    <row r="1869" hidden="1">
      <c r="A1869" s="24" t="s">
        <v>119</v>
      </c>
      <c r="B1869" s="25"/>
      <c r="C1869" s="25" t="s">
        <v>804</v>
      </c>
      <c r="D1869" s="25">
        <v>1.0</v>
      </c>
      <c r="E1869" s="1">
        <f t="shared" si="11"/>
        <v>250</v>
      </c>
    </row>
    <row r="1870" hidden="1">
      <c r="A1870" s="24" t="s">
        <v>119</v>
      </c>
      <c r="B1870" s="25"/>
      <c r="C1870" s="25" t="s">
        <v>446</v>
      </c>
      <c r="D1870" s="25">
        <v>5.0</v>
      </c>
      <c r="E1870" s="1">
        <f t="shared" si="11"/>
        <v>1250</v>
      </c>
    </row>
    <row r="1871" hidden="1">
      <c r="A1871" s="24" t="s">
        <v>119</v>
      </c>
      <c r="B1871" s="25"/>
      <c r="C1871" s="25" t="s">
        <v>448</v>
      </c>
      <c r="D1871" s="25">
        <v>3.0</v>
      </c>
      <c r="E1871" s="1">
        <f t="shared" si="11"/>
        <v>750</v>
      </c>
    </row>
    <row r="1872" hidden="1">
      <c r="A1872" s="24" t="s">
        <v>119</v>
      </c>
      <c r="B1872" s="25"/>
      <c r="C1872" s="25" t="s">
        <v>452</v>
      </c>
      <c r="D1872" s="25">
        <v>4.0</v>
      </c>
      <c r="E1872" s="1">
        <f t="shared" si="11"/>
        <v>1000</v>
      </c>
    </row>
    <row r="1873" hidden="1">
      <c r="A1873" s="24" t="s">
        <v>119</v>
      </c>
      <c r="B1873" s="25"/>
      <c r="C1873" s="25" t="s">
        <v>1094</v>
      </c>
      <c r="D1873" s="25">
        <v>0.0</v>
      </c>
      <c r="E1873" s="1">
        <f t="shared" si="11"/>
        <v>0</v>
      </c>
    </row>
    <row r="1874" hidden="1">
      <c r="A1874" s="24" t="s">
        <v>119</v>
      </c>
      <c r="B1874" s="25"/>
      <c r="C1874" s="25" t="s">
        <v>458</v>
      </c>
      <c r="D1874" s="25">
        <v>7.0</v>
      </c>
      <c r="E1874" s="1">
        <f t="shared" si="11"/>
        <v>1750</v>
      </c>
    </row>
    <row r="1875" hidden="1">
      <c r="A1875" s="24" t="s">
        <v>119</v>
      </c>
      <c r="B1875" s="25"/>
      <c r="C1875" s="25" t="s">
        <v>1128</v>
      </c>
      <c r="D1875" s="25">
        <v>3.0</v>
      </c>
      <c r="E1875" s="1">
        <f t="shared" si="11"/>
        <v>750</v>
      </c>
    </row>
    <row r="1876" hidden="1">
      <c r="A1876" s="24" t="s">
        <v>119</v>
      </c>
      <c r="B1876" s="25"/>
      <c r="C1876" s="25" t="s">
        <v>806</v>
      </c>
      <c r="D1876" s="25">
        <v>2.0</v>
      </c>
      <c r="E1876" s="1">
        <f t="shared" si="11"/>
        <v>500</v>
      </c>
    </row>
    <row r="1877" hidden="1">
      <c r="A1877" s="24" t="s">
        <v>119</v>
      </c>
      <c r="B1877" s="25"/>
      <c r="C1877" s="25" t="s">
        <v>911</v>
      </c>
      <c r="D1877" s="25">
        <v>6.0</v>
      </c>
      <c r="E1877" s="1">
        <f t="shared" si="11"/>
        <v>1500</v>
      </c>
    </row>
    <row r="1878" hidden="1">
      <c r="A1878" s="24" t="s">
        <v>119</v>
      </c>
      <c r="B1878" s="25"/>
      <c r="C1878" s="25" t="s">
        <v>463</v>
      </c>
      <c r="D1878" s="25">
        <v>3.0</v>
      </c>
      <c r="E1878" s="1">
        <f t="shared" si="11"/>
        <v>750</v>
      </c>
    </row>
    <row r="1879" hidden="1">
      <c r="A1879" s="24" t="s">
        <v>119</v>
      </c>
      <c r="B1879" s="25"/>
      <c r="C1879" s="25" t="s">
        <v>1164</v>
      </c>
      <c r="D1879" s="25">
        <v>6.0</v>
      </c>
      <c r="E1879" s="1">
        <f t="shared" si="11"/>
        <v>1500</v>
      </c>
    </row>
    <row r="1880" hidden="1">
      <c r="A1880" s="24" t="s">
        <v>119</v>
      </c>
      <c r="B1880" s="25"/>
      <c r="C1880" s="25" t="s">
        <v>1130</v>
      </c>
      <c r="D1880" s="25">
        <v>7.0</v>
      </c>
      <c r="E1880" s="1">
        <f t="shared" si="11"/>
        <v>1750</v>
      </c>
    </row>
    <row r="1881" hidden="1">
      <c r="A1881" s="24" t="s">
        <v>119</v>
      </c>
      <c r="B1881" s="25"/>
      <c r="C1881" s="25" t="s">
        <v>1096</v>
      </c>
      <c r="D1881" s="25">
        <v>6.0</v>
      </c>
      <c r="E1881" s="1">
        <f t="shared" si="11"/>
        <v>1500</v>
      </c>
    </row>
    <row r="1882" hidden="1">
      <c r="A1882" s="24" t="s">
        <v>119</v>
      </c>
      <c r="B1882" s="25"/>
      <c r="C1882" s="25" t="s">
        <v>1134</v>
      </c>
      <c r="D1882" s="25">
        <v>1.0</v>
      </c>
      <c r="E1882" s="1">
        <f t="shared" si="11"/>
        <v>250</v>
      </c>
    </row>
    <row r="1883" hidden="1">
      <c r="A1883" s="24" t="s">
        <v>119</v>
      </c>
      <c r="B1883" s="25"/>
      <c r="C1883" s="25" t="s">
        <v>501</v>
      </c>
      <c r="D1883" s="25">
        <v>6.0</v>
      </c>
      <c r="E1883" s="1">
        <f t="shared" si="11"/>
        <v>1500</v>
      </c>
    </row>
    <row r="1884" hidden="1">
      <c r="A1884" s="24" t="s">
        <v>119</v>
      </c>
      <c r="B1884" s="25"/>
      <c r="C1884" s="25" t="s">
        <v>1206</v>
      </c>
      <c r="D1884" s="25">
        <v>6.0</v>
      </c>
      <c r="E1884" s="1">
        <f t="shared" si="11"/>
        <v>1500</v>
      </c>
    </row>
    <row r="1885" hidden="1">
      <c r="A1885" s="24" t="s">
        <v>119</v>
      </c>
      <c r="B1885" s="25"/>
      <c r="C1885" s="25" t="s">
        <v>1166</v>
      </c>
      <c r="D1885" s="25">
        <v>3.0</v>
      </c>
      <c r="E1885" s="1">
        <f t="shared" si="11"/>
        <v>750</v>
      </c>
    </row>
    <row r="1886" hidden="1">
      <c r="A1886" s="24" t="s">
        <v>119</v>
      </c>
      <c r="B1886" s="25"/>
      <c r="C1886" s="25" t="s">
        <v>511</v>
      </c>
      <c r="D1886" s="25">
        <v>6.0</v>
      </c>
      <c r="E1886" s="1">
        <f t="shared" si="11"/>
        <v>1500</v>
      </c>
    </row>
    <row r="1887" hidden="1">
      <c r="A1887" s="24" t="s">
        <v>119</v>
      </c>
      <c r="B1887" s="25"/>
      <c r="C1887" s="25" t="s">
        <v>1210</v>
      </c>
      <c r="D1887" s="25">
        <v>0.0</v>
      </c>
      <c r="E1887" s="1">
        <f t="shared" si="11"/>
        <v>0</v>
      </c>
    </row>
    <row r="1888" hidden="1">
      <c r="A1888" s="24" t="s">
        <v>119</v>
      </c>
      <c r="B1888" s="25"/>
      <c r="C1888" s="25" t="s">
        <v>919</v>
      </c>
      <c r="D1888" s="25">
        <v>2.0</v>
      </c>
      <c r="E1888" s="1">
        <f t="shared" si="11"/>
        <v>500</v>
      </c>
    </row>
    <row r="1889" hidden="1">
      <c r="A1889" s="24" t="s">
        <v>119</v>
      </c>
      <c r="B1889" s="25"/>
      <c r="C1889" s="25" t="s">
        <v>519</v>
      </c>
      <c r="D1889" s="25">
        <v>2.0</v>
      </c>
      <c r="E1889" s="1">
        <f t="shared" si="11"/>
        <v>500</v>
      </c>
    </row>
    <row r="1890" hidden="1">
      <c r="A1890" s="24" t="s">
        <v>119</v>
      </c>
      <c r="B1890" s="25"/>
      <c r="C1890" s="25" t="s">
        <v>849</v>
      </c>
      <c r="D1890" s="25">
        <v>1.0</v>
      </c>
      <c r="E1890" s="1">
        <f t="shared" si="11"/>
        <v>250</v>
      </c>
    </row>
    <row r="1891" hidden="1">
      <c r="A1891" s="24" t="s">
        <v>119</v>
      </c>
      <c r="B1891" s="25"/>
      <c r="C1891" s="25" t="s">
        <v>987</v>
      </c>
      <c r="D1891" s="25">
        <v>7.0</v>
      </c>
      <c r="E1891" s="1">
        <f t="shared" si="11"/>
        <v>1750</v>
      </c>
    </row>
    <row r="1892" hidden="1">
      <c r="A1892" s="24" t="s">
        <v>119</v>
      </c>
      <c r="B1892" s="25"/>
      <c r="C1892" s="25" t="s">
        <v>525</v>
      </c>
      <c r="D1892" s="25">
        <v>6.0</v>
      </c>
      <c r="E1892" s="1">
        <f t="shared" si="11"/>
        <v>1500</v>
      </c>
    </row>
    <row r="1893" hidden="1">
      <c r="A1893" s="24" t="s">
        <v>119</v>
      </c>
      <c r="B1893" s="25"/>
      <c r="C1893" s="25" t="s">
        <v>1214</v>
      </c>
      <c r="D1893" s="25">
        <v>1.0</v>
      </c>
      <c r="E1893" s="1">
        <f t="shared" si="11"/>
        <v>250</v>
      </c>
    </row>
    <row r="1894" hidden="1">
      <c r="A1894" s="24" t="s">
        <v>119</v>
      </c>
      <c r="B1894" s="25"/>
      <c r="C1894" s="25" t="s">
        <v>1052</v>
      </c>
      <c r="D1894" s="25">
        <v>2.0</v>
      </c>
      <c r="E1894" s="1">
        <f t="shared" si="11"/>
        <v>500</v>
      </c>
    </row>
    <row r="1895" hidden="1">
      <c r="A1895" s="24" t="s">
        <v>119</v>
      </c>
      <c r="B1895" s="25"/>
      <c r="C1895" s="25" t="s">
        <v>531</v>
      </c>
      <c r="D1895" s="25">
        <v>5.0</v>
      </c>
      <c r="E1895" s="1">
        <f t="shared" si="11"/>
        <v>1250</v>
      </c>
    </row>
    <row r="1896" hidden="1">
      <c r="A1896" s="24" t="s">
        <v>119</v>
      </c>
      <c r="B1896" s="25"/>
      <c r="C1896" s="25" t="s">
        <v>533</v>
      </c>
      <c r="D1896" s="25">
        <v>4.0</v>
      </c>
      <c r="E1896" s="1">
        <f t="shared" si="11"/>
        <v>1000</v>
      </c>
    </row>
    <row r="1897" hidden="1">
      <c r="A1897" s="24" t="s">
        <v>119</v>
      </c>
      <c r="B1897" s="25"/>
      <c r="C1897" s="25" t="s">
        <v>543</v>
      </c>
      <c r="D1897" s="25">
        <v>7.0</v>
      </c>
      <c r="E1897" s="1">
        <f t="shared" si="11"/>
        <v>1750</v>
      </c>
    </row>
    <row r="1898" hidden="1">
      <c r="A1898" s="24" t="s">
        <v>119</v>
      </c>
      <c r="B1898" s="25"/>
      <c r="C1898" s="25" t="s">
        <v>1102</v>
      </c>
      <c r="D1898" s="25">
        <v>2.0</v>
      </c>
      <c r="E1898" s="1">
        <f t="shared" si="11"/>
        <v>500</v>
      </c>
    </row>
    <row r="1899" hidden="1">
      <c r="A1899" s="24" t="s">
        <v>119</v>
      </c>
      <c r="B1899" s="25"/>
      <c r="C1899" s="25" t="s">
        <v>1104</v>
      </c>
      <c r="D1899" s="25">
        <v>4.0</v>
      </c>
      <c r="E1899" s="1">
        <f t="shared" si="11"/>
        <v>1000</v>
      </c>
    </row>
    <row r="1900" hidden="1">
      <c r="A1900" s="24" t="s">
        <v>119</v>
      </c>
      <c r="B1900" s="25"/>
      <c r="C1900" s="25" t="s">
        <v>1218</v>
      </c>
      <c r="D1900" s="25">
        <v>1.0</v>
      </c>
      <c r="E1900" s="1">
        <f t="shared" si="11"/>
        <v>250</v>
      </c>
    </row>
    <row r="1901" hidden="1">
      <c r="A1901" s="24" t="s">
        <v>119</v>
      </c>
      <c r="B1901" s="25"/>
      <c r="C1901" s="25" t="s">
        <v>1224</v>
      </c>
      <c r="D1901" s="25">
        <v>2.0</v>
      </c>
      <c r="E1901" s="1">
        <f t="shared" si="11"/>
        <v>500</v>
      </c>
    </row>
    <row r="1902" hidden="1">
      <c r="A1902" s="24" t="s">
        <v>119</v>
      </c>
      <c r="B1902" s="25"/>
      <c r="C1902" s="25" t="s">
        <v>561</v>
      </c>
      <c r="D1902" s="25">
        <v>9.0</v>
      </c>
      <c r="E1902" s="1">
        <f t="shared" si="11"/>
        <v>2250</v>
      </c>
    </row>
    <row r="1903" hidden="1">
      <c r="A1903" s="24" t="s">
        <v>119</v>
      </c>
      <c r="B1903" s="25"/>
      <c r="C1903" s="25" t="s">
        <v>565</v>
      </c>
      <c r="D1903" s="25">
        <v>3.0</v>
      </c>
      <c r="E1903" s="1">
        <f t="shared" si="11"/>
        <v>750</v>
      </c>
    </row>
    <row r="1904" hidden="1">
      <c r="A1904" s="24" t="s">
        <v>119</v>
      </c>
      <c r="B1904" s="25"/>
      <c r="C1904" s="25" t="s">
        <v>567</v>
      </c>
      <c r="D1904" s="25">
        <v>4.0</v>
      </c>
      <c r="E1904" s="1">
        <f t="shared" si="11"/>
        <v>1000</v>
      </c>
    </row>
    <row r="1905" hidden="1">
      <c r="A1905" s="24" t="s">
        <v>119</v>
      </c>
      <c r="B1905" s="25"/>
      <c r="C1905" s="25" t="s">
        <v>1136</v>
      </c>
      <c r="D1905" s="25">
        <v>4.0</v>
      </c>
      <c r="E1905" s="1">
        <f t="shared" si="11"/>
        <v>1000</v>
      </c>
    </row>
    <row r="1906" hidden="1">
      <c r="A1906" s="24" t="s">
        <v>119</v>
      </c>
      <c r="B1906" s="25"/>
      <c r="C1906" s="25" t="s">
        <v>1106</v>
      </c>
      <c r="D1906" s="25">
        <v>5.0</v>
      </c>
      <c r="E1906" s="1">
        <f t="shared" si="11"/>
        <v>1250</v>
      </c>
    </row>
    <row r="1907" hidden="1">
      <c r="A1907" s="24" t="s">
        <v>119</v>
      </c>
      <c r="B1907" s="25"/>
      <c r="C1907" s="25" t="s">
        <v>1269</v>
      </c>
      <c r="D1907" s="25">
        <v>0.0</v>
      </c>
      <c r="E1907" s="1">
        <f t="shared" si="11"/>
        <v>0</v>
      </c>
    </row>
    <row r="1908" hidden="1">
      <c r="A1908" s="24" t="s">
        <v>119</v>
      </c>
      <c r="B1908" s="25"/>
      <c r="C1908" s="25" t="s">
        <v>573</v>
      </c>
      <c r="D1908" s="25">
        <v>5.0</v>
      </c>
      <c r="E1908" s="1">
        <f t="shared" si="11"/>
        <v>1250</v>
      </c>
    </row>
    <row r="1909" hidden="1">
      <c r="A1909" s="24" t="s">
        <v>119</v>
      </c>
      <c r="B1909" s="25"/>
      <c r="C1909" s="25" t="s">
        <v>14</v>
      </c>
      <c r="D1909" s="25">
        <v>6.0</v>
      </c>
      <c r="E1909" s="1">
        <f t="shared" si="11"/>
        <v>1500</v>
      </c>
    </row>
    <row r="1910" hidden="1">
      <c r="A1910" s="24" t="s">
        <v>119</v>
      </c>
      <c r="B1910" s="25"/>
      <c r="C1910" s="25" t="s">
        <v>1172</v>
      </c>
      <c r="D1910" s="25">
        <v>3.0</v>
      </c>
      <c r="E1910" s="1">
        <f t="shared" si="11"/>
        <v>750</v>
      </c>
    </row>
    <row r="1911" hidden="1">
      <c r="A1911" s="24" t="s">
        <v>119</v>
      </c>
      <c r="B1911" s="25"/>
      <c r="C1911" s="25" t="s">
        <v>1270</v>
      </c>
      <c r="D1911" s="25">
        <v>3.0</v>
      </c>
      <c r="E1911" s="1">
        <f t="shared" si="11"/>
        <v>750</v>
      </c>
    </row>
    <row r="1912" hidden="1">
      <c r="A1912" s="24" t="s">
        <v>119</v>
      </c>
      <c r="B1912" s="25"/>
      <c r="C1912" s="25" t="s">
        <v>1271</v>
      </c>
      <c r="D1912" s="25">
        <v>1.0</v>
      </c>
      <c r="E1912" s="1">
        <f t="shared" si="11"/>
        <v>250</v>
      </c>
    </row>
    <row r="1913" hidden="1">
      <c r="A1913" s="24" t="s">
        <v>119</v>
      </c>
      <c r="B1913" s="25"/>
      <c r="C1913" s="25" t="s">
        <v>591</v>
      </c>
      <c r="D1913" s="25">
        <v>5.0</v>
      </c>
      <c r="E1913" s="1">
        <f t="shared" si="11"/>
        <v>1250</v>
      </c>
    </row>
    <row r="1914" hidden="1">
      <c r="A1914" s="24" t="s">
        <v>119</v>
      </c>
      <c r="B1914" s="25"/>
      <c r="C1914" s="25" t="s">
        <v>597</v>
      </c>
      <c r="D1914" s="25">
        <v>7.0</v>
      </c>
      <c r="E1914" s="1">
        <f t="shared" si="11"/>
        <v>1750</v>
      </c>
    </row>
    <row r="1915" hidden="1">
      <c r="A1915" s="24" t="s">
        <v>119</v>
      </c>
      <c r="B1915" s="25"/>
      <c r="C1915" s="25" t="s">
        <v>1234</v>
      </c>
      <c r="D1915" s="25">
        <v>2.0</v>
      </c>
      <c r="E1915" s="1">
        <f t="shared" si="11"/>
        <v>500</v>
      </c>
    </row>
    <row r="1916" hidden="1">
      <c r="A1916" s="24" t="s">
        <v>119</v>
      </c>
      <c r="B1916" s="25"/>
      <c r="C1916" s="25" t="s">
        <v>1236</v>
      </c>
      <c r="D1916" s="25">
        <v>4.0</v>
      </c>
      <c r="E1916" s="1">
        <f t="shared" si="11"/>
        <v>1000</v>
      </c>
    </row>
    <row r="1917" hidden="1">
      <c r="A1917" s="24" t="s">
        <v>119</v>
      </c>
      <c r="B1917" s="25"/>
      <c r="C1917" s="25" t="s">
        <v>603</v>
      </c>
      <c r="D1917" s="25">
        <v>8.0</v>
      </c>
      <c r="E1917" s="1">
        <f t="shared" si="11"/>
        <v>2000</v>
      </c>
    </row>
    <row r="1918" hidden="1">
      <c r="A1918" s="24" t="s">
        <v>119</v>
      </c>
      <c r="B1918" s="25"/>
      <c r="C1918" s="25" t="s">
        <v>605</v>
      </c>
      <c r="D1918" s="25">
        <v>9.0</v>
      </c>
      <c r="E1918" s="1">
        <f t="shared" si="11"/>
        <v>2250</v>
      </c>
    </row>
    <row r="1919" hidden="1">
      <c r="A1919" s="24" t="s">
        <v>119</v>
      </c>
      <c r="B1919" s="25"/>
      <c r="C1919" s="25" t="s">
        <v>607</v>
      </c>
      <c r="D1919" s="25">
        <v>5.0</v>
      </c>
      <c r="E1919" s="1">
        <f t="shared" si="11"/>
        <v>1250</v>
      </c>
    </row>
    <row r="1920" hidden="1">
      <c r="A1920" s="24" t="s">
        <v>119</v>
      </c>
      <c r="B1920" s="25"/>
      <c r="C1920" s="25" t="s">
        <v>1238</v>
      </c>
      <c r="D1920" s="25">
        <v>3.0</v>
      </c>
      <c r="E1920" s="1">
        <f t="shared" si="11"/>
        <v>750</v>
      </c>
    </row>
    <row r="1921" hidden="1">
      <c r="A1921" s="24" t="s">
        <v>119</v>
      </c>
      <c r="B1921" s="25"/>
      <c r="C1921" s="25" t="s">
        <v>1058</v>
      </c>
      <c r="D1921" s="25">
        <v>3.0</v>
      </c>
      <c r="E1921" s="1">
        <f t="shared" si="11"/>
        <v>750</v>
      </c>
    </row>
    <row r="1922" hidden="1">
      <c r="A1922" s="24" t="s">
        <v>119</v>
      </c>
      <c r="B1922" s="25"/>
      <c r="C1922" s="25" t="s">
        <v>1060</v>
      </c>
      <c r="D1922" s="25">
        <v>4.0</v>
      </c>
      <c r="E1922" s="1">
        <f t="shared" si="11"/>
        <v>1000</v>
      </c>
    </row>
    <row r="1923" hidden="1">
      <c r="A1923" s="24" t="s">
        <v>119</v>
      </c>
      <c r="B1923" s="25"/>
      <c r="C1923" s="25" t="s">
        <v>1115</v>
      </c>
      <c r="D1923" s="25">
        <v>4.0</v>
      </c>
      <c r="E1923" s="1">
        <f t="shared" si="11"/>
        <v>1000</v>
      </c>
    </row>
    <row r="1924" hidden="1">
      <c r="A1924" s="24" t="s">
        <v>119</v>
      </c>
      <c r="B1924" s="25"/>
      <c r="C1924" s="25" t="s">
        <v>621</v>
      </c>
      <c r="D1924" s="25">
        <v>2.0</v>
      </c>
      <c r="E1924" s="1">
        <f t="shared" si="11"/>
        <v>500</v>
      </c>
    </row>
    <row r="1925" hidden="1">
      <c r="A1925" s="24" t="s">
        <v>119</v>
      </c>
      <c r="B1925" s="25"/>
      <c r="C1925" s="25" t="s">
        <v>623</v>
      </c>
      <c r="D1925" s="25">
        <v>3.0</v>
      </c>
      <c r="E1925" s="1">
        <f t="shared" si="11"/>
        <v>750</v>
      </c>
    </row>
    <row r="1926" hidden="1">
      <c r="A1926" s="24" t="s">
        <v>119</v>
      </c>
      <c r="B1926" s="25"/>
      <c r="C1926" s="25" t="s">
        <v>625</v>
      </c>
      <c r="D1926" s="25">
        <v>2.0</v>
      </c>
      <c r="E1926" s="1">
        <f t="shared" si="11"/>
        <v>500</v>
      </c>
    </row>
    <row r="1927" hidden="1">
      <c r="A1927" s="24" t="s">
        <v>119</v>
      </c>
      <c r="B1927" s="25"/>
      <c r="C1927" s="25" t="s">
        <v>627</v>
      </c>
      <c r="D1927" s="25">
        <v>3.0</v>
      </c>
      <c r="E1927" s="1">
        <f t="shared" si="11"/>
        <v>750</v>
      </c>
    </row>
    <row r="1928" hidden="1">
      <c r="A1928" s="24" t="s">
        <v>119</v>
      </c>
      <c r="B1928" s="25"/>
      <c r="C1928" s="25" t="s">
        <v>629</v>
      </c>
      <c r="D1928" s="25">
        <v>2.0</v>
      </c>
      <c r="E1928" s="1">
        <f t="shared" si="11"/>
        <v>500</v>
      </c>
    </row>
    <row r="1929" hidden="1">
      <c r="A1929" s="24" t="s">
        <v>119</v>
      </c>
      <c r="B1929" s="25"/>
      <c r="C1929" s="25" t="s">
        <v>1176</v>
      </c>
      <c r="D1929" s="25">
        <v>0.0</v>
      </c>
      <c r="E1929" s="1">
        <f t="shared" si="11"/>
        <v>0</v>
      </c>
    </row>
    <row r="1930" hidden="1">
      <c r="A1930" s="24" t="s">
        <v>119</v>
      </c>
      <c r="B1930" s="25"/>
      <c r="C1930" s="25" t="s">
        <v>16</v>
      </c>
      <c r="D1930" s="25">
        <v>3.0</v>
      </c>
      <c r="E1930" s="1">
        <f t="shared" si="11"/>
        <v>750</v>
      </c>
    </row>
    <row r="1931" hidden="1">
      <c r="A1931" s="24" t="s">
        <v>119</v>
      </c>
      <c r="B1931" s="25"/>
      <c r="C1931" s="25" t="s">
        <v>1272</v>
      </c>
      <c r="D1931" s="25">
        <v>1.0</v>
      </c>
      <c r="E1931" s="1">
        <f t="shared" si="11"/>
        <v>250</v>
      </c>
    </row>
    <row r="1932" hidden="1">
      <c r="A1932" s="24" t="s">
        <v>119</v>
      </c>
      <c r="B1932" s="25"/>
      <c r="C1932" s="25" t="s">
        <v>1240</v>
      </c>
      <c r="D1932" s="25">
        <v>6.0</v>
      </c>
      <c r="E1932" s="1">
        <f t="shared" si="11"/>
        <v>1500</v>
      </c>
    </row>
    <row r="1933" hidden="1">
      <c r="A1933" s="24" t="s">
        <v>119</v>
      </c>
      <c r="B1933" s="25"/>
      <c r="C1933" s="25" t="s">
        <v>879</v>
      </c>
      <c r="D1933" s="25">
        <v>7.0</v>
      </c>
      <c r="E1933" s="1">
        <f t="shared" si="11"/>
        <v>1750</v>
      </c>
    </row>
    <row r="1934" hidden="1">
      <c r="A1934" s="24" t="s">
        <v>119</v>
      </c>
      <c r="B1934" s="25"/>
      <c r="C1934" s="25" t="s">
        <v>651</v>
      </c>
      <c r="D1934" s="25">
        <v>7.0</v>
      </c>
      <c r="E1934" s="1">
        <f t="shared" si="11"/>
        <v>1750</v>
      </c>
    </row>
    <row r="1935" hidden="1">
      <c r="A1935" s="24" t="s">
        <v>119</v>
      </c>
      <c r="B1935" s="25"/>
      <c r="C1935" s="25" t="s">
        <v>1180</v>
      </c>
      <c r="D1935" s="25">
        <v>3.0</v>
      </c>
      <c r="E1935" s="1">
        <f t="shared" si="11"/>
        <v>750</v>
      </c>
    </row>
    <row r="1936" hidden="1">
      <c r="A1936" s="24" t="s">
        <v>119</v>
      </c>
      <c r="B1936" s="25"/>
      <c r="C1936" s="25" t="s">
        <v>1144</v>
      </c>
      <c r="D1936" s="25">
        <v>7.0</v>
      </c>
      <c r="E1936" s="1">
        <f t="shared" si="11"/>
        <v>1750</v>
      </c>
    </row>
    <row r="1937" hidden="1">
      <c r="A1937" s="24" t="s">
        <v>119</v>
      </c>
      <c r="B1937" s="25"/>
      <c r="C1937" s="25" t="s">
        <v>883</v>
      </c>
      <c r="D1937" s="25">
        <v>6.0</v>
      </c>
      <c r="E1937" s="1">
        <f t="shared" si="11"/>
        <v>1500</v>
      </c>
    </row>
    <row r="1938" hidden="1">
      <c r="A1938" s="24" t="s">
        <v>119</v>
      </c>
      <c r="B1938" s="25"/>
      <c r="C1938" s="25" t="s">
        <v>1273</v>
      </c>
      <c r="D1938" s="25">
        <v>2.0</v>
      </c>
      <c r="E1938" s="1">
        <f t="shared" si="11"/>
        <v>500</v>
      </c>
    </row>
    <row r="1939" hidden="1">
      <c r="A1939" s="24" t="s">
        <v>119</v>
      </c>
      <c r="B1939" s="25"/>
      <c r="C1939" s="25" t="s">
        <v>967</v>
      </c>
      <c r="D1939" s="25">
        <v>0.0</v>
      </c>
      <c r="E1939" s="1">
        <f t="shared" si="11"/>
        <v>0</v>
      </c>
    </row>
    <row r="1940" hidden="1">
      <c r="A1940" s="24" t="s">
        <v>119</v>
      </c>
      <c r="B1940" s="25"/>
      <c r="C1940" s="25" t="s">
        <v>1117</v>
      </c>
      <c r="D1940" s="25">
        <v>1.0</v>
      </c>
      <c r="E1940" s="1">
        <f t="shared" si="11"/>
        <v>250</v>
      </c>
    </row>
    <row r="1941" hidden="1">
      <c r="A1941" s="24" t="s">
        <v>119</v>
      </c>
      <c r="B1941" s="25"/>
      <c r="C1941" s="25" t="s">
        <v>822</v>
      </c>
      <c r="D1941" s="25">
        <v>4.0</v>
      </c>
      <c r="E1941" s="1">
        <f t="shared" si="11"/>
        <v>1000</v>
      </c>
    </row>
    <row r="1942" hidden="1">
      <c r="A1942" s="24" t="s">
        <v>119</v>
      </c>
      <c r="B1942" s="25"/>
      <c r="C1942" s="25" t="s">
        <v>1146</v>
      </c>
      <c r="D1942" s="25">
        <v>3.0</v>
      </c>
      <c r="E1942" s="1">
        <f t="shared" si="11"/>
        <v>750</v>
      </c>
    </row>
    <row r="1943" hidden="1">
      <c r="A1943" s="24" t="s">
        <v>119</v>
      </c>
      <c r="B1943" s="25"/>
      <c r="C1943" s="25" t="s">
        <v>1244</v>
      </c>
      <c r="D1943" s="25">
        <v>2.0</v>
      </c>
      <c r="E1943" s="1">
        <f t="shared" si="11"/>
        <v>500</v>
      </c>
    </row>
    <row r="1944" hidden="1">
      <c r="A1944" s="24" t="s">
        <v>119</v>
      </c>
      <c r="B1944" s="25"/>
      <c r="C1944" s="25" t="s">
        <v>673</v>
      </c>
      <c r="D1944" s="25">
        <v>5.0</v>
      </c>
      <c r="E1944" s="1">
        <f t="shared" si="11"/>
        <v>1250</v>
      </c>
    </row>
    <row r="1945" hidden="1">
      <c r="A1945" s="24" t="s">
        <v>119</v>
      </c>
      <c r="B1945" s="25"/>
      <c r="C1945" s="25" t="s">
        <v>1250</v>
      </c>
      <c r="D1945" s="25">
        <v>2.0</v>
      </c>
      <c r="E1945" s="1">
        <f t="shared" si="11"/>
        <v>500</v>
      </c>
    </row>
    <row r="1946" hidden="1">
      <c r="A1946" s="24" t="s">
        <v>119</v>
      </c>
      <c r="B1946" s="25"/>
      <c r="C1946" s="25" t="s">
        <v>681</v>
      </c>
      <c r="D1946" s="25">
        <v>4.0</v>
      </c>
      <c r="E1946" s="1">
        <f t="shared" si="11"/>
        <v>1000</v>
      </c>
    </row>
    <row r="1947" hidden="1">
      <c r="A1947" s="24" t="s">
        <v>119</v>
      </c>
      <c r="B1947" s="25"/>
      <c r="C1947" s="25" t="s">
        <v>685</v>
      </c>
      <c r="D1947" s="25">
        <v>4.0</v>
      </c>
      <c r="E1947" s="1">
        <f t="shared" si="11"/>
        <v>1000</v>
      </c>
    </row>
    <row r="1948" hidden="1">
      <c r="A1948" s="24" t="s">
        <v>119</v>
      </c>
      <c r="B1948" s="25"/>
      <c r="C1948" s="25" t="s">
        <v>1252</v>
      </c>
      <c r="D1948" s="25">
        <v>5.0</v>
      </c>
      <c r="E1948" s="1">
        <f t="shared" si="11"/>
        <v>1250</v>
      </c>
    </row>
    <row r="1949" hidden="1">
      <c r="A1949" s="24" t="s">
        <v>119</v>
      </c>
      <c r="B1949" s="25"/>
      <c r="C1949" s="25" t="s">
        <v>1184</v>
      </c>
      <c r="D1949" s="25">
        <v>2.0</v>
      </c>
      <c r="E1949" s="1">
        <f t="shared" si="11"/>
        <v>500</v>
      </c>
    </row>
    <row r="1950" hidden="1">
      <c r="A1950" s="24" t="s">
        <v>119</v>
      </c>
      <c r="B1950" s="25"/>
      <c r="C1950" s="25" t="s">
        <v>692</v>
      </c>
      <c r="D1950" s="25">
        <v>1.0</v>
      </c>
      <c r="E1950" s="1">
        <f t="shared" si="11"/>
        <v>250</v>
      </c>
    </row>
    <row r="1951" hidden="1">
      <c r="A1951" s="24" t="s">
        <v>119</v>
      </c>
      <c r="B1951" s="25"/>
      <c r="C1951" s="25" t="s">
        <v>694</v>
      </c>
      <c r="D1951" s="25">
        <v>4.0</v>
      </c>
      <c r="E1951" s="1">
        <f t="shared" si="11"/>
        <v>1000</v>
      </c>
    </row>
    <row r="1952" hidden="1">
      <c r="A1952" s="24" t="s">
        <v>119</v>
      </c>
      <c r="B1952" s="25"/>
      <c r="C1952" s="25" t="s">
        <v>700</v>
      </c>
      <c r="D1952" s="25">
        <v>5.0</v>
      </c>
      <c r="E1952" s="1">
        <f t="shared" si="11"/>
        <v>1250</v>
      </c>
    </row>
    <row r="1953" hidden="1">
      <c r="A1953" s="24" t="s">
        <v>119</v>
      </c>
      <c r="B1953" s="25"/>
      <c r="C1953" s="25" t="s">
        <v>1254</v>
      </c>
      <c r="D1953" s="25">
        <v>2.0</v>
      </c>
      <c r="E1953" s="1">
        <f t="shared" si="11"/>
        <v>500</v>
      </c>
    </row>
    <row r="1954" hidden="1">
      <c r="A1954" s="24" t="s">
        <v>119</v>
      </c>
      <c r="B1954" s="25"/>
      <c r="C1954" s="25" t="s">
        <v>1188</v>
      </c>
      <c r="D1954" s="25">
        <v>2.0</v>
      </c>
      <c r="E1954" s="1">
        <f t="shared" si="11"/>
        <v>500</v>
      </c>
    </row>
    <row r="1955" hidden="1">
      <c r="A1955" s="24" t="s">
        <v>119</v>
      </c>
      <c r="B1955" s="25"/>
      <c r="C1955" s="25" t="s">
        <v>1150</v>
      </c>
      <c r="D1955" s="25">
        <v>5.0</v>
      </c>
      <c r="E1955" s="1">
        <f t="shared" si="11"/>
        <v>1250</v>
      </c>
    </row>
    <row r="1956" hidden="1">
      <c r="A1956" s="24" t="s">
        <v>119</v>
      </c>
      <c r="B1956" s="25"/>
      <c r="C1956" s="25" t="s">
        <v>702</v>
      </c>
      <c r="D1956" s="25">
        <v>4.0</v>
      </c>
      <c r="E1956" s="1">
        <f t="shared" si="11"/>
        <v>1000</v>
      </c>
    </row>
    <row r="1957" hidden="1">
      <c r="A1957" s="24" t="s">
        <v>119</v>
      </c>
      <c r="B1957" s="25"/>
      <c r="C1957" s="25" t="s">
        <v>704</v>
      </c>
      <c r="D1957" s="25">
        <v>5.0</v>
      </c>
      <c r="E1957" s="1">
        <f t="shared" si="11"/>
        <v>1250</v>
      </c>
    </row>
    <row r="1958" hidden="1">
      <c r="A1958" s="24" t="s">
        <v>119</v>
      </c>
      <c r="B1958" s="25"/>
      <c r="C1958" s="25" t="s">
        <v>1258</v>
      </c>
      <c r="D1958" s="25">
        <v>1.0</v>
      </c>
      <c r="E1958" s="1">
        <f t="shared" si="11"/>
        <v>250</v>
      </c>
    </row>
    <row r="1959" hidden="1">
      <c r="A1959" s="24" t="s">
        <v>119</v>
      </c>
      <c r="B1959" s="25"/>
      <c r="C1959" s="25" t="s">
        <v>706</v>
      </c>
      <c r="D1959" s="25">
        <v>1.0</v>
      </c>
      <c r="E1959" s="1">
        <f t="shared" si="11"/>
        <v>250</v>
      </c>
    </row>
    <row r="1960" hidden="1">
      <c r="A1960" s="24" t="s">
        <v>119</v>
      </c>
      <c r="B1960" s="25"/>
      <c r="C1960" s="25" t="s">
        <v>1274</v>
      </c>
      <c r="D1960" s="25">
        <v>1.0</v>
      </c>
      <c r="E1960" s="1">
        <f t="shared" si="11"/>
        <v>250</v>
      </c>
    </row>
    <row r="1961" hidden="1">
      <c r="A1961" s="24" t="s">
        <v>119</v>
      </c>
      <c r="B1961" s="25"/>
      <c r="C1961" s="25" t="s">
        <v>718</v>
      </c>
      <c r="D1961" s="25">
        <v>3.0</v>
      </c>
      <c r="E1961" s="1">
        <f t="shared" si="11"/>
        <v>750</v>
      </c>
    </row>
    <row r="1962" hidden="1">
      <c r="A1962" s="24" t="s">
        <v>119</v>
      </c>
      <c r="B1962" s="25"/>
      <c r="C1962" s="25" t="s">
        <v>722</v>
      </c>
      <c r="D1962" s="25">
        <v>4.0</v>
      </c>
      <c r="E1962" s="1">
        <f t="shared" si="11"/>
        <v>1000</v>
      </c>
    </row>
    <row r="1963" hidden="1">
      <c r="A1963" s="24" t="s">
        <v>119</v>
      </c>
      <c r="B1963" s="25"/>
      <c r="C1963" s="25" t="s">
        <v>1080</v>
      </c>
      <c r="D1963" s="25">
        <v>1.0</v>
      </c>
      <c r="E1963" s="1">
        <f t="shared" si="11"/>
        <v>250</v>
      </c>
    </row>
    <row r="1964" hidden="1">
      <c r="A1964" s="24" t="s">
        <v>119</v>
      </c>
      <c r="B1964" s="25"/>
      <c r="C1964" s="25" t="s">
        <v>1082</v>
      </c>
      <c r="D1964" s="25">
        <v>9.0</v>
      </c>
      <c r="E1964" s="1">
        <f t="shared" si="11"/>
        <v>2250</v>
      </c>
    </row>
    <row r="1965" hidden="1">
      <c r="A1965" s="24" t="s">
        <v>119</v>
      </c>
      <c r="B1965" s="25"/>
      <c r="C1965" s="25" t="s">
        <v>1260</v>
      </c>
      <c r="D1965" s="25">
        <v>2.0</v>
      </c>
      <c r="E1965" s="1">
        <f t="shared" si="11"/>
        <v>500</v>
      </c>
    </row>
    <row r="1966" hidden="1">
      <c r="A1966" s="24" t="s">
        <v>119</v>
      </c>
      <c r="B1966" s="25"/>
      <c r="C1966" s="25" t="s">
        <v>1190</v>
      </c>
      <c r="D1966" s="25">
        <v>2.0</v>
      </c>
      <c r="E1966" s="1">
        <f t="shared" si="11"/>
        <v>500</v>
      </c>
    </row>
    <row r="1967" hidden="1">
      <c r="A1967" s="24" t="s">
        <v>119</v>
      </c>
      <c r="B1967" s="25"/>
      <c r="C1967" s="25" t="s">
        <v>1262</v>
      </c>
      <c r="D1967" s="25">
        <v>4.0</v>
      </c>
      <c r="E1967" s="1">
        <f t="shared" si="11"/>
        <v>1000</v>
      </c>
    </row>
    <row r="1968" hidden="1">
      <c r="A1968" s="24" t="s">
        <v>119</v>
      </c>
      <c r="B1968" s="25"/>
      <c r="C1968" s="25" t="s">
        <v>1152</v>
      </c>
      <c r="D1968" s="25">
        <v>5.0</v>
      </c>
      <c r="E1968" s="1">
        <f t="shared" si="11"/>
        <v>1250</v>
      </c>
    </row>
    <row r="1969" hidden="1">
      <c r="A1969" s="24" t="s">
        <v>119</v>
      </c>
      <c r="B1969" s="25"/>
      <c r="C1969" s="25" t="s">
        <v>1028</v>
      </c>
      <c r="D1969" s="25">
        <v>7.0</v>
      </c>
      <c r="E1969" s="1">
        <f t="shared" si="11"/>
        <v>1750</v>
      </c>
    </row>
    <row r="1970" hidden="1">
      <c r="A1970" s="24" t="s">
        <v>119</v>
      </c>
      <c r="B1970" s="25"/>
      <c r="C1970" s="25" t="s">
        <v>1275</v>
      </c>
      <c r="D1970" s="25">
        <v>0.0</v>
      </c>
      <c r="E1970" s="1">
        <f t="shared" si="11"/>
        <v>0</v>
      </c>
    </row>
    <row r="1971" hidden="1">
      <c r="A1971" s="24" t="s">
        <v>119</v>
      </c>
      <c r="B1971" s="25"/>
      <c r="C1971" s="25" t="s">
        <v>737</v>
      </c>
      <c r="D1971" s="25">
        <v>4.0</v>
      </c>
      <c r="E1971" s="1">
        <f t="shared" si="11"/>
        <v>1000</v>
      </c>
    </row>
    <row r="1972" hidden="1">
      <c r="A1972" s="24" t="s">
        <v>119</v>
      </c>
      <c r="B1972" s="25"/>
      <c r="C1972" s="25" t="s">
        <v>1123</v>
      </c>
      <c r="D1972" s="25">
        <v>6.0</v>
      </c>
      <c r="E1972" s="1">
        <f t="shared" si="11"/>
        <v>1500</v>
      </c>
    </row>
    <row r="1973" hidden="1">
      <c r="A1973" s="24" t="s">
        <v>119</v>
      </c>
      <c r="B1973" s="25"/>
      <c r="C1973" s="25" t="s">
        <v>1121</v>
      </c>
      <c r="D1973" s="25">
        <v>2.0</v>
      </c>
      <c r="E1973" s="1">
        <f t="shared" si="11"/>
        <v>500</v>
      </c>
    </row>
    <row r="1974" hidden="1">
      <c r="A1974" s="24" t="s">
        <v>119</v>
      </c>
      <c r="B1974" s="25"/>
      <c r="C1974" s="25" t="s">
        <v>1264</v>
      </c>
      <c r="D1974" s="25">
        <v>2.0</v>
      </c>
      <c r="E1974" s="1">
        <f t="shared" si="11"/>
        <v>500</v>
      </c>
    </row>
    <row r="1975" hidden="1">
      <c r="A1975" s="24" t="s">
        <v>119</v>
      </c>
      <c r="B1975" s="25"/>
      <c r="C1975" s="25" t="s">
        <v>1156</v>
      </c>
      <c r="D1975" s="25">
        <v>4.0</v>
      </c>
      <c r="E1975" s="1">
        <f t="shared" si="11"/>
        <v>1000</v>
      </c>
    </row>
    <row r="1976" hidden="1">
      <c r="A1976" s="24" t="s">
        <v>119</v>
      </c>
      <c r="B1976" s="25"/>
      <c r="C1976" s="25" t="s">
        <v>1192</v>
      </c>
      <c r="D1976" s="25">
        <v>5.0</v>
      </c>
      <c r="E1976" s="1">
        <f t="shared" si="11"/>
        <v>1250</v>
      </c>
    </row>
    <row r="1977" hidden="1">
      <c r="A1977" s="24" t="s">
        <v>119</v>
      </c>
      <c r="B1977" s="25"/>
      <c r="C1977" s="25" t="s">
        <v>753</v>
      </c>
      <c r="D1977" s="25">
        <v>4.0</v>
      </c>
      <c r="E1977" s="1">
        <f t="shared" si="11"/>
        <v>1000</v>
      </c>
    </row>
    <row r="1978" hidden="1">
      <c r="A1978" s="24" t="s">
        <v>119</v>
      </c>
      <c r="B1978" s="25"/>
      <c r="C1978" s="25" t="s">
        <v>759</v>
      </c>
      <c r="D1978" s="25">
        <v>8.0</v>
      </c>
      <c r="E1978" s="1">
        <f t="shared" si="11"/>
        <v>2000</v>
      </c>
    </row>
    <row r="1979" hidden="1">
      <c r="A1979" s="24" t="s">
        <v>119</v>
      </c>
      <c r="B1979" s="25"/>
      <c r="C1979" s="25" t="s">
        <v>765</v>
      </c>
      <c r="D1979" s="25">
        <v>4.0</v>
      </c>
      <c r="E1979" s="1">
        <f t="shared" si="11"/>
        <v>1000</v>
      </c>
    </row>
    <row r="1980" hidden="1">
      <c r="A1980" s="24" t="s">
        <v>119</v>
      </c>
      <c r="B1980" s="25"/>
      <c r="C1980" s="25" t="s">
        <v>767</v>
      </c>
      <c r="D1980" s="25">
        <v>7.0</v>
      </c>
      <c r="E1980" s="1">
        <f t="shared" si="11"/>
        <v>1750</v>
      </c>
    </row>
    <row r="1981" hidden="1">
      <c r="A1981" s="24" t="s">
        <v>119</v>
      </c>
      <c r="B1981" s="25"/>
      <c r="C1981" s="25" t="s">
        <v>903</v>
      </c>
      <c r="D1981" s="25">
        <v>3.0</v>
      </c>
      <c r="E1981" s="1">
        <f t="shared" si="11"/>
        <v>750</v>
      </c>
    </row>
    <row r="1982" hidden="1">
      <c r="A1982" s="6" t="s">
        <v>108</v>
      </c>
      <c r="B1982" s="13" t="s">
        <v>411</v>
      </c>
      <c r="C1982" s="13" t="s">
        <v>412</v>
      </c>
      <c r="D1982" s="15">
        <v>23.0</v>
      </c>
      <c r="E1982" s="67">
        <f t="shared" si="11"/>
        <v>11500</v>
      </c>
      <c r="F1982" s="67"/>
    </row>
    <row r="1983" hidden="1">
      <c r="A1983" s="6" t="s">
        <v>108</v>
      </c>
      <c r="B1983" s="13" t="s">
        <v>435</v>
      </c>
      <c r="C1983" s="13" t="s">
        <v>436</v>
      </c>
      <c r="D1983" s="15">
        <v>13.0</v>
      </c>
      <c r="E1983" s="67">
        <f t="shared" si="11"/>
        <v>6500</v>
      </c>
      <c r="F1983" s="67"/>
    </row>
    <row r="1984" hidden="1">
      <c r="A1984" s="6" t="s">
        <v>108</v>
      </c>
      <c r="B1984" s="13" t="s">
        <v>439</v>
      </c>
      <c r="C1984" s="13" t="s">
        <v>440</v>
      </c>
      <c r="D1984" s="15">
        <v>14.0</v>
      </c>
      <c r="E1984" s="67">
        <f t="shared" si="11"/>
        <v>7000</v>
      </c>
      <c r="F1984" s="67"/>
    </row>
    <row r="1985" hidden="1">
      <c r="A1985" s="6" t="s">
        <v>108</v>
      </c>
      <c r="B1985" s="13" t="s">
        <v>443</v>
      </c>
      <c r="C1985" s="13" t="s">
        <v>444</v>
      </c>
      <c r="D1985" s="15">
        <v>14.0</v>
      </c>
      <c r="E1985" s="67">
        <f t="shared" si="11"/>
        <v>7000</v>
      </c>
      <c r="F1985" s="67"/>
    </row>
    <row r="1986" hidden="1">
      <c r="A1986" s="6" t="s">
        <v>108</v>
      </c>
      <c r="B1986" s="13" t="s">
        <v>1276</v>
      </c>
      <c r="C1986" s="13" t="s">
        <v>461</v>
      </c>
      <c r="D1986" s="15">
        <v>10.0</v>
      </c>
      <c r="E1986" s="67">
        <f t="shared" si="11"/>
        <v>5000</v>
      </c>
      <c r="F1986" s="67"/>
    </row>
    <row r="1987" hidden="1">
      <c r="A1987" s="6" t="s">
        <v>108</v>
      </c>
      <c r="B1987" s="13" t="s">
        <v>476</v>
      </c>
      <c r="C1987" s="13" t="s">
        <v>477</v>
      </c>
      <c r="D1987" s="15">
        <v>50.0</v>
      </c>
      <c r="E1987" s="67">
        <f t="shared" si="11"/>
        <v>25000</v>
      </c>
      <c r="F1987" s="67"/>
    </row>
    <row r="1988" hidden="1">
      <c r="A1988" s="6" t="s">
        <v>108</v>
      </c>
      <c r="B1988" s="13" t="s">
        <v>486</v>
      </c>
      <c r="C1988" s="13" t="s">
        <v>487</v>
      </c>
      <c r="D1988" s="15">
        <v>13.0</v>
      </c>
      <c r="E1988" s="67">
        <f t="shared" si="11"/>
        <v>6500</v>
      </c>
      <c r="F1988" s="67"/>
    </row>
    <row r="1989" hidden="1">
      <c r="A1989" s="6" t="s">
        <v>108</v>
      </c>
      <c r="B1989" s="13" t="s">
        <v>500</v>
      </c>
      <c r="C1989" s="13" t="s">
        <v>501</v>
      </c>
      <c r="D1989" s="15">
        <v>10.0</v>
      </c>
      <c r="E1989" s="67">
        <f t="shared" si="11"/>
        <v>5000</v>
      </c>
      <c r="F1989" s="67"/>
    </row>
    <row r="1990" hidden="1">
      <c r="A1990" s="6" t="s">
        <v>108</v>
      </c>
      <c r="B1990" s="13" t="s">
        <v>502</v>
      </c>
      <c r="C1990" s="13" t="s">
        <v>503</v>
      </c>
      <c r="D1990" s="15">
        <v>10.0</v>
      </c>
      <c r="E1990" s="67">
        <f t="shared" si="11"/>
        <v>5000</v>
      </c>
      <c r="F1990" s="67"/>
    </row>
    <row r="1991" hidden="1">
      <c r="A1991" s="6" t="s">
        <v>108</v>
      </c>
      <c r="B1991" s="13" t="s">
        <v>510</v>
      </c>
      <c r="C1991" s="13" t="s">
        <v>511</v>
      </c>
      <c r="D1991" s="15">
        <v>15.0</v>
      </c>
      <c r="E1991" s="67">
        <f t="shared" si="11"/>
        <v>7500</v>
      </c>
      <c r="F1991" s="67"/>
    </row>
    <row r="1992" hidden="1">
      <c r="A1992" s="6" t="s">
        <v>108</v>
      </c>
      <c r="B1992" s="13" t="s">
        <v>1277</v>
      </c>
      <c r="C1992" s="13" t="s">
        <v>515</v>
      </c>
      <c r="D1992" s="15">
        <v>10.0</v>
      </c>
      <c r="E1992" s="67">
        <f t="shared" si="11"/>
        <v>5000</v>
      </c>
      <c r="F1992" s="67"/>
    </row>
    <row r="1993" hidden="1">
      <c r="A1993" s="6" t="s">
        <v>108</v>
      </c>
      <c r="B1993" s="13" t="s">
        <v>518</v>
      </c>
      <c r="C1993" s="13" t="s">
        <v>519</v>
      </c>
      <c r="D1993" s="15">
        <v>11.0</v>
      </c>
      <c r="E1993" s="67">
        <f t="shared" si="11"/>
        <v>5500</v>
      </c>
      <c r="F1993" s="67"/>
    </row>
    <row r="1994" hidden="1">
      <c r="A1994" s="6" t="s">
        <v>108</v>
      </c>
      <c r="B1994" s="13" t="s">
        <v>524</v>
      </c>
      <c r="C1994" s="13" t="s">
        <v>525</v>
      </c>
      <c r="D1994" s="15">
        <v>10.0</v>
      </c>
      <c r="E1994" s="67">
        <f t="shared" si="11"/>
        <v>5000</v>
      </c>
      <c r="F1994" s="67"/>
    </row>
    <row r="1995" hidden="1">
      <c r="A1995" s="6" t="s">
        <v>108</v>
      </c>
      <c r="B1995" s="13" t="s">
        <v>540</v>
      </c>
      <c r="C1995" s="13" t="s">
        <v>541</v>
      </c>
      <c r="D1995" s="15">
        <v>24.0</v>
      </c>
      <c r="E1995" s="67">
        <f t="shared" si="11"/>
        <v>12000</v>
      </c>
      <c r="F1995" s="67"/>
    </row>
    <row r="1996" hidden="1">
      <c r="A1996" s="6" t="s">
        <v>108</v>
      </c>
      <c r="B1996" s="13" t="s">
        <v>542</v>
      </c>
      <c r="C1996" s="13" t="s">
        <v>543</v>
      </c>
      <c r="D1996" s="15">
        <v>12.0</v>
      </c>
      <c r="E1996" s="67">
        <f t="shared" si="11"/>
        <v>6000</v>
      </c>
      <c r="F1996" s="67"/>
    </row>
    <row r="1997" hidden="1">
      <c r="A1997" s="6" t="s">
        <v>108</v>
      </c>
      <c r="B1997" s="13" t="s">
        <v>546</v>
      </c>
      <c r="C1997" s="13" t="s">
        <v>547</v>
      </c>
      <c r="D1997" s="15">
        <v>12.0</v>
      </c>
      <c r="E1997" s="67">
        <f t="shared" si="11"/>
        <v>6000</v>
      </c>
      <c r="F1997" s="67"/>
    </row>
    <row r="1998" hidden="1">
      <c r="A1998" s="6" t="s">
        <v>108</v>
      </c>
      <c r="B1998" s="13" t="s">
        <v>1278</v>
      </c>
      <c r="C1998" s="13" t="s">
        <v>549</v>
      </c>
      <c r="D1998" s="15">
        <v>11.0</v>
      </c>
      <c r="E1998" s="67">
        <f t="shared" si="11"/>
        <v>5500</v>
      </c>
      <c r="F1998" s="67"/>
    </row>
    <row r="1999" hidden="1">
      <c r="A1999" s="6" t="s">
        <v>108</v>
      </c>
      <c r="B1999" s="13" t="s">
        <v>560</v>
      </c>
      <c r="C1999" s="13" t="s">
        <v>561</v>
      </c>
      <c r="D1999" s="15">
        <v>10.0</v>
      </c>
      <c r="E1999" s="67">
        <f t="shared" si="11"/>
        <v>5000</v>
      </c>
      <c r="F1999" s="67"/>
    </row>
    <row r="2000" hidden="1">
      <c r="A2000" s="6" t="s">
        <v>108</v>
      </c>
      <c r="B2000" s="13" t="s">
        <v>590</v>
      </c>
      <c r="C2000" s="13" t="s">
        <v>591</v>
      </c>
      <c r="D2000" s="15">
        <v>12.0</v>
      </c>
      <c r="E2000" s="67">
        <f t="shared" si="11"/>
        <v>6000</v>
      </c>
      <c r="F2000" s="67"/>
    </row>
    <row r="2001" hidden="1">
      <c r="A2001" s="6" t="s">
        <v>108</v>
      </c>
      <c r="B2001" s="13" t="s">
        <v>604</v>
      </c>
      <c r="C2001" s="13" t="s">
        <v>605</v>
      </c>
      <c r="D2001" s="15">
        <v>10.0</v>
      </c>
      <c r="E2001" s="67">
        <f t="shared" si="11"/>
        <v>5000</v>
      </c>
      <c r="F2001" s="67"/>
    </row>
    <row r="2002" hidden="1">
      <c r="A2002" s="6" t="s">
        <v>108</v>
      </c>
      <c r="B2002" s="13" t="s">
        <v>620</v>
      </c>
      <c r="C2002" s="13" t="s">
        <v>621</v>
      </c>
      <c r="D2002" s="15">
        <v>11.0</v>
      </c>
      <c r="E2002" s="67">
        <f t="shared" si="11"/>
        <v>5500</v>
      </c>
      <c r="F2002" s="67"/>
    </row>
    <row r="2003" hidden="1">
      <c r="A2003" s="6" t="s">
        <v>108</v>
      </c>
      <c r="B2003" s="13" t="s">
        <v>622</v>
      </c>
      <c r="C2003" s="13" t="s">
        <v>623</v>
      </c>
      <c r="D2003" s="15">
        <v>11.0</v>
      </c>
      <c r="E2003" s="67">
        <f t="shared" si="11"/>
        <v>5500</v>
      </c>
      <c r="F2003" s="67"/>
    </row>
    <row r="2004" hidden="1">
      <c r="A2004" s="6" t="s">
        <v>108</v>
      </c>
      <c r="B2004" s="13" t="s">
        <v>628</v>
      </c>
      <c r="C2004" s="13" t="s">
        <v>629</v>
      </c>
      <c r="D2004" s="15">
        <v>10.0</v>
      </c>
      <c r="E2004" s="67">
        <f t="shared" si="11"/>
        <v>5000</v>
      </c>
      <c r="F2004" s="67"/>
    </row>
    <row r="2005" hidden="1">
      <c r="A2005" s="6" t="s">
        <v>108</v>
      </c>
      <c r="B2005" s="13" t="s">
        <v>640</v>
      </c>
      <c r="C2005" s="13" t="s">
        <v>641</v>
      </c>
      <c r="D2005" s="15">
        <v>10.0</v>
      </c>
      <c r="E2005" s="67">
        <f t="shared" si="11"/>
        <v>5000</v>
      </c>
      <c r="F2005" s="67"/>
    </row>
    <row r="2006" hidden="1">
      <c r="A2006" s="6" t="s">
        <v>108</v>
      </c>
      <c r="B2006" s="13" t="s">
        <v>644</v>
      </c>
      <c r="C2006" s="13" t="s">
        <v>645</v>
      </c>
      <c r="D2006" s="15">
        <v>28.0</v>
      </c>
      <c r="E2006" s="67">
        <f t="shared" si="11"/>
        <v>14000</v>
      </c>
      <c r="F2006" s="67"/>
    </row>
    <row r="2007" hidden="1">
      <c r="A2007" s="6" t="s">
        <v>108</v>
      </c>
      <c r="B2007" s="13" t="s">
        <v>682</v>
      </c>
      <c r="C2007" s="13" t="s">
        <v>683</v>
      </c>
      <c r="D2007" s="15">
        <v>13.0</v>
      </c>
      <c r="E2007" s="67">
        <f t="shared" si="11"/>
        <v>6500</v>
      </c>
      <c r="F2007" s="67"/>
    </row>
    <row r="2008" hidden="1">
      <c r="A2008" s="6" t="s">
        <v>108</v>
      </c>
      <c r="B2008" s="13" t="s">
        <v>693</v>
      </c>
      <c r="C2008" s="13" t="s">
        <v>694</v>
      </c>
      <c r="D2008" s="15">
        <v>12.0</v>
      </c>
      <c r="E2008" s="67">
        <f t="shared" si="11"/>
        <v>6000</v>
      </c>
      <c r="F2008" s="67"/>
    </row>
    <row r="2009" hidden="1">
      <c r="A2009" s="6" t="s">
        <v>108</v>
      </c>
      <c r="B2009" s="13" t="s">
        <v>699</v>
      </c>
      <c r="C2009" s="13" t="s">
        <v>700</v>
      </c>
      <c r="D2009" s="15">
        <v>11.0</v>
      </c>
      <c r="E2009" s="67">
        <f t="shared" si="11"/>
        <v>5500</v>
      </c>
      <c r="F2009" s="67"/>
    </row>
    <row r="2010" hidden="1">
      <c r="A2010" s="6" t="s">
        <v>108</v>
      </c>
      <c r="B2010" s="13" t="s">
        <v>723</v>
      </c>
      <c r="C2010" s="13" t="s">
        <v>724</v>
      </c>
      <c r="D2010" s="15">
        <v>20.0</v>
      </c>
      <c r="E2010" s="67">
        <f t="shared" si="11"/>
        <v>10000</v>
      </c>
      <c r="F2010" s="67"/>
    </row>
    <row r="2011" hidden="1">
      <c r="A2011" s="6" t="s">
        <v>108</v>
      </c>
      <c r="B2011" s="13" t="s">
        <v>725</v>
      </c>
      <c r="C2011" s="13" t="s">
        <v>726</v>
      </c>
      <c r="D2011" s="15">
        <v>10.0</v>
      </c>
      <c r="E2011" s="67">
        <f t="shared" si="11"/>
        <v>5000</v>
      </c>
      <c r="F2011" s="67"/>
    </row>
    <row r="2012" hidden="1">
      <c r="A2012" s="6" t="s">
        <v>108</v>
      </c>
      <c r="B2012" s="13" t="s">
        <v>736</v>
      </c>
      <c r="C2012" s="13" t="s">
        <v>737</v>
      </c>
      <c r="D2012" s="15">
        <v>12.0</v>
      </c>
      <c r="E2012" s="67">
        <f t="shared" si="11"/>
        <v>6000</v>
      </c>
      <c r="F2012" s="67"/>
    </row>
    <row r="2013" hidden="1">
      <c r="A2013" s="6" t="s">
        <v>108</v>
      </c>
      <c r="B2013" s="13" t="s">
        <v>1279</v>
      </c>
      <c r="C2013" s="13" t="s">
        <v>739</v>
      </c>
      <c r="D2013" s="15">
        <v>11.0</v>
      </c>
      <c r="E2013" s="67">
        <f t="shared" si="11"/>
        <v>5500</v>
      </c>
      <c r="F2013" s="67"/>
    </row>
    <row r="2014" hidden="1">
      <c r="A2014" s="6" t="s">
        <v>108</v>
      </c>
      <c r="B2014" s="13" t="s">
        <v>746</v>
      </c>
      <c r="C2014" s="13" t="s">
        <v>747</v>
      </c>
      <c r="D2014" s="15">
        <v>17.0</v>
      </c>
      <c r="E2014" s="67">
        <f t="shared" si="11"/>
        <v>8500</v>
      </c>
      <c r="F2014" s="67"/>
    </row>
    <row r="2015" hidden="1">
      <c r="A2015" s="6" t="s">
        <v>108</v>
      </c>
      <c r="B2015" s="13" t="s">
        <v>764</v>
      </c>
      <c r="C2015" s="13" t="s">
        <v>765</v>
      </c>
      <c r="D2015" s="15">
        <v>11.0</v>
      </c>
      <c r="E2015" s="67">
        <f t="shared" si="11"/>
        <v>5500</v>
      </c>
      <c r="F2015" s="67"/>
    </row>
    <row r="2016" hidden="1">
      <c r="A2016" s="6" t="s">
        <v>108</v>
      </c>
      <c r="B2016" s="13" t="s">
        <v>766</v>
      </c>
      <c r="C2016" s="13" t="s">
        <v>767</v>
      </c>
      <c r="D2016" s="15">
        <v>13.0</v>
      </c>
      <c r="E2016" s="67">
        <f t="shared" si="11"/>
        <v>6500</v>
      </c>
      <c r="F2016" s="67"/>
    </row>
    <row r="2017" hidden="1">
      <c r="A2017" s="6" t="s">
        <v>108</v>
      </c>
      <c r="B2017" s="13" t="s">
        <v>1280</v>
      </c>
      <c r="C2017" s="13" t="s">
        <v>398</v>
      </c>
      <c r="D2017" s="15">
        <v>2.0</v>
      </c>
      <c r="E2017" s="67">
        <f t="shared" si="11"/>
        <v>500</v>
      </c>
      <c r="F2017" s="67"/>
    </row>
    <row r="2018" hidden="1">
      <c r="A2018" s="6" t="s">
        <v>108</v>
      </c>
      <c r="B2018" s="13" t="s">
        <v>1281</v>
      </c>
      <c r="C2018" s="13" t="s">
        <v>1282</v>
      </c>
      <c r="D2018" s="15">
        <v>1.0</v>
      </c>
      <c r="E2018" s="67">
        <f t="shared" si="11"/>
        <v>250</v>
      </c>
      <c r="F2018" s="67"/>
    </row>
    <row r="2019" hidden="1">
      <c r="A2019" s="6" t="s">
        <v>108</v>
      </c>
      <c r="B2019" s="13" t="s">
        <v>1283</v>
      </c>
      <c r="C2019" s="13" t="s">
        <v>404</v>
      </c>
      <c r="D2019" s="15">
        <v>7.0</v>
      </c>
      <c r="E2019" s="67">
        <f t="shared" si="11"/>
        <v>1750</v>
      </c>
      <c r="F2019" s="67"/>
    </row>
    <row r="2020" hidden="1">
      <c r="A2020" s="6" t="s">
        <v>108</v>
      </c>
      <c r="B2020" s="13" t="s">
        <v>405</v>
      </c>
      <c r="C2020" s="13" t="s">
        <v>406</v>
      </c>
      <c r="D2020" s="15">
        <v>4.0</v>
      </c>
      <c r="E2020" s="67">
        <f t="shared" si="11"/>
        <v>1000</v>
      </c>
      <c r="F2020" s="67"/>
    </row>
    <row r="2021" hidden="1">
      <c r="A2021" s="6" t="s">
        <v>108</v>
      </c>
      <c r="B2021" s="13" t="s">
        <v>1284</v>
      </c>
      <c r="C2021" s="13" t="s">
        <v>1285</v>
      </c>
      <c r="D2021" s="15">
        <v>3.0</v>
      </c>
      <c r="E2021" s="67">
        <f t="shared" si="11"/>
        <v>750</v>
      </c>
      <c r="F2021" s="67"/>
    </row>
    <row r="2022" hidden="1">
      <c r="A2022" s="6" t="s">
        <v>108</v>
      </c>
      <c r="B2022" s="13" t="s">
        <v>1286</v>
      </c>
      <c r="C2022" s="13" t="s">
        <v>408</v>
      </c>
      <c r="D2022" s="15">
        <v>3.0</v>
      </c>
      <c r="E2022" s="67">
        <f t="shared" si="11"/>
        <v>750</v>
      </c>
      <c r="F2022" s="67"/>
    </row>
    <row r="2023" hidden="1">
      <c r="A2023" s="6" t="s">
        <v>108</v>
      </c>
      <c r="B2023" s="13" t="s">
        <v>1287</v>
      </c>
      <c r="C2023" s="13" t="s">
        <v>1288</v>
      </c>
      <c r="D2023" s="15">
        <v>2.0</v>
      </c>
      <c r="E2023" s="67">
        <f t="shared" si="11"/>
        <v>500</v>
      </c>
      <c r="F2023" s="67"/>
    </row>
    <row r="2024" hidden="1">
      <c r="A2024" s="6" t="s">
        <v>108</v>
      </c>
      <c r="B2024" s="13" t="s">
        <v>413</v>
      </c>
      <c r="C2024" s="13" t="s">
        <v>414</v>
      </c>
      <c r="D2024" s="15">
        <v>4.0</v>
      </c>
      <c r="E2024" s="67">
        <f t="shared" si="11"/>
        <v>1000</v>
      </c>
      <c r="F2024" s="67"/>
    </row>
    <row r="2025" hidden="1">
      <c r="A2025" s="6" t="s">
        <v>108</v>
      </c>
      <c r="B2025" s="13" t="s">
        <v>417</v>
      </c>
      <c r="C2025" s="13" t="s">
        <v>418</v>
      </c>
      <c r="D2025" s="15">
        <v>3.0</v>
      </c>
      <c r="E2025" s="67">
        <f t="shared" si="11"/>
        <v>750</v>
      </c>
      <c r="F2025" s="67"/>
    </row>
    <row r="2026" hidden="1">
      <c r="A2026" s="6" t="s">
        <v>108</v>
      </c>
      <c r="B2026" s="13" t="s">
        <v>1289</v>
      </c>
      <c r="C2026" s="13" t="s">
        <v>1290</v>
      </c>
      <c r="D2026" s="15">
        <v>3.0</v>
      </c>
      <c r="E2026" s="67">
        <f t="shared" si="11"/>
        <v>750</v>
      </c>
      <c r="F2026" s="67"/>
    </row>
    <row r="2027" hidden="1">
      <c r="A2027" s="6" t="s">
        <v>108</v>
      </c>
      <c r="B2027" s="13" t="s">
        <v>1291</v>
      </c>
      <c r="C2027" s="13" t="s">
        <v>422</v>
      </c>
      <c r="D2027" s="15">
        <v>4.0</v>
      </c>
      <c r="E2027" s="67">
        <f t="shared" si="11"/>
        <v>1000</v>
      </c>
      <c r="F2027" s="67"/>
    </row>
    <row r="2028" hidden="1">
      <c r="A2028" s="6" t="s">
        <v>108</v>
      </c>
      <c r="B2028" s="13" t="s">
        <v>1292</v>
      </c>
      <c r="C2028" s="13" t="s">
        <v>424</v>
      </c>
      <c r="D2028" s="15">
        <v>1.0</v>
      </c>
      <c r="E2028" s="67">
        <f t="shared" si="11"/>
        <v>250</v>
      </c>
      <c r="F2028" s="67"/>
    </row>
    <row r="2029" hidden="1">
      <c r="A2029" s="6" t="s">
        <v>108</v>
      </c>
      <c r="B2029" s="13" t="s">
        <v>431</v>
      </c>
      <c r="C2029" s="13" t="s">
        <v>432</v>
      </c>
      <c r="D2029" s="15">
        <v>7.0</v>
      </c>
      <c r="E2029" s="67">
        <f t="shared" si="11"/>
        <v>1750</v>
      </c>
      <c r="F2029" s="67"/>
    </row>
    <row r="2030" hidden="1">
      <c r="A2030" s="6" t="s">
        <v>108</v>
      </c>
      <c r="B2030" s="13" t="s">
        <v>433</v>
      </c>
      <c r="C2030" s="13" t="s">
        <v>434</v>
      </c>
      <c r="D2030" s="15">
        <v>3.0</v>
      </c>
      <c r="E2030" s="67">
        <f t="shared" si="11"/>
        <v>750</v>
      </c>
      <c r="F2030" s="67"/>
    </row>
    <row r="2031" hidden="1">
      <c r="A2031" s="6" t="s">
        <v>108</v>
      </c>
      <c r="B2031" s="13" t="s">
        <v>1293</v>
      </c>
      <c r="C2031" s="13" t="s">
        <v>1294</v>
      </c>
      <c r="D2031" s="15">
        <v>3.0</v>
      </c>
      <c r="E2031" s="67">
        <f t="shared" si="11"/>
        <v>750</v>
      </c>
      <c r="F2031" s="67"/>
    </row>
    <row r="2032" hidden="1">
      <c r="A2032" s="6" t="s">
        <v>108</v>
      </c>
      <c r="B2032" s="13" t="s">
        <v>449</v>
      </c>
      <c r="C2032" s="13" t="s">
        <v>450</v>
      </c>
      <c r="D2032" s="15">
        <v>7.0</v>
      </c>
      <c r="E2032" s="67">
        <f t="shared" si="11"/>
        <v>1750</v>
      </c>
      <c r="F2032" s="67"/>
    </row>
    <row r="2033" hidden="1">
      <c r="A2033" s="6" t="s">
        <v>108</v>
      </c>
      <c r="B2033" s="13" t="s">
        <v>1295</v>
      </c>
      <c r="C2033" s="13" t="s">
        <v>1296</v>
      </c>
      <c r="D2033" s="15">
        <v>1.0</v>
      </c>
      <c r="E2033" s="67">
        <f t="shared" si="11"/>
        <v>250</v>
      </c>
      <c r="F2033" s="67"/>
    </row>
    <row r="2034" hidden="1">
      <c r="A2034" s="6" t="s">
        <v>108</v>
      </c>
      <c r="B2034" s="13" t="s">
        <v>451</v>
      </c>
      <c r="C2034" s="13" t="s">
        <v>452</v>
      </c>
      <c r="D2034" s="15">
        <v>4.0</v>
      </c>
      <c r="E2034" s="67">
        <f t="shared" si="11"/>
        <v>1000</v>
      </c>
      <c r="F2034" s="67"/>
    </row>
    <row r="2035" hidden="1">
      <c r="A2035" s="6" t="s">
        <v>108</v>
      </c>
      <c r="B2035" s="13" t="s">
        <v>1297</v>
      </c>
      <c r="C2035" s="13" t="s">
        <v>1298</v>
      </c>
      <c r="D2035" s="15">
        <v>2.0</v>
      </c>
      <c r="E2035" s="67">
        <f t="shared" si="11"/>
        <v>500</v>
      </c>
      <c r="F2035" s="67"/>
    </row>
    <row r="2036" hidden="1">
      <c r="A2036" s="6" t="s">
        <v>108</v>
      </c>
      <c r="B2036" s="13" t="s">
        <v>453</v>
      </c>
      <c r="C2036" s="13" t="s">
        <v>454</v>
      </c>
      <c r="D2036" s="15">
        <v>1.0</v>
      </c>
      <c r="E2036" s="67">
        <f t="shared" si="11"/>
        <v>250</v>
      </c>
      <c r="F2036" s="67"/>
    </row>
    <row r="2037" hidden="1">
      <c r="A2037" s="6" t="s">
        <v>108</v>
      </c>
      <c r="B2037" s="13" t="s">
        <v>1299</v>
      </c>
      <c r="C2037" s="13" t="s">
        <v>1300</v>
      </c>
      <c r="D2037" s="15">
        <v>7.0</v>
      </c>
      <c r="E2037" s="67">
        <f t="shared" si="11"/>
        <v>1750</v>
      </c>
      <c r="F2037" s="67"/>
    </row>
    <row r="2038" hidden="1">
      <c r="A2038" s="6" t="s">
        <v>108</v>
      </c>
      <c r="B2038" s="13" t="s">
        <v>462</v>
      </c>
      <c r="C2038" s="13" t="s">
        <v>463</v>
      </c>
      <c r="D2038" s="15">
        <v>8.0</v>
      </c>
      <c r="E2038" s="67">
        <f t="shared" si="11"/>
        <v>2000</v>
      </c>
      <c r="F2038" s="67"/>
    </row>
    <row r="2039" hidden="1">
      <c r="A2039" s="6" t="s">
        <v>108</v>
      </c>
      <c r="B2039" s="13" t="s">
        <v>1301</v>
      </c>
      <c r="C2039" s="13" t="s">
        <v>1302</v>
      </c>
      <c r="D2039" s="15">
        <v>5.0</v>
      </c>
      <c r="E2039" s="67">
        <f t="shared" si="11"/>
        <v>1250</v>
      </c>
      <c r="F2039" s="67"/>
    </row>
    <row r="2040" hidden="1">
      <c r="A2040" s="6" t="s">
        <v>108</v>
      </c>
      <c r="B2040" s="13" t="s">
        <v>1303</v>
      </c>
      <c r="C2040" s="13" t="s">
        <v>467</v>
      </c>
      <c r="D2040" s="15">
        <v>5.0</v>
      </c>
      <c r="E2040" s="67">
        <f t="shared" si="11"/>
        <v>1250</v>
      </c>
      <c r="F2040" s="67"/>
    </row>
    <row r="2041" hidden="1">
      <c r="A2041" s="6" t="s">
        <v>108</v>
      </c>
      <c r="B2041" s="13" t="s">
        <v>472</v>
      </c>
      <c r="C2041" s="13" t="s">
        <v>473</v>
      </c>
      <c r="D2041" s="15">
        <v>2.0</v>
      </c>
      <c r="E2041" s="67">
        <f t="shared" si="11"/>
        <v>500</v>
      </c>
      <c r="F2041" s="67"/>
    </row>
    <row r="2042" hidden="1">
      <c r="A2042" s="6" t="s">
        <v>108</v>
      </c>
      <c r="B2042" s="13" t="s">
        <v>1304</v>
      </c>
      <c r="C2042" s="13" t="s">
        <v>483</v>
      </c>
      <c r="D2042" s="15">
        <v>0.0</v>
      </c>
      <c r="E2042" s="67">
        <f t="shared" si="11"/>
        <v>0</v>
      </c>
      <c r="F2042" s="67"/>
    </row>
    <row r="2043" hidden="1">
      <c r="A2043" s="6" t="s">
        <v>108</v>
      </c>
      <c r="B2043" s="13" t="s">
        <v>1305</v>
      </c>
      <c r="C2043" s="13" t="s">
        <v>1306</v>
      </c>
      <c r="D2043" s="15">
        <v>5.0</v>
      </c>
      <c r="E2043" s="67">
        <f t="shared" si="11"/>
        <v>1250</v>
      </c>
      <c r="F2043" s="67"/>
    </row>
    <row r="2044" hidden="1">
      <c r="A2044" s="6" t="s">
        <v>108</v>
      </c>
      <c r="B2044" s="13" t="s">
        <v>1307</v>
      </c>
      <c r="C2044" s="13" t="s">
        <v>1308</v>
      </c>
      <c r="D2044" s="15">
        <v>9.0</v>
      </c>
      <c r="E2044" s="67">
        <f t="shared" si="11"/>
        <v>2250</v>
      </c>
      <c r="F2044" s="67"/>
    </row>
    <row r="2045" hidden="1">
      <c r="A2045" s="6" t="s">
        <v>108</v>
      </c>
      <c r="B2045" s="13" t="s">
        <v>1309</v>
      </c>
      <c r="C2045" s="13" t="s">
        <v>485</v>
      </c>
      <c r="D2045" s="15">
        <v>2.0</v>
      </c>
      <c r="E2045" s="67">
        <f t="shared" si="11"/>
        <v>500</v>
      </c>
      <c r="F2045" s="67"/>
    </row>
    <row r="2046" hidden="1">
      <c r="A2046" s="6" t="s">
        <v>108</v>
      </c>
      <c r="B2046" s="13" t="s">
        <v>1310</v>
      </c>
      <c r="C2046" s="13" t="s">
        <v>1311</v>
      </c>
      <c r="D2046" s="15">
        <v>1.0</v>
      </c>
      <c r="E2046" s="67">
        <f t="shared" si="11"/>
        <v>250</v>
      </c>
      <c r="F2046" s="67"/>
    </row>
    <row r="2047" hidden="1">
      <c r="A2047" s="6" t="s">
        <v>108</v>
      </c>
      <c r="B2047" s="13" t="s">
        <v>1312</v>
      </c>
      <c r="C2047" s="13" t="s">
        <v>1313</v>
      </c>
      <c r="D2047" s="15">
        <v>6.0</v>
      </c>
      <c r="E2047" s="67">
        <f t="shared" si="11"/>
        <v>1500</v>
      </c>
      <c r="F2047" s="67"/>
    </row>
    <row r="2048" hidden="1">
      <c r="A2048" s="6" t="s">
        <v>108</v>
      </c>
      <c r="B2048" s="13" t="s">
        <v>1314</v>
      </c>
      <c r="C2048" s="13" t="s">
        <v>491</v>
      </c>
      <c r="D2048" s="15">
        <v>4.0</v>
      </c>
      <c r="E2048" s="67">
        <f t="shared" si="11"/>
        <v>1000</v>
      </c>
      <c r="F2048" s="67"/>
    </row>
    <row r="2049" hidden="1">
      <c r="A2049" s="6" t="s">
        <v>108</v>
      </c>
      <c r="B2049" s="13" t="s">
        <v>494</v>
      </c>
      <c r="C2049" s="13" t="s">
        <v>495</v>
      </c>
      <c r="D2049" s="15">
        <v>2.0</v>
      </c>
      <c r="E2049" s="67">
        <f t="shared" si="11"/>
        <v>500</v>
      </c>
      <c r="F2049" s="67"/>
    </row>
    <row r="2050" hidden="1">
      <c r="A2050" s="6" t="s">
        <v>108</v>
      </c>
      <c r="B2050" s="13" t="s">
        <v>1315</v>
      </c>
      <c r="C2050" s="13" t="s">
        <v>1316</v>
      </c>
      <c r="D2050" s="15">
        <v>1.0</v>
      </c>
      <c r="E2050" s="67">
        <f t="shared" si="11"/>
        <v>250</v>
      </c>
      <c r="F2050" s="67"/>
    </row>
    <row r="2051" hidden="1">
      <c r="A2051" s="6" t="s">
        <v>108</v>
      </c>
      <c r="B2051" s="13" t="s">
        <v>1317</v>
      </c>
      <c r="C2051" s="13" t="s">
        <v>1318</v>
      </c>
      <c r="D2051" s="15">
        <v>3.0</v>
      </c>
      <c r="E2051" s="67">
        <f t="shared" si="11"/>
        <v>750</v>
      </c>
      <c r="F2051" s="67"/>
    </row>
    <row r="2052" hidden="1">
      <c r="A2052" s="6" t="s">
        <v>108</v>
      </c>
      <c r="B2052" s="13" t="s">
        <v>516</v>
      </c>
      <c r="C2052" s="13" t="s">
        <v>517</v>
      </c>
      <c r="D2052" s="15">
        <v>8.0</v>
      </c>
      <c r="E2052" s="67">
        <f t="shared" si="11"/>
        <v>2000</v>
      </c>
      <c r="F2052" s="67"/>
    </row>
    <row r="2053" hidden="1">
      <c r="A2053" s="6" t="s">
        <v>108</v>
      </c>
      <c r="B2053" s="13" t="s">
        <v>1319</v>
      </c>
      <c r="C2053" s="13" t="s">
        <v>1320</v>
      </c>
      <c r="D2053" s="15">
        <v>2.0</v>
      </c>
      <c r="E2053" s="67">
        <f t="shared" si="11"/>
        <v>500</v>
      </c>
      <c r="F2053" s="67"/>
    </row>
    <row r="2054" hidden="1">
      <c r="A2054" s="6" t="s">
        <v>108</v>
      </c>
      <c r="B2054" s="13" t="s">
        <v>922</v>
      </c>
      <c r="C2054" s="13" t="s">
        <v>923</v>
      </c>
      <c r="D2054" s="15">
        <v>1.0</v>
      </c>
      <c r="E2054" s="67">
        <f t="shared" si="11"/>
        <v>250</v>
      </c>
      <c r="F2054" s="67"/>
    </row>
    <row r="2055" hidden="1">
      <c r="A2055" s="6" t="s">
        <v>108</v>
      </c>
      <c r="B2055" s="13" t="s">
        <v>1321</v>
      </c>
      <c r="C2055" s="13" t="s">
        <v>1322</v>
      </c>
      <c r="D2055" s="15">
        <v>6.0</v>
      </c>
      <c r="E2055" s="67">
        <f t="shared" si="11"/>
        <v>1500</v>
      </c>
      <c r="F2055" s="67"/>
    </row>
    <row r="2056" hidden="1">
      <c r="A2056" s="6" t="s">
        <v>108</v>
      </c>
      <c r="B2056" s="13" t="s">
        <v>1323</v>
      </c>
      <c r="C2056" s="13" t="s">
        <v>1324</v>
      </c>
      <c r="D2056" s="15">
        <v>2.0</v>
      </c>
      <c r="E2056" s="67">
        <f t="shared" si="11"/>
        <v>500</v>
      </c>
      <c r="F2056" s="67"/>
    </row>
    <row r="2057" hidden="1">
      <c r="A2057" s="6" t="s">
        <v>108</v>
      </c>
      <c r="B2057" s="13" t="s">
        <v>522</v>
      </c>
      <c r="C2057" s="13" t="s">
        <v>523</v>
      </c>
      <c r="D2057" s="15">
        <v>2.0</v>
      </c>
      <c r="E2057" s="67">
        <f t="shared" si="11"/>
        <v>500</v>
      </c>
      <c r="F2057" s="67"/>
    </row>
    <row r="2058" hidden="1">
      <c r="A2058" s="6" t="s">
        <v>108</v>
      </c>
      <c r="B2058" s="13" t="s">
        <v>1325</v>
      </c>
      <c r="C2058" s="13" t="s">
        <v>1326</v>
      </c>
      <c r="D2058" s="15">
        <v>7.0</v>
      </c>
      <c r="E2058" s="67">
        <f t="shared" si="11"/>
        <v>1750</v>
      </c>
      <c r="F2058" s="67"/>
    </row>
    <row r="2059" hidden="1">
      <c r="A2059" s="6" t="s">
        <v>108</v>
      </c>
      <c r="B2059" s="13" t="s">
        <v>1327</v>
      </c>
      <c r="C2059" s="13" t="s">
        <v>527</v>
      </c>
      <c r="D2059" s="15">
        <v>2.0</v>
      </c>
      <c r="E2059" s="67">
        <f t="shared" si="11"/>
        <v>500</v>
      </c>
      <c r="F2059" s="67"/>
    </row>
    <row r="2060" hidden="1">
      <c r="A2060" s="6" t="s">
        <v>108</v>
      </c>
      <c r="B2060" s="13" t="s">
        <v>1328</v>
      </c>
      <c r="C2060" s="13" t="s">
        <v>1329</v>
      </c>
      <c r="D2060" s="15">
        <v>3.0</v>
      </c>
      <c r="E2060" s="67">
        <f t="shared" si="11"/>
        <v>750</v>
      </c>
      <c r="F2060" s="67"/>
    </row>
    <row r="2061" hidden="1">
      <c r="A2061" s="6" t="s">
        <v>108</v>
      </c>
      <c r="B2061" s="13" t="s">
        <v>1330</v>
      </c>
      <c r="C2061" s="13" t="s">
        <v>529</v>
      </c>
      <c r="D2061" s="15">
        <v>1.0</v>
      </c>
      <c r="E2061" s="67">
        <f t="shared" si="11"/>
        <v>250</v>
      </c>
      <c r="F2061" s="67"/>
    </row>
    <row r="2062" hidden="1">
      <c r="A2062" s="6" t="s">
        <v>108</v>
      </c>
      <c r="B2062" s="13" t="s">
        <v>530</v>
      </c>
      <c r="C2062" s="13" t="s">
        <v>531</v>
      </c>
      <c r="D2062" s="15">
        <v>2.0</v>
      </c>
      <c r="E2062" s="67">
        <f t="shared" si="11"/>
        <v>500</v>
      </c>
      <c r="F2062" s="67"/>
    </row>
    <row r="2063" hidden="1">
      <c r="A2063" s="6" t="s">
        <v>108</v>
      </c>
      <c r="B2063" s="13" t="s">
        <v>532</v>
      </c>
      <c r="C2063" s="13" t="s">
        <v>533</v>
      </c>
      <c r="D2063" s="15">
        <v>5.0</v>
      </c>
      <c r="E2063" s="67">
        <f t="shared" si="11"/>
        <v>1250</v>
      </c>
      <c r="F2063" s="67"/>
    </row>
    <row r="2064" hidden="1">
      <c r="A2064" s="6" t="s">
        <v>108</v>
      </c>
      <c r="B2064" s="13" t="s">
        <v>1331</v>
      </c>
      <c r="C2064" s="13" t="s">
        <v>539</v>
      </c>
      <c r="D2064" s="15">
        <v>2.0</v>
      </c>
      <c r="E2064" s="67">
        <f t="shared" si="11"/>
        <v>500</v>
      </c>
      <c r="F2064" s="67"/>
    </row>
    <row r="2065" hidden="1">
      <c r="A2065" s="6" t="s">
        <v>108</v>
      </c>
      <c r="B2065" s="13" t="s">
        <v>1332</v>
      </c>
      <c r="C2065" s="13" t="s">
        <v>545</v>
      </c>
      <c r="D2065" s="15">
        <v>0.0</v>
      </c>
      <c r="E2065" s="67">
        <f t="shared" si="11"/>
        <v>0</v>
      </c>
      <c r="F2065" s="67"/>
    </row>
    <row r="2066" hidden="1">
      <c r="A2066" s="6" t="s">
        <v>108</v>
      </c>
      <c r="B2066" s="13" t="s">
        <v>1333</v>
      </c>
      <c r="C2066" s="13" t="s">
        <v>551</v>
      </c>
      <c r="D2066" s="15">
        <v>3.0</v>
      </c>
      <c r="E2066" s="67">
        <f t="shared" si="11"/>
        <v>750</v>
      </c>
      <c r="F2066" s="67"/>
    </row>
    <row r="2067" hidden="1">
      <c r="A2067" s="6" t="s">
        <v>108</v>
      </c>
      <c r="B2067" s="13" t="s">
        <v>1334</v>
      </c>
      <c r="C2067" s="13" t="s">
        <v>553</v>
      </c>
      <c r="D2067" s="15">
        <v>3.0</v>
      </c>
      <c r="E2067" s="67">
        <f t="shared" si="11"/>
        <v>750</v>
      </c>
      <c r="F2067" s="67"/>
    </row>
    <row r="2068" hidden="1">
      <c r="A2068" s="6" t="s">
        <v>108</v>
      </c>
      <c r="B2068" s="13" t="s">
        <v>1335</v>
      </c>
      <c r="C2068" s="13" t="s">
        <v>1336</v>
      </c>
      <c r="D2068" s="15">
        <v>0.0</v>
      </c>
      <c r="E2068" s="67">
        <f t="shared" si="11"/>
        <v>0</v>
      </c>
      <c r="F2068" s="67"/>
    </row>
    <row r="2069" hidden="1">
      <c r="A2069" s="6" t="s">
        <v>108</v>
      </c>
      <c r="B2069" s="13" t="s">
        <v>1337</v>
      </c>
      <c r="C2069" s="13" t="s">
        <v>1338</v>
      </c>
      <c r="D2069" s="15">
        <v>1.0</v>
      </c>
      <c r="E2069" s="67">
        <f t="shared" si="11"/>
        <v>250</v>
      </c>
      <c r="F2069" s="67"/>
    </row>
    <row r="2070" hidden="1">
      <c r="A2070" s="6" t="s">
        <v>108</v>
      </c>
      <c r="B2070" s="13" t="s">
        <v>1339</v>
      </c>
      <c r="C2070" s="13" t="s">
        <v>1340</v>
      </c>
      <c r="D2070" s="15">
        <v>0.0</v>
      </c>
      <c r="E2070" s="67">
        <f t="shared" si="11"/>
        <v>0</v>
      </c>
      <c r="F2070" s="67"/>
    </row>
    <row r="2071" hidden="1">
      <c r="A2071" s="6" t="s">
        <v>108</v>
      </c>
      <c r="B2071" s="13" t="s">
        <v>1341</v>
      </c>
      <c r="C2071" s="13" t="s">
        <v>563</v>
      </c>
      <c r="D2071" s="15">
        <v>0.0</v>
      </c>
      <c r="E2071" s="67">
        <f t="shared" si="11"/>
        <v>0</v>
      </c>
      <c r="F2071" s="67"/>
    </row>
    <row r="2072" hidden="1">
      <c r="A2072" s="6" t="s">
        <v>108</v>
      </c>
      <c r="B2072" s="13" t="s">
        <v>1342</v>
      </c>
      <c r="C2072" s="13" t="s">
        <v>1343</v>
      </c>
      <c r="D2072" s="15">
        <v>1.0</v>
      </c>
      <c r="E2072" s="67">
        <f t="shared" si="11"/>
        <v>250</v>
      </c>
      <c r="F2072" s="67"/>
    </row>
    <row r="2073" hidden="1">
      <c r="A2073" s="6" t="s">
        <v>108</v>
      </c>
      <c r="B2073" s="13" t="s">
        <v>566</v>
      </c>
      <c r="C2073" s="13" t="s">
        <v>567</v>
      </c>
      <c r="D2073" s="15">
        <v>1.0</v>
      </c>
      <c r="E2073" s="67">
        <f t="shared" si="11"/>
        <v>250</v>
      </c>
      <c r="F2073" s="67"/>
    </row>
    <row r="2074" hidden="1">
      <c r="A2074" s="6" t="s">
        <v>108</v>
      </c>
      <c r="B2074" s="13" t="s">
        <v>1344</v>
      </c>
      <c r="C2074" s="13" t="s">
        <v>569</v>
      </c>
      <c r="D2074" s="15">
        <v>1.0</v>
      </c>
      <c r="E2074" s="67">
        <f t="shared" si="11"/>
        <v>250</v>
      </c>
      <c r="F2074" s="67"/>
    </row>
    <row r="2075" hidden="1">
      <c r="A2075" s="6" t="s">
        <v>108</v>
      </c>
      <c r="B2075" s="13" t="s">
        <v>1345</v>
      </c>
      <c r="C2075" s="13" t="s">
        <v>1346</v>
      </c>
      <c r="D2075" s="15">
        <v>4.0</v>
      </c>
      <c r="E2075" s="67">
        <f t="shared" si="11"/>
        <v>1000</v>
      </c>
      <c r="F2075" s="67"/>
    </row>
    <row r="2076" hidden="1">
      <c r="A2076" s="6" t="s">
        <v>108</v>
      </c>
      <c r="B2076" s="13" t="s">
        <v>1347</v>
      </c>
      <c r="C2076" s="13" t="s">
        <v>1348</v>
      </c>
      <c r="D2076" s="15">
        <v>1.0</v>
      </c>
      <c r="E2076" s="67">
        <f t="shared" si="11"/>
        <v>250</v>
      </c>
      <c r="F2076" s="67"/>
    </row>
    <row r="2077" hidden="1">
      <c r="A2077" s="6" t="s">
        <v>108</v>
      </c>
      <c r="B2077" s="13" t="s">
        <v>1349</v>
      </c>
      <c r="C2077" s="13" t="s">
        <v>1350</v>
      </c>
      <c r="D2077" s="15">
        <v>2.0</v>
      </c>
      <c r="E2077" s="67">
        <f t="shared" si="11"/>
        <v>500</v>
      </c>
      <c r="F2077" s="67"/>
    </row>
    <row r="2078" hidden="1">
      <c r="A2078" s="6" t="s">
        <v>108</v>
      </c>
      <c r="B2078" s="13" t="s">
        <v>1351</v>
      </c>
      <c r="C2078" s="13" t="s">
        <v>1352</v>
      </c>
      <c r="D2078" s="15">
        <v>3.0</v>
      </c>
      <c r="E2078" s="67">
        <f t="shared" si="11"/>
        <v>750</v>
      </c>
      <c r="F2078" s="67"/>
    </row>
    <row r="2079" hidden="1">
      <c r="A2079" s="6" t="s">
        <v>108</v>
      </c>
      <c r="B2079" s="13" t="s">
        <v>572</v>
      </c>
      <c r="C2079" s="13" t="s">
        <v>573</v>
      </c>
      <c r="D2079" s="15">
        <v>6.0</v>
      </c>
      <c r="E2079" s="67">
        <f t="shared" si="11"/>
        <v>1500</v>
      </c>
      <c r="F2079" s="67"/>
    </row>
    <row r="2080" hidden="1">
      <c r="A2080" s="6" t="s">
        <v>108</v>
      </c>
      <c r="B2080" s="13" t="s">
        <v>1353</v>
      </c>
      <c r="C2080" s="13" t="s">
        <v>1354</v>
      </c>
      <c r="D2080" s="15">
        <v>2.0</v>
      </c>
      <c r="E2080" s="67">
        <f t="shared" si="11"/>
        <v>500</v>
      </c>
      <c r="F2080" s="67"/>
    </row>
    <row r="2081" hidden="1">
      <c r="A2081" s="6" t="s">
        <v>108</v>
      </c>
      <c r="B2081" s="13" t="s">
        <v>576</v>
      </c>
      <c r="C2081" s="13" t="s">
        <v>577</v>
      </c>
      <c r="D2081" s="15">
        <v>9.0</v>
      </c>
      <c r="E2081" s="67">
        <f t="shared" si="11"/>
        <v>2250</v>
      </c>
      <c r="F2081" s="67"/>
    </row>
    <row r="2082" hidden="1">
      <c r="A2082" s="6" t="s">
        <v>108</v>
      </c>
      <c r="B2082" s="13" t="s">
        <v>1355</v>
      </c>
      <c r="C2082" s="13" t="s">
        <v>579</v>
      </c>
      <c r="D2082" s="15">
        <v>0.0</v>
      </c>
      <c r="E2082" s="67">
        <f t="shared" si="11"/>
        <v>0</v>
      </c>
      <c r="F2082" s="67"/>
    </row>
    <row r="2083" hidden="1">
      <c r="A2083" s="6" t="s">
        <v>108</v>
      </c>
      <c r="B2083" s="13" t="s">
        <v>1356</v>
      </c>
      <c r="C2083" s="13" t="s">
        <v>581</v>
      </c>
      <c r="D2083" s="15">
        <v>1.0</v>
      </c>
      <c r="E2083" s="67">
        <f t="shared" si="11"/>
        <v>250</v>
      </c>
      <c r="F2083" s="67"/>
    </row>
    <row r="2084" hidden="1">
      <c r="A2084" s="6" t="s">
        <v>108</v>
      </c>
      <c r="B2084" s="13" t="s">
        <v>582</v>
      </c>
      <c r="C2084" s="13" t="s">
        <v>583</v>
      </c>
      <c r="D2084" s="15">
        <v>5.0</v>
      </c>
      <c r="E2084" s="67">
        <f t="shared" si="11"/>
        <v>1250</v>
      </c>
      <c r="F2084" s="67"/>
    </row>
    <row r="2085" hidden="1">
      <c r="A2085" s="6" t="s">
        <v>108</v>
      </c>
      <c r="B2085" s="13" t="s">
        <v>1357</v>
      </c>
      <c r="C2085" s="13" t="s">
        <v>585</v>
      </c>
      <c r="D2085" s="15">
        <v>1.0</v>
      </c>
      <c r="E2085" s="67">
        <f t="shared" si="11"/>
        <v>250</v>
      </c>
      <c r="F2085" s="67"/>
    </row>
    <row r="2086" hidden="1">
      <c r="A2086" s="6" t="s">
        <v>108</v>
      </c>
      <c r="B2086" s="13" t="s">
        <v>1358</v>
      </c>
      <c r="C2086" s="13" t="s">
        <v>587</v>
      </c>
      <c r="D2086" s="15">
        <v>0.0</v>
      </c>
      <c r="E2086" s="67">
        <f t="shared" si="11"/>
        <v>0</v>
      </c>
      <c r="F2086" s="67"/>
    </row>
    <row r="2087" hidden="1">
      <c r="A2087" s="6" t="s">
        <v>108</v>
      </c>
      <c r="B2087" s="13" t="s">
        <v>1359</v>
      </c>
      <c r="C2087" s="13" t="s">
        <v>1360</v>
      </c>
      <c r="D2087" s="15">
        <v>9.0</v>
      </c>
      <c r="E2087" s="67">
        <f t="shared" si="11"/>
        <v>2250</v>
      </c>
      <c r="F2087" s="67"/>
    </row>
    <row r="2088" hidden="1">
      <c r="A2088" s="6" t="s">
        <v>108</v>
      </c>
      <c r="B2088" s="13" t="s">
        <v>1361</v>
      </c>
      <c r="C2088" s="13" t="s">
        <v>589</v>
      </c>
      <c r="D2088" s="15">
        <v>2.0</v>
      </c>
      <c r="E2088" s="67">
        <f t="shared" si="11"/>
        <v>500</v>
      </c>
      <c r="F2088" s="67"/>
    </row>
    <row r="2089" hidden="1">
      <c r="A2089" s="6" t="s">
        <v>108</v>
      </c>
      <c r="B2089" s="13" t="s">
        <v>1362</v>
      </c>
      <c r="C2089" s="13" t="s">
        <v>593</v>
      </c>
      <c r="D2089" s="15">
        <v>1.0</v>
      </c>
      <c r="E2089" s="67">
        <f t="shared" si="11"/>
        <v>250</v>
      </c>
      <c r="F2089" s="67"/>
    </row>
    <row r="2090" hidden="1">
      <c r="A2090" s="6" t="s">
        <v>108</v>
      </c>
      <c r="B2090" s="13" t="s">
        <v>1363</v>
      </c>
      <c r="C2090" s="13" t="s">
        <v>1364</v>
      </c>
      <c r="D2090" s="15">
        <v>0.0</v>
      </c>
      <c r="E2090" s="67">
        <f t="shared" si="11"/>
        <v>0</v>
      </c>
      <c r="F2090" s="67"/>
    </row>
    <row r="2091" hidden="1">
      <c r="A2091" s="6" t="s">
        <v>108</v>
      </c>
      <c r="B2091" s="13" t="s">
        <v>596</v>
      </c>
      <c r="C2091" s="13" t="s">
        <v>597</v>
      </c>
      <c r="D2091" s="15">
        <v>4.0</v>
      </c>
      <c r="E2091" s="67">
        <f t="shared" si="11"/>
        <v>1000</v>
      </c>
      <c r="F2091" s="67"/>
    </row>
    <row r="2092" hidden="1">
      <c r="A2092" s="6" t="s">
        <v>108</v>
      </c>
      <c r="B2092" s="13" t="s">
        <v>1365</v>
      </c>
      <c r="C2092" s="13" t="s">
        <v>1366</v>
      </c>
      <c r="D2092" s="15">
        <v>3.0</v>
      </c>
      <c r="E2092" s="67">
        <f t="shared" si="11"/>
        <v>750</v>
      </c>
      <c r="F2092" s="67"/>
    </row>
    <row r="2093" hidden="1">
      <c r="A2093" s="6" t="s">
        <v>108</v>
      </c>
      <c r="B2093" s="13" t="s">
        <v>602</v>
      </c>
      <c r="C2093" s="13" t="s">
        <v>603</v>
      </c>
      <c r="D2093" s="15">
        <v>5.0</v>
      </c>
      <c r="E2093" s="67">
        <f t="shared" si="11"/>
        <v>1250</v>
      </c>
      <c r="F2093" s="67"/>
    </row>
    <row r="2094" hidden="1">
      <c r="A2094" s="6" t="s">
        <v>108</v>
      </c>
      <c r="B2094" s="13" t="s">
        <v>606</v>
      </c>
      <c r="C2094" s="13" t="s">
        <v>607</v>
      </c>
      <c r="D2094" s="15">
        <v>1.0</v>
      </c>
      <c r="E2094" s="67">
        <f t="shared" si="11"/>
        <v>250</v>
      </c>
      <c r="F2094" s="67"/>
    </row>
    <row r="2095" hidden="1">
      <c r="A2095" s="6" t="s">
        <v>108</v>
      </c>
      <c r="B2095" s="13" t="s">
        <v>1367</v>
      </c>
      <c r="C2095" s="13" t="s">
        <v>1368</v>
      </c>
      <c r="D2095" s="15">
        <v>1.0</v>
      </c>
      <c r="E2095" s="67">
        <f t="shared" si="11"/>
        <v>250</v>
      </c>
      <c r="F2095" s="67"/>
    </row>
    <row r="2096" hidden="1">
      <c r="A2096" s="6" t="s">
        <v>108</v>
      </c>
      <c r="B2096" s="13" t="s">
        <v>1369</v>
      </c>
      <c r="C2096" s="13" t="s">
        <v>1370</v>
      </c>
      <c r="D2096" s="15">
        <v>2.0</v>
      </c>
      <c r="E2096" s="67">
        <f t="shared" si="11"/>
        <v>500</v>
      </c>
      <c r="F2096" s="67"/>
    </row>
    <row r="2097" hidden="1">
      <c r="A2097" s="6" t="s">
        <v>108</v>
      </c>
      <c r="B2097" s="13" t="s">
        <v>624</v>
      </c>
      <c r="C2097" s="13" t="s">
        <v>625</v>
      </c>
      <c r="D2097" s="15">
        <v>9.0</v>
      </c>
      <c r="E2097" s="67">
        <f t="shared" si="11"/>
        <v>2250</v>
      </c>
      <c r="F2097" s="67"/>
    </row>
    <row r="2098" hidden="1">
      <c r="A2098" s="6" t="s">
        <v>108</v>
      </c>
      <c r="B2098" s="13" t="s">
        <v>626</v>
      </c>
      <c r="C2098" s="13" t="s">
        <v>627</v>
      </c>
      <c r="D2098" s="15">
        <v>5.0</v>
      </c>
      <c r="E2098" s="67">
        <f t="shared" si="11"/>
        <v>1250</v>
      </c>
      <c r="F2098" s="67"/>
    </row>
    <row r="2099" hidden="1">
      <c r="A2099" s="6" t="s">
        <v>108</v>
      </c>
      <c r="B2099" s="13" t="s">
        <v>1371</v>
      </c>
      <c r="C2099" s="13" t="s">
        <v>633</v>
      </c>
      <c r="D2099" s="15">
        <v>3.0</v>
      </c>
      <c r="E2099" s="67">
        <f t="shared" si="11"/>
        <v>750</v>
      </c>
      <c r="F2099" s="67"/>
    </row>
    <row r="2100" hidden="1">
      <c r="A2100" s="6" t="s">
        <v>108</v>
      </c>
      <c r="B2100" s="13" t="s">
        <v>1372</v>
      </c>
      <c r="C2100" s="13" t="s">
        <v>637</v>
      </c>
      <c r="D2100" s="15">
        <v>4.0</v>
      </c>
      <c r="E2100" s="67">
        <f t="shared" si="11"/>
        <v>1000</v>
      </c>
      <c r="F2100" s="67"/>
    </row>
    <row r="2101" hidden="1">
      <c r="A2101" s="6" t="s">
        <v>108</v>
      </c>
      <c r="B2101" s="13" t="s">
        <v>1177</v>
      </c>
      <c r="C2101" s="13" t="s">
        <v>639</v>
      </c>
      <c r="D2101" s="15">
        <v>3.0</v>
      </c>
      <c r="E2101" s="67">
        <f t="shared" si="11"/>
        <v>750</v>
      </c>
      <c r="F2101" s="67"/>
    </row>
    <row r="2102" hidden="1">
      <c r="A2102" s="6" t="s">
        <v>108</v>
      </c>
      <c r="B2102" s="13" t="s">
        <v>1373</v>
      </c>
      <c r="C2102" s="13" t="s">
        <v>1374</v>
      </c>
      <c r="D2102" s="15">
        <v>1.0</v>
      </c>
      <c r="E2102" s="67">
        <f t="shared" si="11"/>
        <v>250</v>
      </c>
      <c r="F2102" s="67"/>
    </row>
    <row r="2103" hidden="1">
      <c r="A2103" s="6" t="s">
        <v>108</v>
      </c>
      <c r="B2103" s="13" t="s">
        <v>311</v>
      </c>
      <c r="C2103" s="13" t="s">
        <v>312</v>
      </c>
      <c r="D2103" s="15">
        <v>5.0</v>
      </c>
      <c r="E2103" s="67">
        <f t="shared" si="11"/>
        <v>1250</v>
      </c>
      <c r="F2103" s="67"/>
    </row>
    <row r="2104" hidden="1">
      <c r="A2104" s="6" t="s">
        <v>108</v>
      </c>
      <c r="B2104" s="13" t="s">
        <v>1375</v>
      </c>
      <c r="C2104" s="13" t="s">
        <v>647</v>
      </c>
      <c r="D2104" s="15">
        <v>5.0</v>
      </c>
      <c r="E2104" s="67">
        <f t="shared" si="11"/>
        <v>1250</v>
      </c>
      <c r="F2104" s="67"/>
    </row>
    <row r="2105" hidden="1">
      <c r="A2105" s="6" t="s">
        <v>108</v>
      </c>
      <c r="B2105" s="13" t="s">
        <v>1376</v>
      </c>
      <c r="C2105" s="13" t="s">
        <v>649</v>
      </c>
      <c r="D2105" s="15">
        <v>2.0</v>
      </c>
      <c r="E2105" s="67">
        <f t="shared" si="11"/>
        <v>500</v>
      </c>
      <c r="F2105" s="67"/>
    </row>
    <row r="2106" hidden="1">
      <c r="A2106" s="6" t="s">
        <v>108</v>
      </c>
      <c r="B2106" s="13" t="s">
        <v>650</v>
      </c>
      <c r="C2106" s="13" t="s">
        <v>651</v>
      </c>
      <c r="D2106" s="15">
        <v>2.0</v>
      </c>
      <c r="E2106" s="67">
        <f t="shared" si="11"/>
        <v>500</v>
      </c>
      <c r="F2106" s="67"/>
    </row>
    <row r="2107" hidden="1">
      <c r="A2107" s="6" t="s">
        <v>108</v>
      </c>
      <c r="B2107" s="13" t="s">
        <v>1377</v>
      </c>
      <c r="C2107" s="13" t="s">
        <v>1378</v>
      </c>
      <c r="D2107" s="15">
        <v>1.0</v>
      </c>
      <c r="E2107" s="67">
        <f t="shared" si="11"/>
        <v>250</v>
      </c>
      <c r="F2107" s="67"/>
    </row>
    <row r="2108" hidden="1">
      <c r="A2108" s="6" t="s">
        <v>108</v>
      </c>
      <c r="B2108" s="13" t="s">
        <v>1379</v>
      </c>
      <c r="C2108" s="13" t="s">
        <v>655</v>
      </c>
      <c r="D2108" s="15">
        <v>4.0</v>
      </c>
      <c r="E2108" s="67">
        <f t="shared" si="11"/>
        <v>1000</v>
      </c>
      <c r="F2108" s="67"/>
    </row>
    <row r="2109" hidden="1">
      <c r="A2109" s="6" t="s">
        <v>108</v>
      </c>
      <c r="B2109" s="13" t="s">
        <v>1380</v>
      </c>
      <c r="C2109" s="13" t="s">
        <v>1381</v>
      </c>
      <c r="D2109" s="15">
        <v>2.0</v>
      </c>
      <c r="E2109" s="67">
        <f t="shared" si="11"/>
        <v>500</v>
      </c>
      <c r="F2109" s="67"/>
    </row>
    <row r="2110" hidden="1">
      <c r="A2110" s="6" t="s">
        <v>108</v>
      </c>
      <c r="B2110" s="13" t="s">
        <v>1382</v>
      </c>
      <c r="C2110" s="13" t="s">
        <v>1383</v>
      </c>
      <c r="D2110" s="15">
        <v>4.0</v>
      </c>
      <c r="E2110" s="67">
        <f t="shared" si="11"/>
        <v>1000</v>
      </c>
      <c r="F2110" s="67"/>
    </row>
    <row r="2111" hidden="1">
      <c r="A2111" s="6" t="s">
        <v>108</v>
      </c>
      <c r="B2111" s="13" t="s">
        <v>1384</v>
      </c>
      <c r="C2111" s="13" t="s">
        <v>1385</v>
      </c>
      <c r="D2111" s="15">
        <v>3.0</v>
      </c>
      <c r="E2111" s="67">
        <f t="shared" si="11"/>
        <v>750</v>
      </c>
      <c r="F2111" s="67"/>
    </row>
    <row r="2112" hidden="1">
      <c r="A2112" s="6" t="s">
        <v>108</v>
      </c>
      <c r="B2112" s="13" t="s">
        <v>206</v>
      </c>
      <c r="C2112" s="13" t="s">
        <v>1386</v>
      </c>
      <c r="D2112" s="15">
        <v>0.0</v>
      </c>
      <c r="E2112" s="67">
        <f t="shared" si="11"/>
        <v>0</v>
      </c>
      <c r="F2112" s="67"/>
    </row>
    <row r="2113" hidden="1">
      <c r="A2113" s="6" t="s">
        <v>108</v>
      </c>
      <c r="B2113" s="13" t="s">
        <v>656</v>
      </c>
      <c r="C2113" s="13" t="s">
        <v>657</v>
      </c>
      <c r="D2113" s="15">
        <v>9.0</v>
      </c>
      <c r="E2113" s="67">
        <f t="shared" si="11"/>
        <v>2250</v>
      </c>
      <c r="F2113" s="67"/>
    </row>
    <row r="2114" hidden="1">
      <c r="A2114" s="6" t="s">
        <v>108</v>
      </c>
      <c r="B2114" s="13" t="s">
        <v>1387</v>
      </c>
      <c r="C2114" s="13" t="s">
        <v>1388</v>
      </c>
      <c r="D2114" s="15">
        <v>1.0</v>
      </c>
      <c r="E2114" s="67">
        <f t="shared" si="11"/>
        <v>250</v>
      </c>
      <c r="F2114" s="67"/>
    </row>
    <row r="2115" hidden="1">
      <c r="A2115" s="6" t="s">
        <v>108</v>
      </c>
      <c r="B2115" s="13" t="s">
        <v>1389</v>
      </c>
      <c r="C2115" s="13" t="s">
        <v>1390</v>
      </c>
      <c r="D2115" s="15">
        <v>0.0</v>
      </c>
      <c r="E2115" s="67">
        <f t="shared" si="11"/>
        <v>0</v>
      </c>
      <c r="F2115" s="67"/>
    </row>
    <row r="2116" hidden="1">
      <c r="A2116" s="6" t="s">
        <v>108</v>
      </c>
      <c r="B2116" s="13" t="s">
        <v>1391</v>
      </c>
      <c r="C2116" s="13" t="s">
        <v>1392</v>
      </c>
      <c r="D2116" s="15">
        <v>1.0</v>
      </c>
      <c r="E2116" s="67">
        <f t="shared" si="11"/>
        <v>250</v>
      </c>
      <c r="F2116" s="67"/>
    </row>
    <row r="2117" hidden="1">
      <c r="A2117" s="6" t="s">
        <v>108</v>
      </c>
      <c r="B2117" s="13" t="s">
        <v>1393</v>
      </c>
      <c r="C2117" s="13" t="s">
        <v>1394</v>
      </c>
      <c r="D2117" s="15">
        <v>2.0</v>
      </c>
      <c r="E2117" s="67">
        <f t="shared" si="11"/>
        <v>500</v>
      </c>
      <c r="F2117" s="67"/>
    </row>
    <row r="2118" hidden="1">
      <c r="A2118" s="6" t="s">
        <v>108</v>
      </c>
      <c r="B2118" s="13" t="s">
        <v>1395</v>
      </c>
      <c r="C2118" s="13" t="s">
        <v>669</v>
      </c>
      <c r="D2118" s="15">
        <v>0.0</v>
      </c>
      <c r="E2118" s="67">
        <f t="shared" si="11"/>
        <v>0</v>
      </c>
      <c r="F2118" s="67"/>
    </row>
    <row r="2119" hidden="1">
      <c r="A2119" s="6" t="s">
        <v>108</v>
      </c>
      <c r="B2119" s="13" t="s">
        <v>1396</v>
      </c>
      <c r="C2119" s="13" t="s">
        <v>1397</v>
      </c>
      <c r="D2119" s="15">
        <v>2.0</v>
      </c>
      <c r="E2119" s="67">
        <f t="shared" si="11"/>
        <v>500</v>
      </c>
      <c r="F2119" s="67"/>
    </row>
    <row r="2120" hidden="1">
      <c r="A2120" s="6" t="s">
        <v>108</v>
      </c>
      <c r="B2120" s="13" t="s">
        <v>1398</v>
      </c>
      <c r="C2120" s="13" t="s">
        <v>1399</v>
      </c>
      <c r="D2120" s="15">
        <v>3.0</v>
      </c>
      <c r="E2120" s="67">
        <f t="shared" si="11"/>
        <v>750</v>
      </c>
      <c r="F2120" s="67"/>
    </row>
    <row r="2121" hidden="1">
      <c r="A2121" s="6" t="s">
        <v>108</v>
      </c>
      <c r="B2121" s="13" t="s">
        <v>1400</v>
      </c>
      <c r="C2121" s="13" t="s">
        <v>1401</v>
      </c>
      <c r="D2121" s="15">
        <v>4.0</v>
      </c>
      <c r="E2121" s="67">
        <f t="shared" si="11"/>
        <v>1000</v>
      </c>
      <c r="F2121" s="67"/>
    </row>
    <row r="2122" hidden="1">
      <c r="A2122" s="6" t="s">
        <v>108</v>
      </c>
      <c r="B2122" s="13" t="s">
        <v>672</v>
      </c>
      <c r="C2122" s="13" t="s">
        <v>673</v>
      </c>
      <c r="D2122" s="15">
        <v>5.0</v>
      </c>
      <c r="E2122" s="67">
        <f t="shared" si="11"/>
        <v>1250</v>
      </c>
      <c r="F2122" s="67"/>
    </row>
    <row r="2123" hidden="1">
      <c r="A2123" s="6" t="s">
        <v>108</v>
      </c>
      <c r="B2123" s="13" t="s">
        <v>1402</v>
      </c>
      <c r="C2123" s="13" t="s">
        <v>1403</v>
      </c>
      <c r="D2123" s="15">
        <v>1.0</v>
      </c>
      <c r="E2123" s="67">
        <f t="shared" si="11"/>
        <v>250</v>
      </c>
      <c r="F2123" s="67"/>
    </row>
    <row r="2124" hidden="1">
      <c r="A2124" s="6" t="s">
        <v>108</v>
      </c>
      <c r="B2124" s="13" t="s">
        <v>1404</v>
      </c>
      <c r="C2124" s="13" t="s">
        <v>1405</v>
      </c>
      <c r="D2124" s="15">
        <v>5.0</v>
      </c>
      <c r="E2124" s="67">
        <f t="shared" si="11"/>
        <v>1250</v>
      </c>
      <c r="F2124" s="67"/>
    </row>
    <row r="2125" hidden="1">
      <c r="A2125" s="6" t="s">
        <v>108</v>
      </c>
      <c r="B2125" s="13" t="s">
        <v>1406</v>
      </c>
      <c r="C2125" s="13" t="s">
        <v>1407</v>
      </c>
      <c r="D2125" s="15">
        <v>0.0</v>
      </c>
      <c r="E2125" s="67">
        <f t="shared" si="11"/>
        <v>0</v>
      </c>
      <c r="F2125" s="67"/>
    </row>
    <row r="2126" hidden="1">
      <c r="A2126" s="6" t="s">
        <v>108</v>
      </c>
      <c r="B2126" s="13" t="s">
        <v>1408</v>
      </c>
      <c r="C2126" s="13" t="s">
        <v>675</v>
      </c>
      <c r="D2126" s="15">
        <v>3.0</v>
      </c>
      <c r="E2126" s="67">
        <f t="shared" si="11"/>
        <v>750</v>
      </c>
      <c r="F2126" s="67"/>
    </row>
    <row r="2127" hidden="1">
      <c r="A2127" s="6" t="s">
        <v>108</v>
      </c>
      <c r="B2127" s="13" t="s">
        <v>1409</v>
      </c>
      <c r="C2127" s="13" t="s">
        <v>677</v>
      </c>
      <c r="D2127" s="15">
        <v>4.0</v>
      </c>
      <c r="E2127" s="67">
        <f t="shared" si="11"/>
        <v>1000</v>
      </c>
      <c r="F2127" s="67"/>
    </row>
    <row r="2128" hidden="1">
      <c r="A2128" s="6" t="s">
        <v>108</v>
      </c>
      <c r="B2128" s="13" t="s">
        <v>1410</v>
      </c>
      <c r="C2128" s="13" t="s">
        <v>1411</v>
      </c>
      <c r="D2128" s="15">
        <v>6.0</v>
      </c>
      <c r="E2128" s="67">
        <f t="shared" si="11"/>
        <v>1500</v>
      </c>
      <c r="F2128" s="67"/>
    </row>
    <row r="2129" hidden="1">
      <c r="A2129" s="6" t="s">
        <v>108</v>
      </c>
      <c r="B2129" s="13" t="s">
        <v>1412</v>
      </c>
      <c r="C2129" s="13" t="s">
        <v>679</v>
      </c>
      <c r="D2129" s="15">
        <v>4.0</v>
      </c>
      <c r="E2129" s="67">
        <f t="shared" si="11"/>
        <v>1000</v>
      </c>
      <c r="F2129" s="67"/>
    </row>
    <row r="2130" hidden="1">
      <c r="A2130" s="6" t="s">
        <v>108</v>
      </c>
      <c r="B2130" s="13" t="s">
        <v>680</v>
      </c>
      <c r="C2130" s="13" t="s">
        <v>681</v>
      </c>
      <c r="D2130" s="15">
        <v>5.0</v>
      </c>
      <c r="E2130" s="67">
        <f t="shared" si="11"/>
        <v>1250</v>
      </c>
      <c r="F2130" s="67"/>
    </row>
    <row r="2131" hidden="1">
      <c r="A2131" s="6" t="s">
        <v>108</v>
      </c>
      <c r="B2131" s="13" t="s">
        <v>1413</v>
      </c>
      <c r="C2131" s="13" t="s">
        <v>1414</v>
      </c>
      <c r="D2131" s="15">
        <v>0.0</v>
      </c>
      <c r="E2131" s="67">
        <f t="shared" si="11"/>
        <v>0</v>
      </c>
      <c r="F2131" s="67"/>
    </row>
    <row r="2132" hidden="1">
      <c r="A2132" s="6" t="s">
        <v>108</v>
      </c>
      <c r="B2132" s="13" t="s">
        <v>684</v>
      </c>
      <c r="C2132" s="13" t="s">
        <v>685</v>
      </c>
      <c r="D2132" s="15">
        <v>5.0</v>
      </c>
      <c r="E2132" s="67">
        <f t="shared" si="11"/>
        <v>1250</v>
      </c>
      <c r="F2132" s="67"/>
    </row>
    <row r="2133" hidden="1">
      <c r="A2133" s="6" t="s">
        <v>108</v>
      </c>
      <c r="B2133" s="13" t="s">
        <v>688</v>
      </c>
      <c r="C2133" s="13" t="s">
        <v>689</v>
      </c>
      <c r="D2133" s="15">
        <v>2.0</v>
      </c>
      <c r="E2133" s="67">
        <f t="shared" si="11"/>
        <v>500</v>
      </c>
      <c r="F2133" s="67"/>
    </row>
    <row r="2134" hidden="1">
      <c r="A2134" s="6" t="s">
        <v>108</v>
      </c>
      <c r="B2134" s="13" t="s">
        <v>1415</v>
      </c>
      <c r="C2134" s="13" t="s">
        <v>1416</v>
      </c>
      <c r="D2134" s="15">
        <v>9.0</v>
      </c>
      <c r="E2134" s="67">
        <f t="shared" si="11"/>
        <v>2250</v>
      </c>
      <c r="F2134" s="67"/>
    </row>
    <row r="2135" hidden="1">
      <c r="A2135" s="6" t="s">
        <v>108</v>
      </c>
      <c r="B2135" s="13" t="s">
        <v>1417</v>
      </c>
      <c r="C2135" s="13" t="s">
        <v>691</v>
      </c>
      <c r="D2135" s="15">
        <v>0.0</v>
      </c>
      <c r="E2135" s="67">
        <f t="shared" si="11"/>
        <v>0</v>
      </c>
      <c r="F2135" s="67"/>
    </row>
    <row r="2136" hidden="1">
      <c r="A2136" s="6" t="s">
        <v>108</v>
      </c>
      <c r="B2136" s="13" t="s">
        <v>307</v>
      </c>
      <c r="C2136" s="13" t="s">
        <v>692</v>
      </c>
      <c r="D2136" s="15">
        <v>3.0</v>
      </c>
      <c r="E2136" s="67">
        <f t="shared" si="11"/>
        <v>750</v>
      </c>
      <c r="F2136" s="67"/>
    </row>
    <row r="2137" hidden="1">
      <c r="A2137" s="6" t="s">
        <v>108</v>
      </c>
      <c r="B2137" s="13" t="s">
        <v>701</v>
      </c>
      <c r="C2137" s="13" t="s">
        <v>702</v>
      </c>
      <c r="D2137" s="15">
        <v>8.0</v>
      </c>
      <c r="E2137" s="67">
        <f t="shared" si="11"/>
        <v>2000</v>
      </c>
      <c r="F2137" s="67"/>
    </row>
    <row r="2138" hidden="1">
      <c r="A2138" s="6" t="s">
        <v>108</v>
      </c>
      <c r="B2138" s="13" t="s">
        <v>1418</v>
      </c>
      <c r="C2138" s="13" t="s">
        <v>708</v>
      </c>
      <c r="D2138" s="15">
        <v>5.0</v>
      </c>
      <c r="E2138" s="67">
        <f t="shared" si="11"/>
        <v>1250</v>
      </c>
      <c r="F2138" s="67"/>
    </row>
    <row r="2139" hidden="1">
      <c r="A2139" s="6" t="s">
        <v>108</v>
      </c>
      <c r="B2139" s="13" t="s">
        <v>1419</v>
      </c>
      <c r="C2139" s="13" t="s">
        <v>1420</v>
      </c>
      <c r="D2139" s="15">
        <v>3.0</v>
      </c>
      <c r="E2139" s="67">
        <f t="shared" si="11"/>
        <v>750</v>
      </c>
      <c r="F2139" s="67"/>
    </row>
    <row r="2140" hidden="1">
      <c r="A2140" s="6" t="s">
        <v>108</v>
      </c>
      <c r="B2140" s="13" t="s">
        <v>1421</v>
      </c>
      <c r="C2140" s="13" t="s">
        <v>712</v>
      </c>
      <c r="D2140" s="15">
        <v>6.0</v>
      </c>
      <c r="E2140" s="67">
        <f t="shared" si="11"/>
        <v>1500</v>
      </c>
      <c r="F2140" s="67"/>
    </row>
    <row r="2141" hidden="1">
      <c r="A2141" s="6" t="s">
        <v>108</v>
      </c>
      <c r="B2141" s="13" t="s">
        <v>1422</v>
      </c>
      <c r="C2141" s="13" t="s">
        <v>1423</v>
      </c>
      <c r="D2141" s="15">
        <v>1.0</v>
      </c>
      <c r="E2141" s="67">
        <f t="shared" si="11"/>
        <v>250</v>
      </c>
      <c r="F2141" s="67"/>
    </row>
    <row r="2142" hidden="1">
      <c r="A2142" s="6" t="s">
        <v>108</v>
      </c>
      <c r="B2142" s="13" t="s">
        <v>1424</v>
      </c>
      <c r="C2142" s="13" t="s">
        <v>1425</v>
      </c>
      <c r="D2142" s="15">
        <v>7.0</v>
      </c>
      <c r="E2142" s="67">
        <f t="shared" si="11"/>
        <v>1750</v>
      </c>
      <c r="F2142" s="67"/>
    </row>
    <row r="2143" hidden="1">
      <c r="A2143" s="6" t="s">
        <v>108</v>
      </c>
      <c r="B2143" s="13" t="s">
        <v>719</v>
      </c>
      <c r="C2143" s="13" t="s">
        <v>720</v>
      </c>
      <c r="D2143" s="15">
        <v>1.0</v>
      </c>
      <c r="E2143" s="67">
        <f t="shared" si="11"/>
        <v>250</v>
      </c>
      <c r="F2143" s="67"/>
    </row>
    <row r="2144" hidden="1">
      <c r="A2144" s="6" t="s">
        <v>108</v>
      </c>
      <c r="B2144" s="13" t="s">
        <v>721</v>
      </c>
      <c r="C2144" s="13" t="s">
        <v>722</v>
      </c>
      <c r="D2144" s="15">
        <v>3.0</v>
      </c>
      <c r="E2144" s="67">
        <f t="shared" si="11"/>
        <v>750</v>
      </c>
      <c r="F2144" s="67"/>
    </row>
    <row r="2145" hidden="1">
      <c r="A2145" s="6" t="s">
        <v>108</v>
      </c>
      <c r="B2145" s="13" t="s">
        <v>1426</v>
      </c>
      <c r="C2145" s="13" t="s">
        <v>1427</v>
      </c>
      <c r="D2145" s="15">
        <v>9.0</v>
      </c>
      <c r="E2145" s="67">
        <f t="shared" si="11"/>
        <v>2250</v>
      </c>
      <c r="F2145" s="67"/>
    </row>
    <row r="2146" hidden="1">
      <c r="A2146" s="6" t="s">
        <v>108</v>
      </c>
      <c r="B2146" s="13" t="s">
        <v>729</v>
      </c>
      <c r="C2146" s="13" t="s">
        <v>730</v>
      </c>
      <c r="D2146" s="15">
        <v>1.0</v>
      </c>
      <c r="E2146" s="67">
        <f t="shared" si="11"/>
        <v>250</v>
      </c>
      <c r="F2146" s="67"/>
    </row>
    <row r="2147" hidden="1">
      <c r="A2147" s="6" t="s">
        <v>108</v>
      </c>
      <c r="B2147" s="13" t="s">
        <v>1428</v>
      </c>
      <c r="C2147" s="13" t="s">
        <v>1429</v>
      </c>
      <c r="D2147" s="15">
        <v>1.0</v>
      </c>
      <c r="E2147" s="67">
        <f t="shared" si="11"/>
        <v>250</v>
      </c>
      <c r="F2147" s="67"/>
    </row>
    <row r="2148" hidden="1">
      <c r="A2148" s="6" t="s">
        <v>108</v>
      </c>
      <c r="B2148" s="13" t="s">
        <v>1430</v>
      </c>
      <c r="C2148" s="13" t="s">
        <v>1431</v>
      </c>
      <c r="D2148" s="15">
        <v>5.0</v>
      </c>
      <c r="E2148" s="67">
        <f t="shared" si="11"/>
        <v>1250</v>
      </c>
      <c r="F2148" s="67"/>
    </row>
    <row r="2149" hidden="1">
      <c r="A2149" s="6" t="s">
        <v>108</v>
      </c>
      <c r="B2149" s="13" t="s">
        <v>1432</v>
      </c>
      <c r="C2149" s="13" t="s">
        <v>1433</v>
      </c>
      <c r="D2149" s="15">
        <v>3.0</v>
      </c>
      <c r="E2149" s="67">
        <f t="shared" si="11"/>
        <v>750</v>
      </c>
      <c r="F2149" s="67"/>
    </row>
    <row r="2150" hidden="1">
      <c r="A2150" s="6" t="s">
        <v>108</v>
      </c>
      <c r="B2150" s="13" t="s">
        <v>1434</v>
      </c>
      <c r="C2150" s="13" t="s">
        <v>735</v>
      </c>
      <c r="D2150" s="15">
        <v>3.0</v>
      </c>
      <c r="E2150" s="67">
        <f t="shared" si="11"/>
        <v>750</v>
      </c>
      <c r="F2150" s="67"/>
    </row>
    <row r="2151" hidden="1">
      <c r="A2151" s="6" t="s">
        <v>108</v>
      </c>
      <c r="B2151" s="13" t="s">
        <v>1435</v>
      </c>
      <c r="C2151" s="13" t="s">
        <v>741</v>
      </c>
      <c r="D2151" s="15">
        <v>1.0</v>
      </c>
      <c r="E2151" s="67">
        <f t="shared" si="11"/>
        <v>250</v>
      </c>
      <c r="F2151" s="67"/>
    </row>
    <row r="2152" hidden="1">
      <c r="A2152" s="6" t="s">
        <v>108</v>
      </c>
      <c r="B2152" s="13" t="s">
        <v>1436</v>
      </c>
      <c r="C2152" s="13" t="s">
        <v>1437</v>
      </c>
      <c r="D2152" s="15">
        <v>0.0</v>
      </c>
      <c r="E2152" s="67">
        <f t="shared" si="11"/>
        <v>0</v>
      </c>
      <c r="F2152" s="67"/>
    </row>
    <row r="2153" hidden="1">
      <c r="A2153" s="6" t="s">
        <v>108</v>
      </c>
      <c r="B2153" s="13" t="s">
        <v>744</v>
      </c>
      <c r="C2153" s="13" t="s">
        <v>745</v>
      </c>
      <c r="D2153" s="15">
        <v>3.0</v>
      </c>
      <c r="E2153" s="67">
        <f t="shared" si="11"/>
        <v>750</v>
      </c>
      <c r="F2153" s="67"/>
    </row>
    <row r="2154" hidden="1">
      <c r="A2154" s="6" t="s">
        <v>108</v>
      </c>
      <c r="B2154" s="13" t="s">
        <v>1438</v>
      </c>
      <c r="C2154" s="13" t="s">
        <v>1439</v>
      </c>
      <c r="D2154" s="15">
        <v>5.0</v>
      </c>
      <c r="E2154" s="67">
        <f t="shared" si="11"/>
        <v>1250</v>
      </c>
      <c r="F2154" s="67"/>
    </row>
    <row r="2155" hidden="1">
      <c r="A2155" s="6" t="s">
        <v>108</v>
      </c>
      <c r="B2155" s="13" t="s">
        <v>1440</v>
      </c>
      <c r="C2155" s="13" t="s">
        <v>1441</v>
      </c>
      <c r="D2155" s="15">
        <v>4.0</v>
      </c>
      <c r="E2155" s="67">
        <f t="shared" si="11"/>
        <v>1000</v>
      </c>
      <c r="F2155" s="67"/>
    </row>
    <row r="2156" hidden="1">
      <c r="A2156" s="6" t="s">
        <v>108</v>
      </c>
      <c r="B2156" s="13" t="s">
        <v>1442</v>
      </c>
      <c r="C2156" s="13" t="s">
        <v>749</v>
      </c>
      <c r="D2156" s="15">
        <v>6.0</v>
      </c>
      <c r="E2156" s="67">
        <f t="shared" si="11"/>
        <v>1500</v>
      </c>
      <c r="F2156" s="67"/>
    </row>
    <row r="2157" hidden="1">
      <c r="A2157" s="6" t="s">
        <v>108</v>
      </c>
      <c r="B2157" s="13" t="s">
        <v>752</v>
      </c>
      <c r="C2157" s="13" t="s">
        <v>753</v>
      </c>
      <c r="D2157" s="15">
        <v>3.0</v>
      </c>
      <c r="E2157" s="67">
        <f t="shared" si="11"/>
        <v>750</v>
      </c>
      <c r="F2157" s="67"/>
    </row>
    <row r="2158" hidden="1">
      <c r="A2158" s="6" t="s">
        <v>108</v>
      </c>
      <c r="B2158" s="13" t="s">
        <v>1443</v>
      </c>
      <c r="C2158" s="13" t="s">
        <v>755</v>
      </c>
      <c r="D2158" s="15">
        <v>4.0</v>
      </c>
      <c r="E2158" s="67">
        <f t="shared" si="11"/>
        <v>1000</v>
      </c>
      <c r="F2158" s="67"/>
    </row>
    <row r="2159" hidden="1">
      <c r="A2159" s="6" t="s">
        <v>108</v>
      </c>
      <c r="B2159" s="13" t="s">
        <v>1444</v>
      </c>
      <c r="C2159" s="13" t="s">
        <v>1445</v>
      </c>
      <c r="D2159" s="15">
        <v>1.0</v>
      </c>
      <c r="E2159" s="67">
        <f t="shared" si="11"/>
        <v>250</v>
      </c>
      <c r="F2159" s="67"/>
    </row>
    <row r="2160" hidden="1">
      <c r="A2160" s="6" t="s">
        <v>108</v>
      </c>
      <c r="B2160" s="13" t="s">
        <v>1446</v>
      </c>
      <c r="C2160" s="13" t="s">
        <v>1447</v>
      </c>
      <c r="D2160" s="15">
        <v>1.0</v>
      </c>
      <c r="E2160" s="67">
        <f t="shared" si="11"/>
        <v>250</v>
      </c>
      <c r="F2160" s="67"/>
    </row>
    <row r="2161" hidden="1">
      <c r="A2161" s="6" t="s">
        <v>108</v>
      </c>
      <c r="B2161" s="13" t="s">
        <v>762</v>
      </c>
      <c r="C2161" s="13" t="s">
        <v>763</v>
      </c>
      <c r="D2161" s="15">
        <v>2.0</v>
      </c>
      <c r="E2161" s="67">
        <f t="shared" si="11"/>
        <v>500</v>
      </c>
      <c r="F2161" s="67"/>
    </row>
    <row r="2162" hidden="1">
      <c r="A2162" s="6" t="s">
        <v>108</v>
      </c>
      <c r="B2162" s="13" t="s">
        <v>900</v>
      </c>
      <c r="C2162" s="13" t="s">
        <v>901</v>
      </c>
      <c r="D2162" s="15">
        <v>1.0</v>
      </c>
      <c r="E2162" s="67">
        <f t="shared" si="11"/>
        <v>250</v>
      </c>
      <c r="F2162" s="67"/>
    </row>
    <row r="2163" hidden="1">
      <c r="A2163" s="6" t="s">
        <v>108</v>
      </c>
      <c r="B2163" s="13" t="s">
        <v>1448</v>
      </c>
      <c r="C2163" s="13" t="s">
        <v>1449</v>
      </c>
      <c r="D2163" s="15">
        <v>6.0</v>
      </c>
      <c r="E2163" s="67">
        <f t="shared" si="11"/>
        <v>1500</v>
      </c>
      <c r="F2163" s="67"/>
    </row>
    <row r="2164" hidden="1">
      <c r="A2164" s="6" t="s">
        <v>108</v>
      </c>
      <c r="B2164" s="13" t="s">
        <v>488</v>
      </c>
      <c r="C2164" s="13" t="s">
        <v>489</v>
      </c>
      <c r="D2164" s="15">
        <v>3.0</v>
      </c>
      <c r="E2164" s="67">
        <f t="shared" si="11"/>
        <v>750</v>
      </c>
      <c r="F2164" s="67"/>
    </row>
    <row r="2165" hidden="1">
      <c r="A2165" s="6" t="s">
        <v>108</v>
      </c>
      <c r="B2165" s="13" t="s">
        <v>520</v>
      </c>
      <c r="C2165" s="13" t="s">
        <v>521</v>
      </c>
      <c r="D2165" s="15">
        <v>1.0</v>
      </c>
      <c r="E2165" s="67">
        <f t="shared" si="11"/>
        <v>250</v>
      </c>
      <c r="F2165" s="67"/>
    </row>
    <row r="2166" hidden="1">
      <c r="A2166" s="6" t="s">
        <v>108</v>
      </c>
      <c r="B2166" s="13" t="s">
        <v>1450</v>
      </c>
      <c r="C2166" s="13" t="s">
        <v>1451</v>
      </c>
      <c r="D2166" s="15">
        <v>1.0</v>
      </c>
      <c r="E2166" s="67">
        <f t="shared" si="11"/>
        <v>250</v>
      </c>
      <c r="F2166" s="67"/>
    </row>
    <row r="2167" hidden="1">
      <c r="A2167" s="6" t="s">
        <v>108</v>
      </c>
      <c r="B2167" s="13" t="s">
        <v>1452</v>
      </c>
      <c r="C2167" s="13" t="s">
        <v>1453</v>
      </c>
      <c r="D2167" s="15">
        <v>6.0</v>
      </c>
      <c r="E2167" s="67">
        <f t="shared" si="11"/>
        <v>1500</v>
      </c>
      <c r="F2167" s="67"/>
    </row>
    <row r="2168" hidden="1">
      <c r="A2168" s="6" t="s">
        <v>108</v>
      </c>
      <c r="B2168" s="13" t="s">
        <v>618</v>
      </c>
      <c r="C2168" s="13" t="s">
        <v>619</v>
      </c>
      <c r="D2168" s="15">
        <v>3.0</v>
      </c>
      <c r="E2168" s="67">
        <f t="shared" si="11"/>
        <v>750</v>
      </c>
      <c r="F2168" s="67"/>
    </row>
    <row r="2169">
      <c r="A2169" s="16" t="s">
        <v>29</v>
      </c>
      <c r="B2169" s="13" t="s">
        <v>540</v>
      </c>
      <c r="C2169" s="13" t="s">
        <v>1454</v>
      </c>
      <c r="D2169" s="13">
        <v>21.0</v>
      </c>
      <c r="E2169" s="67">
        <f t="shared" si="11"/>
        <v>10500</v>
      </c>
      <c r="F2169" s="62" t="str">
        <f t="shared" ref="F2169:F8296" si="12">D2169 &amp; " LeadGen Set Appointments"</f>
        <v>21 LeadGen Set Appointments</v>
      </c>
    </row>
    <row r="2170">
      <c r="A2170" s="16" t="s">
        <v>29</v>
      </c>
      <c r="B2170" s="13" t="s">
        <v>644</v>
      </c>
      <c r="C2170" s="13" t="s">
        <v>645</v>
      </c>
      <c r="D2170" s="13">
        <v>17.0</v>
      </c>
      <c r="E2170" s="67">
        <f t="shared" si="11"/>
        <v>8500</v>
      </c>
      <c r="F2170" s="62" t="str">
        <f t="shared" si="12"/>
        <v>17 LeadGen Set Appointments</v>
      </c>
    </row>
    <row r="2171">
      <c r="A2171" s="16" t="s">
        <v>29</v>
      </c>
      <c r="B2171" s="13" t="s">
        <v>1426</v>
      </c>
      <c r="C2171" s="13" t="s">
        <v>1427</v>
      </c>
      <c r="D2171" s="13">
        <v>15.0</v>
      </c>
      <c r="E2171" s="67">
        <f t="shared" si="11"/>
        <v>7500</v>
      </c>
      <c r="F2171" s="62" t="str">
        <f t="shared" si="12"/>
        <v>15 LeadGen Set Appointments</v>
      </c>
    </row>
    <row r="2172">
      <c r="A2172" s="16" t="s">
        <v>29</v>
      </c>
      <c r="B2172" s="13" t="s">
        <v>1455</v>
      </c>
      <c r="C2172" s="13" t="s">
        <v>1456</v>
      </c>
      <c r="D2172" s="13">
        <v>14.0</v>
      </c>
      <c r="E2172" s="67">
        <f t="shared" si="11"/>
        <v>7000</v>
      </c>
      <c r="F2172" s="62" t="str">
        <f t="shared" si="12"/>
        <v>14 LeadGen Set Appointments</v>
      </c>
    </row>
    <row r="2173">
      <c r="A2173" s="16" t="s">
        <v>29</v>
      </c>
      <c r="B2173" s="13" t="s">
        <v>476</v>
      </c>
      <c r="C2173" s="13" t="s">
        <v>477</v>
      </c>
      <c r="D2173" s="13">
        <v>13.0</v>
      </c>
      <c r="E2173" s="67">
        <f t="shared" si="11"/>
        <v>6500</v>
      </c>
      <c r="F2173" s="62" t="str">
        <f t="shared" si="12"/>
        <v>13 LeadGen Set Appointments</v>
      </c>
    </row>
    <row r="2174">
      <c r="A2174" s="16" t="s">
        <v>29</v>
      </c>
      <c r="B2174" s="13" t="s">
        <v>1025</v>
      </c>
      <c r="C2174" s="13" t="s">
        <v>1026</v>
      </c>
      <c r="D2174" s="13">
        <v>13.0</v>
      </c>
      <c r="E2174" s="67">
        <f t="shared" si="11"/>
        <v>6500</v>
      </c>
      <c r="F2174" s="62" t="str">
        <f t="shared" si="12"/>
        <v>13 LeadGen Set Appointments</v>
      </c>
    </row>
    <row r="2175">
      <c r="A2175" s="16" t="s">
        <v>29</v>
      </c>
      <c r="B2175" s="13" t="s">
        <v>435</v>
      </c>
      <c r="C2175" s="13" t="s">
        <v>436</v>
      </c>
      <c r="D2175" s="13">
        <v>13.0</v>
      </c>
      <c r="E2175" s="67">
        <f t="shared" si="11"/>
        <v>6500</v>
      </c>
      <c r="F2175" s="62" t="str">
        <f t="shared" si="12"/>
        <v>13 LeadGen Set Appointments</v>
      </c>
    </row>
    <row r="2176">
      <c r="A2176" s="16" t="s">
        <v>29</v>
      </c>
      <c r="B2176" s="13" t="s">
        <v>766</v>
      </c>
      <c r="C2176" s="13" t="s">
        <v>767</v>
      </c>
      <c r="D2176" s="13">
        <v>11.0</v>
      </c>
      <c r="E2176" s="67">
        <f t="shared" si="11"/>
        <v>5500</v>
      </c>
      <c r="F2176" s="62" t="str">
        <f t="shared" si="12"/>
        <v>11 LeadGen Set Appointments</v>
      </c>
    </row>
    <row r="2177">
      <c r="A2177" s="16" t="s">
        <v>29</v>
      </c>
      <c r="B2177" s="13" t="s">
        <v>640</v>
      </c>
      <c r="C2177" s="13" t="s">
        <v>641</v>
      </c>
      <c r="D2177" s="13">
        <v>10.0</v>
      </c>
      <c r="E2177" s="67">
        <f t="shared" si="11"/>
        <v>5000</v>
      </c>
      <c r="F2177" s="62" t="str">
        <f t="shared" si="12"/>
        <v>10 LeadGen Set Appointments</v>
      </c>
    </row>
    <row r="2178">
      <c r="A2178" s="16" t="s">
        <v>29</v>
      </c>
      <c r="B2178" s="13" t="s">
        <v>1421</v>
      </c>
      <c r="C2178" s="13" t="s">
        <v>712</v>
      </c>
      <c r="D2178" s="13">
        <v>10.0</v>
      </c>
      <c r="E2178" s="67">
        <f t="shared" si="11"/>
        <v>5000</v>
      </c>
      <c r="F2178" s="62" t="str">
        <f t="shared" si="12"/>
        <v>10 LeadGen Set Appointments</v>
      </c>
    </row>
    <row r="2179">
      <c r="A2179" s="16" t="s">
        <v>29</v>
      </c>
      <c r="B2179" s="13" t="s">
        <v>699</v>
      </c>
      <c r="C2179" s="13" t="s">
        <v>700</v>
      </c>
      <c r="D2179" s="13">
        <v>10.0</v>
      </c>
      <c r="E2179" s="67">
        <f t="shared" si="11"/>
        <v>5000</v>
      </c>
      <c r="F2179" s="62" t="str">
        <f t="shared" si="12"/>
        <v>10 LeadGen Set Appointments</v>
      </c>
    </row>
    <row r="2180">
      <c r="A2180" s="16" t="s">
        <v>29</v>
      </c>
      <c r="B2180" s="13" t="s">
        <v>723</v>
      </c>
      <c r="C2180" s="13" t="s">
        <v>724</v>
      </c>
      <c r="D2180" s="13">
        <v>10.0</v>
      </c>
      <c r="E2180" s="67">
        <f t="shared" si="11"/>
        <v>5000</v>
      </c>
      <c r="F2180" s="62" t="str">
        <f t="shared" si="12"/>
        <v>10 LeadGen Set Appointments</v>
      </c>
    </row>
    <row r="2181">
      <c r="A2181" s="16" t="s">
        <v>29</v>
      </c>
      <c r="B2181" s="13" t="s">
        <v>1457</v>
      </c>
      <c r="C2181" s="13" t="s">
        <v>1458</v>
      </c>
      <c r="D2181" s="13">
        <v>10.0</v>
      </c>
      <c r="E2181" s="67">
        <f t="shared" si="11"/>
        <v>5000</v>
      </c>
      <c r="F2181" s="62" t="str">
        <f t="shared" si="12"/>
        <v>10 LeadGen Set Appointments</v>
      </c>
    </row>
    <row r="2182">
      <c r="A2182" s="16" t="s">
        <v>29</v>
      </c>
      <c r="B2182" s="13" t="s">
        <v>1459</v>
      </c>
      <c r="C2182" s="13" t="s">
        <v>1460</v>
      </c>
      <c r="D2182" s="13">
        <v>9.0</v>
      </c>
      <c r="E2182" s="67">
        <f t="shared" si="11"/>
        <v>2250</v>
      </c>
      <c r="F2182" s="62" t="str">
        <f t="shared" si="12"/>
        <v>9 LeadGen Set Appointments</v>
      </c>
    </row>
    <row r="2183">
      <c r="A2183" s="16" t="s">
        <v>29</v>
      </c>
      <c r="B2183" s="13" t="s">
        <v>1461</v>
      </c>
      <c r="C2183" s="13" t="s">
        <v>1462</v>
      </c>
      <c r="D2183" s="13">
        <v>9.0</v>
      </c>
      <c r="E2183" s="67">
        <f t="shared" si="11"/>
        <v>2250</v>
      </c>
      <c r="F2183" s="62" t="str">
        <f t="shared" si="12"/>
        <v>9 LeadGen Set Appointments</v>
      </c>
    </row>
    <row r="2184">
      <c r="A2184" s="16" t="s">
        <v>29</v>
      </c>
      <c r="B2184" s="13" t="s">
        <v>1463</v>
      </c>
      <c r="C2184" s="13" t="s">
        <v>1464</v>
      </c>
      <c r="D2184" s="13">
        <v>8.0</v>
      </c>
      <c r="E2184" s="67">
        <f t="shared" si="11"/>
        <v>2000</v>
      </c>
      <c r="F2184" s="62" t="str">
        <f t="shared" si="12"/>
        <v>8 LeadGen Set Appointments</v>
      </c>
    </row>
    <row r="2185">
      <c r="A2185" s="16" t="s">
        <v>29</v>
      </c>
      <c r="B2185" s="13" t="s">
        <v>1465</v>
      </c>
      <c r="C2185" s="13" t="s">
        <v>1466</v>
      </c>
      <c r="D2185" s="13">
        <v>8.0</v>
      </c>
      <c r="E2185" s="67">
        <f t="shared" si="11"/>
        <v>2000</v>
      </c>
      <c r="F2185" s="62" t="str">
        <f t="shared" si="12"/>
        <v>8 LeadGen Set Appointments</v>
      </c>
    </row>
    <row r="2186">
      <c r="A2186" s="6" t="s">
        <v>29</v>
      </c>
      <c r="B2186" s="13" t="s">
        <v>1467</v>
      </c>
      <c r="C2186" s="13" t="s">
        <v>1468</v>
      </c>
      <c r="D2186" s="15">
        <v>8.0</v>
      </c>
      <c r="E2186" s="67">
        <f t="shared" si="11"/>
        <v>2000</v>
      </c>
      <c r="F2186" s="62" t="str">
        <f t="shared" si="12"/>
        <v>8 LeadGen Set Appointments</v>
      </c>
    </row>
    <row r="2187">
      <c r="A2187" s="6" t="s">
        <v>29</v>
      </c>
      <c r="B2187" s="13" t="s">
        <v>1469</v>
      </c>
      <c r="C2187" s="13" t="s">
        <v>1470</v>
      </c>
      <c r="D2187" s="15">
        <v>8.0</v>
      </c>
      <c r="E2187" s="67">
        <f t="shared" si="11"/>
        <v>2000</v>
      </c>
      <c r="F2187" s="62" t="str">
        <f t="shared" si="12"/>
        <v>8 LeadGen Set Appointments</v>
      </c>
    </row>
    <row r="2188">
      <c r="A2188" s="6" t="s">
        <v>29</v>
      </c>
      <c r="B2188" s="13" t="s">
        <v>1393</v>
      </c>
      <c r="C2188" s="13" t="s">
        <v>1394</v>
      </c>
      <c r="D2188" s="15">
        <v>8.0</v>
      </c>
      <c r="E2188" s="67">
        <f t="shared" si="11"/>
        <v>2000</v>
      </c>
      <c r="F2188" s="62" t="str">
        <f t="shared" si="12"/>
        <v>8 LeadGen Set Appointments</v>
      </c>
    </row>
    <row r="2189">
      <c r="A2189" s="6" t="s">
        <v>29</v>
      </c>
      <c r="B2189" s="13" t="s">
        <v>622</v>
      </c>
      <c r="C2189" s="13" t="s">
        <v>623</v>
      </c>
      <c r="D2189" s="15">
        <v>8.0</v>
      </c>
      <c r="E2189" s="67">
        <f t="shared" si="11"/>
        <v>2000</v>
      </c>
      <c r="F2189" s="62" t="str">
        <f t="shared" si="12"/>
        <v>8 LeadGen Set Appointments</v>
      </c>
    </row>
    <row r="2190">
      <c r="A2190" s="6" t="s">
        <v>29</v>
      </c>
      <c r="B2190" s="13" t="s">
        <v>1283</v>
      </c>
      <c r="C2190" s="13" t="s">
        <v>404</v>
      </c>
      <c r="D2190" s="15">
        <v>8.0</v>
      </c>
      <c r="E2190" s="67">
        <f t="shared" si="11"/>
        <v>2000</v>
      </c>
      <c r="F2190" s="62" t="str">
        <f t="shared" si="12"/>
        <v>8 LeadGen Set Appointments</v>
      </c>
    </row>
    <row r="2191">
      <c r="A2191" s="6" t="s">
        <v>29</v>
      </c>
      <c r="B2191" s="13" t="s">
        <v>1471</v>
      </c>
      <c r="C2191" s="13" t="s">
        <v>1472</v>
      </c>
      <c r="D2191" s="15">
        <v>8.0</v>
      </c>
      <c r="E2191" s="67">
        <f t="shared" si="11"/>
        <v>2000</v>
      </c>
      <c r="F2191" s="62" t="str">
        <f t="shared" si="12"/>
        <v>8 LeadGen Set Appointments</v>
      </c>
    </row>
    <row r="2192">
      <c r="A2192" s="6" t="s">
        <v>29</v>
      </c>
      <c r="B2192" s="13" t="s">
        <v>746</v>
      </c>
      <c r="C2192" s="13" t="s">
        <v>747</v>
      </c>
      <c r="D2192" s="15">
        <v>8.0</v>
      </c>
      <c r="E2192" s="67">
        <f t="shared" si="11"/>
        <v>2000</v>
      </c>
      <c r="F2192" s="62" t="str">
        <f t="shared" si="12"/>
        <v>8 LeadGen Set Appointments</v>
      </c>
    </row>
    <row r="2193">
      <c r="A2193" s="6" t="s">
        <v>29</v>
      </c>
      <c r="B2193" s="13" t="s">
        <v>1473</v>
      </c>
      <c r="C2193" s="13" t="s">
        <v>1474</v>
      </c>
      <c r="D2193" s="15">
        <v>7.0</v>
      </c>
      <c r="E2193" s="67">
        <f t="shared" si="11"/>
        <v>1750</v>
      </c>
      <c r="F2193" s="62" t="str">
        <f t="shared" si="12"/>
        <v>7 LeadGen Set Appointments</v>
      </c>
    </row>
    <row r="2194">
      <c r="A2194" s="6" t="s">
        <v>29</v>
      </c>
      <c r="B2194" s="13" t="s">
        <v>628</v>
      </c>
      <c r="C2194" s="13" t="s">
        <v>629</v>
      </c>
      <c r="D2194" s="15">
        <v>7.0</v>
      </c>
      <c r="E2194" s="67">
        <f t="shared" si="11"/>
        <v>1750</v>
      </c>
      <c r="F2194" s="62" t="str">
        <f t="shared" si="12"/>
        <v>7 LeadGen Set Appointments</v>
      </c>
    </row>
    <row r="2195">
      <c r="A2195" s="6" t="s">
        <v>29</v>
      </c>
      <c r="B2195" s="8" t="s">
        <v>1448</v>
      </c>
      <c r="C2195" s="8" t="s">
        <v>1449</v>
      </c>
      <c r="D2195" s="9">
        <v>7.0</v>
      </c>
      <c r="E2195" s="67">
        <f t="shared" si="11"/>
        <v>1750</v>
      </c>
      <c r="F2195" s="67" t="str">
        <f t="shared" si="12"/>
        <v>7 LeadGen Set Appointments</v>
      </c>
    </row>
    <row r="2196">
      <c r="A2196" s="6" t="s">
        <v>29</v>
      </c>
      <c r="B2196" s="13" t="s">
        <v>1475</v>
      </c>
      <c r="C2196" s="13" t="s">
        <v>1476</v>
      </c>
      <c r="D2196" s="15">
        <v>7.0</v>
      </c>
      <c r="E2196" s="67">
        <f t="shared" si="11"/>
        <v>1750</v>
      </c>
      <c r="F2196" s="62" t="str">
        <f t="shared" si="12"/>
        <v>7 LeadGen Set Appointments</v>
      </c>
    </row>
    <row r="2197">
      <c r="A2197" s="6" t="s">
        <v>29</v>
      </c>
      <c r="B2197" s="13" t="s">
        <v>1477</v>
      </c>
      <c r="C2197" s="13" t="s">
        <v>1478</v>
      </c>
      <c r="D2197" s="15">
        <v>7.0</v>
      </c>
      <c r="E2197" s="67">
        <f t="shared" si="11"/>
        <v>1750</v>
      </c>
      <c r="F2197" s="62" t="str">
        <f t="shared" si="12"/>
        <v>7 LeadGen Set Appointments</v>
      </c>
    </row>
    <row r="2198">
      <c r="A2198" s="6" t="s">
        <v>29</v>
      </c>
      <c r="B2198" s="13" t="s">
        <v>1415</v>
      </c>
      <c r="C2198" s="13" t="s">
        <v>1416</v>
      </c>
      <c r="D2198" s="15">
        <v>7.0</v>
      </c>
      <c r="E2198" s="67">
        <f t="shared" si="11"/>
        <v>1750</v>
      </c>
      <c r="F2198" s="62" t="str">
        <f t="shared" si="12"/>
        <v>7 LeadGen Set Appointments</v>
      </c>
    </row>
    <row r="2199">
      <c r="A2199" s="6" t="s">
        <v>29</v>
      </c>
      <c r="B2199" s="13" t="s">
        <v>1479</v>
      </c>
      <c r="C2199" s="13" t="s">
        <v>1480</v>
      </c>
      <c r="D2199" s="15">
        <v>7.0</v>
      </c>
      <c r="E2199" s="67">
        <f t="shared" si="11"/>
        <v>1750</v>
      </c>
      <c r="F2199" s="62" t="str">
        <f t="shared" si="12"/>
        <v>7 LeadGen Set Appointments</v>
      </c>
    </row>
    <row r="2200">
      <c r="A2200" s="6" t="s">
        <v>29</v>
      </c>
      <c r="B2200" s="13" t="s">
        <v>411</v>
      </c>
      <c r="C2200" s="13" t="s">
        <v>412</v>
      </c>
      <c r="D2200" s="15">
        <v>7.0</v>
      </c>
      <c r="E2200" s="67">
        <f t="shared" si="11"/>
        <v>1750</v>
      </c>
      <c r="F2200" s="62" t="str">
        <f t="shared" si="12"/>
        <v>7 LeadGen Set Appointments</v>
      </c>
    </row>
    <row r="2201">
      <c r="A2201" s="6" t="s">
        <v>29</v>
      </c>
      <c r="B2201" s="13" t="s">
        <v>624</v>
      </c>
      <c r="C2201" s="13" t="s">
        <v>625</v>
      </c>
      <c r="D2201" s="15">
        <v>7.0</v>
      </c>
      <c r="E2201" s="67">
        <f t="shared" si="11"/>
        <v>1750</v>
      </c>
      <c r="F2201" s="62" t="str">
        <f t="shared" si="12"/>
        <v>7 LeadGen Set Appointments</v>
      </c>
    </row>
    <row r="2202">
      <c r="A2202" s="6" t="s">
        <v>29</v>
      </c>
      <c r="B2202" s="13" t="s">
        <v>1481</v>
      </c>
      <c r="C2202" s="13" t="s">
        <v>1482</v>
      </c>
      <c r="D2202" s="15">
        <v>7.0</v>
      </c>
      <c r="E2202" s="67">
        <f t="shared" si="11"/>
        <v>1750</v>
      </c>
      <c r="F2202" s="62" t="str">
        <f t="shared" si="12"/>
        <v>7 LeadGen Set Appointments</v>
      </c>
    </row>
    <row r="2203">
      <c r="A2203" s="6" t="s">
        <v>29</v>
      </c>
      <c r="B2203" s="8" t="s">
        <v>566</v>
      </c>
      <c r="C2203" s="8" t="s">
        <v>567</v>
      </c>
      <c r="D2203" s="9">
        <v>7.0</v>
      </c>
      <c r="E2203" s="67">
        <f t="shared" si="11"/>
        <v>1750</v>
      </c>
      <c r="F2203" s="67" t="str">
        <f t="shared" si="12"/>
        <v>7 LeadGen Set Appointments</v>
      </c>
    </row>
    <row r="2204">
      <c r="A2204" s="6" t="s">
        <v>29</v>
      </c>
      <c r="B2204" s="8" t="s">
        <v>1483</v>
      </c>
      <c r="C2204" s="8" t="s">
        <v>1484</v>
      </c>
      <c r="D2204" s="9">
        <v>7.0</v>
      </c>
      <c r="E2204" s="67">
        <f t="shared" si="11"/>
        <v>1750</v>
      </c>
      <c r="F2204" s="67" t="str">
        <f t="shared" si="12"/>
        <v>7 LeadGen Set Appointments</v>
      </c>
    </row>
    <row r="2205">
      <c r="A2205" s="6" t="s">
        <v>29</v>
      </c>
      <c r="B2205" s="8" t="s">
        <v>1485</v>
      </c>
      <c r="C2205" s="8" t="s">
        <v>1486</v>
      </c>
      <c r="D2205" s="9">
        <v>6.0</v>
      </c>
      <c r="E2205" s="67">
        <f t="shared" si="11"/>
        <v>1500</v>
      </c>
      <c r="F2205" s="67" t="str">
        <f t="shared" si="12"/>
        <v>6 LeadGen Set Appointments</v>
      </c>
    </row>
    <row r="2206">
      <c r="A2206" s="6" t="s">
        <v>29</v>
      </c>
      <c r="B2206" s="13" t="s">
        <v>502</v>
      </c>
      <c r="C2206" s="13" t="s">
        <v>503</v>
      </c>
      <c r="D2206" s="15">
        <v>6.0</v>
      </c>
      <c r="E2206" s="67">
        <f t="shared" si="11"/>
        <v>1500</v>
      </c>
      <c r="F2206" s="62" t="str">
        <f t="shared" si="12"/>
        <v>6 LeadGen Set Appointments</v>
      </c>
    </row>
    <row r="2207">
      <c r="A2207" s="6" t="s">
        <v>29</v>
      </c>
      <c r="B2207" s="13" t="s">
        <v>1487</v>
      </c>
      <c r="C2207" s="13" t="s">
        <v>1488</v>
      </c>
      <c r="D2207" s="15">
        <v>6.0</v>
      </c>
      <c r="E2207" s="67">
        <f t="shared" si="11"/>
        <v>1500</v>
      </c>
      <c r="F2207" s="62" t="str">
        <f t="shared" si="12"/>
        <v>6 LeadGen Set Appointments</v>
      </c>
    </row>
    <row r="2208">
      <c r="A2208" s="6" t="s">
        <v>29</v>
      </c>
      <c r="B2208" s="13" t="s">
        <v>1489</v>
      </c>
      <c r="C2208" s="13" t="s">
        <v>1490</v>
      </c>
      <c r="D2208" s="15">
        <v>6.0</v>
      </c>
      <c r="E2208" s="67">
        <f t="shared" si="11"/>
        <v>1500</v>
      </c>
      <c r="F2208" s="62" t="str">
        <f t="shared" si="12"/>
        <v>6 LeadGen Set Appointments</v>
      </c>
    </row>
    <row r="2209">
      <c r="A2209" s="6" t="s">
        <v>29</v>
      </c>
      <c r="B2209" s="13" t="s">
        <v>1491</v>
      </c>
      <c r="C2209" s="13" t="s">
        <v>1492</v>
      </c>
      <c r="D2209" s="15">
        <v>6.0</v>
      </c>
      <c r="E2209" s="67">
        <f t="shared" si="11"/>
        <v>1500</v>
      </c>
      <c r="F2209" s="62" t="str">
        <f t="shared" si="12"/>
        <v>6 LeadGen Set Appointments</v>
      </c>
    </row>
    <row r="2210">
      <c r="A2210" s="6" t="s">
        <v>29</v>
      </c>
      <c r="B2210" s="13" t="s">
        <v>1493</v>
      </c>
      <c r="C2210" s="13" t="s">
        <v>1494</v>
      </c>
      <c r="D2210" s="15">
        <v>6.0</v>
      </c>
      <c r="E2210" s="67">
        <f t="shared" si="11"/>
        <v>1500</v>
      </c>
      <c r="F2210" s="62" t="str">
        <f t="shared" si="12"/>
        <v>6 LeadGen Set Appointments</v>
      </c>
    </row>
    <row r="2211">
      <c r="A2211" s="6" t="s">
        <v>29</v>
      </c>
      <c r="B2211" s="13" t="s">
        <v>1495</v>
      </c>
      <c r="C2211" s="13" t="s">
        <v>1496</v>
      </c>
      <c r="D2211" s="15">
        <v>6.0</v>
      </c>
      <c r="E2211" s="67">
        <f t="shared" si="11"/>
        <v>1500</v>
      </c>
      <c r="F2211" s="62" t="str">
        <f t="shared" si="12"/>
        <v>6 LeadGen Set Appointments</v>
      </c>
    </row>
    <row r="2212">
      <c r="A2212" s="6" t="s">
        <v>29</v>
      </c>
      <c r="B2212" s="8" t="s">
        <v>1497</v>
      </c>
      <c r="C2212" s="8" t="s">
        <v>1498</v>
      </c>
      <c r="D2212" s="9">
        <v>6.0</v>
      </c>
      <c r="E2212" s="67">
        <f t="shared" si="11"/>
        <v>1500</v>
      </c>
      <c r="F2212" s="67" t="str">
        <f t="shared" si="12"/>
        <v>6 LeadGen Set Appointments</v>
      </c>
    </row>
    <row r="2213">
      <c r="A2213" s="6" t="s">
        <v>29</v>
      </c>
      <c r="B2213" s="13" t="s">
        <v>1499</v>
      </c>
      <c r="C2213" s="13" t="s">
        <v>1500</v>
      </c>
      <c r="D2213" s="15">
        <v>6.0</v>
      </c>
      <c r="E2213" s="67">
        <f t="shared" si="11"/>
        <v>1500</v>
      </c>
      <c r="F2213" s="62" t="str">
        <f t="shared" si="12"/>
        <v>6 LeadGen Set Appointments</v>
      </c>
    </row>
    <row r="2214">
      <c r="A2214" s="6" t="s">
        <v>29</v>
      </c>
      <c r="B2214" s="13" t="s">
        <v>1501</v>
      </c>
      <c r="C2214" s="13" t="s">
        <v>414</v>
      </c>
      <c r="D2214" s="15">
        <v>6.0</v>
      </c>
      <c r="E2214" s="67">
        <f t="shared" si="11"/>
        <v>1500</v>
      </c>
      <c r="F2214" s="62" t="str">
        <f t="shared" si="12"/>
        <v>6 LeadGen Set Appointments</v>
      </c>
    </row>
    <row r="2215">
      <c r="A2215" s="6" t="s">
        <v>29</v>
      </c>
      <c r="B2215" s="13" t="s">
        <v>500</v>
      </c>
      <c r="C2215" s="13" t="s">
        <v>501</v>
      </c>
      <c r="D2215" s="15">
        <v>5.0</v>
      </c>
      <c r="E2215" s="67">
        <f t="shared" si="11"/>
        <v>1250</v>
      </c>
      <c r="F2215" s="62" t="str">
        <f t="shared" si="12"/>
        <v>5 LeadGen Set Appointments</v>
      </c>
    </row>
    <row r="2216">
      <c r="A2216" s="6" t="s">
        <v>29</v>
      </c>
      <c r="B2216" s="13" t="s">
        <v>1502</v>
      </c>
      <c r="C2216" s="13" t="s">
        <v>1503</v>
      </c>
      <c r="D2216" s="15">
        <v>5.0</v>
      </c>
      <c r="E2216" s="67">
        <f t="shared" si="11"/>
        <v>1250</v>
      </c>
      <c r="F2216" s="62" t="str">
        <f t="shared" si="12"/>
        <v>5 LeadGen Set Appointments</v>
      </c>
    </row>
    <row r="2217">
      <c r="A2217" s="6" t="s">
        <v>29</v>
      </c>
      <c r="B2217" s="13" t="s">
        <v>546</v>
      </c>
      <c r="C2217" s="13" t="s">
        <v>547</v>
      </c>
      <c r="D2217" s="15">
        <v>5.0</v>
      </c>
      <c r="E2217" s="67">
        <f t="shared" si="11"/>
        <v>1250</v>
      </c>
      <c r="F2217" s="62" t="str">
        <f t="shared" si="12"/>
        <v>5 LeadGen Set Appointments</v>
      </c>
    </row>
    <row r="2218">
      <c r="A2218" s="6" t="s">
        <v>29</v>
      </c>
      <c r="B2218" s="13" t="s">
        <v>1504</v>
      </c>
      <c r="C2218" s="13" t="s">
        <v>1505</v>
      </c>
      <c r="D2218" s="15">
        <v>5.0</v>
      </c>
      <c r="E2218" s="67">
        <f t="shared" si="11"/>
        <v>1250</v>
      </c>
      <c r="F2218" s="62" t="str">
        <f t="shared" si="12"/>
        <v>5 LeadGen Set Appointments</v>
      </c>
    </row>
    <row r="2219">
      <c r="A2219" s="6" t="s">
        <v>29</v>
      </c>
      <c r="B2219" s="13" t="s">
        <v>1506</v>
      </c>
      <c r="C2219" s="13" t="s">
        <v>1507</v>
      </c>
      <c r="D2219" s="15">
        <v>5.0</v>
      </c>
      <c r="E2219" s="67">
        <f t="shared" si="11"/>
        <v>1250</v>
      </c>
      <c r="F2219" s="62" t="str">
        <f t="shared" si="12"/>
        <v>5 LeadGen Set Appointments</v>
      </c>
    </row>
    <row r="2220">
      <c r="A2220" s="6" t="s">
        <v>29</v>
      </c>
      <c r="B2220" s="8" t="s">
        <v>1508</v>
      </c>
      <c r="C2220" s="8" t="s">
        <v>1509</v>
      </c>
      <c r="D2220" s="9">
        <v>5.0</v>
      </c>
      <c r="E2220" s="67">
        <f t="shared" si="11"/>
        <v>1250</v>
      </c>
      <c r="F2220" s="67" t="str">
        <f t="shared" si="12"/>
        <v>5 LeadGen Set Appointments</v>
      </c>
    </row>
    <row r="2221">
      <c r="A2221" s="6" t="s">
        <v>29</v>
      </c>
      <c r="B2221" s="13" t="s">
        <v>1510</v>
      </c>
      <c r="C2221" s="13" t="s">
        <v>1511</v>
      </c>
      <c r="D2221" s="15">
        <v>5.0</v>
      </c>
      <c r="E2221" s="67">
        <f t="shared" si="11"/>
        <v>1250</v>
      </c>
      <c r="F2221" s="62" t="str">
        <f t="shared" si="12"/>
        <v>5 LeadGen Set Appointments</v>
      </c>
    </row>
    <row r="2222">
      <c r="A2222" s="6" t="s">
        <v>29</v>
      </c>
      <c r="B2222" s="13" t="s">
        <v>1512</v>
      </c>
      <c r="C2222" s="13" t="s">
        <v>1513</v>
      </c>
      <c r="D2222" s="15">
        <v>5.0</v>
      </c>
      <c r="E2222" s="67">
        <f t="shared" si="11"/>
        <v>1250</v>
      </c>
      <c r="F2222" s="62" t="str">
        <f t="shared" si="12"/>
        <v>5 LeadGen Set Appointments</v>
      </c>
    </row>
    <row r="2223">
      <c r="A2223" s="6" t="s">
        <v>29</v>
      </c>
      <c r="B2223" s="13" t="s">
        <v>1514</v>
      </c>
      <c r="C2223" s="13" t="s">
        <v>1515</v>
      </c>
      <c r="D2223" s="15">
        <v>5.0</v>
      </c>
      <c r="E2223" s="67">
        <f t="shared" si="11"/>
        <v>1250</v>
      </c>
      <c r="F2223" s="62" t="str">
        <f t="shared" si="12"/>
        <v>5 LeadGen Set Appointments</v>
      </c>
    </row>
    <row r="2224">
      <c r="A2224" s="6" t="s">
        <v>29</v>
      </c>
      <c r="B2224" s="13" t="s">
        <v>1516</v>
      </c>
      <c r="C2224" s="13" t="s">
        <v>1517</v>
      </c>
      <c r="D2224" s="15">
        <v>5.0</v>
      </c>
      <c r="E2224" s="67">
        <f t="shared" si="11"/>
        <v>1250</v>
      </c>
      <c r="F2224" s="62" t="str">
        <f t="shared" si="12"/>
        <v>5 LeadGen Set Appointments</v>
      </c>
    </row>
    <row r="2225">
      <c r="A2225" s="6" t="s">
        <v>29</v>
      </c>
      <c r="B2225" s="8" t="s">
        <v>486</v>
      </c>
      <c r="C2225" s="8" t="s">
        <v>487</v>
      </c>
      <c r="D2225" s="9">
        <v>5.0</v>
      </c>
      <c r="E2225" s="67">
        <f t="shared" si="11"/>
        <v>1250</v>
      </c>
      <c r="F2225" s="67" t="str">
        <f t="shared" si="12"/>
        <v>5 LeadGen Set Appointments</v>
      </c>
    </row>
    <row r="2226">
      <c r="A2226" s="6" t="s">
        <v>29</v>
      </c>
      <c r="B2226" s="13" t="s">
        <v>572</v>
      </c>
      <c r="C2226" s="13" t="s">
        <v>573</v>
      </c>
      <c r="D2226" s="15">
        <v>5.0</v>
      </c>
      <c r="E2226" s="67">
        <f t="shared" si="11"/>
        <v>1250</v>
      </c>
      <c r="F2226" s="62" t="str">
        <f t="shared" si="12"/>
        <v>5 LeadGen Set Appointments</v>
      </c>
    </row>
    <row r="2227">
      <c r="A2227" s="6" t="s">
        <v>29</v>
      </c>
      <c r="B2227" s="13" t="s">
        <v>1518</v>
      </c>
      <c r="C2227" s="13" t="s">
        <v>1519</v>
      </c>
      <c r="D2227" s="15">
        <v>5.0</v>
      </c>
      <c r="E2227" s="67">
        <f t="shared" si="11"/>
        <v>1250</v>
      </c>
      <c r="F2227" s="62" t="str">
        <f t="shared" si="12"/>
        <v>5 LeadGen Set Appointments</v>
      </c>
    </row>
    <row r="2228">
      <c r="A2228" s="6" t="s">
        <v>29</v>
      </c>
      <c r="B2228" s="13" t="s">
        <v>1520</v>
      </c>
      <c r="C2228" s="13" t="s">
        <v>1521</v>
      </c>
      <c r="D2228" s="15">
        <v>5.0</v>
      </c>
      <c r="E2228" s="67">
        <f t="shared" si="11"/>
        <v>1250</v>
      </c>
      <c r="F2228" s="62" t="str">
        <f t="shared" si="12"/>
        <v>5 LeadGen Set Appointments</v>
      </c>
    </row>
    <row r="2229">
      <c r="A2229" s="6" t="s">
        <v>29</v>
      </c>
      <c r="B2229" s="8" t="s">
        <v>1522</v>
      </c>
      <c r="C2229" s="8" t="s">
        <v>1523</v>
      </c>
      <c r="D2229" s="9">
        <v>5.0</v>
      </c>
      <c r="E2229" s="67">
        <f t="shared" si="11"/>
        <v>1250</v>
      </c>
      <c r="F2229" s="67" t="str">
        <f t="shared" si="12"/>
        <v>5 LeadGen Set Appointments</v>
      </c>
    </row>
    <row r="2230">
      <c r="A2230" s="6" t="s">
        <v>29</v>
      </c>
      <c r="B2230" s="8" t="s">
        <v>510</v>
      </c>
      <c r="C2230" s="8" t="s">
        <v>511</v>
      </c>
      <c r="D2230" s="9">
        <v>5.0</v>
      </c>
      <c r="E2230" s="67">
        <f t="shared" si="11"/>
        <v>1250</v>
      </c>
      <c r="F2230" s="67" t="str">
        <f t="shared" si="12"/>
        <v>5 LeadGen Set Appointments</v>
      </c>
    </row>
    <row r="2231">
      <c r="A2231" s="6" t="s">
        <v>29</v>
      </c>
      <c r="B2231" s="8" t="s">
        <v>1524</v>
      </c>
      <c r="C2231" s="8" t="s">
        <v>1525</v>
      </c>
      <c r="D2231" s="9">
        <v>5.0</v>
      </c>
      <c r="E2231" s="67">
        <f t="shared" si="11"/>
        <v>1250</v>
      </c>
      <c r="F2231" s="67" t="str">
        <f t="shared" si="12"/>
        <v>5 LeadGen Set Appointments</v>
      </c>
    </row>
    <row r="2232">
      <c r="A2232" s="6" t="s">
        <v>29</v>
      </c>
      <c r="B2232" s="13" t="s">
        <v>1526</v>
      </c>
      <c r="C2232" s="13" t="s">
        <v>1527</v>
      </c>
      <c r="D2232" s="15">
        <v>5.0</v>
      </c>
      <c r="E2232" s="67">
        <f t="shared" si="11"/>
        <v>1250</v>
      </c>
      <c r="F2232" s="62" t="str">
        <f t="shared" si="12"/>
        <v>5 LeadGen Set Appointments</v>
      </c>
    </row>
    <row r="2233">
      <c r="A2233" s="6" t="s">
        <v>29</v>
      </c>
      <c r="B2233" s="13" t="s">
        <v>1528</v>
      </c>
      <c r="C2233" s="13" t="s">
        <v>1529</v>
      </c>
      <c r="D2233" s="15">
        <v>5.0</v>
      </c>
      <c r="E2233" s="67">
        <f t="shared" si="11"/>
        <v>1250</v>
      </c>
      <c r="F2233" s="62" t="str">
        <f t="shared" si="12"/>
        <v>5 LeadGen Set Appointments</v>
      </c>
    </row>
    <row r="2234">
      <c r="A2234" s="6" t="s">
        <v>29</v>
      </c>
      <c r="B2234" s="13" t="s">
        <v>1530</v>
      </c>
      <c r="C2234" s="13" t="s">
        <v>1531</v>
      </c>
      <c r="D2234" s="15">
        <v>5.0</v>
      </c>
      <c r="E2234" s="67">
        <f t="shared" si="11"/>
        <v>1250</v>
      </c>
      <c r="F2234" s="62" t="str">
        <f t="shared" si="12"/>
        <v>5 LeadGen Set Appointments</v>
      </c>
    </row>
    <row r="2235">
      <c r="A2235" s="6" t="s">
        <v>29</v>
      </c>
      <c r="B2235" s="13" t="s">
        <v>1532</v>
      </c>
      <c r="C2235" s="13" t="s">
        <v>1533</v>
      </c>
      <c r="D2235" s="15">
        <v>5.0</v>
      </c>
      <c r="E2235" s="67">
        <f t="shared" si="11"/>
        <v>1250</v>
      </c>
      <c r="F2235" s="62" t="str">
        <f t="shared" si="12"/>
        <v>5 LeadGen Set Appointments</v>
      </c>
    </row>
    <row r="2236">
      <c r="A2236" s="6" t="s">
        <v>29</v>
      </c>
      <c r="B2236" s="13" t="s">
        <v>1534</v>
      </c>
      <c r="C2236" s="13" t="s">
        <v>1535</v>
      </c>
      <c r="D2236" s="15">
        <v>5.0</v>
      </c>
      <c r="E2236" s="67">
        <f t="shared" si="11"/>
        <v>1250</v>
      </c>
      <c r="F2236" s="62" t="str">
        <f t="shared" si="12"/>
        <v>5 LeadGen Set Appointments</v>
      </c>
    </row>
    <row r="2237">
      <c r="A2237" s="6" t="s">
        <v>29</v>
      </c>
      <c r="B2237" s="13" t="s">
        <v>736</v>
      </c>
      <c r="C2237" s="13" t="s">
        <v>737</v>
      </c>
      <c r="D2237" s="15">
        <v>4.0</v>
      </c>
      <c r="E2237" s="67">
        <f t="shared" si="11"/>
        <v>1000</v>
      </c>
      <c r="F2237" s="62" t="str">
        <f t="shared" si="12"/>
        <v>4 LeadGen Set Appointments</v>
      </c>
    </row>
    <row r="2238">
      <c r="A2238" s="6" t="s">
        <v>29</v>
      </c>
      <c r="B2238" s="8" t="s">
        <v>1536</v>
      </c>
      <c r="C2238" s="8" t="s">
        <v>1537</v>
      </c>
      <c r="D2238" s="9">
        <v>4.0</v>
      </c>
      <c r="E2238" s="67">
        <f t="shared" si="11"/>
        <v>1000</v>
      </c>
      <c r="F2238" s="67" t="str">
        <f t="shared" si="12"/>
        <v>4 LeadGen Set Appointments</v>
      </c>
    </row>
    <row r="2239">
      <c r="A2239" s="6" t="s">
        <v>29</v>
      </c>
      <c r="B2239" s="8" t="s">
        <v>1538</v>
      </c>
      <c r="C2239" s="8" t="s">
        <v>1539</v>
      </c>
      <c r="D2239" s="9">
        <v>4.0</v>
      </c>
      <c r="E2239" s="67">
        <f t="shared" si="11"/>
        <v>1000</v>
      </c>
      <c r="F2239" s="67" t="str">
        <f t="shared" si="12"/>
        <v>4 LeadGen Set Appointments</v>
      </c>
    </row>
    <row r="2240">
      <c r="A2240" s="6" t="s">
        <v>29</v>
      </c>
      <c r="B2240" s="8" t="s">
        <v>1540</v>
      </c>
      <c r="C2240" s="8" t="s">
        <v>1541</v>
      </c>
      <c r="D2240" s="9">
        <v>4.0</v>
      </c>
      <c r="E2240" s="67">
        <f t="shared" si="11"/>
        <v>1000</v>
      </c>
      <c r="F2240" s="67" t="str">
        <f t="shared" si="12"/>
        <v>4 LeadGen Set Appointments</v>
      </c>
    </row>
    <row r="2241">
      <c r="A2241" s="6" t="s">
        <v>29</v>
      </c>
      <c r="B2241" s="8" t="s">
        <v>1105</v>
      </c>
      <c r="C2241" s="8" t="s">
        <v>1542</v>
      </c>
      <c r="D2241" s="9">
        <v>4.0</v>
      </c>
      <c r="E2241" s="67">
        <f t="shared" si="11"/>
        <v>1000</v>
      </c>
      <c r="F2241" s="67" t="str">
        <f t="shared" si="12"/>
        <v>4 LeadGen Set Appointments</v>
      </c>
    </row>
    <row r="2242">
      <c r="A2242" s="6" t="s">
        <v>29</v>
      </c>
      <c r="B2242" s="13" t="s">
        <v>1543</v>
      </c>
      <c r="C2242" s="13" t="s">
        <v>1544</v>
      </c>
      <c r="D2242" s="15">
        <v>4.0</v>
      </c>
      <c r="E2242" s="67">
        <f t="shared" si="11"/>
        <v>1000</v>
      </c>
      <c r="F2242" s="62" t="str">
        <f t="shared" si="12"/>
        <v>4 LeadGen Set Appointments</v>
      </c>
    </row>
    <row r="2243">
      <c r="A2243" s="6" t="s">
        <v>29</v>
      </c>
      <c r="B2243" s="13" t="s">
        <v>1545</v>
      </c>
      <c r="C2243" s="13" t="s">
        <v>1546</v>
      </c>
      <c r="D2243" s="15">
        <v>4.0</v>
      </c>
      <c r="E2243" s="67">
        <f t="shared" si="11"/>
        <v>1000</v>
      </c>
      <c r="F2243" s="62" t="str">
        <f t="shared" si="12"/>
        <v>4 LeadGen Set Appointments</v>
      </c>
    </row>
    <row r="2244">
      <c r="A2244" s="6" t="s">
        <v>29</v>
      </c>
      <c r="B2244" s="13" t="s">
        <v>1547</v>
      </c>
      <c r="C2244" s="13" t="s">
        <v>1548</v>
      </c>
      <c r="D2244" s="15">
        <v>4.0</v>
      </c>
      <c r="E2244" s="67">
        <f t="shared" si="11"/>
        <v>1000</v>
      </c>
      <c r="F2244" s="62" t="str">
        <f t="shared" si="12"/>
        <v>4 LeadGen Set Appointments</v>
      </c>
    </row>
    <row r="2245">
      <c r="A2245" s="6" t="s">
        <v>29</v>
      </c>
      <c r="B2245" s="13" t="s">
        <v>1549</v>
      </c>
      <c r="C2245" s="13" t="s">
        <v>1550</v>
      </c>
      <c r="D2245" s="15">
        <v>4.0</v>
      </c>
      <c r="E2245" s="67">
        <f t="shared" si="11"/>
        <v>1000</v>
      </c>
      <c r="F2245" s="62" t="str">
        <f t="shared" si="12"/>
        <v>4 LeadGen Set Appointments</v>
      </c>
    </row>
    <row r="2246">
      <c r="A2246" s="6" t="s">
        <v>29</v>
      </c>
      <c r="B2246" s="13" t="s">
        <v>1551</v>
      </c>
      <c r="C2246" s="13" t="s">
        <v>1552</v>
      </c>
      <c r="D2246" s="15">
        <v>4.0</v>
      </c>
      <c r="E2246" s="67">
        <f t="shared" si="11"/>
        <v>1000</v>
      </c>
      <c r="F2246" s="62" t="str">
        <f t="shared" si="12"/>
        <v>4 LeadGen Set Appointments</v>
      </c>
    </row>
    <row r="2247">
      <c r="A2247" s="6" t="s">
        <v>29</v>
      </c>
      <c r="B2247" s="13" t="s">
        <v>1553</v>
      </c>
      <c r="C2247" s="13" t="s">
        <v>1554</v>
      </c>
      <c r="D2247" s="15">
        <v>4.0</v>
      </c>
      <c r="E2247" s="67">
        <f t="shared" si="11"/>
        <v>1000</v>
      </c>
      <c r="F2247" s="62" t="str">
        <f t="shared" si="12"/>
        <v>4 LeadGen Set Appointments</v>
      </c>
    </row>
    <row r="2248">
      <c r="A2248" s="6" t="s">
        <v>29</v>
      </c>
      <c r="B2248" s="13" t="s">
        <v>1555</v>
      </c>
      <c r="C2248" s="13" t="s">
        <v>1556</v>
      </c>
      <c r="D2248" s="15">
        <v>4.0</v>
      </c>
      <c r="E2248" s="67">
        <f t="shared" si="11"/>
        <v>1000</v>
      </c>
      <c r="F2248" s="62" t="str">
        <f t="shared" si="12"/>
        <v>4 LeadGen Set Appointments</v>
      </c>
    </row>
    <row r="2249">
      <c r="A2249" s="6" t="s">
        <v>29</v>
      </c>
      <c r="B2249" s="13" t="s">
        <v>1557</v>
      </c>
      <c r="C2249" s="13" t="s">
        <v>1558</v>
      </c>
      <c r="D2249" s="15">
        <v>4.0</v>
      </c>
      <c r="E2249" s="67">
        <f t="shared" si="11"/>
        <v>1000</v>
      </c>
      <c r="F2249" s="62" t="str">
        <f t="shared" si="12"/>
        <v>4 LeadGen Set Appointments</v>
      </c>
    </row>
    <row r="2250">
      <c r="A2250" s="6" t="s">
        <v>29</v>
      </c>
      <c r="B2250" s="8" t="s">
        <v>1559</v>
      </c>
      <c r="C2250" s="8" t="s">
        <v>1560</v>
      </c>
      <c r="D2250" s="9">
        <v>4.0</v>
      </c>
      <c r="E2250" s="67">
        <f t="shared" si="11"/>
        <v>1000</v>
      </c>
      <c r="F2250" s="67" t="str">
        <f t="shared" si="12"/>
        <v>4 LeadGen Set Appointments</v>
      </c>
    </row>
    <row r="2251">
      <c r="A2251" s="6" t="s">
        <v>29</v>
      </c>
      <c r="B2251" s="8" t="s">
        <v>1561</v>
      </c>
      <c r="C2251" s="8" t="s">
        <v>1562</v>
      </c>
      <c r="D2251" s="9">
        <v>4.0</v>
      </c>
      <c r="E2251" s="67">
        <f t="shared" si="11"/>
        <v>1000</v>
      </c>
      <c r="F2251" s="67" t="str">
        <f t="shared" si="12"/>
        <v>4 LeadGen Set Appointments</v>
      </c>
    </row>
    <row r="2252">
      <c r="A2252" s="6" t="s">
        <v>29</v>
      </c>
      <c r="B2252" s="8" t="s">
        <v>516</v>
      </c>
      <c r="C2252" s="8" t="s">
        <v>517</v>
      </c>
      <c r="D2252" s="9">
        <v>4.0</v>
      </c>
      <c r="E2252" s="67">
        <f t="shared" si="11"/>
        <v>1000</v>
      </c>
      <c r="F2252" s="67" t="str">
        <f t="shared" si="12"/>
        <v>4 LeadGen Set Appointments</v>
      </c>
    </row>
    <row r="2253">
      <c r="A2253" s="6" t="s">
        <v>29</v>
      </c>
      <c r="B2253" s="8" t="s">
        <v>1563</v>
      </c>
      <c r="C2253" s="8" t="s">
        <v>1564</v>
      </c>
      <c r="D2253" s="9">
        <v>4.0</v>
      </c>
      <c r="E2253" s="67">
        <f t="shared" si="11"/>
        <v>1000</v>
      </c>
      <c r="F2253" s="67" t="str">
        <f t="shared" si="12"/>
        <v>4 LeadGen Set Appointments</v>
      </c>
    </row>
    <row r="2254">
      <c r="A2254" s="6" t="s">
        <v>29</v>
      </c>
      <c r="B2254" s="8" t="s">
        <v>1565</v>
      </c>
      <c r="C2254" s="8" t="s">
        <v>1566</v>
      </c>
      <c r="D2254" s="9">
        <v>4.0</v>
      </c>
      <c r="E2254" s="67">
        <f t="shared" si="11"/>
        <v>1000</v>
      </c>
      <c r="F2254" s="67" t="str">
        <f t="shared" si="12"/>
        <v>4 LeadGen Set Appointments</v>
      </c>
    </row>
    <row r="2255">
      <c r="A2255" s="6" t="s">
        <v>29</v>
      </c>
      <c r="B2255" s="8" t="s">
        <v>1567</v>
      </c>
      <c r="C2255" s="8" t="s">
        <v>1568</v>
      </c>
      <c r="D2255" s="9">
        <v>4.0</v>
      </c>
      <c r="E2255" s="67">
        <f t="shared" si="11"/>
        <v>1000</v>
      </c>
      <c r="F2255" s="67" t="str">
        <f t="shared" si="12"/>
        <v>4 LeadGen Set Appointments</v>
      </c>
    </row>
    <row r="2256">
      <c r="A2256" s="6" t="s">
        <v>29</v>
      </c>
      <c r="B2256" s="13" t="s">
        <v>1569</v>
      </c>
      <c r="C2256" s="13" t="s">
        <v>1570</v>
      </c>
      <c r="D2256" s="15">
        <v>4.0</v>
      </c>
      <c r="E2256" s="67">
        <f t="shared" si="11"/>
        <v>1000</v>
      </c>
      <c r="F2256" s="62" t="str">
        <f t="shared" si="12"/>
        <v>4 LeadGen Set Appointments</v>
      </c>
    </row>
    <row r="2257">
      <c r="A2257" s="6" t="s">
        <v>29</v>
      </c>
      <c r="B2257" s="13" t="s">
        <v>1571</v>
      </c>
      <c r="C2257" s="13" t="s">
        <v>1572</v>
      </c>
      <c r="D2257" s="15">
        <v>4.0</v>
      </c>
      <c r="E2257" s="67">
        <f t="shared" si="11"/>
        <v>1000</v>
      </c>
      <c r="F2257" s="62" t="str">
        <f t="shared" si="12"/>
        <v>4 LeadGen Set Appointments</v>
      </c>
    </row>
    <row r="2258">
      <c r="A2258" s="6" t="s">
        <v>29</v>
      </c>
      <c r="B2258" s="13" t="s">
        <v>1573</v>
      </c>
      <c r="C2258" s="13" t="s">
        <v>1574</v>
      </c>
      <c r="D2258" s="15">
        <v>4.0</v>
      </c>
      <c r="E2258" s="67">
        <f t="shared" si="11"/>
        <v>1000</v>
      </c>
      <c r="F2258" s="62" t="str">
        <f t="shared" si="12"/>
        <v>4 LeadGen Set Appointments</v>
      </c>
    </row>
    <row r="2259">
      <c r="A2259" s="6" t="s">
        <v>29</v>
      </c>
      <c r="B2259" s="8" t="s">
        <v>1575</v>
      </c>
      <c r="C2259" s="8" t="s">
        <v>1576</v>
      </c>
      <c r="D2259" s="9">
        <v>4.0</v>
      </c>
      <c r="E2259" s="67">
        <f t="shared" si="11"/>
        <v>1000</v>
      </c>
      <c r="F2259" s="67" t="str">
        <f t="shared" si="12"/>
        <v>4 LeadGen Set Appointments</v>
      </c>
    </row>
    <row r="2260">
      <c r="A2260" s="6" t="s">
        <v>29</v>
      </c>
      <c r="B2260" s="8" t="s">
        <v>1577</v>
      </c>
      <c r="C2260" s="8" t="s">
        <v>1578</v>
      </c>
      <c r="D2260" s="9">
        <v>3.0</v>
      </c>
      <c r="E2260" s="67">
        <f t="shared" si="11"/>
        <v>750</v>
      </c>
      <c r="F2260" s="67" t="str">
        <f t="shared" si="12"/>
        <v>3 LeadGen Set Appointments</v>
      </c>
    </row>
    <row r="2261">
      <c r="A2261" s="6" t="s">
        <v>29</v>
      </c>
      <c r="B2261" s="8" t="s">
        <v>1579</v>
      </c>
      <c r="C2261" s="8" t="s">
        <v>1580</v>
      </c>
      <c r="D2261" s="9">
        <v>3.0</v>
      </c>
      <c r="E2261" s="67">
        <f t="shared" si="11"/>
        <v>750</v>
      </c>
      <c r="F2261" s="67" t="str">
        <f t="shared" si="12"/>
        <v>3 LeadGen Set Appointments</v>
      </c>
    </row>
    <row r="2262">
      <c r="A2262" s="6" t="s">
        <v>29</v>
      </c>
      <c r="B2262" s="13" t="s">
        <v>1581</v>
      </c>
      <c r="C2262" s="13" t="s">
        <v>1582</v>
      </c>
      <c r="D2262" s="15">
        <v>3.0</v>
      </c>
      <c r="E2262" s="67">
        <f t="shared" si="11"/>
        <v>750</v>
      </c>
      <c r="F2262" s="62" t="str">
        <f t="shared" si="12"/>
        <v>3 LeadGen Set Appointments</v>
      </c>
    </row>
    <row r="2263">
      <c r="A2263" s="6" t="s">
        <v>29</v>
      </c>
      <c r="B2263" s="13" t="s">
        <v>560</v>
      </c>
      <c r="C2263" s="13" t="s">
        <v>561</v>
      </c>
      <c r="D2263" s="15">
        <v>3.0</v>
      </c>
      <c r="E2263" s="67">
        <f t="shared" si="11"/>
        <v>750</v>
      </c>
      <c r="F2263" s="62" t="str">
        <f t="shared" si="12"/>
        <v>3 LeadGen Set Appointments</v>
      </c>
    </row>
    <row r="2264">
      <c r="A2264" s="6" t="s">
        <v>29</v>
      </c>
      <c r="B2264" s="13" t="s">
        <v>752</v>
      </c>
      <c r="C2264" s="13" t="s">
        <v>753</v>
      </c>
      <c r="D2264" s="15">
        <v>3.0</v>
      </c>
      <c r="E2264" s="67">
        <f t="shared" si="11"/>
        <v>750</v>
      </c>
      <c r="F2264" s="62" t="str">
        <f t="shared" si="12"/>
        <v>3 LeadGen Set Appointments</v>
      </c>
    </row>
    <row r="2265">
      <c r="A2265" s="6" t="s">
        <v>29</v>
      </c>
      <c r="B2265" s="8" t="s">
        <v>1583</v>
      </c>
      <c r="C2265" s="8" t="s">
        <v>1584</v>
      </c>
      <c r="D2265" s="9">
        <v>3.0</v>
      </c>
      <c r="E2265" s="67">
        <f t="shared" si="11"/>
        <v>750</v>
      </c>
      <c r="F2265" s="67" t="str">
        <f t="shared" si="12"/>
        <v>3 LeadGen Set Appointments</v>
      </c>
    </row>
    <row r="2266">
      <c r="A2266" s="6" t="s">
        <v>29</v>
      </c>
      <c r="B2266" s="8" t="s">
        <v>1585</v>
      </c>
      <c r="C2266" s="8" t="s">
        <v>1586</v>
      </c>
      <c r="D2266" s="9">
        <v>3.0</v>
      </c>
      <c r="E2266" s="67">
        <f t="shared" si="11"/>
        <v>750</v>
      </c>
      <c r="F2266" s="67" t="str">
        <f t="shared" si="12"/>
        <v>3 LeadGen Set Appointments</v>
      </c>
    </row>
    <row r="2267">
      <c r="A2267" s="6" t="s">
        <v>29</v>
      </c>
      <c r="B2267" s="8" t="s">
        <v>1334</v>
      </c>
      <c r="C2267" s="8" t="s">
        <v>553</v>
      </c>
      <c r="D2267" s="9">
        <v>3.0</v>
      </c>
      <c r="E2267" s="67">
        <f t="shared" si="11"/>
        <v>750</v>
      </c>
      <c r="F2267" s="67" t="str">
        <f t="shared" si="12"/>
        <v>3 LeadGen Set Appointments</v>
      </c>
    </row>
    <row r="2268">
      <c r="A2268" s="6" t="s">
        <v>29</v>
      </c>
      <c r="B2268" s="8" t="s">
        <v>682</v>
      </c>
      <c r="C2268" s="8" t="s">
        <v>683</v>
      </c>
      <c r="D2268" s="9">
        <v>3.0</v>
      </c>
      <c r="E2268" s="67">
        <f t="shared" si="11"/>
        <v>750</v>
      </c>
      <c r="F2268" s="67" t="str">
        <f t="shared" si="12"/>
        <v>3 LeadGen Set Appointments</v>
      </c>
    </row>
    <row r="2269">
      <c r="A2269" s="6" t="s">
        <v>29</v>
      </c>
      <c r="B2269" s="8" t="s">
        <v>1259</v>
      </c>
      <c r="C2269" s="8" t="s">
        <v>1260</v>
      </c>
      <c r="D2269" s="9">
        <v>3.0</v>
      </c>
      <c r="E2269" s="67">
        <f t="shared" si="11"/>
        <v>750</v>
      </c>
      <c r="F2269" s="67" t="str">
        <f t="shared" si="12"/>
        <v>3 LeadGen Set Appointments</v>
      </c>
    </row>
    <row r="2270">
      <c r="A2270" s="6" t="s">
        <v>29</v>
      </c>
      <c r="B2270" s="8" t="s">
        <v>626</v>
      </c>
      <c r="C2270" s="8" t="s">
        <v>627</v>
      </c>
      <c r="D2270" s="9">
        <v>3.0</v>
      </c>
      <c r="E2270" s="67">
        <f t="shared" si="11"/>
        <v>750</v>
      </c>
      <c r="F2270" s="67" t="str">
        <f t="shared" si="12"/>
        <v>3 LeadGen Set Appointments</v>
      </c>
    </row>
    <row r="2271">
      <c r="A2271" s="6" t="s">
        <v>29</v>
      </c>
      <c r="B2271" s="8" t="s">
        <v>1587</v>
      </c>
      <c r="C2271" s="8" t="s">
        <v>1588</v>
      </c>
      <c r="D2271" s="9">
        <v>3.0</v>
      </c>
      <c r="E2271" s="67">
        <f t="shared" si="11"/>
        <v>750</v>
      </c>
      <c r="F2271" s="67" t="str">
        <f t="shared" si="12"/>
        <v>3 LeadGen Set Appointments</v>
      </c>
    </row>
    <row r="2272">
      <c r="A2272" s="6" t="s">
        <v>29</v>
      </c>
      <c r="B2272" s="8" t="s">
        <v>1589</v>
      </c>
      <c r="C2272" s="8" t="s">
        <v>1590</v>
      </c>
      <c r="D2272" s="9">
        <v>3.0</v>
      </c>
      <c r="E2272" s="67">
        <f t="shared" si="11"/>
        <v>750</v>
      </c>
      <c r="F2272" s="67" t="str">
        <f t="shared" si="12"/>
        <v>3 LeadGen Set Appointments</v>
      </c>
    </row>
    <row r="2273">
      <c r="A2273" s="6" t="s">
        <v>29</v>
      </c>
      <c r="B2273" s="8" t="s">
        <v>1591</v>
      </c>
      <c r="C2273" s="8" t="s">
        <v>836</v>
      </c>
      <c r="D2273" s="9">
        <v>3.0</v>
      </c>
      <c r="E2273" s="67">
        <f t="shared" si="11"/>
        <v>750</v>
      </c>
      <c r="F2273" s="67" t="str">
        <f t="shared" si="12"/>
        <v>3 LeadGen Set Appointments</v>
      </c>
    </row>
    <row r="2274">
      <c r="A2274" s="6" t="s">
        <v>29</v>
      </c>
      <c r="B2274" s="8" t="s">
        <v>1592</v>
      </c>
      <c r="C2274" s="8" t="s">
        <v>1593</v>
      </c>
      <c r="D2274" s="9">
        <v>3.0</v>
      </c>
      <c r="E2274" s="67">
        <f t="shared" si="11"/>
        <v>750</v>
      </c>
      <c r="F2274" s="67" t="str">
        <f t="shared" si="12"/>
        <v>3 LeadGen Set Appointments</v>
      </c>
    </row>
    <row r="2275">
      <c r="A2275" s="6" t="s">
        <v>29</v>
      </c>
      <c r="B2275" s="8" t="s">
        <v>518</v>
      </c>
      <c r="C2275" s="8" t="s">
        <v>519</v>
      </c>
      <c r="D2275" s="9">
        <v>3.0</v>
      </c>
      <c r="E2275" s="67">
        <f t="shared" si="11"/>
        <v>750</v>
      </c>
      <c r="F2275" s="67" t="str">
        <f t="shared" si="12"/>
        <v>3 LeadGen Set Appointments</v>
      </c>
    </row>
    <row r="2276">
      <c r="A2276" s="6" t="s">
        <v>29</v>
      </c>
      <c r="B2276" s="8" t="s">
        <v>1594</v>
      </c>
      <c r="C2276" s="8" t="s">
        <v>1595</v>
      </c>
      <c r="D2276" s="9">
        <v>3.0</v>
      </c>
      <c r="E2276" s="67">
        <f t="shared" si="11"/>
        <v>750</v>
      </c>
      <c r="F2276" s="67" t="str">
        <f t="shared" si="12"/>
        <v>3 LeadGen Set Appointments</v>
      </c>
    </row>
    <row r="2277">
      <c r="A2277" s="6" t="s">
        <v>29</v>
      </c>
      <c r="B2277" s="8" t="s">
        <v>701</v>
      </c>
      <c r="C2277" s="8" t="s">
        <v>702</v>
      </c>
      <c r="D2277" s="9">
        <v>3.0</v>
      </c>
      <c r="E2277" s="67">
        <f t="shared" si="11"/>
        <v>750</v>
      </c>
      <c r="F2277" s="67" t="str">
        <f t="shared" si="12"/>
        <v>3 LeadGen Set Appointments</v>
      </c>
    </row>
    <row r="2278">
      <c r="A2278" s="6" t="s">
        <v>29</v>
      </c>
      <c r="B2278" s="8" t="s">
        <v>1596</v>
      </c>
      <c r="C2278" s="8" t="s">
        <v>1597</v>
      </c>
      <c r="D2278" s="9">
        <v>2.0</v>
      </c>
      <c r="E2278" s="67">
        <f t="shared" si="11"/>
        <v>500</v>
      </c>
      <c r="F2278" s="67" t="str">
        <f t="shared" si="12"/>
        <v>2 LeadGen Set Appointments</v>
      </c>
    </row>
    <row r="2279">
      <c r="A2279" s="6" t="s">
        <v>29</v>
      </c>
      <c r="B2279" s="8" t="s">
        <v>1598</v>
      </c>
      <c r="C2279" s="8" t="s">
        <v>1599</v>
      </c>
      <c r="D2279" s="9">
        <v>2.0</v>
      </c>
      <c r="E2279" s="67">
        <f t="shared" si="11"/>
        <v>500</v>
      </c>
      <c r="F2279" s="67" t="str">
        <f t="shared" si="12"/>
        <v>2 LeadGen Set Appointments</v>
      </c>
    </row>
    <row r="2280">
      <c r="A2280" s="6" t="s">
        <v>29</v>
      </c>
      <c r="B2280" s="8" t="s">
        <v>1600</v>
      </c>
      <c r="C2280" s="8" t="s">
        <v>1601</v>
      </c>
      <c r="D2280" s="9">
        <v>2.0</v>
      </c>
      <c r="E2280" s="67">
        <f t="shared" si="11"/>
        <v>500</v>
      </c>
      <c r="F2280" s="67" t="str">
        <f t="shared" si="12"/>
        <v>2 LeadGen Set Appointments</v>
      </c>
    </row>
    <row r="2281">
      <c r="A2281" s="6" t="s">
        <v>29</v>
      </c>
      <c r="B2281" s="8" t="s">
        <v>1602</v>
      </c>
      <c r="C2281" s="8" t="s">
        <v>1603</v>
      </c>
      <c r="D2281" s="9">
        <v>2.0</v>
      </c>
      <c r="E2281" s="67">
        <f t="shared" si="11"/>
        <v>500</v>
      </c>
      <c r="F2281" s="67" t="str">
        <f t="shared" si="12"/>
        <v>2 LeadGen Set Appointments</v>
      </c>
    </row>
    <row r="2282">
      <c r="A2282" s="6" t="s">
        <v>29</v>
      </c>
      <c r="B2282" s="8" t="s">
        <v>684</v>
      </c>
      <c r="C2282" s="8" t="s">
        <v>685</v>
      </c>
      <c r="D2282" s="9">
        <v>2.0</v>
      </c>
      <c r="E2282" s="67">
        <f t="shared" si="11"/>
        <v>500</v>
      </c>
      <c r="F2282" s="67" t="str">
        <f t="shared" si="12"/>
        <v>2 LeadGen Set Appointments</v>
      </c>
    </row>
    <row r="2283">
      <c r="A2283" s="6" t="s">
        <v>29</v>
      </c>
      <c r="B2283" s="8" t="s">
        <v>1604</v>
      </c>
      <c r="C2283" s="8" t="s">
        <v>1605</v>
      </c>
      <c r="D2283" s="9">
        <v>2.0</v>
      </c>
      <c r="E2283" s="67">
        <f t="shared" si="11"/>
        <v>500</v>
      </c>
      <c r="F2283" s="67" t="str">
        <f t="shared" si="12"/>
        <v>2 LeadGen Set Appointments</v>
      </c>
    </row>
    <row r="2284">
      <c r="A2284" s="6" t="s">
        <v>29</v>
      </c>
      <c r="B2284" s="8" t="s">
        <v>1606</v>
      </c>
      <c r="C2284" s="8" t="s">
        <v>1607</v>
      </c>
      <c r="D2284" s="9">
        <v>2.0</v>
      </c>
      <c r="E2284" s="67">
        <f t="shared" si="11"/>
        <v>500</v>
      </c>
      <c r="F2284" s="67" t="str">
        <f t="shared" si="12"/>
        <v>2 LeadGen Set Appointments</v>
      </c>
    </row>
    <row r="2285">
      <c r="A2285" s="6" t="s">
        <v>29</v>
      </c>
      <c r="B2285" s="8" t="s">
        <v>1608</v>
      </c>
      <c r="C2285" s="8" t="s">
        <v>1609</v>
      </c>
      <c r="D2285" s="9">
        <v>2.0</v>
      </c>
      <c r="E2285" s="67">
        <f t="shared" si="11"/>
        <v>500</v>
      </c>
      <c r="F2285" s="67" t="str">
        <f t="shared" si="12"/>
        <v>2 LeadGen Set Appointments</v>
      </c>
    </row>
    <row r="2286">
      <c r="A2286" s="6" t="s">
        <v>29</v>
      </c>
      <c r="B2286" s="8" t="s">
        <v>1610</v>
      </c>
      <c r="C2286" s="8" t="s">
        <v>1611</v>
      </c>
      <c r="D2286" s="9">
        <v>2.0</v>
      </c>
      <c r="E2286" s="67">
        <f t="shared" si="11"/>
        <v>500</v>
      </c>
      <c r="F2286" s="67" t="str">
        <f t="shared" si="12"/>
        <v>2 LeadGen Set Appointments</v>
      </c>
    </row>
    <row r="2287">
      <c r="A2287" s="6" t="s">
        <v>29</v>
      </c>
      <c r="B2287" s="8" t="s">
        <v>1612</v>
      </c>
      <c r="C2287" s="8" t="s">
        <v>1613</v>
      </c>
      <c r="D2287" s="9">
        <v>2.0</v>
      </c>
      <c r="E2287" s="67">
        <f t="shared" si="11"/>
        <v>500</v>
      </c>
      <c r="F2287" s="67" t="str">
        <f t="shared" si="12"/>
        <v>2 LeadGen Set Appointments</v>
      </c>
    </row>
    <row r="2288">
      <c r="A2288" s="6" t="s">
        <v>29</v>
      </c>
      <c r="B2288" s="8" t="s">
        <v>1614</v>
      </c>
      <c r="C2288" s="8" t="s">
        <v>1615</v>
      </c>
      <c r="D2288" s="9">
        <v>2.0</v>
      </c>
      <c r="E2288" s="67">
        <f t="shared" si="11"/>
        <v>500</v>
      </c>
      <c r="F2288" s="67" t="str">
        <f t="shared" si="12"/>
        <v>2 LeadGen Set Appointments</v>
      </c>
    </row>
    <row r="2289">
      <c r="A2289" s="6" t="s">
        <v>29</v>
      </c>
      <c r="B2289" s="8" t="s">
        <v>1616</v>
      </c>
      <c r="C2289" s="8" t="s">
        <v>1617</v>
      </c>
      <c r="D2289" s="9">
        <v>2.0</v>
      </c>
      <c r="E2289" s="67">
        <f t="shared" si="11"/>
        <v>500</v>
      </c>
      <c r="F2289" s="67" t="str">
        <f t="shared" si="12"/>
        <v>2 LeadGen Set Appointments</v>
      </c>
    </row>
    <row r="2290">
      <c r="A2290" s="6" t="s">
        <v>29</v>
      </c>
      <c r="B2290" s="8" t="s">
        <v>1618</v>
      </c>
      <c r="C2290" s="8" t="s">
        <v>1619</v>
      </c>
      <c r="D2290" s="9">
        <v>2.0</v>
      </c>
      <c r="E2290" s="67">
        <f t="shared" si="11"/>
        <v>500</v>
      </c>
      <c r="F2290" s="67" t="str">
        <f t="shared" si="12"/>
        <v>2 LeadGen Set Appointments</v>
      </c>
    </row>
    <row r="2291">
      <c r="A2291" s="6" t="s">
        <v>29</v>
      </c>
      <c r="B2291" s="8" t="s">
        <v>1325</v>
      </c>
      <c r="C2291" s="8" t="s">
        <v>1326</v>
      </c>
      <c r="D2291" s="9">
        <v>2.0</v>
      </c>
      <c r="E2291" s="67">
        <f t="shared" si="11"/>
        <v>500</v>
      </c>
      <c r="F2291" s="67" t="str">
        <f t="shared" si="12"/>
        <v>2 LeadGen Set Appointments</v>
      </c>
    </row>
    <row r="2292">
      <c r="A2292" s="6" t="s">
        <v>29</v>
      </c>
      <c r="B2292" s="8" t="s">
        <v>1301</v>
      </c>
      <c r="C2292" s="8" t="s">
        <v>1620</v>
      </c>
      <c r="D2292" s="9">
        <v>2.0</v>
      </c>
      <c r="E2292" s="67">
        <f t="shared" si="11"/>
        <v>500</v>
      </c>
      <c r="F2292" s="67" t="str">
        <f t="shared" si="12"/>
        <v>2 LeadGen Set Appointments</v>
      </c>
    </row>
    <row r="2293">
      <c r="A2293" s="6" t="s">
        <v>29</v>
      </c>
      <c r="B2293" s="8" t="s">
        <v>1621</v>
      </c>
      <c r="C2293" s="8" t="s">
        <v>1622</v>
      </c>
      <c r="D2293" s="9">
        <v>2.0</v>
      </c>
      <c r="E2293" s="67">
        <f t="shared" si="11"/>
        <v>500</v>
      </c>
      <c r="F2293" s="67" t="str">
        <f t="shared" si="12"/>
        <v>2 LeadGen Set Appointments</v>
      </c>
    </row>
    <row r="2294">
      <c r="A2294" s="6" t="s">
        <v>29</v>
      </c>
      <c r="B2294" s="8" t="s">
        <v>532</v>
      </c>
      <c r="C2294" s="8" t="s">
        <v>533</v>
      </c>
      <c r="D2294" s="9">
        <v>2.0</v>
      </c>
      <c r="E2294" s="67">
        <f t="shared" si="11"/>
        <v>500</v>
      </c>
      <c r="F2294" s="67" t="str">
        <f t="shared" si="12"/>
        <v>2 LeadGen Set Appointments</v>
      </c>
    </row>
    <row r="2295">
      <c r="A2295" s="6" t="s">
        <v>29</v>
      </c>
      <c r="B2295" s="8" t="s">
        <v>1623</v>
      </c>
      <c r="C2295" s="8" t="s">
        <v>1624</v>
      </c>
      <c r="D2295" s="9">
        <v>2.0</v>
      </c>
      <c r="E2295" s="67">
        <f t="shared" si="11"/>
        <v>500</v>
      </c>
      <c r="F2295" s="67" t="str">
        <f t="shared" si="12"/>
        <v>2 LeadGen Set Appointments</v>
      </c>
    </row>
    <row r="2296">
      <c r="A2296" s="6" t="s">
        <v>29</v>
      </c>
      <c r="B2296" s="8" t="s">
        <v>1625</v>
      </c>
      <c r="C2296" s="8" t="s">
        <v>1626</v>
      </c>
      <c r="D2296" s="9">
        <v>2.0</v>
      </c>
      <c r="E2296" s="67">
        <f t="shared" si="11"/>
        <v>500</v>
      </c>
      <c r="F2296" s="67" t="str">
        <f t="shared" si="12"/>
        <v>2 LeadGen Set Appointments</v>
      </c>
    </row>
    <row r="2297">
      <c r="A2297" s="6" t="s">
        <v>29</v>
      </c>
      <c r="B2297" s="8" t="s">
        <v>1627</v>
      </c>
      <c r="C2297" s="8" t="s">
        <v>1628</v>
      </c>
      <c r="D2297" s="9">
        <v>2.0</v>
      </c>
      <c r="E2297" s="67">
        <f t="shared" si="11"/>
        <v>500</v>
      </c>
      <c r="F2297" s="67" t="str">
        <f t="shared" si="12"/>
        <v>2 LeadGen Set Appointments</v>
      </c>
    </row>
    <row r="2298">
      <c r="A2298" s="6" t="s">
        <v>29</v>
      </c>
      <c r="B2298" s="8" t="s">
        <v>986</v>
      </c>
      <c r="C2298" s="8" t="s">
        <v>1629</v>
      </c>
      <c r="D2298" s="9">
        <v>2.0</v>
      </c>
      <c r="E2298" s="67">
        <f t="shared" si="11"/>
        <v>500</v>
      </c>
      <c r="F2298" s="67" t="str">
        <f t="shared" si="12"/>
        <v>2 LeadGen Set Appointments</v>
      </c>
    </row>
    <row r="2299">
      <c r="A2299" s="6" t="s">
        <v>29</v>
      </c>
      <c r="B2299" s="8" t="s">
        <v>1630</v>
      </c>
      <c r="C2299" s="8" t="s">
        <v>1631</v>
      </c>
      <c r="D2299" s="9">
        <v>2.0</v>
      </c>
      <c r="E2299" s="67">
        <f t="shared" si="11"/>
        <v>500</v>
      </c>
      <c r="F2299" s="67" t="str">
        <f t="shared" si="12"/>
        <v>2 LeadGen Set Appointments</v>
      </c>
    </row>
    <row r="2300">
      <c r="A2300" s="6" t="s">
        <v>29</v>
      </c>
      <c r="B2300" s="8" t="s">
        <v>1632</v>
      </c>
      <c r="C2300" s="8" t="s">
        <v>1633</v>
      </c>
      <c r="D2300" s="9">
        <v>2.0</v>
      </c>
      <c r="E2300" s="67">
        <f t="shared" si="11"/>
        <v>500</v>
      </c>
      <c r="F2300" s="67" t="str">
        <f t="shared" si="12"/>
        <v>2 LeadGen Set Appointments</v>
      </c>
    </row>
    <row r="2301">
      <c r="A2301" s="6" t="s">
        <v>29</v>
      </c>
      <c r="B2301" s="8" t="s">
        <v>1435</v>
      </c>
      <c r="C2301" s="8" t="s">
        <v>741</v>
      </c>
      <c r="D2301" s="9">
        <v>1.0</v>
      </c>
      <c r="E2301" s="67">
        <f t="shared" si="11"/>
        <v>250</v>
      </c>
      <c r="F2301" s="67" t="str">
        <f t="shared" si="12"/>
        <v>1 LeadGen Set Appointments</v>
      </c>
    </row>
    <row r="2302">
      <c r="A2302" s="6" t="s">
        <v>29</v>
      </c>
      <c r="B2302" s="8" t="s">
        <v>1634</v>
      </c>
      <c r="C2302" s="8" t="s">
        <v>1635</v>
      </c>
      <c r="D2302" s="9">
        <v>1.0</v>
      </c>
      <c r="E2302" s="67">
        <f t="shared" si="11"/>
        <v>250</v>
      </c>
      <c r="F2302" s="67" t="str">
        <f t="shared" si="12"/>
        <v>1 LeadGen Set Appointments</v>
      </c>
    </row>
    <row r="2303">
      <c r="A2303" s="6" t="s">
        <v>29</v>
      </c>
      <c r="B2303" s="8" t="s">
        <v>1636</v>
      </c>
      <c r="C2303" s="8" t="s">
        <v>1637</v>
      </c>
      <c r="D2303" s="9">
        <v>1.0</v>
      </c>
      <c r="E2303" s="67">
        <f t="shared" si="11"/>
        <v>250</v>
      </c>
      <c r="F2303" s="67" t="str">
        <f t="shared" si="12"/>
        <v>1 LeadGen Set Appointments</v>
      </c>
    </row>
    <row r="2304">
      <c r="A2304" s="6" t="s">
        <v>29</v>
      </c>
      <c r="B2304" s="8" t="s">
        <v>1638</v>
      </c>
      <c r="C2304" s="8" t="s">
        <v>1639</v>
      </c>
      <c r="D2304" s="9">
        <v>1.0</v>
      </c>
      <c r="E2304" s="67">
        <f t="shared" si="11"/>
        <v>250</v>
      </c>
      <c r="F2304" s="67" t="str">
        <f t="shared" si="12"/>
        <v>1 LeadGen Set Appointments</v>
      </c>
    </row>
    <row r="2305">
      <c r="A2305" s="6" t="s">
        <v>29</v>
      </c>
      <c r="B2305" s="8" t="s">
        <v>1640</v>
      </c>
      <c r="C2305" s="8" t="s">
        <v>1641</v>
      </c>
      <c r="D2305" s="9">
        <v>1.0</v>
      </c>
      <c r="E2305" s="67">
        <f t="shared" si="11"/>
        <v>250</v>
      </c>
      <c r="F2305" s="67" t="str">
        <f t="shared" si="12"/>
        <v>1 LeadGen Set Appointments</v>
      </c>
    </row>
    <row r="2306">
      <c r="A2306" s="6" t="s">
        <v>29</v>
      </c>
      <c r="B2306" s="8" t="s">
        <v>462</v>
      </c>
      <c r="C2306" s="8" t="s">
        <v>463</v>
      </c>
      <c r="D2306" s="9">
        <v>1.0</v>
      </c>
      <c r="E2306" s="67">
        <f t="shared" si="11"/>
        <v>250</v>
      </c>
      <c r="F2306" s="67" t="str">
        <f t="shared" si="12"/>
        <v>1 LeadGen Set Appointments</v>
      </c>
    </row>
    <row r="2307">
      <c r="A2307" s="6" t="s">
        <v>29</v>
      </c>
      <c r="B2307" s="8" t="s">
        <v>1642</v>
      </c>
      <c r="C2307" s="8" t="s">
        <v>1643</v>
      </c>
      <c r="D2307" s="9">
        <v>1.0</v>
      </c>
      <c r="E2307" s="67">
        <f t="shared" si="11"/>
        <v>250</v>
      </c>
      <c r="F2307" s="67" t="str">
        <f t="shared" si="12"/>
        <v>1 LeadGen Set Appointments</v>
      </c>
    </row>
    <row r="2308">
      <c r="A2308" s="6" t="s">
        <v>29</v>
      </c>
      <c r="B2308" s="8" t="s">
        <v>1644</v>
      </c>
      <c r="C2308" s="8" t="s">
        <v>1645</v>
      </c>
      <c r="D2308" s="9">
        <v>1.0</v>
      </c>
      <c r="E2308" s="67">
        <f t="shared" si="11"/>
        <v>250</v>
      </c>
      <c r="F2308" s="67" t="str">
        <f t="shared" si="12"/>
        <v>1 LeadGen Set Appointments</v>
      </c>
    </row>
    <row r="2309">
      <c r="A2309" s="6" t="s">
        <v>29</v>
      </c>
      <c r="B2309" s="8" t="s">
        <v>1646</v>
      </c>
      <c r="C2309" s="8" t="s">
        <v>1647</v>
      </c>
      <c r="D2309" s="9">
        <v>1.0</v>
      </c>
      <c r="E2309" s="67">
        <f t="shared" si="11"/>
        <v>250</v>
      </c>
      <c r="F2309" s="67" t="str">
        <f t="shared" si="12"/>
        <v>1 LeadGen Set Appointments</v>
      </c>
    </row>
    <row r="2310">
      <c r="A2310" s="6" t="s">
        <v>29</v>
      </c>
      <c r="B2310" s="8" t="s">
        <v>1648</v>
      </c>
      <c r="C2310" s="8" t="s">
        <v>1206</v>
      </c>
      <c r="D2310" s="9">
        <v>1.0</v>
      </c>
      <c r="E2310" s="67">
        <f t="shared" si="11"/>
        <v>250</v>
      </c>
      <c r="F2310" s="67" t="str">
        <f t="shared" si="12"/>
        <v>1 LeadGen Set Appointments</v>
      </c>
    </row>
    <row r="2311">
      <c r="A2311" s="6" t="s">
        <v>29</v>
      </c>
      <c r="B2311" s="8" t="s">
        <v>1649</v>
      </c>
      <c r="C2311" s="8" t="s">
        <v>1650</v>
      </c>
      <c r="D2311" s="9">
        <v>1.0</v>
      </c>
      <c r="E2311" s="67">
        <f t="shared" si="11"/>
        <v>250</v>
      </c>
      <c r="F2311" s="67" t="str">
        <f t="shared" si="12"/>
        <v>1 LeadGen Set Appointments</v>
      </c>
    </row>
    <row r="2312">
      <c r="A2312" s="6" t="s">
        <v>29</v>
      </c>
      <c r="B2312" s="8" t="s">
        <v>1651</v>
      </c>
      <c r="C2312" s="8" t="s">
        <v>1652</v>
      </c>
      <c r="D2312" s="9">
        <v>1.0</v>
      </c>
      <c r="E2312" s="67">
        <f t="shared" si="11"/>
        <v>250</v>
      </c>
      <c r="F2312" s="67" t="str">
        <f t="shared" si="12"/>
        <v>1 LeadGen Set Appointments</v>
      </c>
    </row>
    <row r="2313">
      <c r="A2313" s="6" t="s">
        <v>29</v>
      </c>
      <c r="B2313" s="8" t="s">
        <v>1653</v>
      </c>
      <c r="C2313" s="8" t="s">
        <v>1654</v>
      </c>
      <c r="D2313" s="9">
        <v>1.0</v>
      </c>
      <c r="E2313" s="67">
        <f t="shared" si="11"/>
        <v>250</v>
      </c>
      <c r="F2313" s="67" t="str">
        <f t="shared" si="12"/>
        <v>1 LeadGen Set Appointments</v>
      </c>
    </row>
    <row r="2314">
      <c r="A2314" s="6" t="s">
        <v>29</v>
      </c>
      <c r="B2314" s="8" t="s">
        <v>693</v>
      </c>
      <c r="C2314" s="8" t="s">
        <v>694</v>
      </c>
      <c r="D2314" s="9">
        <v>1.0</v>
      </c>
      <c r="E2314" s="67">
        <f t="shared" si="11"/>
        <v>250</v>
      </c>
      <c r="F2314" s="67" t="str">
        <f t="shared" si="12"/>
        <v>1 LeadGen Set Appointments</v>
      </c>
    </row>
    <row r="2315">
      <c r="A2315" s="6" t="s">
        <v>29</v>
      </c>
      <c r="B2315" s="8" t="s">
        <v>1655</v>
      </c>
      <c r="C2315" s="8" t="s">
        <v>1656</v>
      </c>
      <c r="D2315" s="9">
        <v>1.0</v>
      </c>
      <c r="E2315" s="67">
        <f t="shared" si="11"/>
        <v>250</v>
      </c>
      <c r="F2315" s="67" t="str">
        <f t="shared" si="12"/>
        <v>1 LeadGen Set Appointments</v>
      </c>
    </row>
    <row r="2316">
      <c r="A2316" s="6" t="s">
        <v>29</v>
      </c>
      <c r="B2316" s="8" t="s">
        <v>1657</v>
      </c>
      <c r="C2316" s="8" t="s">
        <v>1658</v>
      </c>
      <c r="D2316" s="9">
        <v>1.0</v>
      </c>
      <c r="E2316" s="67">
        <f t="shared" si="11"/>
        <v>250</v>
      </c>
      <c r="F2316" s="67" t="str">
        <f t="shared" si="12"/>
        <v>1 LeadGen Set Appointments</v>
      </c>
    </row>
    <row r="2317">
      <c r="A2317" s="6" t="s">
        <v>29</v>
      </c>
      <c r="B2317" s="8" t="s">
        <v>1659</v>
      </c>
      <c r="C2317" s="8" t="s">
        <v>1660</v>
      </c>
      <c r="D2317" s="9">
        <v>1.0</v>
      </c>
      <c r="E2317" s="67">
        <f t="shared" si="11"/>
        <v>250</v>
      </c>
      <c r="F2317" s="67" t="str">
        <f t="shared" si="12"/>
        <v>1 LeadGen Set Appointments</v>
      </c>
    </row>
    <row r="2318">
      <c r="A2318" s="6" t="s">
        <v>29</v>
      </c>
      <c r="B2318" s="8" t="s">
        <v>1661</v>
      </c>
      <c r="C2318" s="8" t="s">
        <v>1662</v>
      </c>
      <c r="D2318" s="9">
        <v>1.0</v>
      </c>
      <c r="E2318" s="67">
        <f t="shared" si="11"/>
        <v>250</v>
      </c>
      <c r="F2318" s="67" t="str">
        <f t="shared" si="12"/>
        <v>1 LeadGen Set Appointments</v>
      </c>
    </row>
    <row r="2319">
      <c r="A2319" s="6" t="s">
        <v>29</v>
      </c>
      <c r="B2319" s="8" t="s">
        <v>1247</v>
      </c>
      <c r="C2319" s="8" t="s">
        <v>1663</v>
      </c>
      <c r="D2319" s="9">
        <v>1.0</v>
      </c>
      <c r="E2319" s="67">
        <f t="shared" si="11"/>
        <v>250</v>
      </c>
      <c r="F2319" s="67" t="str">
        <f t="shared" si="12"/>
        <v>1 LeadGen Set Appointments</v>
      </c>
    </row>
    <row r="2320">
      <c r="A2320" s="6" t="s">
        <v>29</v>
      </c>
      <c r="B2320" s="8" t="s">
        <v>1664</v>
      </c>
      <c r="C2320" s="8" t="s">
        <v>1665</v>
      </c>
      <c r="D2320" s="9">
        <v>1.0</v>
      </c>
      <c r="E2320" s="67">
        <f t="shared" si="11"/>
        <v>250</v>
      </c>
      <c r="F2320" s="67" t="str">
        <f t="shared" si="12"/>
        <v>1 LeadGen Set Appointments</v>
      </c>
    </row>
    <row r="2321">
      <c r="A2321" s="6" t="s">
        <v>29</v>
      </c>
      <c r="B2321" s="8" t="s">
        <v>1666</v>
      </c>
      <c r="C2321" s="8" t="s">
        <v>1667</v>
      </c>
      <c r="D2321" s="9">
        <v>1.0</v>
      </c>
      <c r="E2321" s="67">
        <f t="shared" si="11"/>
        <v>250</v>
      </c>
      <c r="F2321" s="67" t="str">
        <f t="shared" si="12"/>
        <v>1 LeadGen Set Appointments</v>
      </c>
    </row>
    <row r="2322">
      <c r="A2322" s="6" t="s">
        <v>29</v>
      </c>
      <c r="B2322" s="8" t="s">
        <v>1668</v>
      </c>
      <c r="C2322" s="8" t="s">
        <v>1669</v>
      </c>
      <c r="D2322" s="9">
        <v>1.0</v>
      </c>
      <c r="E2322" s="67">
        <f t="shared" si="11"/>
        <v>250</v>
      </c>
      <c r="F2322" s="67" t="str">
        <f t="shared" si="12"/>
        <v>1 LeadGen Set Appointments</v>
      </c>
    </row>
    <row r="2323">
      <c r="A2323" s="6" t="s">
        <v>29</v>
      </c>
      <c r="B2323" s="8" t="s">
        <v>1670</v>
      </c>
      <c r="C2323" s="8" t="s">
        <v>1671</v>
      </c>
      <c r="D2323" s="9">
        <v>1.0</v>
      </c>
      <c r="E2323" s="67">
        <f t="shared" si="11"/>
        <v>250</v>
      </c>
      <c r="F2323" s="67" t="str">
        <f t="shared" si="12"/>
        <v>1 LeadGen Set Appointments</v>
      </c>
    </row>
    <row r="2324">
      <c r="A2324" s="6" t="s">
        <v>29</v>
      </c>
      <c r="B2324" s="8" t="s">
        <v>1672</v>
      </c>
      <c r="C2324" s="8" t="s">
        <v>1673</v>
      </c>
      <c r="D2324" s="9">
        <v>1.0</v>
      </c>
      <c r="E2324" s="67">
        <f t="shared" si="11"/>
        <v>250</v>
      </c>
      <c r="F2324" s="67" t="str">
        <f t="shared" si="12"/>
        <v>1 LeadGen Set Appointments</v>
      </c>
    </row>
    <row r="2325">
      <c r="A2325" s="6" t="s">
        <v>29</v>
      </c>
      <c r="B2325" s="8" t="s">
        <v>1674</v>
      </c>
      <c r="C2325" s="8" t="s">
        <v>1675</v>
      </c>
      <c r="D2325" s="9">
        <v>1.0</v>
      </c>
      <c r="E2325" s="67">
        <f t="shared" si="11"/>
        <v>250</v>
      </c>
      <c r="F2325" s="67" t="str">
        <f t="shared" si="12"/>
        <v>1 LeadGen Set Appointments</v>
      </c>
    </row>
    <row r="2326">
      <c r="A2326" s="6" t="s">
        <v>29</v>
      </c>
      <c r="B2326" s="8" t="s">
        <v>1676</v>
      </c>
      <c r="C2326" s="8" t="s">
        <v>1677</v>
      </c>
      <c r="D2326" s="9">
        <v>1.0</v>
      </c>
      <c r="E2326" s="67">
        <f t="shared" si="11"/>
        <v>250</v>
      </c>
      <c r="F2326" s="67" t="str">
        <f t="shared" si="12"/>
        <v>1 LeadGen Set Appointments</v>
      </c>
    </row>
    <row r="2327">
      <c r="A2327" s="6" t="s">
        <v>29</v>
      </c>
      <c r="B2327" s="8" t="s">
        <v>1678</v>
      </c>
      <c r="C2327" s="8" t="s">
        <v>1679</v>
      </c>
      <c r="D2327" s="9">
        <v>1.0</v>
      </c>
      <c r="E2327" s="67">
        <f t="shared" si="11"/>
        <v>250</v>
      </c>
      <c r="F2327" s="67" t="str">
        <f t="shared" si="12"/>
        <v>1 LeadGen Set Appointments</v>
      </c>
    </row>
    <row r="2328">
      <c r="A2328" s="6" t="s">
        <v>29</v>
      </c>
      <c r="B2328" s="8" t="s">
        <v>1680</v>
      </c>
      <c r="C2328" s="8" t="s">
        <v>1681</v>
      </c>
      <c r="D2328" s="9">
        <v>1.0</v>
      </c>
      <c r="E2328" s="67">
        <f t="shared" si="11"/>
        <v>250</v>
      </c>
      <c r="F2328" s="67" t="str">
        <f t="shared" si="12"/>
        <v>1 LeadGen Set Appointments</v>
      </c>
    </row>
    <row r="2329">
      <c r="A2329" s="6" t="s">
        <v>29</v>
      </c>
      <c r="B2329" s="8" t="s">
        <v>1682</v>
      </c>
      <c r="C2329" s="8" t="s">
        <v>1683</v>
      </c>
      <c r="D2329" s="9">
        <v>1.0</v>
      </c>
      <c r="E2329" s="67">
        <f t="shared" si="11"/>
        <v>250</v>
      </c>
      <c r="F2329" s="67" t="str">
        <f t="shared" si="12"/>
        <v>1 LeadGen Set Appointments</v>
      </c>
    </row>
    <row r="2330">
      <c r="A2330" s="6" t="s">
        <v>29</v>
      </c>
      <c r="B2330" s="8" t="s">
        <v>1684</v>
      </c>
      <c r="C2330" s="8" t="s">
        <v>1685</v>
      </c>
      <c r="D2330" s="9">
        <v>2.0</v>
      </c>
      <c r="E2330" s="67">
        <f t="shared" si="11"/>
        <v>500</v>
      </c>
      <c r="F2330" s="67" t="str">
        <f t="shared" si="12"/>
        <v>2 LeadGen Set Appointments</v>
      </c>
    </row>
    <row r="2331">
      <c r="A2331" s="6" t="s">
        <v>29</v>
      </c>
      <c r="B2331" s="8" t="s">
        <v>1686</v>
      </c>
      <c r="C2331" s="8" t="s">
        <v>1687</v>
      </c>
      <c r="D2331" s="9">
        <v>1.0</v>
      </c>
      <c r="E2331" s="67">
        <f t="shared" si="11"/>
        <v>250</v>
      </c>
      <c r="F2331" s="67" t="str">
        <f t="shared" si="12"/>
        <v>1 LeadGen Set Appointments</v>
      </c>
    </row>
    <row r="2332">
      <c r="A2332" s="6" t="s">
        <v>29</v>
      </c>
      <c r="B2332" s="8" t="s">
        <v>1688</v>
      </c>
      <c r="C2332" s="8" t="s">
        <v>1689</v>
      </c>
      <c r="D2332" s="9">
        <v>1.0</v>
      </c>
      <c r="E2332" s="67">
        <f t="shared" si="11"/>
        <v>250</v>
      </c>
      <c r="F2332" s="67" t="str">
        <f t="shared" si="12"/>
        <v>1 LeadGen Set Appointments</v>
      </c>
    </row>
    <row r="2333">
      <c r="A2333" s="6" t="s">
        <v>29</v>
      </c>
      <c r="B2333" s="8" t="s">
        <v>1690</v>
      </c>
      <c r="C2333" s="8" t="s">
        <v>1691</v>
      </c>
      <c r="D2333" s="9">
        <v>2.0</v>
      </c>
      <c r="E2333" s="67">
        <f t="shared" si="11"/>
        <v>500</v>
      </c>
      <c r="F2333" s="67" t="str">
        <f t="shared" si="12"/>
        <v>2 LeadGen Set Appointments</v>
      </c>
    </row>
    <row r="2334">
      <c r="A2334" s="6" t="s">
        <v>29</v>
      </c>
      <c r="B2334" s="8" t="s">
        <v>1237</v>
      </c>
      <c r="C2334" s="8" t="s">
        <v>1238</v>
      </c>
      <c r="D2334" s="9">
        <v>2.0</v>
      </c>
      <c r="E2334" s="67">
        <f t="shared" si="11"/>
        <v>500</v>
      </c>
      <c r="F2334" s="67" t="str">
        <f t="shared" si="12"/>
        <v>2 LeadGen Set Appointments</v>
      </c>
    </row>
    <row r="2335">
      <c r="A2335" s="6" t="s">
        <v>29</v>
      </c>
      <c r="B2335" s="8" t="s">
        <v>582</v>
      </c>
      <c r="C2335" s="8" t="s">
        <v>583</v>
      </c>
      <c r="D2335" s="9">
        <v>1.0</v>
      </c>
      <c r="E2335" s="67">
        <f t="shared" si="11"/>
        <v>250</v>
      </c>
      <c r="F2335" s="67" t="str">
        <f t="shared" si="12"/>
        <v>1 LeadGen Set Appointments</v>
      </c>
    </row>
    <row r="2336">
      <c r="A2336" s="6" t="s">
        <v>29</v>
      </c>
      <c r="B2336" s="8" t="s">
        <v>650</v>
      </c>
      <c r="C2336" s="8" t="s">
        <v>651</v>
      </c>
      <c r="D2336" s="9">
        <v>1.0</v>
      </c>
      <c r="E2336" s="67">
        <f t="shared" si="11"/>
        <v>250</v>
      </c>
      <c r="F2336" s="67" t="str">
        <f t="shared" si="12"/>
        <v>1 LeadGen Set Appointments</v>
      </c>
    </row>
    <row r="2337">
      <c r="A2337" s="6" t="s">
        <v>29</v>
      </c>
      <c r="B2337" s="8" t="s">
        <v>1692</v>
      </c>
      <c r="C2337" s="8" t="s">
        <v>1693</v>
      </c>
      <c r="D2337" s="9">
        <v>1.0</v>
      </c>
      <c r="E2337" s="67">
        <f t="shared" si="11"/>
        <v>250</v>
      </c>
      <c r="F2337" s="67" t="str">
        <f t="shared" si="12"/>
        <v>1 LeadGen Set Appointments</v>
      </c>
    </row>
    <row r="2338">
      <c r="A2338" s="6" t="s">
        <v>29</v>
      </c>
      <c r="B2338" s="8" t="s">
        <v>1694</v>
      </c>
      <c r="C2338" s="8" t="s">
        <v>1695</v>
      </c>
      <c r="D2338" s="9">
        <v>3.0</v>
      </c>
      <c r="E2338" s="67">
        <f t="shared" si="11"/>
        <v>750</v>
      </c>
      <c r="F2338" s="67" t="str">
        <f t="shared" si="12"/>
        <v>3 LeadGen Set Appointments</v>
      </c>
    </row>
    <row r="2339">
      <c r="A2339" s="6" t="s">
        <v>29</v>
      </c>
      <c r="B2339" s="8" t="s">
        <v>1696</v>
      </c>
      <c r="C2339" s="8" t="s">
        <v>1697</v>
      </c>
      <c r="D2339" s="9">
        <v>1.0</v>
      </c>
      <c r="E2339" s="67">
        <f t="shared" si="11"/>
        <v>250</v>
      </c>
      <c r="F2339" s="67" t="str">
        <f t="shared" si="12"/>
        <v>1 LeadGen Set Appointments</v>
      </c>
    </row>
    <row r="2340">
      <c r="A2340" s="6" t="s">
        <v>29</v>
      </c>
      <c r="B2340" s="8" t="s">
        <v>1698</v>
      </c>
      <c r="C2340" s="8" t="s">
        <v>1699</v>
      </c>
      <c r="D2340" s="9">
        <v>6.0</v>
      </c>
      <c r="E2340" s="67">
        <f t="shared" si="11"/>
        <v>1500</v>
      </c>
      <c r="F2340" s="67" t="str">
        <f t="shared" si="12"/>
        <v>6 LeadGen Set Appointments</v>
      </c>
    </row>
    <row r="2341">
      <c r="A2341" s="6" t="s">
        <v>29</v>
      </c>
      <c r="B2341" s="8" t="s">
        <v>1700</v>
      </c>
      <c r="C2341" s="8" t="s">
        <v>1701</v>
      </c>
      <c r="D2341" s="9">
        <v>6.0</v>
      </c>
      <c r="E2341" s="67">
        <f t="shared" si="11"/>
        <v>1500</v>
      </c>
      <c r="F2341" s="67" t="str">
        <f t="shared" si="12"/>
        <v>6 LeadGen Set Appointments</v>
      </c>
    </row>
    <row r="2342">
      <c r="A2342" s="6" t="s">
        <v>29</v>
      </c>
      <c r="B2342" s="8" t="s">
        <v>1702</v>
      </c>
      <c r="C2342" s="8" t="s">
        <v>1703</v>
      </c>
      <c r="D2342" s="9">
        <v>2.0</v>
      </c>
      <c r="E2342" s="67">
        <f t="shared" si="11"/>
        <v>500</v>
      </c>
      <c r="F2342" s="67" t="str">
        <f t="shared" si="12"/>
        <v>2 LeadGen Set Appointments</v>
      </c>
    </row>
    <row r="2343">
      <c r="A2343" s="6" t="s">
        <v>29</v>
      </c>
      <c r="B2343" s="8" t="s">
        <v>1704</v>
      </c>
      <c r="C2343" s="8" t="s">
        <v>1705</v>
      </c>
      <c r="D2343" s="9">
        <v>4.0</v>
      </c>
      <c r="E2343" s="67">
        <f t="shared" si="11"/>
        <v>1000</v>
      </c>
      <c r="F2343" s="67" t="str">
        <f t="shared" si="12"/>
        <v>4 LeadGen Set Appointments</v>
      </c>
    </row>
    <row r="2344">
      <c r="A2344" s="6" t="s">
        <v>29</v>
      </c>
      <c r="B2344" s="8" t="s">
        <v>1706</v>
      </c>
      <c r="C2344" s="8" t="s">
        <v>1707</v>
      </c>
      <c r="D2344" s="9">
        <v>1.0</v>
      </c>
      <c r="E2344" s="67">
        <f t="shared" si="11"/>
        <v>250</v>
      </c>
      <c r="F2344" s="67" t="str">
        <f t="shared" si="12"/>
        <v>1 LeadGen Set Appointments</v>
      </c>
    </row>
    <row r="2345">
      <c r="A2345" s="6" t="s">
        <v>29</v>
      </c>
      <c r="B2345" s="8" t="s">
        <v>1708</v>
      </c>
      <c r="C2345" s="8" t="s">
        <v>1709</v>
      </c>
      <c r="D2345" s="9">
        <v>2.0</v>
      </c>
      <c r="E2345" s="67">
        <f t="shared" si="11"/>
        <v>500</v>
      </c>
      <c r="F2345" s="67" t="str">
        <f t="shared" si="12"/>
        <v>2 LeadGen Set Appointments</v>
      </c>
    </row>
    <row r="2346">
      <c r="A2346" s="6" t="s">
        <v>29</v>
      </c>
      <c r="B2346" s="8" t="s">
        <v>1710</v>
      </c>
      <c r="C2346" s="8" t="s">
        <v>1711</v>
      </c>
      <c r="D2346" s="9">
        <v>5.0</v>
      </c>
      <c r="E2346" s="67">
        <f t="shared" si="11"/>
        <v>1250</v>
      </c>
      <c r="F2346" s="67" t="str">
        <f t="shared" si="12"/>
        <v>5 LeadGen Set Appointments</v>
      </c>
    </row>
    <row r="2347">
      <c r="A2347" s="6" t="s">
        <v>29</v>
      </c>
      <c r="B2347" s="8" t="s">
        <v>1712</v>
      </c>
      <c r="C2347" s="8" t="s">
        <v>1713</v>
      </c>
      <c r="D2347" s="9">
        <v>3.0</v>
      </c>
      <c r="E2347" s="67">
        <f t="shared" si="11"/>
        <v>750</v>
      </c>
      <c r="F2347" s="67" t="str">
        <f t="shared" si="12"/>
        <v>3 LeadGen Set Appointments</v>
      </c>
    </row>
    <row r="2348">
      <c r="A2348" s="6" t="s">
        <v>29</v>
      </c>
      <c r="B2348" s="8" t="s">
        <v>1714</v>
      </c>
      <c r="C2348" s="8" t="s">
        <v>1715</v>
      </c>
      <c r="D2348" s="9">
        <v>1.0</v>
      </c>
      <c r="E2348" s="67">
        <f t="shared" si="11"/>
        <v>250</v>
      </c>
      <c r="F2348" s="67" t="str">
        <f t="shared" si="12"/>
        <v>1 LeadGen Set Appointments</v>
      </c>
    </row>
    <row r="2349">
      <c r="A2349" s="6" t="s">
        <v>29</v>
      </c>
      <c r="B2349" s="8" t="s">
        <v>1039</v>
      </c>
      <c r="C2349" s="8" t="s">
        <v>1040</v>
      </c>
      <c r="D2349" s="9">
        <v>4.0</v>
      </c>
      <c r="E2349" s="67">
        <f t="shared" si="11"/>
        <v>1000</v>
      </c>
      <c r="F2349" s="67" t="str">
        <f t="shared" si="12"/>
        <v>4 LeadGen Set Appointments</v>
      </c>
    </row>
    <row r="2350">
      <c r="A2350" s="6" t="s">
        <v>29</v>
      </c>
      <c r="B2350" s="8" t="s">
        <v>1716</v>
      </c>
      <c r="C2350" s="8" t="s">
        <v>30</v>
      </c>
      <c r="D2350" s="9">
        <v>3.0</v>
      </c>
      <c r="E2350" s="67">
        <f t="shared" si="11"/>
        <v>750</v>
      </c>
      <c r="F2350" s="67" t="str">
        <f t="shared" si="12"/>
        <v>3 LeadGen Set Appointments</v>
      </c>
    </row>
    <row r="2351" hidden="1">
      <c r="A2351" s="6" t="s">
        <v>38</v>
      </c>
      <c r="B2351" s="13" t="s">
        <v>476</v>
      </c>
      <c r="C2351" s="13" t="s">
        <v>477</v>
      </c>
      <c r="D2351" s="15">
        <v>24.0</v>
      </c>
      <c r="E2351" s="67">
        <f t="shared" si="11"/>
        <v>12000</v>
      </c>
      <c r="F2351" s="62" t="str">
        <f t="shared" si="12"/>
        <v>24 LeadGen Set Appointments</v>
      </c>
    </row>
    <row r="2352" hidden="1">
      <c r="A2352" s="6" t="s">
        <v>38</v>
      </c>
      <c r="B2352" s="13" t="s">
        <v>540</v>
      </c>
      <c r="C2352" s="13" t="s">
        <v>1454</v>
      </c>
      <c r="D2352" s="15">
        <v>20.0</v>
      </c>
      <c r="E2352" s="67">
        <f t="shared" si="11"/>
        <v>10000</v>
      </c>
      <c r="F2352" s="62" t="str">
        <f t="shared" si="12"/>
        <v>20 LeadGen Set Appointments</v>
      </c>
    </row>
    <row r="2353" hidden="1">
      <c r="A2353" s="6" t="s">
        <v>38</v>
      </c>
      <c r="B2353" s="13" t="s">
        <v>1455</v>
      </c>
      <c r="C2353" s="13" t="s">
        <v>1456</v>
      </c>
      <c r="D2353" s="15">
        <v>16.0</v>
      </c>
      <c r="E2353" s="67">
        <f t="shared" si="11"/>
        <v>8000</v>
      </c>
      <c r="F2353" s="62" t="str">
        <f t="shared" si="12"/>
        <v>16 LeadGen Set Appointments</v>
      </c>
    </row>
    <row r="2354" hidden="1">
      <c r="A2354" s="6" t="s">
        <v>38</v>
      </c>
      <c r="B2354" s="13" t="s">
        <v>435</v>
      </c>
      <c r="C2354" s="13" t="s">
        <v>436</v>
      </c>
      <c r="D2354" s="15">
        <v>16.0</v>
      </c>
      <c r="E2354" s="67">
        <f t="shared" si="11"/>
        <v>8000</v>
      </c>
      <c r="F2354" s="62" t="str">
        <f t="shared" si="12"/>
        <v>16 LeadGen Set Appointments</v>
      </c>
    </row>
    <row r="2355" hidden="1">
      <c r="A2355" s="6" t="s">
        <v>38</v>
      </c>
      <c r="B2355" s="13" t="s">
        <v>1489</v>
      </c>
      <c r="C2355" s="13" t="s">
        <v>1490</v>
      </c>
      <c r="D2355" s="15">
        <v>14.0</v>
      </c>
      <c r="E2355" s="67">
        <f t="shared" si="11"/>
        <v>7000</v>
      </c>
      <c r="F2355" s="62" t="str">
        <f t="shared" si="12"/>
        <v>14 LeadGen Set Appointments</v>
      </c>
    </row>
    <row r="2356" hidden="1">
      <c r="A2356" s="6" t="s">
        <v>38</v>
      </c>
      <c r="B2356" s="13" t="s">
        <v>644</v>
      </c>
      <c r="C2356" s="13" t="s">
        <v>645</v>
      </c>
      <c r="D2356" s="15">
        <v>14.0</v>
      </c>
      <c r="E2356" s="67">
        <f t="shared" si="11"/>
        <v>7000</v>
      </c>
      <c r="F2356" s="62" t="str">
        <f t="shared" si="12"/>
        <v>14 LeadGen Set Appointments</v>
      </c>
    </row>
    <row r="2357" hidden="1">
      <c r="A2357" s="6" t="s">
        <v>38</v>
      </c>
      <c r="B2357" s="13" t="s">
        <v>1491</v>
      </c>
      <c r="C2357" s="13" t="s">
        <v>1492</v>
      </c>
      <c r="D2357" s="15">
        <v>14.0</v>
      </c>
      <c r="E2357" s="67">
        <f t="shared" si="11"/>
        <v>7000</v>
      </c>
      <c r="F2357" s="62" t="str">
        <f t="shared" si="12"/>
        <v>14 LeadGen Set Appointments</v>
      </c>
    </row>
    <row r="2358" hidden="1">
      <c r="A2358" s="6" t="s">
        <v>38</v>
      </c>
      <c r="B2358" s="13" t="s">
        <v>699</v>
      </c>
      <c r="C2358" s="13" t="s">
        <v>700</v>
      </c>
      <c r="D2358" s="15">
        <v>13.0</v>
      </c>
      <c r="E2358" s="67">
        <f t="shared" si="11"/>
        <v>6500</v>
      </c>
      <c r="F2358" s="62" t="str">
        <f t="shared" si="12"/>
        <v>13 LeadGen Set Appointments</v>
      </c>
    </row>
    <row r="2359" hidden="1">
      <c r="A2359" s="6" t="s">
        <v>38</v>
      </c>
      <c r="B2359" s="13" t="s">
        <v>1459</v>
      </c>
      <c r="C2359" s="13" t="s">
        <v>1460</v>
      </c>
      <c r="D2359" s="15">
        <v>12.0</v>
      </c>
      <c r="E2359" s="67">
        <f t="shared" si="11"/>
        <v>6000</v>
      </c>
      <c r="F2359" s="62" t="str">
        <f t="shared" si="12"/>
        <v>12 LeadGen Set Appointments</v>
      </c>
    </row>
    <row r="2360" hidden="1">
      <c r="A2360" s="6" t="s">
        <v>38</v>
      </c>
      <c r="B2360" s="8" t="s">
        <v>1557</v>
      </c>
      <c r="C2360" s="8" t="s">
        <v>1558</v>
      </c>
      <c r="D2360" s="9">
        <v>12.0</v>
      </c>
      <c r="E2360" s="67">
        <f t="shared" si="11"/>
        <v>6000</v>
      </c>
      <c r="F2360" s="67" t="str">
        <f t="shared" si="12"/>
        <v>12 LeadGen Set Appointments</v>
      </c>
    </row>
    <row r="2361" hidden="1">
      <c r="A2361" s="6" t="s">
        <v>38</v>
      </c>
      <c r="B2361" s="13" t="s">
        <v>1581</v>
      </c>
      <c r="C2361" s="13" t="s">
        <v>1582</v>
      </c>
      <c r="D2361" s="15">
        <v>11.0</v>
      </c>
      <c r="E2361" s="67">
        <f t="shared" si="11"/>
        <v>5500</v>
      </c>
      <c r="F2361" s="62" t="str">
        <f t="shared" si="12"/>
        <v>11 LeadGen Set Appointments</v>
      </c>
    </row>
    <row r="2362" hidden="1">
      <c r="A2362" s="6" t="s">
        <v>38</v>
      </c>
      <c r="B2362" s="13" t="s">
        <v>1421</v>
      </c>
      <c r="C2362" s="13" t="s">
        <v>712</v>
      </c>
      <c r="D2362" s="15">
        <v>11.0</v>
      </c>
      <c r="E2362" s="67">
        <f t="shared" si="11"/>
        <v>5500</v>
      </c>
      <c r="F2362" s="62" t="str">
        <f t="shared" si="12"/>
        <v>11 LeadGen Set Appointments</v>
      </c>
    </row>
    <row r="2363" hidden="1">
      <c r="A2363" s="6" t="s">
        <v>38</v>
      </c>
      <c r="B2363" s="13" t="s">
        <v>411</v>
      </c>
      <c r="C2363" s="13" t="s">
        <v>412</v>
      </c>
      <c r="D2363" s="15">
        <v>11.0</v>
      </c>
      <c r="E2363" s="67">
        <f t="shared" si="11"/>
        <v>5500</v>
      </c>
      <c r="F2363" s="62" t="str">
        <f t="shared" si="12"/>
        <v>11 LeadGen Set Appointments</v>
      </c>
    </row>
    <row r="2364" hidden="1">
      <c r="A2364" s="6" t="s">
        <v>38</v>
      </c>
      <c r="B2364" s="13" t="s">
        <v>624</v>
      </c>
      <c r="C2364" s="13" t="s">
        <v>625</v>
      </c>
      <c r="D2364" s="15">
        <v>11.0</v>
      </c>
      <c r="E2364" s="67">
        <f t="shared" si="11"/>
        <v>5500</v>
      </c>
      <c r="F2364" s="62" t="str">
        <f t="shared" si="12"/>
        <v>11 LeadGen Set Appointments</v>
      </c>
    </row>
    <row r="2365" hidden="1">
      <c r="A2365" s="6" t="s">
        <v>38</v>
      </c>
      <c r="B2365" s="13" t="s">
        <v>766</v>
      </c>
      <c r="C2365" s="13" t="s">
        <v>767</v>
      </c>
      <c r="D2365" s="15">
        <v>11.0</v>
      </c>
      <c r="E2365" s="67">
        <f t="shared" si="11"/>
        <v>5500</v>
      </c>
      <c r="F2365" s="62" t="str">
        <f t="shared" si="12"/>
        <v>11 LeadGen Set Appointments</v>
      </c>
    </row>
    <row r="2366" hidden="1">
      <c r="A2366" s="6" t="s">
        <v>38</v>
      </c>
      <c r="B2366" s="13" t="s">
        <v>1471</v>
      </c>
      <c r="C2366" s="13" t="s">
        <v>1472</v>
      </c>
      <c r="D2366" s="15">
        <v>11.0</v>
      </c>
      <c r="E2366" s="67">
        <f t="shared" si="11"/>
        <v>5500</v>
      </c>
      <c r="F2366" s="62" t="str">
        <f t="shared" si="12"/>
        <v>11 LeadGen Set Appointments</v>
      </c>
    </row>
    <row r="2367" hidden="1">
      <c r="A2367" s="6" t="s">
        <v>38</v>
      </c>
      <c r="B2367" s="13" t="s">
        <v>1426</v>
      </c>
      <c r="C2367" s="13" t="s">
        <v>1427</v>
      </c>
      <c r="D2367" s="15">
        <v>10.0</v>
      </c>
      <c r="E2367" s="67">
        <f t="shared" si="11"/>
        <v>5000</v>
      </c>
      <c r="F2367" s="62" t="str">
        <f t="shared" si="12"/>
        <v>10 LeadGen Set Appointments</v>
      </c>
    </row>
    <row r="2368" hidden="1">
      <c r="A2368" s="6" t="s">
        <v>38</v>
      </c>
      <c r="B2368" s="8" t="s">
        <v>1573</v>
      </c>
      <c r="C2368" s="8" t="s">
        <v>1574</v>
      </c>
      <c r="D2368" s="9">
        <v>10.0</v>
      </c>
      <c r="E2368" s="67">
        <f t="shared" si="11"/>
        <v>5000</v>
      </c>
      <c r="F2368" s="67" t="str">
        <f t="shared" si="12"/>
        <v>10 LeadGen Set Appointments</v>
      </c>
    </row>
    <row r="2369" hidden="1">
      <c r="A2369" s="6" t="s">
        <v>38</v>
      </c>
      <c r="B2369" s="8" t="s">
        <v>1025</v>
      </c>
      <c r="C2369" s="8" t="s">
        <v>1026</v>
      </c>
      <c r="D2369" s="9">
        <v>14.0</v>
      </c>
      <c r="E2369" s="67">
        <f t="shared" si="11"/>
        <v>7000</v>
      </c>
      <c r="F2369" s="67" t="str">
        <f t="shared" si="12"/>
        <v>14 LeadGen Set Appointments</v>
      </c>
    </row>
    <row r="2370" hidden="1">
      <c r="A2370" s="6" t="s">
        <v>38</v>
      </c>
      <c r="B2370" s="8" t="s">
        <v>1457</v>
      </c>
      <c r="C2370" s="8" t="s">
        <v>1458</v>
      </c>
      <c r="D2370" s="9">
        <v>11.0</v>
      </c>
      <c r="E2370" s="67">
        <f t="shared" si="11"/>
        <v>5500</v>
      </c>
      <c r="F2370" s="67" t="str">
        <f t="shared" si="12"/>
        <v>11 LeadGen Set Appointments</v>
      </c>
    </row>
    <row r="2371" hidden="1">
      <c r="A2371" s="6" t="s">
        <v>38</v>
      </c>
      <c r="B2371" s="13" t="s">
        <v>1506</v>
      </c>
      <c r="C2371" s="13" t="s">
        <v>1507</v>
      </c>
      <c r="D2371" s="15">
        <v>10.0</v>
      </c>
      <c r="E2371" s="67">
        <f t="shared" si="11"/>
        <v>5000</v>
      </c>
      <c r="F2371" s="62" t="str">
        <f t="shared" si="12"/>
        <v>10 LeadGen Set Appointments</v>
      </c>
    </row>
    <row r="2372" hidden="1">
      <c r="A2372" s="6" t="s">
        <v>38</v>
      </c>
      <c r="B2372" s="13" t="s">
        <v>1479</v>
      </c>
      <c r="C2372" s="13" t="s">
        <v>1480</v>
      </c>
      <c r="D2372" s="15">
        <v>10.0</v>
      </c>
      <c r="E2372" s="67">
        <f t="shared" si="11"/>
        <v>5000</v>
      </c>
      <c r="F2372" s="62" t="str">
        <f t="shared" si="12"/>
        <v>10 LeadGen Set Appointments</v>
      </c>
    </row>
    <row r="2373" hidden="1">
      <c r="A2373" s="6" t="s">
        <v>38</v>
      </c>
      <c r="B2373" s="13" t="s">
        <v>736</v>
      </c>
      <c r="C2373" s="13" t="s">
        <v>737</v>
      </c>
      <c r="D2373" s="15">
        <v>9.0</v>
      </c>
      <c r="E2373" s="67">
        <f t="shared" si="11"/>
        <v>2250</v>
      </c>
      <c r="F2373" s="62" t="str">
        <f t="shared" si="12"/>
        <v>9 LeadGen Set Appointments</v>
      </c>
    </row>
    <row r="2374" hidden="1">
      <c r="A2374" s="6" t="s">
        <v>38</v>
      </c>
      <c r="B2374" s="13" t="s">
        <v>1608</v>
      </c>
      <c r="C2374" s="13" t="s">
        <v>1609</v>
      </c>
      <c r="D2374" s="15">
        <v>9.0</v>
      </c>
      <c r="E2374" s="67">
        <f t="shared" si="11"/>
        <v>2250</v>
      </c>
      <c r="F2374" s="62" t="str">
        <f t="shared" si="12"/>
        <v>9 LeadGen Set Appointments</v>
      </c>
    </row>
    <row r="2375" hidden="1">
      <c r="A2375" s="6" t="s">
        <v>38</v>
      </c>
      <c r="B2375" s="13" t="s">
        <v>1475</v>
      </c>
      <c r="C2375" s="13" t="s">
        <v>1476</v>
      </c>
      <c r="D2375" s="15">
        <v>9.0</v>
      </c>
      <c r="E2375" s="67">
        <f t="shared" si="11"/>
        <v>2250</v>
      </c>
      <c r="F2375" s="62" t="str">
        <f t="shared" si="12"/>
        <v>9 LeadGen Set Appointments</v>
      </c>
    </row>
    <row r="2376" hidden="1">
      <c r="A2376" s="6" t="s">
        <v>38</v>
      </c>
      <c r="B2376" s="13" t="s">
        <v>1461</v>
      </c>
      <c r="C2376" s="13" t="s">
        <v>1462</v>
      </c>
      <c r="D2376" s="15">
        <v>9.0</v>
      </c>
      <c r="E2376" s="67">
        <f t="shared" si="11"/>
        <v>2250</v>
      </c>
      <c r="F2376" s="62" t="str">
        <f t="shared" si="12"/>
        <v>9 LeadGen Set Appointments</v>
      </c>
    </row>
    <row r="2377" hidden="1">
      <c r="A2377" s="6" t="s">
        <v>38</v>
      </c>
      <c r="B2377" s="8" t="s">
        <v>1493</v>
      </c>
      <c r="C2377" s="8" t="s">
        <v>1494</v>
      </c>
      <c r="D2377" s="9">
        <v>9.0</v>
      </c>
      <c r="E2377" s="67">
        <f t="shared" si="11"/>
        <v>2250</v>
      </c>
      <c r="F2377" s="67" t="str">
        <f t="shared" si="12"/>
        <v>9 LeadGen Set Appointments</v>
      </c>
    </row>
    <row r="2378" hidden="1">
      <c r="A2378" s="6" t="s">
        <v>38</v>
      </c>
      <c r="B2378" s="13" t="s">
        <v>1530</v>
      </c>
      <c r="C2378" s="13" t="s">
        <v>1531</v>
      </c>
      <c r="D2378" s="15">
        <v>9.0</v>
      </c>
      <c r="E2378" s="67">
        <f t="shared" si="11"/>
        <v>2250</v>
      </c>
      <c r="F2378" s="62" t="str">
        <f t="shared" si="12"/>
        <v>9 LeadGen Set Appointments</v>
      </c>
    </row>
    <row r="2379" hidden="1">
      <c r="A2379" s="6" t="s">
        <v>38</v>
      </c>
      <c r="B2379" s="13" t="s">
        <v>1540</v>
      </c>
      <c r="C2379" s="13" t="s">
        <v>1541</v>
      </c>
      <c r="D2379" s="15">
        <v>8.0</v>
      </c>
      <c r="E2379" s="67">
        <f t="shared" si="11"/>
        <v>2000</v>
      </c>
      <c r="F2379" s="62" t="str">
        <f t="shared" si="12"/>
        <v>8 LeadGen Set Appointments</v>
      </c>
    </row>
    <row r="2380" hidden="1">
      <c r="A2380" s="6" t="s">
        <v>38</v>
      </c>
      <c r="B2380" s="13" t="s">
        <v>1415</v>
      </c>
      <c r="C2380" s="13" t="s">
        <v>1416</v>
      </c>
      <c r="D2380" s="15">
        <v>8.0</v>
      </c>
      <c r="E2380" s="67">
        <f t="shared" si="11"/>
        <v>2000</v>
      </c>
      <c r="F2380" s="62" t="str">
        <f t="shared" si="12"/>
        <v>8 LeadGen Set Appointments</v>
      </c>
    </row>
    <row r="2381" hidden="1">
      <c r="A2381" s="6" t="s">
        <v>38</v>
      </c>
      <c r="B2381" s="13" t="s">
        <v>723</v>
      </c>
      <c r="C2381" s="13" t="s">
        <v>724</v>
      </c>
      <c r="D2381" s="15">
        <v>8.0</v>
      </c>
      <c r="E2381" s="67">
        <f t="shared" si="11"/>
        <v>2000</v>
      </c>
      <c r="F2381" s="62" t="str">
        <f t="shared" si="12"/>
        <v>8 LeadGen Set Appointments</v>
      </c>
    </row>
    <row r="2382" hidden="1">
      <c r="A2382" s="6" t="s">
        <v>38</v>
      </c>
      <c r="B2382" s="13" t="s">
        <v>1534</v>
      </c>
      <c r="C2382" s="13" t="s">
        <v>1535</v>
      </c>
      <c r="D2382" s="15">
        <v>8.0</v>
      </c>
      <c r="E2382" s="67">
        <f t="shared" si="11"/>
        <v>2000</v>
      </c>
      <c r="F2382" s="62" t="str">
        <f t="shared" si="12"/>
        <v>8 LeadGen Set Appointments</v>
      </c>
    </row>
    <row r="2383" hidden="1">
      <c r="A2383" s="6" t="s">
        <v>38</v>
      </c>
      <c r="B2383" s="13" t="s">
        <v>1682</v>
      </c>
      <c r="C2383" s="13" t="s">
        <v>1683</v>
      </c>
      <c r="D2383" s="15">
        <v>8.0</v>
      </c>
      <c r="E2383" s="67">
        <f t="shared" si="11"/>
        <v>2000</v>
      </c>
      <c r="F2383" s="62" t="str">
        <f t="shared" si="12"/>
        <v>8 LeadGen Set Appointments</v>
      </c>
    </row>
    <row r="2384" hidden="1">
      <c r="A2384" s="6" t="s">
        <v>38</v>
      </c>
      <c r="B2384" s="13" t="s">
        <v>1463</v>
      </c>
      <c r="C2384" s="13" t="s">
        <v>1464</v>
      </c>
      <c r="D2384" s="15">
        <v>7.0</v>
      </c>
      <c r="E2384" s="67">
        <f t="shared" si="11"/>
        <v>1750</v>
      </c>
      <c r="F2384" s="62" t="str">
        <f t="shared" si="12"/>
        <v>7 LeadGen Set Appointments</v>
      </c>
    </row>
    <row r="2385" hidden="1">
      <c r="A2385" s="6" t="s">
        <v>38</v>
      </c>
      <c r="B2385" s="8" t="s">
        <v>546</v>
      </c>
      <c r="C2385" s="8" t="s">
        <v>547</v>
      </c>
      <c r="D2385" s="9">
        <v>7.0</v>
      </c>
      <c r="E2385" s="67">
        <f t="shared" si="11"/>
        <v>1750</v>
      </c>
      <c r="F2385" s="67" t="str">
        <f t="shared" si="12"/>
        <v>7 LeadGen Set Appointments</v>
      </c>
    </row>
    <row r="2386" hidden="1">
      <c r="A2386" s="6" t="s">
        <v>38</v>
      </c>
      <c r="B2386" s="13" t="s">
        <v>1467</v>
      </c>
      <c r="C2386" s="13" t="s">
        <v>1468</v>
      </c>
      <c r="D2386" s="15">
        <v>7.0</v>
      </c>
      <c r="E2386" s="67">
        <f t="shared" si="11"/>
        <v>1750</v>
      </c>
      <c r="F2386" s="62" t="str">
        <f t="shared" si="12"/>
        <v>7 LeadGen Set Appointments</v>
      </c>
    </row>
    <row r="2387" hidden="1">
      <c r="A2387" s="6" t="s">
        <v>38</v>
      </c>
      <c r="B2387" s="13" t="s">
        <v>502</v>
      </c>
      <c r="C2387" s="13" t="s">
        <v>503</v>
      </c>
      <c r="D2387" s="15">
        <v>7.0</v>
      </c>
      <c r="E2387" s="67">
        <f t="shared" si="11"/>
        <v>1750</v>
      </c>
      <c r="F2387" s="62" t="str">
        <f t="shared" si="12"/>
        <v>7 LeadGen Set Appointments</v>
      </c>
    </row>
    <row r="2388" hidden="1">
      <c r="A2388" s="6" t="s">
        <v>38</v>
      </c>
      <c r="B2388" s="13" t="s">
        <v>1487</v>
      </c>
      <c r="C2388" s="13" t="s">
        <v>1488</v>
      </c>
      <c r="D2388" s="15">
        <v>7.0</v>
      </c>
      <c r="E2388" s="67">
        <f t="shared" si="11"/>
        <v>1750</v>
      </c>
      <c r="F2388" s="62" t="str">
        <f t="shared" si="12"/>
        <v>7 LeadGen Set Appointments</v>
      </c>
    </row>
    <row r="2389" hidden="1">
      <c r="A2389" s="6" t="s">
        <v>38</v>
      </c>
      <c r="B2389" s="13" t="s">
        <v>582</v>
      </c>
      <c r="C2389" s="13" t="s">
        <v>583</v>
      </c>
      <c r="D2389" s="15">
        <v>7.0</v>
      </c>
      <c r="E2389" s="67">
        <f t="shared" si="11"/>
        <v>1750</v>
      </c>
      <c r="F2389" s="62" t="str">
        <f t="shared" si="12"/>
        <v>7 LeadGen Set Appointments</v>
      </c>
    </row>
    <row r="2390" hidden="1">
      <c r="A2390" s="6" t="s">
        <v>38</v>
      </c>
      <c r="B2390" s="8" t="s">
        <v>1710</v>
      </c>
      <c r="C2390" s="8" t="s">
        <v>1711</v>
      </c>
      <c r="D2390" s="9">
        <v>7.0</v>
      </c>
      <c r="E2390" s="67">
        <f t="shared" si="11"/>
        <v>1750</v>
      </c>
      <c r="F2390" s="67" t="str">
        <f t="shared" si="12"/>
        <v>7 LeadGen Set Appointments</v>
      </c>
    </row>
    <row r="2391" hidden="1">
      <c r="A2391" s="6" t="s">
        <v>38</v>
      </c>
      <c r="B2391" s="13" t="s">
        <v>532</v>
      </c>
      <c r="C2391" s="13" t="s">
        <v>533</v>
      </c>
      <c r="D2391" s="15">
        <v>7.0</v>
      </c>
      <c r="E2391" s="67">
        <f t="shared" si="11"/>
        <v>1750</v>
      </c>
      <c r="F2391" s="62" t="str">
        <f t="shared" si="12"/>
        <v>7 LeadGen Set Appointments</v>
      </c>
    </row>
    <row r="2392" hidden="1">
      <c r="A2392" s="6" t="s">
        <v>38</v>
      </c>
      <c r="B2392" s="13" t="s">
        <v>1481</v>
      </c>
      <c r="C2392" s="13" t="s">
        <v>1482</v>
      </c>
      <c r="D2392" s="15">
        <v>7.0</v>
      </c>
      <c r="E2392" s="67">
        <f t="shared" si="11"/>
        <v>1750</v>
      </c>
      <c r="F2392" s="62" t="str">
        <f t="shared" si="12"/>
        <v>7 LeadGen Set Appointments</v>
      </c>
    </row>
    <row r="2393" hidden="1">
      <c r="A2393" s="6" t="s">
        <v>38</v>
      </c>
      <c r="B2393" s="13" t="s">
        <v>746</v>
      </c>
      <c r="C2393" s="13" t="s">
        <v>747</v>
      </c>
      <c r="D2393" s="15">
        <v>7.0</v>
      </c>
      <c r="E2393" s="67">
        <f t="shared" si="11"/>
        <v>1750</v>
      </c>
      <c r="F2393" s="62" t="str">
        <f t="shared" si="12"/>
        <v>7 LeadGen Set Appointments</v>
      </c>
    </row>
    <row r="2394" hidden="1">
      <c r="A2394" s="6" t="s">
        <v>38</v>
      </c>
      <c r="B2394" s="8" t="s">
        <v>1473</v>
      </c>
      <c r="C2394" s="8" t="s">
        <v>1474</v>
      </c>
      <c r="D2394" s="9">
        <v>6.0</v>
      </c>
      <c r="E2394" s="67">
        <f t="shared" si="11"/>
        <v>1500</v>
      </c>
      <c r="F2394" s="67" t="str">
        <f t="shared" si="12"/>
        <v>6 LeadGen Set Appointments</v>
      </c>
    </row>
    <row r="2395" hidden="1">
      <c r="A2395" s="6" t="s">
        <v>38</v>
      </c>
      <c r="B2395" s="8" t="s">
        <v>1612</v>
      </c>
      <c r="C2395" s="8" t="s">
        <v>1613</v>
      </c>
      <c r="D2395" s="9">
        <v>6.0</v>
      </c>
      <c r="E2395" s="67">
        <f t="shared" si="11"/>
        <v>1500</v>
      </c>
      <c r="F2395" s="67" t="str">
        <f t="shared" si="12"/>
        <v>6 LeadGen Set Appointments</v>
      </c>
    </row>
    <row r="2396" hidden="1">
      <c r="A2396" s="6" t="s">
        <v>38</v>
      </c>
      <c r="B2396" s="8" t="s">
        <v>1477</v>
      </c>
      <c r="C2396" s="8" t="s">
        <v>1478</v>
      </c>
      <c r="D2396" s="9">
        <v>6.0</v>
      </c>
      <c r="E2396" s="67">
        <f t="shared" si="11"/>
        <v>1500</v>
      </c>
      <c r="F2396" s="67" t="str">
        <f t="shared" si="12"/>
        <v>6 LeadGen Set Appointments</v>
      </c>
    </row>
    <row r="2397" hidden="1">
      <c r="A2397" s="6" t="s">
        <v>38</v>
      </c>
      <c r="B2397" s="13" t="s">
        <v>693</v>
      </c>
      <c r="C2397" s="13" t="s">
        <v>694</v>
      </c>
      <c r="D2397" s="15">
        <v>6.0</v>
      </c>
      <c r="E2397" s="67">
        <f t="shared" si="11"/>
        <v>1500</v>
      </c>
      <c r="F2397" s="62" t="str">
        <f t="shared" si="12"/>
        <v>6 LeadGen Set Appointments</v>
      </c>
    </row>
    <row r="2398" hidden="1">
      <c r="A2398" s="6" t="s">
        <v>38</v>
      </c>
      <c r="B2398" s="13" t="s">
        <v>486</v>
      </c>
      <c r="C2398" s="13" t="s">
        <v>487</v>
      </c>
      <c r="D2398" s="15">
        <v>6.0</v>
      </c>
      <c r="E2398" s="67">
        <f t="shared" si="11"/>
        <v>1500</v>
      </c>
      <c r="F2398" s="62" t="str">
        <f t="shared" si="12"/>
        <v>6 LeadGen Set Appointments</v>
      </c>
    </row>
    <row r="2399" hidden="1">
      <c r="A2399" s="6" t="s">
        <v>38</v>
      </c>
      <c r="B2399" s="13" t="s">
        <v>1668</v>
      </c>
      <c r="C2399" s="13" t="s">
        <v>1669</v>
      </c>
      <c r="D2399" s="15">
        <v>6.0</v>
      </c>
      <c r="E2399" s="67">
        <f t="shared" si="11"/>
        <v>1500</v>
      </c>
      <c r="F2399" s="62" t="str">
        <f t="shared" si="12"/>
        <v>6 LeadGen Set Appointments</v>
      </c>
    </row>
    <row r="2400" hidden="1">
      <c r="A2400" s="6" t="s">
        <v>38</v>
      </c>
      <c r="B2400" s="13" t="s">
        <v>518</v>
      </c>
      <c r="C2400" s="13" t="s">
        <v>519</v>
      </c>
      <c r="D2400" s="15">
        <v>6.0</v>
      </c>
      <c r="E2400" s="67">
        <f t="shared" si="11"/>
        <v>1500</v>
      </c>
      <c r="F2400" s="62" t="str">
        <f t="shared" si="12"/>
        <v>6 LeadGen Set Appointments</v>
      </c>
    </row>
    <row r="2401" hidden="1">
      <c r="A2401" s="6" t="s">
        <v>38</v>
      </c>
      <c r="B2401" s="13" t="s">
        <v>510</v>
      </c>
      <c r="C2401" s="13" t="s">
        <v>511</v>
      </c>
      <c r="D2401" s="15">
        <v>6.0</v>
      </c>
      <c r="E2401" s="67">
        <f t="shared" si="11"/>
        <v>1500</v>
      </c>
      <c r="F2401" s="62" t="str">
        <f t="shared" si="12"/>
        <v>6 LeadGen Set Appointments</v>
      </c>
    </row>
    <row r="2402" hidden="1">
      <c r="A2402" s="6" t="s">
        <v>38</v>
      </c>
      <c r="B2402" s="13" t="s">
        <v>1532</v>
      </c>
      <c r="C2402" s="13" t="s">
        <v>1533</v>
      </c>
      <c r="D2402" s="15">
        <v>6.0</v>
      </c>
      <c r="E2402" s="67">
        <f t="shared" si="11"/>
        <v>1500</v>
      </c>
      <c r="F2402" s="62" t="str">
        <f t="shared" si="12"/>
        <v>6 LeadGen Set Appointments</v>
      </c>
    </row>
    <row r="2403" hidden="1">
      <c r="A2403" s="6" t="s">
        <v>38</v>
      </c>
      <c r="B2403" s="8" t="s">
        <v>1483</v>
      </c>
      <c r="C2403" s="8" t="s">
        <v>1484</v>
      </c>
      <c r="D2403" s="9">
        <v>6.0</v>
      </c>
      <c r="E2403" s="67">
        <f t="shared" si="11"/>
        <v>1500</v>
      </c>
      <c r="F2403" s="67" t="str">
        <f t="shared" si="12"/>
        <v>6 LeadGen Set Appointments</v>
      </c>
    </row>
    <row r="2404" hidden="1">
      <c r="A2404" s="6" t="s">
        <v>38</v>
      </c>
      <c r="B2404" s="8" t="s">
        <v>1538</v>
      </c>
      <c r="C2404" s="8" t="s">
        <v>1539</v>
      </c>
      <c r="D2404" s="9">
        <v>5.0</v>
      </c>
      <c r="E2404" s="67">
        <f t="shared" si="11"/>
        <v>1250</v>
      </c>
      <c r="F2404" s="67" t="str">
        <f t="shared" si="12"/>
        <v>5 LeadGen Set Appointments</v>
      </c>
    </row>
    <row r="2405" hidden="1">
      <c r="A2405" s="6" t="s">
        <v>38</v>
      </c>
      <c r="B2405" s="8" t="s">
        <v>1543</v>
      </c>
      <c r="C2405" s="8" t="s">
        <v>1544</v>
      </c>
      <c r="D2405" s="9">
        <v>5.0</v>
      </c>
      <c r="E2405" s="67">
        <f t="shared" si="11"/>
        <v>1250</v>
      </c>
      <c r="F2405" s="67" t="str">
        <f t="shared" si="12"/>
        <v>5 LeadGen Set Appointments</v>
      </c>
    </row>
    <row r="2406" hidden="1">
      <c r="A2406" s="6" t="s">
        <v>38</v>
      </c>
      <c r="B2406" s="8" t="s">
        <v>1508</v>
      </c>
      <c r="C2406" s="8" t="s">
        <v>1509</v>
      </c>
      <c r="D2406" s="9">
        <v>5.0</v>
      </c>
      <c r="E2406" s="67">
        <f t="shared" si="11"/>
        <v>1250</v>
      </c>
      <c r="F2406" s="67" t="str">
        <f t="shared" si="12"/>
        <v>5 LeadGen Set Appointments</v>
      </c>
    </row>
    <row r="2407" hidden="1">
      <c r="A2407" s="6" t="s">
        <v>38</v>
      </c>
      <c r="B2407" s="13" t="s">
        <v>1653</v>
      </c>
      <c r="C2407" s="13" t="s">
        <v>1654</v>
      </c>
      <c r="D2407" s="15">
        <v>5.0</v>
      </c>
      <c r="E2407" s="67">
        <f t="shared" si="11"/>
        <v>1250</v>
      </c>
      <c r="F2407" s="62" t="str">
        <f t="shared" si="12"/>
        <v>5 LeadGen Set Appointments</v>
      </c>
    </row>
    <row r="2408" hidden="1">
      <c r="A2408" s="6" t="s">
        <v>38</v>
      </c>
      <c r="B2408" s="13" t="s">
        <v>1469</v>
      </c>
      <c r="C2408" s="13" t="s">
        <v>1470</v>
      </c>
      <c r="D2408" s="15">
        <v>5.0</v>
      </c>
      <c r="E2408" s="67">
        <f t="shared" si="11"/>
        <v>1250</v>
      </c>
      <c r="F2408" s="62" t="str">
        <f t="shared" si="12"/>
        <v>5 LeadGen Set Appointments</v>
      </c>
    </row>
    <row r="2409" hidden="1">
      <c r="A2409" s="6" t="s">
        <v>38</v>
      </c>
      <c r="B2409" s="13" t="s">
        <v>1664</v>
      </c>
      <c r="C2409" s="13" t="s">
        <v>1665</v>
      </c>
      <c r="D2409" s="15">
        <v>5.0</v>
      </c>
      <c r="E2409" s="67">
        <f t="shared" si="11"/>
        <v>1250</v>
      </c>
      <c r="F2409" s="62" t="str">
        <f t="shared" si="12"/>
        <v>5 LeadGen Set Appointments</v>
      </c>
    </row>
    <row r="2410" hidden="1">
      <c r="A2410" s="6" t="s">
        <v>38</v>
      </c>
      <c r="B2410" s="13" t="s">
        <v>986</v>
      </c>
      <c r="C2410" s="13" t="s">
        <v>1629</v>
      </c>
      <c r="D2410" s="15">
        <v>5.0</v>
      </c>
      <c r="E2410" s="67">
        <f t="shared" si="11"/>
        <v>1250</v>
      </c>
      <c r="F2410" s="62" t="str">
        <f t="shared" si="12"/>
        <v>5 LeadGen Set Appointments</v>
      </c>
    </row>
    <row r="2411" hidden="1">
      <c r="A2411" s="6" t="s">
        <v>38</v>
      </c>
      <c r="B2411" s="13" t="s">
        <v>1495</v>
      </c>
      <c r="C2411" s="13" t="s">
        <v>1496</v>
      </c>
      <c r="D2411" s="15">
        <v>5.0</v>
      </c>
      <c r="E2411" s="67">
        <f t="shared" si="11"/>
        <v>1250</v>
      </c>
      <c r="F2411" s="62" t="str">
        <f t="shared" si="12"/>
        <v>5 LeadGen Set Appointments</v>
      </c>
    </row>
    <row r="2412" hidden="1">
      <c r="A2412" s="6" t="s">
        <v>38</v>
      </c>
      <c r="B2412" s="13" t="s">
        <v>1497</v>
      </c>
      <c r="C2412" s="13" t="s">
        <v>1498</v>
      </c>
      <c r="D2412" s="15">
        <v>5.0</v>
      </c>
      <c r="E2412" s="67">
        <f t="shared" si="11"/>
        <v>1250</v>
      </c>
      <c r="F2412" s="62" t="str">
        <f t="shared" si="12"/>
        <v>5 LeadGen Set Appointments</v>
      </c>
    </row>
    <row r="2413" hidden="1">
      <c r="A2413" s="6" t="s">
        <v>38</v>
      </c>
      <c r="B2413" s="13" t="s">
        <v>1569</v>
      </c>
      <c r="C2413" s="13" t="s">
        <v>1570</v>
      </c>
      <c r="D2413" s="15">
        <v>5.0</v>
      </c>
      <c r="E2413" s="67">
        <f t="shared" si="11"/>
        <v>1250</v>
      </c>
      <c r="F2413" s="62" t="str">
        <f t="shared" si="12"/>
        <v>5 LeadGen Set Appointments</v>
      </c>
    </row>
    <row r="2414" hidden="1">
      <c r="A2414" s="6" t="s">
        <v>38</v>
      </c>
      <c r="B2414" s="13" t="s">
        <v>1571</v>
      </c>
      <c r="C2414" s="13" t="s">
        <v>1572</v>
      </c>
      <c r="D2414" s="15">
        <v>5.0</v>
      </c>
      <c r="E2414" s="67">
        <f t="shared" si="11"/>
        <v>1250</v>
      </c>
      <c r="F2414" s="62" t="str">
        <f t="shared" si="12"/>
        <v>5 LeadGen Set Appointments</v>
      </c>
    </row>
    <row r="2415" hidden="1">
      <c r="A2415" s="6" t="s">
        <v>38</v>
      </c>
      <c r="B2415" s="8" t="s">
        <v>500</v>
      </c>
      <c r="C2415" s="8" t="s">
        <v>501</v>
      </c>
      <c r="D2415" s="9">
        <v>4.0</v>
      </c>
      <c r="E2415" s="67">
        <f t="shared" si="11"/>
        <v>1000</v>
      </c>
      <c r="F2415" s="67" t="str">
        <f t="shared" si="12"/>
        <v>4 LeadGen Set Appointments</v>
      </c>
    </row>
    <row r="2416" hidden="1">
      <c r="A2416" s="6" t="s">
        <v>38</v>
      </c>
      <c r="B2416" s="8" t="s">
        <v>1600</v>
      </c>
      <c r="C2416" s="8" t="s">
        <v>1601</v>
      </c>
      <c r="D2416" s="9">
        <v>4.0</v>
      </c>
      <c r="E2416" s="67">
        <f t="shared" si="11"/>
        <v>1000</v>
      </c>
      <c r="F2416" s="67" t="str">
        <f t="shared" si="12"/>
        <v>4 LeadGen Set Appointments</v>
      </c>
    </row>
    <row r="2417" hidden="1">
      <c r="A2417" s="6" t="s">
        <v>38</v>
      </c>
      <c r="B2417" s="8" t="s">
        <v>684</v>
      </c>
      <c r="C2417" s="8" t="s">
        <v>685</v>
      </c>
      <c r="D2417" s="9">
        <v>4.0</v>
      </c>
      <c r="E2417" s="67">
        <f t="shared" si="11"/>
        <v>1000</v>
      </c>
      <c r="F2417" s="67" t="str">
        <f t="shared" si="12"/>
        <v>4 LeadGen Set Appointments</v>
      </c>
    </row>
    <row r="2418" hidden="1">
      <c r="A2418" s="6" t="s">
        <v>38</v>
      </c>
      <c r="B2418" s="8" t="s">
        <v>1547</v>
      </c>
      <c r="C2418" s="8" t="s">
        <v>1548</v>
      </c>
      <c r="D2418" s="9">
        <v>4.0</v>
      </c>
      <c r="E2418" s="67">
        <f t="shared" si="11"/>
        <v>1000</v>
      </c>
      <c r="F2418" s="67" t="str">
        <f t="shared" si="12"/>
        <v>4 LeadGen Set Appointments</v>
      </c>
    </row>
    <row r="2419" hidden="1">
      <c r="A2419" s="6" t="s">
        <v>38</v>
      </c>
      <c r="B2419" s="8" t="s">
        <v>560</v>
      </c>
      <c r="C2419" s="8" t="s">
        <v>561</v>
      </c>
      <c r="D2419" s="9">
        <v>4.0</v>
      </c>
      <c r="E2419" s="67">
        <f t="shared" si="11"/>
        <v>1000</v>
      </c>
      <c r="F2419" s="67" t="str">
        <f t="shared" si="12"/>
        <v>4 LeadGen Set Appointments</v>
      </c>
    </row>
    <row r="2420" hidden="1">
      <c r="A2420" s="6" t="s">
        <v>38</v>
      </c>
      <c r="B2420" s="8" t="s">
        <v>1606</v>
      </c>
      <c r="C2420" s="8" t="s">
        <v>1607</v>
      </c>
      <c r="D2420" s="9">
        <v>4.0</v>
      </c>
      <c r="E2420" s="67">
        <f t="shared" si="11"/>
        <v>1000</v>
      </c>
      <c r="F2420" s="67" t="str">
        <f t="shared" si="12"/>
        <v>4 LeadGen Set Appointments</v>
      </c>
    </row>
    <row r="2421" hidden="1">
      <c r="A2421" s="6" t="s">
        <v>38</v>
      </c>
      <c r="B2421" s="13" t="s">
        <v>1504</v>
      </c>
      <c r="C2421" s="13" t="s">
        <v>1505</v>
      </c>
      <c r="D2421" s="15">
        <v>4.0</v>
      </c>
      <c r="E2421" s="67">
        <f t="shared" si="11"/>
        <v>1000</v>
      </c>
      <c r="F2421" s="62" t="str">
        <f t="shared" si="12"/>
        <v>4 LeadGen Set Appointments</v>
      </c>
    </row>
    <row r="2422" hidden="1">
      <c r="A2422" s="6" t="s">
        <v>38</v>
      </c>
      <c r="B2422" s="13" t="s">
        <v>640</v>
      </c>
      <c r="C2422" s="13" t="s">
        <v>641</v>
      </c>
      <c r="D2422" s="15">
        <v>4.0</v>
      </c>
      <c r="E2422" s="67">
        <f t="shared" si="11"/>
        <v>1000</v>
      </c>
      <c r="F2422" s="62" t="str">
        <f t="shared" si="12"/>
        <v>4 LeadGen Set Appointments</v>
      </c>
    </row>
    <row r="2423" hidden="1">
      <c r="A2423" s="6" t="s">
        <v>38</v>
      </c>
      <c r="B2423" s="13" t="s">
        <v>1717</v>
      </c>
      <c r="C2423" s="13" t="s">
        <v>1718</v>
      </c>
      <c r="D2423" s="15">
        <v>4.0</v>
      </c>
      <c r="E2423" s="67">
        <f t="shared" si="11"/>
        <v>1000</v>
      </c>
      <c r="F2423" s="62" t="str">
        <f t="shared" si="12"/>
        <v>4 LeadGen Set Appointments</v>
      </c>
    </row>
    <row r="2424" hidden="1">
      <c r="A2424" s="6" t="s">
        <v>38</v>
      </c>
      <c r="B2424" s="8" t="s">
        <v>1551</v>
      </c>
      <c r="C2424" s="8" t="s">
        <v>1552</v>
      </c>
      <c r="D2424" s="9">
        <v>4.0</v>
      </c>
      <c r="E2424" s="67">
        <f t="shared" si="11"/>
        <v>1000</v>
      </c>
      <c r="F2424" s="67" t="str">
        <f t="shared" si="12"/>
        <v>4 LeadGen Set Appointments</v>
      </c>
    </row>
    <row r="2425" hidden="1">
      <c r="A2425" s="6" t="s">
        <v>38</v>
      </c>
      <c r="B2425" s="8" t="s">
        <v>1719</v>
      </c>
      <c r="C2425" s="8" t="s">
        <v>1720</v>
      </c>
      <c r="D2425" s="9">
        <v>4.0</v>
      </c>
      <c r="E2425" s="67">
        <f t="shared" si="11"/>
        <v>1000</v>
      </c>
      <c r="F2425" s="67" t="str">
        <f t="shared" si="12"/>
        <v>4 LeadGen Set Appointments</v>
      </c>
    </row>
    <row r="2426" hidden="1">
      <c r="A2426" s="6" t="s">
        <v>38</v>
      </c>
      <c r="B2426" s="8" t="s">
        <v>1514</v>
      </c>
      <c r="C2426" s="8" t="s">
        <v>1515</v>
      </c>
      <c r="D2426" s="9">
        <v>4.0</v>
      </c>
      <c r="E2426" s="67">
        <f t="shared" si="11"/>
        <v>1000</v>
      </c>
      <c r="F2426" s="67" t="str">
        <f t="shared" si="12"/>
        <v>4 LeadGen Set Appointments</v>
      </c>
    </row>
    <row r="2427" hidden="1">
      <c r="A2427" s="6" t="s">
        <v>38</v>
      </c>
      <c r="B2427" s="13" t="s">
        <v>1553</v>
      </c>
      <c r="C2427" s="13" t="s">
        <v>1554</v>
      </c>
      <c r="D2427" s="15">
        <v>4.0</v>
      </c>
      <c r="E2427" s="67">
        <f t="shared" si="11"/>
        <v>1000</v>
      </c>
      <c r="F2427" s="62" t="str">
        <f t="shared" si="12"/>
        <v>4 LeadGen Set Appointments</v>
      </c>
    </row>
    <row r="2428" hidden="1">
      <c r="A2428" s="6" t="s">
        <v>38</v>
      </c>
      <c r="B2428" s="13" t="s">
        <v>1655</v>
      </c>
      <c r="C2428" s="13" t="s">
        <v>1656</v>
      </c>
      <c r="D2428" s="15">
        <v>4.0</v>
      </c>
      <c r="E2428" s="67">
        <f t="shared" si="11"/>
        <v>1000</v>
      </c>
      <c r="F2428" s="62" t="str">
        <f t="shared" si="12"/>
        <v>4 LeadGen Set Appointments</v>
      </c>
    </row>
    <row r="2429" hidden="1">
      <c r="A2429" s="6" t="s">
        <v>38</v>
      </c>
      <c r="B2429" s="13" t="s">
        <v>1618</v>
      </c>
      <c r="C2429" s="13" t="s">
        <v>1619</v>
      </c>
      <c r="D2429" s="15">
        <v>4.0</v>
      </c>
      <c r="E2429" s="67">
        <f t="shared" si="11"/>
        <v>1000</v>
      </c>
      <c r="F2429" s="62" t="str">
        <f t="shared" si="12"/>
        <v>4 LeadGen Set Appointments</v>
      </c>
    </row>
    <row r="2430" hidden="1">
      <c r="A2430" s="6" t="s">
        <v>38</v>
      </c>
      <c r="B2430" s="8" t="s">
        <v>572</v>
      </c>
      <c r="C2430" s="8" t="s">
        <v>573</v>
      </c>
      <c r="D2430" s="9">
        <v>4.0</v>
      </c>
      <c r="E2430" s="67">
        <f t="shared" si="11"/>
        <v>1000</v>
      </c>
      <c r="F2430" s="67" t="str">
        <f t="shared" si="12"/>
        <v>4 LeadGen Set Appointments</v>
      </c>
    </row>
    <row r="2431" hidden="1">
      <c r="A2431" s="6" t="s">
        <v>38</v>
      </c>
      <c r="B2431" s="8" t="s">
        <v>1659</v>
      </c>
      <c r="C2431" s="8" t="s">
        <v>1660</v>
      </c>
      <c r="D2431" s="9">
        <v>4.0</v>
      </c>
      <c r="E2431" s="67">
        <f t="shared" si="11"/>
        <v>1000</v>
      </c>
      <c r="F2431" s="67" t="str">
        <f t="shared" si="12"/>
        <v>4 LeadGen Set Appointments</v>
      </c>
    </row>
    <row r="2432" hidden="1">
      <c r="A2432" s="6" t="s">
        <v>38</v>
      </c>
      <c r="B2432" s="8" t="s">
        <v>1518</v>
      </c>
      <c r="C2432" s="8" t="s">
        <v>1519</v>
      </c>
      <c r="D2432" s="9">
        <v>4.0</v>
      </c>
      <c r="E2432" s="67">
        <f t="shared" si="11"/>
        <v>1000</v>
      </c>
      <c r="F2432" s="67" t="str">
        <f t="shared" si="12"/>
        <v>4 LeadGen Set Appointments</v>
      </c>
    </row>
    <row r="2433" hidden="1">
      <c r="A2433" s="6" t="s">
        <v>38</v>
      </c>
      <c r="B2433" s="8" t="s">
        <v>1561</v>
      </c>
      <c r="C2433" s="8" t="s">
        <v>1562</v>
      </c>
      <c r="D2433" s="9">
        <v>4.0</v>
      </c>
      <c r="E2433" s="67">
        <f t="shared" si="11"/>
        <v>1000</v>
      </c>
      <c r="F2433" s="67" t="str">
        <f t="shared" si="12"/>
        <v>4 LeadGen Set Appointments</v>
      </c>
    </row>
    <row r="2434" hidden="1">
      <c r="A2434" s="6" t="s">
        <v>38</v>
      </c>
      <c r="B2434" s="8" t="s">
        <v>1589</v>
      </c>
      <c r="C2434" s="8" t="s">
        <v>1590</v>
      </c>
      <c r="D2434" s="9">
        <v>4.0</v>
      </c>
      <c r="E2434" s="67">
        <f t="shared" si="11"/>
        <v>1000</v>
      </c>
      <c r="F2434" s="67" t="str">
        <f t="shared" si="12"/>
        <v>4 LeadGen Set Appointments</v>
      </c>
    </row>
    <row r="2435" hidden="1">
      <c r="A2435" s="6" t="s">
        <v>38</v>
      </c>
      <c r="B2435" s="8" t="s">
        <v>1666</v>
      </c>
      <c r="C2435" s="8" t="s">
        <v>1667</v>
      </c>
      <c r="D2435" s="9">
        <v>4.0</v>
      </c>
      <c r="E2435" s="67">
        <f t="shared" si="11"/>
        <v>1000</v>
      </c>
      <c r="F2435" s="67" t="str">
        <f t="shared" si="12"/>
        <v>4 LeadGen Set Appointments</v>
      </c>
    </row>
    <row r="2436" hidden="1">
      <c r="A2436" s="6" t="s">
        <v>38</v>
      </c>
      <c r="B2436" s="8" t="s">
        <v>1565</v>
      </c>
      <c r="C2436" s="8" t="s">
        <v>1566</v>
      </c>
      <c r="D2436" s="9">
        <v>4.0</v>
      </c>
      <c r="E2436" s="67">
        <f t="shared" si="11"/>
        <v>1000</v>
      </c>
      <c r="F2436" s="67" t="str">
        <f t="shared" si="12"/>
        <v>4 LeadGen Set Appointments</v>
      </c>
    </row>
    <row r="2437" hidden="1">
      <c r="A2437" s="6" t="s">
        <v>38</v>
      </c>
      <c r="B2437" s="8" t="s">
        <v>1567</v>
      </c>
      <c r="C2437" s="8" t="s">
        <v>1568</v>
      </c>
      <c r="D2437" s="9">
        <v>4.0</v>
      </c>
      <c r="E2437" s="67">
        <f t="shared" si="11"/>
        <v>1000</v>
      </c>
      <c r="F2437" s="67" t="str">
        <f t="shared" si="12"/>
        <v>4 LeadGen Set Appointments</v>
      </c>
    </row>
    <row r="2438" hidden="1">
      <c r="A2438" s="6" t="s">
        <v>38</v>
      </c>
      <c r="B2438" s="8" t="s">
        <v>1522</v>
      </c>
      <c r="C2438" s="8" t="s">
        <v>1523</v>
      </c>
      <c r="D2438" s="9">
        <v>4.0</v>
      </c>
      <c r="E2438" s="67">
        <f t="shared" si="11"/>
        <v>1000</v>
      </c>
      <c r="F2438" s="67" t="str">
        <f t="shared" si="12"/>
        <v>4 LeadGen Set Appointments</v>
      </c>
    </row>
    <row r="2439" hidden="1">
      <c r="A2439" s="6" t="s">
        <v>38</v>
      </c>
      <c r="B2439" s="8" t="s">
        <v>1039</v>
      </c>
      <c r="C2439" s="8" t="s">
        <v>1040</v>
      </c>
      <c r="D2439" s="9">
        <v>4.0</v>
      </c>
      <c r="E2439" s="67">
        <f t="shared" si="11"/>
        <v>1000</v>
      </c>
      <c r="F2439" s="67" t="str">
        <f t="shared" si="12"/>
        <v>4 LeadGen Set Appointments</v>
      </c>
    </row>
    <row r="2440" hidden="1">
      <c r="A2440" s="6" t="s">
        <v>38</v>
      </c>
      <c r="B2440" s="8" t="s">
        <v>1625</v>
      </c>
      <c r="C2440" s="8" t="s">
        <v>1626</v>
      </c>
      <c r="D2440" s="9">
        <v>4.0</v>
      </c>
      <c r="E2440" s="67">
        <f t="shared" si="11"/>
        <v>1000</v>
      </c>
      <c r="F2440" s="67" t="str">
        <f t="shared" si="12"/>
        <v>4 LeadGen Set Appointments</v>
      </c>
    </row>
    <row r="2441" hidden="1">
      <c r="A2441" s="6" t="s">
        <v>38</v>
      </c>
      <c r="B2441" s="8" t="s">
        <v>1696</v>
      </c>
      <c r="C2441" s="8" t="s">
        <v>1697</v>
      </c>
      <c r="D2441" s="9">
        <v>4.0</v>
      </c>
      <c r="E2441" s="67">
        <f t="shared" si="11"/>
        <v>1000</v>
      </c>
      <c r="F2441" s="67" t="str">
        <f t="shared" si="12"/>
        <v>4 LeadGen Set Appointments</v>
      </c>
    </row>
    <row r="2442" hidden="1">
      <c r="A2442" s="6" t="s">
        <v>38</v>
      </c>
      <c r="B2442" s="8" t="s">
        <v>1283</v>
      </c>
      <c r="C2442" s="8" t="s">
        <v>404</v>
      </c>
      <c r="D2442" s="9">
        <v>4.0</v>
      </c>
      <c r="E2442" s="67">
        <f t="shared" si="11"/>
        <v>1000</v>
      </c>
      <c r="F2442" s="67" t="str">
        <f t="shared" si="12"/>
        <v>4 LeadGen Set Appointments</v>
      </c>
    </row>
    <row r="2443" hidden="1">
      <c r="A2443" s="6" t="s">
        <v>38</v>
      </c>
      <c r="B2443" s="8" t="s">
        <v>1632</v>
      </c>
      <c r="C2443" s="8" t="s">
        <v>1633</v>
      </c>
      <c r="D2443" s="9">
        <v>4.0</v>
      </c>
      <c r="E2443" s="67">
        <f t="shared" si="11"/>
        <v>1000</v>
      </c>
      <c r="F2443" s="67" t="str">
        <f t="shared" si="12"/>
        <v>4 LeadGen Set Appointments</v>
      </c>
    </row>
    <row r="2444" hidden="1">
      <c r="A2444" s="6" t="s">
        <v>38</v>
      </c>
      <c r="B2444" s="8" t="s">
        <v>1577</v>
      </c>
      <c r="C2444" s="8" t="s">
        <v>1578</v>
      </c>
      <c r="D2444" s="9">
        <v>3.0</v>
      </c>
      <c r="E2444" s="67">
        <f t="shared" si="11"/>
        <v>750</v>
      </c>
      <c r="F2444" s="67" t="str">
        <f t="shared" si="12"/>
        <v>3 LeadGen Set Appointments</v>
      </c>
    </row>
    <row r="2445" hidden="1">
      <c r="A2445" s="6" t="s">
        <v>38</v>
      </c>
      <c r="B2445" s="8" t="s">
        <v>1638</v>
      </c>
      <c r="C2445" s="8" t="s">
        <v>1639</v>
      </c>
      <c r="D2445" s="9">
        <v>3.0</v>
      </c>
      <c r="E2445" s="67">
        <f t="shared" si="11"/>
        <v>750</v>
      </c>
      <c r="F2445" s="67" t="str">
        <f t="shared" si="12"/>
        <v>3 LeadGen Set Appointments</v>
      </c>
    </row>
    <row r="2446" hidden="1">
      <c r="A2446" s="6" t="s">
        <v>38</v>
      </c>
      <c r="B2446" s="8" t="s">
        <v>462</v>
      </c>
      <c r="C2446" s="8" t="s">
        <v>463</v>
      </c>
      <c r="D2446" s="9">
        <v>3.0</v>
      </c>
      <c r="E2446" s="67">
        <f t="shared" si="11"/>
        <v>750</v>
      </c>
      <c r="F2446" s="67" t="str">
        <f t="shared" si="12"/>
        <v>3 LeadGen Set Appointments</v>
      </c>
    </row>
    <row r="2447" hidden="1">
      <c r="A2447" s="6" t="s">
        <v>38</v>
      </c>
      <c r="B2447" s="8" t="s">
        <v>1598</v>
      </c>
      <c r="C2447" s="8" t="s">
        <v>1599</v>
      </c>
      <c r="D2447" s="9">
        <v>3.0</v>
      </c>
      <c r="E2447" s="67">
        <f t="shared" si="11"/>
        <v>750</v>
      </c>
      <c r="F2447" s="67" t="str">
        <f t="shared" si="12"/>
        <v>3 LeadGen Set Appointments</v>
      </c>
    </row>
    <row r="2448" hidden="1">
      <c r="A2448" s="6" t="s">
        <v>38</v>
      </c>
      <c r="B2448" s="8" t="s">
        <v>1644</v>
      </c>
      <c r="C2448" s="8" t="s">
        <v>1645</v>
      </c>
      <c r="D2448" s="9">
        <v>3.0</v>
      </c>
      <c r="E2448" s="67">
        <f t="shared" si="11"/>
        <v>750</v>
      </c>
      <c r="F2448" s="67" t="str">
        <f t="shared" si="12"/>
        <v>3 LeadGen Set Appointments</v>
      </c>
    </row>
    <row r="2449" hidden="1">
      <c r="A2449" s="6" t="s">
        <v>38</v>
      </c>
      <c r="B2449" s="8" t="s">
        <v>1545</v>
      </c>
      <c r="C2449" s="8" t="s">
        <v>1546</v>
      </c>
      <c r="D2449" s="9">
        <v>3.0</v>
      </c>
      <c r="E2449" s="67">
        <f t="shared" si="11"/>
        <v>750</v>
      </c>
      <c r="F2449" s="67" t="str">
        <f t="shared" si="12"/>
        <v>3 LeadGen Set Appointments</v>
      </c>
    </row>
    <row r="2450" hidden="1">
      <c r="A2450" s="6" t="s">
        <v>38</v>
      </c>
      <c r="B2450" s="8" t="s">
        <v>752</v>
      </c>
      <c r="C2450" s="8" t="s">
        <v>753</v>
      </c>
      <c r="D2450" s="9">
        <v>3.0</v>
      </c>
      <c r="E2450" s="67">
        <f t="shared" si="11"/>
        <v>750</v>
      </c>
      <c r="F2450" s="67" t="str">
        <f t="shared" si="12"/>
        <v>3 LeadGen Set Appointments</v>
      </c>
    </row>
    <row r="2451" hidden="1">
      <c r="A2451" s="6" t="s">
        <v>38</v>
      </c>
      <c r="B2451" s="8" t="s">
        <v>1485</v>
      </c>
      <c r="C2451" s="8" t="s">
        <v>1486</v>
      </c>
      <c r="D2451" s="9">
        <v>3.0</v>
      </c>
      <c r="E2451" s="67">
        <f t="shared" si="11"/>
        <v>750</v>
      </c>
      <c r="F2451" s="67" t="str">
        <f t="shared" si="12"/>
        <v>3 LeadGen Set Appointments</v>
      </c>
    </row>
    <row r="2452" hidden="1">
      <c r="A2452" s="6" t="s">
        <v>38</v>
      </c>
      <c r="B2452" s="8" t="s">
        <v>1583</v>
      </c>
      <c r="C2452" s="8" t="s">
        <v>1584</v>
      </c>
      <c r="D2452" s="9">
        <v>3.0</v>
      </c>
      <c r="E2452" s="67">
        <f t="shared" si="11"/>
        <v>750</v>
      </c>
      <c r="F2452" s="67" t="str">
        <f t="shared" si="12"/>
        <v>3 LeadGen Set Appointments</v>
      </c>
    </row>
    <row r="2453" hidden="1">
      <c r="A2453" s="6" t="s">
        <v>38</v>
      </c>
      <c r="B2453" s="8" t="s">
        <v>1721</v>
      </c>
      <c r="C2453" s="8" t="s">
        <v>1722</v>
      </c>
      <c r="D2453" s="9">
        <v>3.0</v>
      </c>
      <c r="E2453" s="67">
        <f t="shared" si="11"/>
        <v>750</v>
      </c>
      <c r="F2453" s="67" t="str">
        <f t="shared" si="12"/>
        <v>3 LeadGen Set Appointments</v>
      </c>
    </row>
    <row r="2454" hidden="1">
      <c r="A2454" s="6" t="s">
        <v>38</v>
      </c>
      <c r="B2454" s="8" t="s">
        <v>1334</v>
      </c>
      <c r="C2454" s="8" t="s">
        <v>553</v>
      </c>
      <c r="D2454" s="9">
        <v>3.0</v>
      </c>
      <c r="E2454" s="67">
        <f t="shared" si="11"/>
        <v>750</v>
      </c>
      <c r="F2454" s="67" t="str">
        <f t="shared" si="12"/>
        <v>3 LeadGen Set Appointments</v>
      </c>
    </row>
    <row r="2455" hidden="1">
      <c r="A2455" s="6" t="s">
        <v>38</v>
      </c>
      <c r="B2455" s="8" t="s">
        <v>1510</v>
      </c>
      <c r="C2455" s="8" t="s">
        <v>1511</v>
      </c>
      <c r="D2455" s="9">
        <v>3.0</v>
      </c>
      <c r="E2455" s="67">
        <f t="shared" si="11"/>
        <v>750</v>
      </c>
      <c r="F2455" s="67" t="str">
        <f t="shared" si="12"/>
        <v>3 LeadGen Set Appointments</v>
      </c>
    </row>
    <row r="2456" hidden="1">
      <c r="A2456" s="6" t="s">
        <v>38</v>
      </c>
      <c r="B2456" s="8" t="s">
        <v>1614</v>
      </c>
      <c r="C2456" s="8" t="s">
        <v>1615</v>
      </c>
      <c r="D2456" s="9">
        <v>3.0</v>
      </c>
      <c r="E2456" s="67">
        <f t="shared" si="11"/>
        <v>750</v>
      </c>
      <c r="F2456" s="67" t="str">
        <f t="shared" si="12"/>
        <v>3 LeadGen Set Appointments</v>
      </c>
    </row>
    <row r="2457" hidden="1">
      <c r="A2457" s="6" t="s">
        <v>38</v>
      </c>
      <c r="B2457" s="8" t="s">
        <v>682</v>
      </c>
      <c r="C2457" s="8" t="s">
        <v>683</v>
      </c>
      <c r="D2457" s="9">
        <v>3.0</v>
      </c>
      <c r="E2457" s="67">
        <f t="shared" si="11"/>
        <v>750</v>
      </c>
      <c r="F2457" s="67" t="str">
        <f t="shared" si="12"/>
        <v>3 LeadGen Set Appointments</v>
      </c>
    </row>
    <row r="2458" hidden="1">
      <c r="A2458" s="6" t="s">
        <v>38</v>
      </c>
      <c r="B2458" s="8" t="s">
        <v>1259</v>
      </c>
      <c r="C2458" s="8" t="s">
        <v>1260</v>
      </c>
      <c r="D2458" s="9">
        <v>3.0</v>
      </c>
      <c r="E2458" s="67">
        <f t="shared" si="11"/>
        <v>750</v>
      </c>
      <c r="F2458" s="67" t="str">
        <f t="shared" si="12"/>
        <v>3 LeadGen Set Appointments</v>
      </c>
    </row>
    <row r="2459" hidden="1">
      <c r="A2459" s="6" t="s">
        <v>38</v>
      </c>
      <c r="B2459" s="8" t="s">
        <v>1516</v>
      </c>
      <c r="C2459" s="8" t="s">
        <v>1517</v>
      </c>
      <c r="D2459" s="9">
        <v>3.0</v>
      </c>
      <c r="E2459" s="67">
        <f t="shared" si="11"/>
        <v>750</v>
      </c>
      <c r="F2459" s="67" t="str">
        <f t="shared" si="12"/>
        <v>3 LeadGen Set Appointments</v>
      </c>
    </row>
    <row r="2460" hidden="1">
      <c r="A2460" s="6" t="s">
        <v>38</v>
      </c>
      <c r="B2460" s="8" t="s">
        <v>1723</v>
      </c>
      <c r="C2460" s="8" t="s">
        <v>32</v>
      </c>
      <c r="D2460" s="9">
        <v>3.0</v>
      </c>
      <c r="E2460" s="67">
        <f t="shared" si="11"/>
        <v>750</v>
      </c>
      <c r="F2460" s="67" t="str">
        <f t="shared" si="12"/>
        <v>3 LeadGen Set Appointments</v>
      </c>
    </row>
    <row r="2461" hidden="1">
      <c r="A2461" s="6" t="s">
        <v>38</v>
      </c>
      <c r="B2461" s="8" t="s">
        <v>1555</v>
      </c>
      <c r="C2461" s="8" t="s">
        <v>1556</v>
      </c>
      <c r="D2461" s="9">
        <v>3.0</v>
      </c>
      <c r="E2461" s="67">
        <f t="shared" si="11"/>
        <v>750</v>
      </c>
      <c r="F2461" s="67" t="str">
        <f t="shared" si="12"/>
        <v>3 LeadGen Set Appointments</v>
      </c>
    </row>
    <row r="2462" hidden="1">
      <c r="A2462" s="6" t="s">
        <v>38</v>
      </c>
      <c r="B2462" s="8" t="s">
        <v>626</v>
      </c>
      <c r="C2462" s="8" t="s">
        <v>627</v>
      </c>
      <c r="D2462" s="9">
        <v>3.0</v>
      </c>
      <c r="E2462" s="67">
        <f t="shared" si="11"/>
        <v>750</v>
      </c>
      <c r="F2462" s="67" t="str">
        <f t="shared" si="12"/>
        <v>3 LeadGen Set Appointments</v>
      </c>
    </row>
    <row r="2463" hidden="1">
      <c r="A2463" s="6" t="s">
        <v>38</v>
      </c>
      <c r="B2463" s="8" t="s">
        <v>516</v>
      </c>
      <c r="C2463" s="8" t="s">
        <v>517</v>
      </c>
      <c r="D2463" s="9">
        <v>3.0</v>
      </c>
      <c r="E2463" s="67">
        <f t="shared" si="11"/>
        <v>750</v>
      </c>
      <c r="F2463" s="67" t="str">
        <f t="shared" si="12"/>
        <v>3 LeadGen Set Appointments</v>
      </c>
    </row>
    <row r="2464" hidden="1">
      <c r="A2464" s="6" t="s">
        <v>38</v>
      </c>
      <c r="B2464" s="8" t="s">
        <v>1621</v>
      </c>
      <c r="C2464" s="8" t="s">
        <v>1622</v>
      </c>
      <c r="D2464" s="9">
        <v>3.0</v>
      </c>
      <c r="E2464" s="67">
        <f t="shared" si="11"/>
        <v>750</v>
      </c>
      <c r="F2464" s="67" t="str">
        <f t="shared" si="12"/>
        <v>3 LeadGen Set Appointments</v>
      </c>
    </row>
    <row r="2465" hidden="1">
      <c r="A2465" s="6" t="s">
        <v>38</v>
      </c>
      <c r="B2465" s="8" t="s">
        <v>1670</v>
      </c>
      <c r="C2465" s="8" t="s">
        <v>1671</v>
      </c>
      <c r="D2465" s="9">
        <v>3.0</v>
      </c>
      <c r="E2465" s="67">
        <f t="shared" si="11"/>
        <v>750</v>
      </c>
      <c r="F2465" s="67" t="str">
        <f t="shared" si="12"/>
        <v>3 LeadGen Set Appointments</v>
      </c>
    </row>
    <row r="2466" hidden="1">
      <c r="A2466" s="6" t="s">
        <v>38</v>
      </c>
      <c r="B2466" s="8" t="s">
        <v>1524</v>
      </c>
      <c r="C2466" s="8" t="s">
        <v>1525</v>
      </c>
      <c r="D2466" s="9">
        <v>3.0</v>
      </c>
      <c r="E2466" s="67">
        <f t="shared" si="11"/>
        <v>750</v>
      </c>
      <c r="F2466" s="67" t="str">
        <f t="shared" si="12"/>
        <v>3 LeadGen Set Appointments</v>
      </c>
    </row>
    <row r="2467" hidden="1">
      <c r="A2467" s="6" t="s">
        <v>38</v>
      </c>
      <c r="B2467" s="8" t="s">
        <v>701</v>
      </c>
      <c r="C2467" s="8" t="s">
        <v>702</v>
      </c>
      <c r="D2467" s="9">
        <v>3.0</v>
      </c>
      <c r="E2467" s="67">
        <f t="shared" si="11"/>
        <v>750</v>
      </c>
      <c r="F2467" s="67" t="str">
        <f t="shared" si="12"/>
        <v>3 LeadGen Set Appointments</v>
      </c>
    </row>
    <row r="2468" hidden="1">
      <c r="A2468" s="6" t="s">
        <v>38</v>
      </c>
      <c r="B2468" s="8" t="s">
        <v>622</v>
      </c>
      <c r="C2468" s="8" t="s">
        <v>623</v>
      </c>
      <c r="D2468" s="9">
        <v>3.0</v>
      </c>
      <c r="E2468" s="67">
        <f t="shared" si="11"/>
        <v>750</v>
      </c>
      <c r="F2468" s="67" t="str">
        <f t="shared" si="12"/>
        <v>3 LeadGen Set Appointments</v>
      </c>
    </row>
    <row r="2469" hidden="1">
      <c r="A2469" s="6" t="s">
        <v>38</v>
      </c>
      <c r="B2469" s="8" t="s">
        <v>566</v>
      </c>
      <c r="C2469" s="8" t="s">
        <v>567</v>
      </c>
      <c r="D2469" s="9">
        <v>3.0</v>
      </c>
      <c r="E2469" s="67">
        <f t="shared" si="11"/>
        <v>750</v>
      </c>
      <c r="F2469" s="67" t="str">
        <f t="shared" si="12"/>
        <v>3 LeadGen Set Appointments</v>
      </c>
    </row>
    <row r="2470" hidden="1">
      <c r="A2470" s="6" t="s">
        <v>38</v>
      </c>
      <c r="B2470" s="8" t="s">
        <v>1501</v>
      </c>
      <c r="C2470" s="8" t="s">
        <v>414</v>
      </c>
      <c r="D2470" s="9">
        <v>3.0</v>
      </c>
      <c r="E2470" s="67">
        <f t="shared" si="11"/>
        <v>750</v>
      </c>
      <c r="F2470" s="67" t="str">
        <f t="shared" si="12"/>
        <v>3 LeadGen Set Appointments</v>
      </c>
    </row>
    <row r="2471" hidden="1">
      <c r="A2471" s="6" t="s">
        <v>38</v>
      </c>
      <c r="B2471" s="8" t="s">
        <v>1684</v>
      </c>
      <c r="C2471" s="8" t="s">
        <v>1685</v>
      </c>
      <c r="D2471" s="9">
        <v>3.0</v>
      </c>
      <c r="E2471" s="67">
        <f t="shared" si="11"/>
        <v>750</v>
      </c>
      <c r="F2471" s="67" t="str">
        <f t="shared" si="12"/>
        <v>3 LeadGen Set Appointments</v>
      </c>
    </row>
    <row r="2472" hidden="1">
      <c r="A2472" s="6" t="s">
        <v>38</v>
      </c>
      <c r="B2472" s="8" t="s">
        <v>1724</v>
      </c>
      <c r="C2472" s="8" t="s">
        <v>1725</v>
      </c>
      <c r="D2472" s="9">
        <v>2.0</v>
      </c>
      <c r="E2472" s="67">
        <f t="shared" si="11"/>
        <v>500</v>
      </c>
      <c r="F2472" s="67" t="str">
        <f t="shared" si="12"/>
        <v>2 LeadGen Set Appointments</v>
      </c>
    </row>
    <row r="2473" hidden="1">
      <c r="A2473" s="6" t="s">
        <v>38</v>
      </c>
      <c r="B2473" s="8" t="s">
        <v>1706</v>
      </c>
      <c r="C2473" s="8" t="s">
        <v>1707</v>
      </c>
      <c r="D2473" s="9">
        <v>2.0</v>
      </c>
      <c r="E2473" s="67">
        <f t="shared" si="11"/>
        <v>500</v>
      </c>
      <c r="F2473" s="67" t="str">
        <f t="shared" si="12"/>
        <v>2 LeadGen Set Appointments</v>
      </c>
    </row>
    <row r="2474" hidden="1">
      <c r="A2474" s="6" t="s">
        <v>38</v>
      </c>
      <c r="B2474" s="8" t="s">
        <v>1465</v>
      </c>
      <c r="C2474" s="8" t="s">
        <v>1466</v>
      </c>
      <c r="D2474" s="9">
        <v>2.0</v>
      </c>
      <c r="E2474" s="67">
        <f t="shared" si="11"/>
        <v>500</v>
      </c>
      <c r="F2474" s="67" t="str">
        <f t="shared" si="12"/>
        <v>2 LeadGen Set Appointments</v>
      </c>
    </row>
    <row r="2475" hidden="1">
      <c r="A2475" s="6" t="s">
        <v>38</v>
      </c>
      <c r="B2475" s="8" t="s">
        <v>1726</v>
      </c>
      <c r="C2475" s="8" t="s">
        <v>1727</v>
      </c>
      <c r="D2475" s="9">
        <v>2.0</v>
      </c>
      <c r="E2475" s="67">
        <f t="shared" si="11"/>
        <v>500</v>
      </c>
      <c r="F2475" s="67" t="str">
        <f t="shared" si="12"/>
        <v>2 LeadGen Set Appointments</v>
      </c>
    </row>
    <row r="2476" hidden="1">
      <c r="A2476" s="6" t="s">
        <v>38</v>
      </c>
      <c r="B2476" s="8" t="s">
        <v>1704</v>
      </c>
      <c r="C2476" s="8" t="s">
        <v>1705</v>
      </c>
      <c r="D2476" s="9">
        <v>2.0</v>
      </c>
      <c r="E2476" s="67">
        <f t="shared" si="11"/>
        <v>500</v>
      </c>
      <c r="F2476" s="67" t="str">
        <f t="shared" si="12"/>
        <v>2 LeadGen Set Appointments</v>
      </c>
    </row>
    <row r="2477" hidden="1">
      <c r="A2477" s="6" t="s">
        <v>38</v>
      </c>
      <c r="B2477" s="8" t="s">
        <v>1728</v>
      </c>
      <c r="C2477" s="8" t="s">
        <v>1729</v>
      </c>
      <c r="D2477" s="9">
        <v>2.0</v>
      </c>
      <c r="E2477" s="67">
        <f t="shared" si="11"/>
        <v>500</v>
      </c>
      <c r="F2477" s="67" t="str">
        <f t="shared" si="12"/>
        <v>2 LeadGen Set Appointments</v>
      </c>
    </row>
    <row r="2478" hidden="1">
      <c r="A2478" s="6" t="s">
        <v>38</v>
      </c>
      <c r="B2478" s="8" t="s">
        <v>628</v>
      </c>
      <c r="C2478" s="8" t="s">
        <v>629</v>
      </c>
      <c r="D2478" s="9">
        <v>2.0</v>
      </c>
      <c r="E2478" s="67">
        <f t="shared" si="11"/>
        <v>500</v>
      </c>
      <c r="F2478" s="67" t="str">
        <f t="shared" si="12"/>
        <v>2 LeadGen Set Appointments</v>
      </c>
    </row>
    <row r="2479" hidden="1">
      <c r="A2479" s="6" t="s">
        <v>38</v>
      </c>
      <c r="B2479" s="8" t="s">
        <v>1579</v>
      </c>
      <c r="C2479" s="8" t="s">
        <v>1580</v>
      </c>
      <c r="D2479" s="9">
        <v>2.0</v>
      </c>
      <c r="E2479" s="67">
        <f t="shared" si="11"/>
        <v>500</v>
      </c>
      <c r="F2479" s="67" t="str">
        <f t="shared" si="12"/>
        <v>2 LeadGen Set Appointments</v>
      </c>
    </row>
    <row r="2480" hidden="1">
      <c r="A2480" s="6" t="s">
        <v>38</v>
      </c>
      <c r="B2480" s="8" t="s">
        <v>1448</v>
      </c>
      <c r="C2480" s="8" t="s">
        <v>1449</v>
      </c>
      <c r="D2480" s="9">
        <v>2.0</v>
      </c>
      <c r="E2480" s="67">
        <f t="shared" si="11"/>
        <v>500</v>
      </c>
      <c r="F2480" s="67" t="str">
        <f t="shared" si="12"/>
        <v>2 LeadGen Set Appointments</v>
      </c>
    </row>
    <row r="2481" hidden="1">
      <c r="A2481" s="6" t="s">
        <v>38</v>
      </c>
      <c r="B2481" s="8" t="s">
        <v>1730</v>
      </c>
      <c r="C2481" s="8" t="s">
        <v>1731</v>
      </c>
      <c r="D2481" s="9">
        <v>2.0</v>
      </c>
      <c r="E2481" s="67">
        <f t="shared" si="11"/>
        <v>500</v>
      </c>
      <c r="F2481" s="67" t="str">
        <f t="shared" si="12"/>
        <v>2 LeadGen Set Appointments</v>
      </c>
    </row>
    <row r="2482" hidden="1">
      <c r="A2482" s="6" t="s">
        <v>38</v>
      </c>
      <c r="B2482" s="8" t="s">
        <v>1732</v>
      </c>
      <c r="C2482" s="8" t="s">
        <v>1733</v>
      </c>
      <c r="D2482" s="9">
        <v>2.0</v>
      </c>
      <c r="E2482" s="67">
        <f t="shared" si="11"/>
        <v>500</v>
      </c>
      <c r="F2482" s="67" t="str">
        <f t="shared" si="12"/>
        <v>2 LeadGen Set Appointments</v>
      </c>
    </row>
    <row r="2483" hidden="1">
      <c r="A2483" s="6" t="s">
        <v>38</v>
      </c>
      <c r="B2483" s="8" t="s">
        <v>1604</v>
      </c>
      <c r="C2483" s="8" t="s">
        <v>1605</v>
      </c>
      <c r="D2483" s="9">
        <v>2.0</v>
      </c>
      <c r="E2483" s="67">
        <f t="shared" si="11"/>
        <v>500</v>
      </c>
      <c r="F2483" s="67" t="str">
        <f t="shared" si="12"/>
        <v>2 LeadGen Set Appointments</v>
      </c>
    </row>
    <row r="2484" hidden="1">
      <c r="A2484" s="6" t="s">
        <v>38</v>
      </c>
      <c r="B2484" s="8" t="s">
        <v>431</v>
      </c>
      <c r="C2484" s="8" t="s">
        <v>432</v>
      </c>
      <c r="D2484" s="9">
        <v>2.0</v>
      </c>
      <c r="E2484" s="67">
        <f t="shared" si="11"/>
        <v>500</v>
      </c>
      <c r="F2484" s="67" t="str">
        <f t="shared" si="12"/>
        <v>2 LeadGen Set Appointments</v>
      </c>
    </row>
    <row r="2485" hidden="1">
      <c r="A2485" s="6" t="s">
        <v>38</v>
      </c>
      <c r="B2485" s="8" t="s">
        <v>1648</v>
      </c>
      <c r="C2485" s="8" t="s">
        <v>1206</v>
      </c>
      <c r="D2485" s="9">
        <v>2.0</v>
      </c>
      <c r="E2485" s="67">
        <f t="shared" si="11"/>
        <v>500</v>
      </c>
      <c r="F2485" s="67" t="str">
        <f t="shared" si="12"/>
        <v>2 LeadGen Set Appointments</v>
      </c>
    </row>
    <row r="2486" hidden="1">
      <c r="A2486" s="6" t="s">
        <v>38</v>
      </c>
      <c r="B2486" s="8" t="s">
        <v>1734</v>
      </c>
      <c r="C2486" s="8" t="s">
        <v>1735</v>
      </c>
      <c r="D2486" s="9">
        <v>2.0</v>
      </c>
      <c r="E2486" s="67">
        <f t="shared" si="11"/>
        <v>500</v>
      </c>
      <c r="F2486" s="67" t="str">
        <f t="shared" si="12"/>
        <v>2 LeadGen Set Appointments</v>
      </c>
    </row>
    <row r="2487" hidden="1">
      <c r="A2487" s="6" t="s">
        <v>38</v>
      </c>
      <c r="B2487" s="8" t="s">
        <v>1512</v>
      </c>
      <c r="C2487" s="8" t="s">
        <v>1513</v>
      </c>
      <c r="D2487" s="9">
        <v>2.0</v>
      </c>
      <c r="E2487" s="67">
        <f t="shared" si="11"/>
        <v>500</v>
      </c>
      <c r="F2487" s="67" t="str">
        <f t="shared" si="12"/>
        <v>2 LeadGen Set Appointments</v>
      </c>
    </row>
    <row r="2488" hidden="1">
      <c r="A2488" s="6" t="s">
        <v>38</v>
      </c>
      <c r="B2488" s="8" t="s">
        <v>1325</v>
      </c>
      <c r="C2488" s="8" t="s">
        <v>1326</v>
      </c>
      <c r="D2488" s="9">
        <v>2.0</v>
      </c>
      <c r="E2488" s="67">
        <f t="shared" si="11"/>
        <v>500</v>
      </c>
      <c r="F2488" s="67" t="str">
        <f t="shared" si="12"/>
        <v>2 LeadGen Set Appointments</v>
      </c>
    </row>
    <row r="2489" hidden="1">
      <c r="A2489" s="6" t="s">
        <v>38</v>
      </c>
      <c r="B2489" s="8" t="s">
        <v>1657</v>
      </c>
      <c r="C2489" s="8" t="s">
        <v>1658</v>
      </c>
      <c r="D2489" s="9">
        <v>2.0</v>
      </c>
      <c r="E2489" s="67">
        <f t="shared" si="11"/>
        <v>500</v>
      </c>
      <c r="F2489" s="67" t="str">
        <f t="shared" si="12"/>
        <v>2 LeadGen Set Appointments</v>
      </c>
    </row>
    <row r="2490" hidden="1">
      <c r="A2490" s="6" t="s">
        <v>38</v>
      </c>
      <c r="B2490" s="8" t="s">
        <v>1661</v>
      </c>
      <c r="C2490" s="8" t="s">
        <v>1662</v>
      </c>
      <c r="D2490" s="9">
        <v>2.0</v>
      </c>
      <c r="E2490" s="67">
        <f t="shared" si="11"/>
        <v>500</v>
      </c>
      <c r="F2490" s="67" t="str">
        <f t="shared" si="12"/>
        <v>2 LeadGen Set Appointments</v>
      </c>
    </row>
    <row r="2491" hidden="1">
      <c r="A2491" s="6" t="s">
        <v>38</v>
      </c>
      <c r="B2491" s="8" t="s">
        <v>1520</v>
      </c>
      <c r="C2491" s="8" t="s">
        <v>1521</v>
      </c>
      <c r="D2491" s="9">
        <v>2.0</v>
      </c>
      <c r="E2491" s="67">
        <f t="shared" si="11"/>
        <v>500</v>
      </c>
      <c r="F2491" s="67" t="str">
        <f t="shared" si="12"/>
        <v>2 LeadGen Set Appointments</v>
      </c>
    </row>
    <row r="2492" hidden="1">
      <c r="A2492" s="6" t="s">
        <v>38</v>
      </c>
      <c r="B2492" s="8" t="s">
        <v>1736</v>
      </c>
      <c r="C2492" s="8" t="s">
        <v>1737</v>
      </c>
      <c r="D2492" s="9">
        <v>2.0</v>
      </c>
      <c r="E2492" s="67">
        <f t="shared" si="11"/>
        <v>500</v>
      </c>
      <c r="F2492" s="67" t="str">
        <f t="shared" si="12"/>
        <v>2 LeadGen Set Appointments</v>
      </c>
    </row>
    <row r="2493" hidden="1">
      <c r="A2493" s="6" t="s">
        <v>38</v>
      </c>
      <c r="B2493" s="8" t="s">
        <v>1594</v>
      </c>
      <c r="C2493" s="8" t="s">
        <v>1595</v>
      </c>
      <c r="D2493" s="9">
        <v>2.0</v>
      </c>
      <c r="E2493" s="67">
        <f t="shared" si="11"/>
        <v>500</v>
      </c>
      <c r="F2493" s="67" t="str">
        <f t="shared" si="12"/>
        <v>2 LeadGen Set Appointments</v>
      </c>
    </row>
    <row r="2494" hidden="1">
      <c r="A2494" s="6" t="s">
        <v>38</v>
      </c>
      <c r="B2494" s="8" t="s">
        <v>1627</v>
      </c>
      <c r="C2494" s="8" t="s">
        <v>1628</v>
      </c>
      <c r="D2494" s="9">
        <v>2.0</v>
      </c>
      <c r="E2494" s="67">
        <f t="shared" si="11"/>
        <v>500</v>
      </c>
      <c r="F2494" s="67" t="str">
        <f t="shared" si="12"/>
        <v>2 LeadGen Set Appointments</v>
      </c>
    </row>
    <row r="2495" hidden="1">
      <c r="A2495" s="6" t="s">
        <v>38</v>
      </c>
      <c r="B2495" s="8" t="s">
        <v>1716</v>
      </c>
      <c r="C2495" s="8" t="s">
        <v>30</v>
      </c>
      <c r="D2495" s="9">
        <v>2.0</v>
      </c>
      <c r="E2495" s="67">
        <f t="shared" si="11"/>
        <v>500</v>
      </c>
      <c r="F2495" s="67" t="str">
        <f t="shared" si="12"/>
        <v>2 LeadGen Set Appointments</v>
      </c>
    </row>
    <row r="2496" hidden="1">
      <c r="A2496" s="6" t="s">
        <v>38</v>
      </c>
      <c r="B2496" s="8" t="s">
        <v>1528</v>
      </c>
      <c r="C2496" s="8" t="s">
        <v>1529</v>
      </c>
      <c r="D2496" s="9">
        <v>2.0</v>
      </c>
      <c r="E2496" s="67">
        <f t="shared" si="11"/>
        <v>500</v>
      </c>
      <c r="F2496" s="67" t="str">
        <f t="shared" si="12"/>
        <v>2 LeadGen Set Appointments</v>
      </c>
    </row>
    <row r="2497" hidden="1">
      <c r="A2497" s="6" t="s">
        <v>38</v>
      </c>
      <c r="B2497" s="8" t="s">
        <v>1738</v>
      </c>
      <c r="C2497" s="8" t="s">
        <v>1739</v>
      </c>
      <c r="D2497" s="9">
        <v>2.0</v>
      </c>
      <c r="E2497" s="67">
        <f t="shared" si="11"/>
        <v>500</v>
      </c>
      <c r="F2497" s="67" t="str">
        <f t="shared" si="12"/>
        <v>2 LeadGen Set Appointments</v>
      </c>
    </row>
    <row r="2498" hidden="1">
      <c r="A2498" s="6" t="s">
        <v>38</v>
      </c>
      <c r="B2498" s="8" t="s">
        <v>1634</v>
      </c>
      <c r="C2498" s="8" t="s">
        <v>1635</v>
      </c>
      <c r="D2498" s="9">
        <v>1.0</v>
      </c>
      <c r="E2498" s="67">
        <f t="shared" si="11"/>
        <v>250</v>
      </c>
      <c r="F2498" s="67" t="str">
        <f t="shared" si="12"/>
        <v>1 LeadGen Set Appointments</v>
      </c>
    </row>
    <row r="2499" hidden="1">
      <c r="A2499" s="6" t="s">
        <v>38</v>
      </c>
      <c r="B2499" s="8" t="s">
        <v>1033</v>
      </c>
      <c r="C2499" s="8" t="s">
        <v>1034</v>
      </c>
      <c r="D2499" s="9">
        <v>1.0</v>
      </c>
      <c r="E2499" s="67">
        <f t="shared" si="11"/>
        <v>250</v>
      </c>
      <c r="F2499" s="67" t="str">
        <f t="shared" si="12"/>
        <v>1 LeadGen Set Appointments</v>
      </c>
    </row>
    <row r="2500" hidden="1">
      <c r="A2500" s="6" t="s">
        <v>38</v>
      </c>
      <c r="B2500" s="8" t="s">
        <v>1740</v>
      </c>
      <c r="C2500" s="8" t="s">
        <v>1741</v>
      </c>
      <c r="D2500" s="9">
        <v>1.0</v>
      </c>
      <c r="E2500" s="67">
        <f t="shared" si="11"/>
        <v>250</v>
      </c>
      <c r="F2500" s="67" t="str">
        <f t="shared" si="12"/>
        <v>1 LeadGen Set Appointments</v>
      </c>
    </row>
    <row r="2501" hidden="1">
      <c r="A2501" s="6" t="s">
        <v>38</v>
      </c>
      <c r="B2501" s="8" t="s">
        <v>1742</v>
      </c>
      <c r="C2501" s="8" t="s">
        <v>1743</v>
      </c>
      <c r="D2501" s="9">
        <v>1.0</v>
      </c>
      <c r="E2501" s="67">
        <f t="shared" si="11"/>
        <v>250</v>
      </c>
      <c r="F2501" s="67" t="str">
        <f t="shared" si="12"/>
        <v>1 LeadGen Set Appointments</v>
      </c>
    </row>
    <row r="2502" hidden="1">
      <c r="A2502" s="6" t="s">
        <v>38</v>
      </c>
      <c r="B2502" s="8" t="s">
        <v>1744</v>
      </c>
      <c r="C2502" s="8" t="s">
        <v>1745</v>
      </c>
      <c r="D2502" s="9">
        <v>1.0</v>
      </c>
      <c r="E2502" s="67">
        <f t="shared" si="11"/>
        <v>250</v>
      </c>
      <c r="F2502" s="67" t="str">
        <f t="shared" si="12"/>
        <v>1 LeadGen Set Appointments</v>
      </c>
    </row>
    <row r="2503" hidden="1">
      <c r="A2503" s="6" t="s">
        <v>38</v>
      </c>
      <c r="B2503" s="8" t="s">
        <v>1746</v>
      </c>
      <c r="C2503" s="8" t="s">
        <v>1747</v>
      </c>
      <c r="D2503" s="9">
        <v>1.0</v>
      </c>
      <c r="E2503" s="67">
        <f t="shared" si="11"/>
        <v>250</v>
      </c>
      <c r="F2503" s="67" t="str">
        <f t="shared" si="12"/>
        <v>1 LeadGen Set Appointments</v>
      </c>
    </row>
    <row r="2504" hidden="1">
      <c r="A2504" s="6" t="s">
        <v>38</v>
      </c>
      <c r="B2504" s="8" t="s">
        <v>1748</v>
      </c>
      <c r="C2504" s="8" t="s">
        <v>1749</v>
      </c>
      <c r="D2504" s="9">
        <v>1.0</v>
      </c>
      <c r="E2504" s="67">
        <f t="shared" si="11"/>
        <v>250</v>
      </c>
      <c r="F2504" s="67" t="str">
        <f t="shared" si="12"/>
        <v>1 LeadGen Set Appointments</v>
      </c>
    </row>
    <row r="2505" hidden="1">
      <c r="A2505" s="6" t="s">
        <v>38</v>
      </c>
      <c r="B2505" s="8" t="s">
        <v>1750</v>
      </c>
      <c r="C2505" s="8" t="s">
        <v>1751</v>
      </c>
      <c r="D2505" s="9">
        <v>1.0</v>
      </c>
      <c r="E2505" s="67">
        <f t="shared" si="11"/>
        <v>250</v>
      </c>
      <c r="F2505" s="67" t="str">
        <f t="shared" si="12"/>
        <v>1 LeadGen Set Appointments</v>
      </c>
    </row>
    <row r="2506" hidden="1">
      <c r="A2506" s="6" t="s">
        <v>38</v>
      </c>
      <c r="B2506" s="8" t="s">
        <v>1752</v>
      </c>
      <c r="C2506" s="8" t="s">
        <v>1753</v>
      </c>
      <c r="D2506" s="9">
        <v>1.0</v>
      </c>
      <c r="E2506" s="67">
        <f t="shared" si="11"/>
        <v>250</v>
      </c>
      <c r="F2506" s="67" t="str">
        <f t="shared" si="12"/>
        <v>1 LeadGen Set Appointments</v>
      </c>
    </row>
    <row r="2507" hidden="1">
      <c r="A2507" s="6" t="s">
        <v>38</v>
      </c>
      <c r="B2507" s="8" t="s">
        <v>1688</v>
      </c>
      <c r="C2507" s="8" t="s">
        <v>1689</v>
      </c>
      <c r="D2507" s="9">
        <v>1.0</v>
      </c>
      <c r="E2507" s="67">
        <f t="shared" si="11"/>
        <v>250</v>
      </c>
      <c r="F2507" s="67" t="str">
        <f t="shared" si="12"/>
        <v>1 LeadGen Set Appointments</v>
      </c>
    </row>
    <row r="2508" hidden="1">
      <c r="A2508" s="6" t="s">
        <v>38</v>
      </c>
      <c r="B2508" s="8" t="s">
        <v>1754</v>
      </c>
      <c r="C2508" s="8" t="s">
        <v>1755</v>
      </c>
      <c r="D2508" s="9">
        <v>1.0</v>
      </c>
      <c r="E2508" s="67">
        <f t="shared" si="11"/>
        <v>250</v>
      </c>
      <c r="F2508" s="67" t="str">
        <f t="shared" si="12"/>
        <v>1 LeadGen Set Appointments</v>
      </c>
    </row>
    <row r="2509" hidden="1">
      <c r="A2509" s="6" t="s">
        <v>38</v>
      </c>
      <c r="B2509" s="8" t="s">
        <v>1393</v>
      </c>
      <c r="C2509" s="8" t="s">
        <v>1394</v>
      </c>
      <c r="D2509" s="9">
        <v>1.0</v>
      </c>
      <c r="E2509" s="67">
        <f t="shared" si="11"/>
        <v>250</v>
      </c>
      <c r="F2509" s="67" t="str">
        <f t="shared" si="12"/>
        <v>1 LeadGen Set Appointments</v>
      </c>
    </row>
    <row r="2510" hidden="1">
      <c r="A2510" s="6" t="s">
        <v>38</v>
      </c>
      <c r="B2510" s="8" t="s">
        <v>1756</v>
      </c>
      <c r="C2510" s="8" t="s">
        <v>1757</v>
      </c>
      <c r="D2510" s="9">
        <v>1.0</v>
      </c>
      <c r="E2510" s="67">
        <f t="shared" si="11"/>
        <v>250</v>
      </c>
      <c r="F2510" s="67" t="str">
        <f t="shared" si="12"/>
        <v>1 LeadGen Set Appointments</v>
      </c>
    </row>
    <row r="2511" hidden="1">
      <c r="A2511" s="6" t="s">
        <v>38</v>
      </c>
      <c r="B2511" s="8" t="s">
        <v>1758</v>
      </c>
      <c r="C2511" s="8" t="s">
        <v>1759</v>
      </c>
      <c r="D2511" s="9">
        <v>1.0</v>
      </c>
      <c r="E2511" s="67">
        <f t="shared" si="11"/>
        <v>250</v>
      </c>
      <c r="F2511" s="67" t="str">
        <f t="shared" si="12"/>
        <v>1 LeadGen Set Appointments</v>
      </c>
    </row>
    <row r="2512" hidden="1">
      <c r="A2512" s="6" t="s">
        <v>38</v>
      </c>
      <c r="B2512" s="8" t="s">
        <v>1623</v>
      </c>
      <c r="C2512" s="8" t="s">
        <v>1624</v>
      </c>
      <c r="D2512" s="9">
        <v>1.0</v>
      </c>
      <c r="E2512" s="67">
        <f t="shared" si="11"/>
        <v>250</v>
      </c>
      <c r="F2512" s="67" t="str">
        <f t="shared" si="12"/>
        <v>1 LeadGen Set Appointments</v>
      </c>
    </row>
    <row r="2513" hidden="1">
      <c r="A2513" s="6" t="s">
        <v>38</v>
      </c>
      <c r="B2513" s="8" t="s">
        <v>1093</v>
      </c>
      <c r="C2513" s="8" t="s">
        <v>1760</v>
      </c>
      <c r="D2513" s="9">
        <v>1.0</v>
      </c>
      <c r="E2513" s="67">
        <f t="shared" si="11"/>
        <v>250</v>
      </c>
      <c r="F2513" s="67" t="str">
        <f t="shared" si="12"/>
        <v>1 LeadGen Set Appointments</v>
      </c>
    </row>
    <row r="2514" hidden="1">
      <c r="A2514" s="6" t="s">
        <v>38</v>
      </c>
      <c r="B2514" s="8" t="s">
        <v>1630</v>
      </c>
      <c r="C2514" s="8" t="s">
        <v>1631</v>
      </c>
      <c r="D2514" s="9">
        <v>1.0</v>
      </c>
      <c r="E2514" s="67">
        <f t="shared" si="11"/>
        <v>250</v>
      </c>
      <c r="F2514" s="67" t="str">
        <f t="shared" si="12"/>
        <v>1 LeadGen Set Appointments</v>
      </c>
    </row>
    <row r="2515" hidden="1">
      <c r="A2515" s="6" t="s">
        <v>38</v>
      </c>
      <c r="B2515" s="8" t="s">
        <v>1575</v>
      </c>
      <c r="C2515" s="8" t="s">
        <v>1576</v>
      </c>
      <c r="D2515" s="9">
        <v>1.0</v>
      </c>
      <c r="E2515" s="67">
        <f t="shared" si="11"/>
        <v>250</v>
      </c>
      <c r="F2515" s="67" t="str">
        <f t="shared" si="12"/>
        <v>1 LeadGen Set Appointments</v>
      </c>
    </row>
    <row r="2516" hidden="1">
      <c r="A2516" s="6" t="s">
        <v>38</v>
      </c>
      <c r="B2516" s="8" t="s">
        <v>1499</v>
      </c>
      <c r="C2516" s="8" t="s">
        <v>1500</v>
      </c>
      <c r="D2516" s="9">
        <v>8.0</v>
      </c>
      <c r="E2516" s="67">
        <f t="shared" si="11"/>
        <v>2000</v>
      </c>
      <c r="F2516" s="67" t="str">
        <f t="shared" si="12"/>
        <v>8 LeadGen Set Appointments</v>
      </c>
    </row>
    <row r="2517" hidden="1">
      <c r="A2517" s="6" t="s">
        <v>38</v>
      </c>
      <c r="B2517" s="8" t="s">
        <v>1692</v>
      </c>
      <c r="C2517" s="8" t="s">
        <v>1693</v>
      </c>
      <c r="D2517" s="9">
        <v>7.0</v>
      </c>
      <c r="E2517" s="67">
        <f t="shared" si="11"/>
        <v>1750</v>
      </c>
      <c r="F2517" s="67" t="str">
        <f t="shared" si="12"/>
        <v>7 LeadGen Set Appointments</v>
      </c>
    </row>
    <row r="2518" hidden="1">
      <c r="A2518" s="6" t="s">
        <v>38</v>
      </c>
      <c r="B2518" s="8" t="s">
        <v>1761</v>
      </c>
      <c r="C2518" s="8" t="s">
        <v>1762</v>
      </c>
      <c r="D2518" s="9">
        <v>6.0</v>
      </c>
      <c r="E2518" s="67">
        <f t="shared" si="11"/>
        <v>1500</v>
      </c>
      <c r="F2518" s="67" t="str">
        <f t="shared" si="12"/>
        <v>6 LeadGen Set Appointments</v>
      </c>
    </row>
    <row r="2519" hidden="1">
      <c r="A2519" s="6" t="s">
        <v>38</v>
      </c>
      <c r="B2519" s="8" t="s">
        <v>1585</v>
      </c>
      <c r="C2519" s="8" t="s">
        <v>1586</v>
      </c>
      <c r="D2519" s="9">
        <v>6.0</v>
      </c>
      <c r="E2519" s="67">
        <f t="shared" si="11"/>
        <v>1500</v>
      </c>
      <c r="F2519" s="67" t="str">
        <f t="shared" si="12"/>
        <v>6 LeadGen Set Appointments</v>
      </c>
    </row>
    <row r="2520" hidden="1">
      <c r="A2520" s="6" t="s">
        <v>38</v>
      </c>
      <c r="B2520" s="8" t="s">
        <v>1591</v>
      </c>
      <c r="C2520" s="8" t="s">
        <v>836</v>
      </c>
      <c r="D2520" s="9">
        <v>6.0</v>
      </c>
      <c r="E2520" s="67">
        <f t="shared" si="11"/>
        <v>1500</v>
      </c>
      <c r="F2520" s="67" t="str">
        <f t="shared" si="12"/>
        <v>6 LeadGen Set Appointments</v>
      </c>
    </row>
    <row r="2521" hidden="1">
      <c r="A2521" s="6" t="s">
        <v>38</v>
      </c>
      <c r="B2521" s="8" t="s">
        <v>650</v>
      </c>
      <c r="C2521" s="8" t="s">
        <v>651</v>
      </c>
      <c r="D2521" s="9">
        <v>4.0</v>
      </c>
      <c r="E2521" s="67">
        <f t="shared" si="11"/>
        <v>1000</v>
      </c>
      <c r="F2521" s="67" t="str">
        <f t="shared" si="12"/>
        <v>4 LeadGen Set Appointments</v>
      </c>
    </row>
    <row r="2522" hidden="1">
      <c r="A2522" s="6" t="s">
        <v>38</v>
      </c>
      <c r="B2522" s="8" t="s">
        <v>1702</v>
      </c>
      <c r="C2522" s="8" t="s">
        <v>1703</v>
      </c>
      <c r="D2522" s="9">
        <v>4.0</v>
      </c>
      <c r="E2522" s="67">
        <f t="shared" si="11"/>
        <v>1000</v>
      </c>
      <c r="F2522" s="67" t="str">
        <f t="shared" si="12"/>
        <v>4 LeadGen Set Appointments</v>
      </c>
    </row>
    <row r="2523" hidden="1">
      <c r="A2523" s="6" t="s">
        <v>38</v>
      </c>
      <c r="B2523" s="8" t="s">
        <v>1526</v>
      </c>
      <c r="C2523" s="8" t="s">
        <v>1527</v>
      </c>
      <c r="D2523" s="9">
        <v>4.0</v>
      </c>
      <c r="E2523" s="67">
        <f t="shared" si="11"/>
        <v>1000</v>
      </c>
      <c r="F2523" s="67" t="str">
        <f t="shared" si="12"/>
        <v>4 LeadGen Set Appointments</v>
      </c>
    </row>
    <row r="2524" hidden="1">
      <c r="A2524" s="6" t="s">
        <v>38</v>
      </c>
      <c r="B2524" s="8" t="s">
        <v>1672</v>
      </c>
      <c r="C2524" s="8" t="s">
        <v>1673</v>
      </c>
      <c r="D2524" s="9">
        <v>4.0</v>
      </c>
      <c r="E2524" s="67">
        <f t="shared" si="11"/>
        <v>1000</v>
      </c>
      <c r="F2524" s="67" t="str">
        <f t="shared" si="12"/>
        <v>4 LeadGen Set Appointments</v>
      </c>
    </row>
    <row r="2525" hidden="1">
      <c r="A2525" s="6" t="s">
        <v>38</v>
      </c>
      <c r="B2525" s="8" t="s">
        <v>1712</v>
      </c>
      <c r="C2525" s="8" t="s">
        <v>1713</v>
      </c>
      <c r="D2525" s="9">
        <v>4.0</v>
      </c>
      <c r="E2525" s="67">
        <f t="shared" si="11"/>
        <v>1000</v>
      </c>
      <c r="F2525" s="67" t="str">
        <f t="shared" si="12"/>
        <v>4 LeadGen Set Appointments</v>
      </c>
    </row>
    <row r="2526" hidden="1">
      <c r="A2526" s="6" t="s">
        <v>38</v>
      </c>
      <c r="B2526" s="8" t="s">
        <v>1714</v>
      </c>
      <c r="C2526" s="8" t="s">
        <v>1715</v>
      </c>
      <c r="D2526" s="9">
        <v>3.0</v>
      </c>
      <c r="E2526" s="67">
        <f t="shared" si="11"/>
        <v>750</v>
      </c>
      <c r="F2526" s="67" t="str">
        <f t="shared" si="12"/>
        <v>3 LeadGen Set Appointments</v>
      </c>
    </row>
    <row r="2527" hidden="1">
      <c r="A2527" s="6" t="s">
        <v>38</v>
      </c>
      <c r="B2527" s="8" t="s">
        <v>1763</v>
      </c>
      <c r="C2527" s="8" t="s">
        <v>653</v>
      </c>
      <c r="D2527" s="9">
        <v>3.0</v>
      </c>
      <c r="E2527" s="67">
        <f t="shared" si="11"/>
        <v>750</v>
      </c>
      <c r="F2527" s="67" t="str">
        <f t="shared" si="12"/>
        <v>3 LeadGen Set Appointments</v>
      </c>
    </row>
    <row r="2528" hidden="1">
      <c r="A2528" s="6" t="s">
        <v>38</v>
      </c>
      <c r="B2528" s="8" t="s">
        <v>1237</v>
      </c>
      <c r="C2528" s="8" t="s">
        <v>1238</v>
      </c>
      <c r="D2528" s="9">
        <v>3.0</v>
      </c>
      <c r="E2528" s="67">
        <f t="shared" si="11"/>
        <v>750</v>
      </c>
      <c r="F2528" s="67" t="str">
        <f t="shared" si="12"/>
        <v>3 LeadGen Set Appointments</v>
      </c>
    </row>
    <row r="2529" hidden="1">
      <c r="A2529" s="6" t="s">
        <v>38</v>
      </c>
      <c r="B2529" s="8" t="s">
        <v>1698</v>
      </c>
      <c r="C2529" s="8" t="s">
        <v>1699</v>
      </c>
      <c r="D2529" s="9">
        <v>2.0</v>
      </c>
      <c r="E2529" s="67">
        <f t="shared" si="11"/>
        <v>500</v>
      </c>
      <c r="F2529" s="67" t="str">
        <f t="shared" si="12"/>
        <v>2 LeadGen Set Appointments</v>
      </c>
    </row>
    <row r="2530" hidden="1">
      <c r="A2530" s="6" t="s">
        <v>38</v>
      </c>
      <c r="B2530" s="8" t="s">
        <v>1694</v>
      </c>
      <c r="C2530" s="8" t="s">
        <v>1695</v>
      </c>
      <c r="D2530" s="9">
        <v>2.0</v>
      </c>
      <c r="E2530" s="67">
        <f t="shared" si="11"/>
        <v>500</v>
      </c>
      <c r="F2530" s="67" t="str">
        <f t="shared" si="12"/>
        <v>2 LeadGen Set Appointments</v>
      </c>
    </row>
    <row r="2531" hidden="1">
      <c r="A2531" s="6" t="s">
        <v>38</v>
      </c>
      <c r="B2531" s="8" t="s">
        <v>1700</v>
      </c>
      <c r="C2531" s="8" t="s">
        <v>1701</v>
      </c>
      <c r="D2531" s="9">
        <v>2.0</v>
      </c>
      <c r="E2531" s="67">
        <f t="shared" si="11"/>
        <v>500</v>
      </c>
      <c r="F2531" s="67" t="str">
        <f t="shared" si="12"/>
        <v>2 LeadGen Set Appointments</v>
      </c>
    </row>
    <row r="2532" hidden="1">
      <c r="A2532" s="6" t="s">
        <v>38</v>
      </c>
      <c r="B2532" s="8" t="s">
        <v>1764</v>
      </c>
      <c r="C2532" s="8" t="s">
        <v>1765</v>
      </c>
      <c r="D2532" s="9">
        <v>2.0</v>
      </c>
      <c r="E2532" s="67">
        <f t="shared" si="11"/>
        <v>500</v>
      </c>
      <c r="F2532" s="67" t="str">
        <f t="shared" si="12"/>
        <v>2 LeadGen Set Appointments</v>
      </c>
    </row>
    <row r="2533" hidden="1">
      <c r="A2533" s="6" t="s">
        <v>38</v>
      </c>
      <c r="B2533" s="8" t="s">
        <v>1301</v>
      </c>
      <c r="C2533" s="8" t="s">
        <v>1620</v>
      </c>
      <c r="D2533" s="9">
        <v>2.0</v>
      </c>
      <c r="E2533" s="67">
        <f t="shared" si="11"/>
        <v>500</v>
      </c>
      <c r="F2533" s="67" t="str">
        <f t="shared" si="12"/>
        <v>2 LeadGen Set Appointments</v>
      </c>
    </row>
    <row r="2534" hidden="1">
      <c r="A2534" s="6" t="s">
        <v>38</v>
      </c>
      <c r="B2534" s="8" t="s">
        <v>825</v>
      </c>
      <c r="C2534" s="8" t="s">
        <v>1766</v>
      </c>
      <c r="D2534" s="9">
        <v>2.0</v>
      </c>
      <c r="E2534" s="67">
        <f t="shared" si="11"/>
        <v>500</v>
      </c>
      <c r="F2534" s="67" t="str">
        <f t="shared" si="12"/>
        <v>2 LeadGen Set Appointments</v>
      </c>
    </row>
    <row r="2535" hidden="1">
      <c r="A2535" s="6" t="s">
        <v>38</v>
      </c>
      <c r="B2535" s="8" t="s">
        <v>1690</v>
      </c>
      <c r="C2535" s="8" t="s">
        <v>1691</v>
      </c>
      <c r="D2535" s="9">
        <v>2.0</v>
      </c>
      <c r="E2535" s="67">
        <f t="shared" si="11"/>
        <v>500</v>
      </c>
      <c r="F2535" s="67" t="str">
        <f t="shared" si="12"/>
        <v>2 LeadGen Set Appointments</v>
      </c>
    </row>
    <row r="2536" hidden="1">
      <c r="A2536" s="6" t="s">
        <v>38</v>
      </c>
      <c r="B2536" s="8" t="s">
        <v>1767</v>
      </c>
      <c r="C2536" s="8" t="s">
        <v>521</v>
      </c>
      <c r="D2536" s="9">
        <v>2.0</v>
      </c>
      <c r="E2536" s="67">
        <f t="shared" si="11"/>
        <v>500</v>
      </c>
      <c r="F2536" s="67" t="str">
        <f t="shared" si="12"/>
        <v>2 LeadGen Set Appointments</v>
      </c>
    </row>
    <row r="2537" hidden="1">
      <c r="A2537" s="6" t="s">
        <v>38</v>
      </c>
      <c r="B2537" s="8" t="s">
        <v>1686</v>
      </c>
      <c r="C2537" s="8" t="s">
        <v>1687</v>
      </c>
      <c r="D2537" s="9">
        <v>2.0</v>
      </c>
      <c r="E2537" s="67">
        <f t="shared" si="11"/>
        <v>500</v>
      </c>
      <c r="F2537" s="67" t="str">
        <f t="shared" si="12"/>
        <v>2 LeadGen Set Appointments</v>
      </c>
    </row>
    <row r="2538" hidden="1">
      <c r="A2538" s="6" t="s">
        <v>38</v>
      </c>
      <c r="B2538" s="8" t="s">
        <v>1768</v>
      </c>
      <c r="C2538" s="8" t="s">
        <v>1769</v>
      </c>
      <c r="D2538" s="9">
        <v>1.0</v>
      </c>
      <c r="E2538" s="67">
        <f t="shared" si="11"/>
        <v>250</v>
      </c>
      <c r="F2538" s="67" t="str">
        <f t="shared" si="12"/>
        <v>1 LeadGen Set Appointments</v>
      </c>
    </row>
    <row r="2539" hidden="1">
      <c r="A2539" s="6" t="s">
        <v>38</v>
      </c>
      <c r="B2539" s="8" t="s">
        <v>1770</v>
      </c>
      <c r="C2539" s="8" t="s">
        <v>1771</v>
      </c>
      <c r="D2539" s="9">
        <v>1.0</v>
      </c>
      <c r="E2539" s="67">
        <f t="shared" si="11"/>
        <v>250</v>
      </c>
      <c r="F2539" s="67" t="str">
        <f t="shared" si="12"/>
        <v>1 LeadGen Set Appointments</v>
      </c>
    </row>
    <row r="2540" hidden="1">
      <c r="A2540" s="6" t="s">
        <v>38</v>
      </c>
      <c r="B2540" s="8" t="s">
        <v>1772</v>
      </c>
      <c r="C2540" s="8" t="s">
        <v>1773</v>
      </c>
      <c r="D2540" s="9">
        <v>1.0</v>
      </c>
      <c r="E2540" s="67">
        <f t="shared" si="11"/>
        <v>250</v>
      </c>
      <c r="F2540" s="67" t="str">
        <f t="shared" si="12"/>
        <v>1 LeadGen Set Appointments</v>
      </c>
    </row>
    <row r="2541" hidden="1">
      <c r="A2541" s="6" t="s">
        <v>38</v>
      </c>
      <c r="B2541" s="8" t="s">
        <v>1774</v>
      </c>
      <c r="C2541" s="8" t="s">
        <v>1775</v>
      </c>
      <c r="D2541" s="9">
        <v>6.0</v>
      </c>
      <c r="E2541" s="67">
        <f t="shared" si="11"/>
        <v>1500</v>
      </c>
      <c r="F2541" s="67" t="str">
        <f t="shared" si="12"/>
        <v>6 LeadGen Set Appointments</v>
      </c>
    </row>
    <row r="2542" hidden="1">
      <c r="A2542" s="6" t="s">
        <v>38</v>
      </c>
      <c r="B2542" s="8" t="s">
        <v>1776</v>
      </c>
      <c r="C2542" s="8" t="s">
        <v>1777</v>
      </c>
      <c r="D2542" s="9">
        <v>5.0</v>
      </c>
      <c r="E2542" s="67">
        <f t="shared" si="11"/>
        <v>1250</v>
      </c>
      <c r="F2542" s="67" t="str">
        <f t="shared" si="12"/>
        <v>5 LeadGen Set Appointments</v>
      </c>
    </row>
    <row r="2543" hidden="1">
      <c r="A2543" s="6" t="s">
        <v>38</v>
      </c>
      <c r="B2543" s="8" t="s">
        <v>1778</v>
      </c>
      <c r="C2543" s="8" t="s">
        <v>1779</v>
      </c>
      <c r="D2543" s="9">
        <v>3.0</v>
      </c>
      <c r="E2543" s="67">
        <f t="shared" si="11"/>
        <v>750</v>
      </c>
      <c r="F2543" s="67" t="str">
        <f t="shared" si="12"/>
        <v>3 LeadGen Set Appointments</v>
      </c>
    </row>
    <row r="2544" hidden="1">
      <c r="A2544" s="6" t="s">
        <v>40</v>
      </c>
      <c r="B2544" s="13" t="s">
        <v>644</v>
      </c>
      <c r="C2544" s="13" t="s">
        <v>645</v>
      </c>
      <c r="D2544" s="15">
        <v>35.0</v>
      </c>
      <c r="E2544" s="67">
        <f t="shared" si="11"/>
        <v>17500</v>
      </c>
      <c r="F2544" s="62" t="str">
        <f t="shared" si="12"/>
        <v>35 LeadGen Set Appointments</v>
      </c>
    </row>
    <row r="2545" hidden="1">
      <c r="A2545" s="6" t="s">
        <v>40</v>
      </c>
      <c r="B2545" s="13" t="s">
        <v>476</v>
      </c>
      <c r="C2545" s="13" t="s">
        <v>477</v>
      </c>
      <c r="D2545" s="15">
        <v>29.0</v>
      </c>
      <c r="E2545" s="67">
        <f t="shared" si="11"/>
        <v>14500</v>
      </c>
      <c r="F2545" s="62" t="str">
        <f t="shared" si="12"/>
        <v>29 LeadGen Set Appointments</v>
      </c>
    </row>
    <row r="2546" hidden="1">
      <c r="A2546" s="6" t="s">
        <v>40</v>
      </c>
      <c r="B2546" s="13" t="s">
        <v>1467</v>
      </c>
      <c r="C2546" s="13" t="s">
        <v>1468</v>
      </c>
      <c r="D2546" s="15">
        <v>15.0</v>
      </c>
      <c r="E2546" s="67">
        <f t="shared" si="11"/>
        <v>7500</v>
      </c>
      <c r="F2546" s="62" t="str">
        <f t="shared" si="12"/>
        <v>15 LeadGen Set Appointments</v>
      </c>
    </row>
    <row r="2547" hidden="1">
      <c r="A2547" s="6" t="s">
        <v>40</v>
      </c>
      <c r="B2547" s="13" t="s">
        <v>640</v>
      </c>
      <c r="C2547" s="13" t="s">
        <v>641</v>
      </c>
      <c r="D2547" s="15">
        <v>15.0</v>
      </c>
      <c r="E2547" s="67">
        <f t="shared" si="11"/>
        <v>7500</v>
      </c>
      <c r="F2547" s="62" t="str">
        <f t="shared" si="12"/>
        <v>15 LeadGen Set Appointments</v>
      </c>
    </row>
    <row r="2548" hidden="1">
      <c r="A2548" s="6" t="s">
        <v>40</v>
      </c>
      <c r="B2548" s="13" t="s">
        <v>540</v>
      </c>
      <c r="C2548" s="13" t="s">
        <v>1454</v>
      </c>
      <c r="D2548" s="15">
        <v>15.0</v>
      </c>
      <c r="E2548" s="67">
        <f t="shared" si="11"/>
        <v>7500</v>
      </c>
      <c r="F2548" s="62" t="str">
        <f t="shared" si="12"/>
        <v>15 LeadGen Set Appointments</v>
      </c>
    </row>
    <row r="2549" hidden="1">
      <c r="A2549" s="6" t="s">
        <v>40</v>
      </c>
      <c r="B2549" s="13" t="s">
        <v>699</v>
      </c>
      <c r="C2549" s="13" t="s">
        <v>700</v>
      </c>
      <c r="D2549" s="15">
        <v>15.0</v>
      </c>
      <c r="E2549" s="67">
        <f t="shared" si="11"/>
        <v>7500</v>
      </c>
      <c r="F2549" s="62" t="str">
        <f t="shared" si="12"/>
        <v>15 LeadGen Set Appointments</v>
      </c>
    </row>
    <row r="2550" hidden="1">
      <c r="A2550" s="6" t="s">
        <v>40</v>
      </c>
      <c r="B2550" s="13" t="s">
        <v>435</v>
      </c>
      <c r="C2550" s="13" t="s">
        <v>436</v>
      </c>
      <c r="D2550" s="15">
        <v>15.0</v>
      </c>
      <c r="E2550" s="67">
        <f t="shared" si="11"/>
        <v>7500</v>
      </c>
      <c r="F2550" s="62" t="str">
        <f t="shared" si="12"/>
        <v>15 LeadGen Set Appointments</v>
      </c>
    </row>
    <row r="2551" hidden="1">
      <c r="A2551" s="6" t="s">
        <v>40</v>
      </c>
      <c r="B2551" s="13" t="s">
        <v>746</v>
      </c>
      <c r="C2551" s="13" t="s">
        <v>747</v>
      </c>
      <c r="D2551" s="15">
        <v>15.0</v>
      </c>
      <c r="E2551" s="67">
        <f t="shared" si="11"/>
        <v>7500</v>
      </c>
      <c r="F2551" s="62" t="str">
        <f t="shared" si="12"/>
        <v>15 LeadGen Set Appointments</v>
      </c>
    </row>
    <row r="2552" hidden="1">
      <c r="A2552" s="6" t="s">
        <v>40</v>
      </c>
      <c r="B2552" s="13" t="s">
        <v>1489</v>
      </c>
      <c r="C2552" s="13" t="s">
        <v>1490</v>
      </c>
      <c r="D2552" s="15">
        <v>14.0</v>
      </c>
      <c r="E2552" s="67">
        <f t="shared" si="11"/>
        <v>7000</v>
      </c>
      <c r="F2552" s="62" t="str">
        <f t="shared" si="12"/>
        <v>14 LeadGen Set Appointments</v>
      </c>
    </row>
    <row r="2553" hidden="1">
      <c r="A2553" s="6" t="s">
        <v>40</v>
      </c>
      <c r="B2553" s="8" t="s">
        <v>1479</v>
      </c>
      <c r="C2553" s="8" t="s">
        <v>1480</v>
      </c>
      <c r="D2553" s="9">
        <v>14.0</v>
      </c>
      <c r="E2553" s="67">
        <f t="shared" si="11"/>
        <v>7000</v>
      </c>
      <c r="F2553" s="67" t="str">
        <f t="shared" si="12"/>
        <v>14 LeadGen Set Appointments</v>
      </c>
    </row>
    <row r="2554" hidden="1">
      <c r="A2554" s="6" t="s">
        <v>40</v>
      </c>
      <c r="B2554" s="13" t="s">
        <v>766</v>
      </c>
      <c r="C2554" s="13" t="s">
        <v>767</v>
      </c>
      <c r="D2554" s="15">
        <v>13.0</v>
      </c>
      <c r="E2554" s="67">
        <f t="shared" si="11"/>
        <v>6500</v>
      </c>
      <c r="F2554" s="62" t="str">
        <f t="shared" si="12"/>
        <v>13 LeadGen Set Appointments</v>
      </c>
    </row>
    <row r="2555" hidden="1">
      <c r="A2555" s="6" t="s">
        <v>40</v>
      </c>
      <c r="B2555" s="13" t="s">
        <v>1530</v>
      </c>
      <c r="C2555" s="13" t="s">
        <v>1531</v>
      </c>
      <c r="D2555" s="15">
        <v>13.0</v>
      </c>
      <c r="E2555" s="67">
        <f t="shared" si="11"/>
        <v>6500</v>
      </c>
      <c r="F2555" s="62" t="str">
        <f t="shared" si="12"/>
        <v>13 LeadGen Set Appointments</v>
      </c>
    </row>
    <row r="2556" hidden="1">
      <c r="A2556" s="6" t="s">
        <v>40</v>
      </c>
      <c r="B2556" s="13" t="s">
        <v>546</v>
      </c>
      <c r="C2556" s="13" t="s">
        <v>547</v>
      </c>
      <c r="D2556" s="15">
        <v>12.0</v>
      </c>
      <c r="E2556" s="67">
        <f t="shared" si="11"/>
        <v>6000</v>
      </c>
      <c r="F2556" s="62" t="str">
        <f t="shared" si="12"/>
        <v>12 LeadGen Set Appointments</v>
      </c>
    </row>
    <row r="2557" hidden="1">
      <c r="A2557" s="6" t="s">
        <v>40</v>
      </c>
      <c r="B2557" s="13" t="s">
        <v>1459</v>
      </c>
      <c r="C2557" s="13" t="s">
        <v>1460</v>
      </c>
      <c r="D2557" s="15">
        <v>11.0</v>
      </c>
      <c r="E2557" s="67">
        <f t="shared" si="11"/>
        <v>5500</v>
      </c>
      <c r="F2557" s="62" t="str">
        <f t="shared" si="12"/>
        <v>11 LeadGen Set Appointments</v>
      </c>
    </row>
    <row r="2558" hidden="1">
      <c r="A2558" s="6" t="s">
        <v>40</v>
      </c>
      <c r="B2558" s="13" t="s">
        <v>516</v>
      </c>
      <c r="C2558" s="13" t="s">
        <v>517</v>
      </c>
      <c r="D2558" s="15">
        <v>11.0</v>
      </c>
      <c r="E2558" s="67">
        <f t="shared" si="11"/>
        <v>5500</v>
      </c>
      <c r="F2558" s="62" t="str">
        <f t="shared" si="12"/>
        <v>11 LeadGen Set Appointments</v>
      </c>
    </row>
    <row r="2559" hidden="1">
      <c r="A2559" s="6" t="s">
        <v>40</v>
      </c>
      <c r="B2559" s="13" t="s">
        <v>411</v>
      </c>
      <c r="C2559" s="13" t="s">
        <v>412</v>
      </c>
      <c r="D2559" s="15">
        <v>11.0</v>
      </c>
      <c r="E2559" s="67">
        <f t="shared" si="11"/>
        <v>5500</v>
      </c>
      <c r="F2559" s="62" t="str">
        <f t="shared" si="12"/>
        <v>11 LeadGen Set Appointments</v>
      </c>
    </row>
    <row r="2560" hidden="1">
      <c r="A2560" s="6" t="s">
        <v>40</v>
      </c>
      <c r="B2560" s="13" t="s">
        <v>723</v>
      </c>
      <c r="C2560" s="13" t="s">
        <v>724</v>
      </c>
      <c r="D2560" s="15">
        <v>11.0</v>
      </c>
      <c r="E2560" s="67">
        <f t="shared" si="11"/>
        <v>5500</v>
      </c>
      <c r="F2560" s="62" t="str">
        <f t="shared" si="12"/>
        <v>11 LeadGen Set Appointments</v>
      </c>
    </row>
    <row r="2561" hidden="1">
      <c r="A2561" s="6" t="s">
        <v>40</v>
      </c>
      <c r="B2561" s="8" t="s">
        <v>1526</v>
      </c>
      <c r="C2561" s="8" t="s">
        <v>1527</v>
      </c>
      <c r="D2561" s="9">
        <v>10.0</v>
      </c>
      <c r="E2561" s="67">
        <f t="shared" si="11"/>
        <v>5000</v>
      </c>
      <c r="F2561" s="67" t="str">
        <f t="shared" si="12"/>
        <v>10 LeadGen Set Appointments</v>
      </c>
    </row>
    <row r="2562" hidden="1">
      <c r="A2562" s="6" t="s">
        <v>40</v>
      </c>
      <c r="B2562" s="8" t="s">
        <v>1583</v>
      </c>
      <c r="C2562" s="8" t="s">
        <v>1584</v>
      </c>
      <c r="D2562" s="9">
        <v>10.0</v>
      </c>
      <c r="E2562" s="67">
        <f t="shared" si="11"/>
        <v>5000</v>
      </c>
      <c r="F2562" s="67" t="str">
        <f t="shared" si="12"/>
        <v>10 LeadGen Set Appointments</v>
      </c>
    </row>
    <row r="2563" hidden="1">
      <c r="A2563" s="6" t="s">
        <v>40</v>
      </c>
      <c r="B2563" s="8" t="s">
        <v>1573</v>
      </c>
      <c r="C2563" s="8" t="s">
        <v>1574</v>
      </c>
      <c r="D2563" s="9">
        <v>10.0</v>
      </c>
      <c r="E2563" s="67">
        <f t="shared" si="11"/>
        <v>5000</v>
      </c>
      <c r="F2563" s="67" t="str">
        <f t="shared" si="12"/>
        <v>10 LeadGen Set Appointments</v>
      </c>
    </row>
    <row r="2564" hidden="1">
      <c r="A2564" s="6" t="s">
        <v>40</v>
      </c>
      <c r="B2564" s="13" t="s">
        <v>1483</v>
      </c>
      <c r="C2564" s="13" t="s">
        <v>1484</v>
      </c>
      <c r="D2564" s="15">
        <v>10.0</v>
      </c>
      <c r="E2564" s="67">
        <f t="shared" si="11"/>
        <v>5000</v>
      </c>
      <c r="F2564" s="62" t="str">
        <f t="shared" si="12"/>
        <v>10 LeadGen Set Appointments</v>
      </c>
    </row>
    <row r="2565" hidden="1">
      <c r="A2565" s="6" t="s">
        <v>40</v>
      </c>
      <c r="B2565" s="13" t="s">
        <v>628</v>
      </c>
      <c r="C2565" s="13" t="s">
        <v>629</v>
      </c>
      <c r="D2565" s="15">
        <v>9.0</v>
      </c>
      <c r="E2565" s="67">
        <f t="shared" si="11"/>
        <v>2250</v>
      </c>
      <c r="F2565" s="62" t="str">
        <f t="shared" si="12"/>
        <v>9 LeadGen Set Appointments</v>
      </c>
    </row>
    <row r="2566" hidden="1">
      <c r="A2566" s="6" t="s">
        <v>40</v>
      </c>
      <c r="B2566" s="13" t="s">
        <v>1477</v>
      </c>
      <c r="C2566" s="13" t="s">
        <v>1478</v>
      </c>
      <c r="D2566" s="15">
        <v>9.0</v>
      </c>
      <c r="E2566" s="67">
        <f t="shared" si="11"/>
        <v>2250</v>
      </c>
      <c r="F2566" s="62" t="str">
        <f t="shared" si="12"/>
        <v>9 LeadGen Set Appointments</v>
      </c>
    </row>
    <row r="2567" hidden="1">
      <c r="A2567" s="6" t="s">
        <v>40</v>
      </c>
      <c r="B2567" s="13" t="s">
        <v>1491</v>
      </c>
      <c r="C2567" s="13" t="s">
        <v>1492</v>
      </c>
      <c r="D2567" s="15">
        <v>9.0</v>
      </c>
      <c r="E2567" s="67">
        <f t="shared" si="11"/>
        <v>2250</v>
      </c>
      <c r="F2567" s="62" t="str">
        <f t="shared" si="12"/>
        <v>9 LeadGen Set Appointments</v>
      </c>
    </row>
    <row r="2568" hidden="1">
      <c r="A2568" s="6" t="s">
        <v>40</v>
      </c>
      <c r="B2568" s="13" t="s">
        <v>518</v>
      </c>
      <c r="C2568" s="13" t="s">
        <v>519</v>
      </c>
      <c r="D2568" s="15">
        <v>9.0</v>
      </c>
      <c r="E2568" s="67">
        <f t="shared" si="11"/>
        <v>2250</v>
      </c>
      <c r="F2568" s="62" t="str">
        <f t="shared" si="12"/>
        <v>9 LeadGen Set Appointments</v>
      </c>
    </row>
    <row r="2569" hidden="1">
      <c r="A2569" s="6" t="s">
        <v>40</v>
      </c>
      <c r="B2569" s="13" t="s">
        <v>510</v>
      </c>
      <c r="C2569" s="13" t="s">
        <v>511</v>
      </c>
      <c r="D2569" s="15">
        <v>9.0</v>
      </c>
      <c r="E2569" s="67">
        <f t="shared" si="11"/>
        <v>2250</v>
      </c>
      <c r="F2569" s="62" t="str">
        <f t="shared" si="12"/>
        <v>9 LeadGen Set Appointments</v>
      </c>
    </row>
    <row r="2570" hidden="1">
      <c r="A2570" s="16" t="s">
        <v>40</v>
      </c>
      <c r="B2570" s="8" t="s">
        <v>1025</v>
      </c>
      <c r="C2570" s="8" t="s">
        <v>1026</v>
      </c>
      <c r="D2570" s="8">
        <v>9.0</v>
      </c>
      <c r="E2570" s="67">
        <f t="shared" si="11"/>
        <v>2250</v>
      </c>
      <c r="F2570" s="67" t="str">
        <f t="shared" si="12"/>
        <v>9 LeadGen Set Appointments</v>
      </c>
    </row>
    <row r="2571" hidden="1">
      <c r="A2571" s="6" t="s">
        <v>40</v>
      </c>
      <c r="B2571" s="13" t="s">
        <v>1455</v>
      </c>
      <c r="C2571" s="13" t="s">
        <v>1456</v>
      </c>
      <c r="D2571" s="15">
        <v>8.0</v>
      </c>
      <c r="E2571" s="67">
        <f t="shared" si="11"/>
        <v>2000</v>
      </c>
      <c r="F2571" s="62" t="str">
        <f t="shared" si="12"/>
        <v>8 LeadGen Set Appointments</v>
      </c>
    </row>
    <row r="2572" hidden="1">
      <c r="A2572" s="6" t="s">
        <v>40</v>
      </c>
      <c r="B2572" s="13" t="s">
        <v>693</v>
      </c>
      <c r="C2572" s="13" t="s">
        <v>694</v>
      </c>
      <c r="D2572" s="15">
        <v>8.0</v>
      </c>
      <c r="E2572" s="67">
        <f t="shared" si="11"/>
        <v>2000</v>
      </c>
      <c r="F2572" s="62" t="str">
        <f t="shared" si="12"/>
        <v>8 LeadGen Set Appointments</v>
      </c>
    </row>
    <row r="2573" hidden="1">
      <c r="A2573" s="6" t="s">
        <v>40</v>
      </c>
      <c r="B2573" s="13" t="s">
        <v>1557</v>
      </c>
      <c r="C2573" s="13" t="s">
        <v>1558</v>
      </c>
      <c r="D2573" s="15">
        <v>8.0</v>
      </c>
      <c r="E2573" s="67">
        <f t="shared" si="11"/>
        <v>2000</v>
      </c>
      <c r="F2573" s="62" t="str">
        <f t="shared" si="12"/>
        <v>8 LeadGen Set Appointments</v>
      </c>
    </row>
    <row r="2574" hidden="1">
      <c r="A2574" s="6" t="s">
        <v>40</v>
      </c>
      <c r="B2574" s="13" t="s">
        <v>626</v>
      </c>
      <c r="C2574" s="13" t="s">
        <v>627</v>
      </c>
      <c r="D2574" s="15">
        <v>8.0</v>
      </c>
      <c r="E2574" s="67">
        <f t="shared" si="11"/>
        <v>2000</v>
      </c>
      <c r="F2574" s="62" t="str">
        <f t="shared" si="12"/>
        <v>8 LeadGen Set Appointments</v>
      </c>
    </row>
    <row r="2575" hidden="1">
      <c r="A2575" s="6" t="s">
        <v>40</v>
      </c>
      <c r="B2575" s="13" t="s">
        <v>1719</v>
      </c>
      <c r="C2575" s="13" t="s">
        <v>1720</v>
      </c>
      <c r="D2575" s="15">
        <v>7.0</v>
      </c>
      <c r="E2575" s="67">
        <f t="shared" si="11"/>
        <v>1750</v>
      </c>
      <c r="F2575" s="62" t="str">
        <f t="shared" si="12"/>
        <v>7 LeadGen Set Appointments</v>
      </c>
    </row>
    <row r="2576" hidden="1">
      <c r="A2576" s="6" t="s">
        <v>40</v>
      </c>
      <c r="B2576" s="13" t="s">
        <v>1723</v>
      </c>
      <c r="C2576" s="13" t="s">
        <v>32</v>
      </c>
      <c r="D2576" s="15">
        <v>7.0</v>
      </c>
      <c r="E2576" s="67">
        <f t="shared" si="11"/>
        <v>1750</v>
      </c>
      <c r="F2576" s="62" t="str">
        <f t="shared" si="12"/>
        <v>7 LeadGen Set Appointments</v>
      </c>
    </row>
    <row r="2577" hidden="1">
      <c r="A2577" s="6" t="s">
        <v>40</v>
      </c>
      <c r="B2577" s="13" t="s">
        <v>572</v>
      </c>
      <c r="C2577" s="13" t="s">
        <v>573</v>
      </c>
      <c r="D2577" s="15">
        <v>7.0</v>
      </c>
      <c r="E2577" s="67">
        <f t="shared" si="11"/>
        <v>1750</v>
      </c>
      <c r="F2577" s="62" t="str">
        <f t="shared" si="12"/>
        <v>7 LeadGen Set Appointments</v>
      </c>
    </row>
    <row r="2578" hidden="1">
      <c r="A2578" s="6" t="s">
        <v>40</v>
      </c>
      <c r="B2578" s="8" t="s">
        <v>1621</v>
      </c>
      <c r="C2578" s="8" t="s">
        <v>1622</v>
      </c>
      <c r="D2578" s="9">
        <v>7.0</v>
      </c>
      <c r="E2578" s="67">
        <f t="shared" si="11"/>
        <v>1750</v>
      </c>
      <c r="F2578" s="67" t="str">
        <f t="shared" si="12"/>
        <v>7 LeadGen Set Appointments</v>
      </c>
    </row>
    <row r="2579" hidden="1">
      <c r="A2579" s="6" t="s">
        <v>40</v>
      </c>
      <c r="B2579" s="13" t="s">
        <v>1565</v>
      </c>
      <c r="C2579" s="13" t="s">
        <v>1566</v>
      </c>
      <c r="D2579" s="15">
        <v>7.0</v>
      </c>
      <c r="E2579" s="67">
        <f t="shared" si="11"/>
        <v>1750</v>
      </c>
      <c r="F2579" s="62" t="str">
        <f t="shared" si="12"/>
        <v>7 LeadGen Set Appointments</v>
      </c>
    </row>
    <row r="2580" hidden="1">
      <c r="A2580" s="6" t="s">
        <v>40</v>
      </c>
      <c r="B2580" s="13" t="s">
        <v>624</v>
      </c>
      <c r="C2580" s="13" t="s">
        <v>625</v>
      </c>
      <c r="D2580" s="15">
        <v>7.0</v>
      </c>
      <c r="E2580" s="67">
        <f t="shared" si="11"/>
        <v>1750</v>
      </c>
      <c r="F2580" s="62" t="str">
        <f t="shared" si="12"/>
        <v>7 LeadGen Set Appointments</v>
      </c>
    </row>
    <row r="2581" hidden="1">
      <c r="A2581" s="6" t="s">
        <v>40</v>
      </c>
      <c r="B2581" s="13" t="s">
        <v>1571</v>
      </c>
      <c r="C2581" s="13" t="s">
        <v>1572</v>
      </c>
      <c r="D2581" s="15">
        <v>7.0</v>
      </c>
      <c r="E2581" s="67">
        <f t="shared" si="11"/>
        <v>1750</v>
      </c>
      <c r="F2581" s="62" t="str">
        <f t="shared" si="12"/>
        <v>7 LeadGen Set Appointments</v>
      </c>
    </row>
    <row r="2582" hidden="1">
      <c r="A2582" s="6" t="s">
        <v>40</v>
      </c>
      <c r="B2582" s="13" t="s">
        <v>1471</v>
      </c>
      <c r="C2582" s="13" t="s">
        <v>1472</v>
      </c>
      <c r="D2582" s="15">
        <v>7.0</v>
      </c>
      <c r="E2582" s="67">
        <f t="shared" si="11"/>
        <v>1750</v>
      </c>
      <c r="F2582" s="62" t="str">
        <f t="shared" si="12"/>
        <v>7 LeadGen Set Appointments</v>
      </c>
    </row>
    <row r="2583" hidden="1">
      <c r="A2583" s="16" t="s">
        <v>40</v>
      </c>
      <c r="B2583" s="8" t="s">
        <v>1457</v>
      </c>
      <c r="C2583" s="8" t="s">
        <v>1458</v>
      </c>
      <c r="D2583" s="8">
        <v>7.0</v>
      </c>
      <c r="E2583" s="67">
        <f t="shared" si="11"/>
        <v>1750</v>
      </c>
      <c r="F2583" s="67" t="str">
        <f t="shared" si="12"/>
        <v>7 LeadGen Set Appointments</v>
      </c>
    </row>
    <row r="2584" hidden="1">
      <c r="A2584" s="6" t="s">
        <v>40</v>
      </c>
      <c r="B2584" s="13" t="s">
        <v>1724</v>
      </c>
      <c r="C2584" s="13" t="s">
        <v>1725</v>
      </c>
      <c r="D2584" s="15">
        <v>6.0</v>
      </c>
      <c r="E2584" s="67">
        <f t="shared" si="11"/>
        <v>1500</v>
      </c>
      <c r="F2584" s="62" t="str">
        <f t="shared" si="12"/>
        <v>6 LeadGen Set Appointments</v>
      </c>
    </row>
    <row r="2585" hidden="1">
      <c r="A2585" s="6" t="s">
        <v>40</v>
      </c>
      <c r="B2585" s="13" t="s">
        <v>431</v>
      </c>
      <c r="C2585" s="13" t="s">
        <v>432</v>
      </c>
      <c r="D2585" s="15">
        <v>6.0</v>
      </c>
      <c r="E2585" s="67">
        <f t="shared" si="11"/>
        <v>1500</v>
      </c>
      <c r="F2585" s="62" t="str">
        <f t="shared" si="12"/>
        <v>6 LeadGen Set Appointments</v>
      </c>
    </row>
    <row r="2586" hidden="1">
      <c r="A2586" s="6" t="s">
        <v>40</v>
      </c>
      <c r="B2586" s="13" t="s">
        <v>1485</v>
      </c>
      <c r="C2586" s="13" t="s">
        <v>1486</v>
      </c>
      <c r="D2586" s="15">
        <v>6.0</v>
      </c>
      <c r="E2586" s="67">
        <f t="shared" si="11"/>
        <v>1500</v>
      </c>
      <c r="F2586" s="62" t="str">
        <f t="shared" si="12"/>
        <v>6 LeadGen Set Appointments</v>
      </c>
    </row>
    <row r="2587" hidden="1">
      <c r="A2587" s="6" t="s">
        <v>40</v>
      </c>
      <c r="B2587" s="8" t="s">
        <v>1475</v>
      </c>
      <c r="C2587" s="8" t="s">
        <v>1476</v>
      </c>
      <c r="D2587" s="9">
        <v>6.0</v>
      </c>
      <c r="E2587" s="67">
        <f t="shared" si="11"/>
        <v>1500</v>
      </c>
      <c r="F2587" s="67" t="str">
        <f t="shared" si="12"/>
        <v>6 LeadGen Set Appointments</v>
      </c>
    </row>
    <row r="2588" hidden="1">
      <c r="A2588" s="6" t="s">
        <v>40</v>
      </c>
      <c r="B2588" s="8" t="s">
        <v>1510</v>
      </c>
      <c r="C2588" s="8" t="s">
        <v>1511</v>
      </c>
      <c r="D2588" s="9">
        <v>6.0</v>
      </c>
      <c r="E2588" s="67">
        <f t="shared" si="11"/>
        <v>1500</v>
      </c>
      <c r="F2588" s="67" t="str">
        <f t="shared" si="12"/>
        <v>6 LeadGen Set Appointments</v>
      </c>
    </row>
    <row r="2589" hidden="1">
      <c r="A2589" s="6" t="s">
        <v>40</v>
      </c>
      <c r="B2589" s="8" t="s">
        <v>1688</v>
      </c>
      <c r="C2589" s="8" t="s">
        <v>1689</v>
      </c>
      <c r="D2589" s="9">
        <v>6.0</v>
      </c>
      <c r="E2589" s="67">
        <f t="shared" si="11"/>
        <v>1500</v>
      </c>
      <c r="F2589" s="67" t="str">
        <f t="shared" si="12"/>
        <v>6 LeadGen Set Appointments</v>
      </c>
    </row>
    <row r="2590" hidden="1">
      <c r="A2590" s="6" t="s">
        <v>40</v>
      </c>
      <c r="B2590" s="13" t="s">
        <v>682</v>
      </c>
      <c r="C2590" s="13" t="s">
        <v>683</v>
      </c>
      <c r="D2590" s="15">
        <v>6.0</v>
      </c>
      <c r="E2590" s="67">
        <f t="shared" si="11"/>
        <v>1500</v>
      </c>
      <c r="F2590" s="62" t="str">
        <f t="shared" si="12"/>
        <v>6 LeadGen Set Appointments</v>
      </c>
    </row>
    <row r="2591" hidden="1">
      <c r="A2591" s="6" t="s">
        <v>40</v>
      </c>
      <c r="B2591" s="13" t="s">
        <v>1553</v>
      </c>
      <c r="C2591" s="13" t="s">
        <v>1554</v>
      </c>
      <c r="D2591" s="15">
        <v>6.0</v>
      </c>
      <c r="E2591" s="67">
        <f t="shared" si="11"/>
        <v>1500</v>
      </c>
      <c r="F2591" s="62" t="str">
        <f t="shared" si="12"/>
        <v>6 LeadGen Set Appointments</v>
      </c>
    </row>
    <row r="2592" hidden="1">
      <c r="A2592" s="6" t="s">
        <v>40</v>
      </c>
      <c r="B2592" s="13" t="s">
        <v>1520</v>
      </c>
      <c r="C2592" s="13" t="s">
        <v>1521</v>
      </c>
      <c r="D2592" s="15">
        <v>6.0</v>
      </c>
      <c r="E2592" s="67">
        <f t="shared" si="11"/>
        <v>1500</v>
      </c>
      <c r="F2592" s="62" t="str">
        <f t="shared" si="12"/>
        <v>6 LeadGen Set Appointments</v>
      </c>
    </row>
    <row r="2593" hidden="1">
      <c r="A2593" s="6" t="s">
        <v>40</v>
      </c>
      <c r="B2593" s="13" t="s">
        <v>986</v>
      </c>
      <c r="C2593" s="13" t="s">
        <v>1629</v>
      </c>
      <c r="D2593" s="15">
        <v>6.0</v>
      </c>
      <c r="E2593" s="67">
        <f t="shared" si="11"/>
        <v>1500</v>
      </c>
      <c r="F2593" s="62" t="str">
        <f t="shared" si="12"/>
        <v>6 LeadGen Set Appointments</v>
      </c>
    </row>
    <row r="2594" hidden="1">
      <c r="A2594" s="6" t="s">
        <v>40</v>
      </c>
      <c r="B2594" s="13" t="s">
        <v>622</v>
      </c>
      <c r="C2594" s="13" t="s">
        <v>623</v>
      </c>
      <c r="D2594" s="15">
        <v>6.0</v>
      </c>
      <c r="E2594" s="67">
        <f t="shared" si="11"/>
        <v>1500</v>
      </c>
      <c r="F2594" s="62" t="str">
        <f t="shared" si="12"/>
        <v>6 LeadGen Set Appointments</v>
      </c>
    </row>
    <row r="2595" hidden="1">
      <c r="A2595" s="6" t="s">
        <v>40</v>
      </c>
      <c r="B2595" s="13" t="s">
        <v>1630</v>
      </c>
      <c r="C2595" s="13" t="s">
        <v>1631</v>
      </c>
      <c r="D2595" s="15">
        <v>6.0</v>
      </c>
      <c r="E2595" s="67">
        <f t="shared" si="11"/>
        <v>1500</v>
      </c>
      <c r="F2595" s="62" t="str">
        <f t="shared" si="12"/>
        <v>6 LeadGen Set Appointments</v>
      </c>
    </row>
    <row r="2596" hidden="1">
      <c r="A2596" s="6" t="s">
        <v>40</v>
      </c>
      <c r="B2596" s="8" t="s">
        <v>1577</v>
      </c>
      <c r="C2596" s="8" t="s">
        <v>1578</v>
      </c>
      <c r="D2596" s="9">
        <v>5.0</v>
      </c>
      <c r="E2596" s="67">
        <f t="shared" si="11"/>
        <v>1250</v>
      </c>
      <c r="F2596" s="67" t="str">
        <f t="shared" si="12"/>
        <v>5 LeadGen Set Appointments</v>
      </c>
    </row>
    <row r="2597" hidden="1">
      <c r="A2597" s="6" t="s">
        <v>40</v>
      </c>
      <c r="B2597" s="8" t="s">
        <v>500</v>
      </c>
      <c r="C2597" s="8" t="s">
        <v>501</v>
      </c>
      <c r="D2597" s="9">
        <v>5.0</v>
      </c>
      <c r="E2597" s="67">
        <f t="shared" si="11"/>
        <v>1250</v>
      </c>
      <c r="F2597" s="67" t="str">
        <f t="shared" si="12"/>
        <v>5 LeadGen Set Appointments</v>
      </c>
    </row>
    <row r="2598" hidden="1">
      <c r="A2598" s="6" t="s">
        <v>40</v>
      </c>
      <c r="B2598" s="8" t="s">
        <v>1473</v>
      </c>
      <c r="C2598" s="8" t="s">
        <v>1474</v>
      </c>
      <c r="D2598" s="9">
        <v>5.0</v>
      </c>
      <c r="E2598" s="67">
        <f t="shared" si="11"/>
        <v>1250</v>
      </c>
      <c r="F2598" s="67" t="str">
        <f t="shared" si="12"/>
        <v>5 LeadGen Set Appointments</v>
      </c>
    </row>
    <row r="2599" hidden="1">
      <c r="A2599" s="6" t="s">
        <v>40</v>
      </c>
      <c r="B2599" s="8" t="s">
        <v>1538</v>
      </c>
      <c r="C2599" s="8" t="s">
        <v>1539</v>
      </c>
      <c r="D2599" s="9">
        <v>5.0</v>
      </c>
      <c r="E2599" s="67">
        <f t="shared" si="11"/>
        <v>1250</v>
      </c>
      <c r="F2599" s="67" t="str">
        <f t="shared" si="12"/>
        <v>5 LeadGen Set Appointments</v>
      </c>
    </row>
    <row r="2600" hidden="1">
      <c r="A2600" s="6" t="s">
        <v>40</v>
      </c>
      <c r="B2600" s="13" t="s">
        <v>1547</v>
      </c>
      <c r="C2600" s="13" t="s">
        <v>1548</v>
      </c>
      <c r="D2600" s="15">
        <v>5.0</v>
      </c>
      <c r="E2600" s="67">
        <f t="shared" si="11"/>
        <v>1250</v>
      </c>
      <c r="F2600" s="62" t="str">
        <f t="shared" si="12"/>
        <v>5 LeadGen Set Appointments</v>
      </c>
    </row>
    <row r="2601" hidden="1">
      <c r="A2601" s="6" t="s">
        <v>40</v>
      </c>
      <c r="B2601" s="13" t="s">
        <v>1504</v>
      </c>
      <c r="C2601" s="13" t="s">
        <v>1505</v>
      </c>
      <c r="D2601" s="15">
        <v>5.0</v>
      </c>
      <c r="E2601" s="67">
        <f t="shared" si="11"/>
        <v>1250</v>
      </c>
      <c r="F2601" s="62" t="str">
        <f t="shared" si="12"/>
        <v>5 LeadGen Set Appointments</v>
      </c>
    </row>
    <row r="2602" hidden="1">
      <c r="A2602" s="6" t="s">
        <v>40</v>
      </c>
      <c r="B2602" s="13" t="s">
        <v>752</v>
      </c>
      <c r="C2602" s="13" t="s">
        <v>753</v>
      </c>
      <c r="D2602" s="15">
        <v>5.0</v>
      </c>
      <c r="E2602" s="67">
        <f t="shared" si="11"/>
        <v>1250</v>
      </c>
      <c r="F2602" s="62" t="str">
        <f t="shared" si="12"/>
        <v>5 LeadGen Set Appointments</v>
      </c>
    </row>
    <row r="2603" hidden="1">
      <c r="A2603" s="6" t="s">
        <v>40</v>
      </c>
      <c r="B2603" s="13" t="s">
        <v>1608</v>
      </c>
      <c r="C2603" s="13" t="s">
        <v>1609</v>
      </c>
      <c r="D2603" s="15">
        <v>5.0</v>
      </c>
      <c r="E2603" s="67">
        <f t="shared" si="11"/>
        <v>1250</v>
      </c>
      <c r="F2603" s="62" t="str">
        <f t="shared" si="12"/>
        <v>5 LeadGen Set Appointments</v>
      </c>
    </row>
    <row r="2604" hidden="1">
      <c r="A2604" s="6" t="s">
        <v>40</v>
      </c>
      <c r="B2604" s="13" t="s">
        <v>1512</v>
      </c>
      <c r="C2604" s="13" t="s">
        <v>1513</v>
      </c>
      <c r="D2604" s="15">
        <v>5.0</v>
      </c>
      <c r="E2604" s="67">
        <f t="shared" si="11"/>
        <v>1250</v>
      </c>
      <c r="F2604" s="62" t="str">
        <f t="shared" si="12"/>
        <v>5 LeadGen Set Appointments</v>
      </c>
    </row>
    <row r="2605" hidden="1">
      <c r="A2605" s="6" t="s">
        <v>40</v>
      </c>
      <c r="B2605" s="13" t="s">
        <v>582</v>
      </c>
      <c r="C2605" s="13" t="s">
        <v>583</v>
      </c>
      <c r="D2605" s="15">
        <v>5.0</v>
      </c>
      <c r="E2605" s="67">
        <f t="shared" si="11"/>
        <v>1250</v>
      </c>
      <c r="F2605" s="62" t="str">
        <f t="shared" si="12"/>
        <v>5 LeadGen Set Appointments</v>
      </c>
    </row>
    <row r="2606" hidden="1">
      <c r="A2606" s="6" t="s">
        <v>40</v>
      </c>
      <c r="B2606" s="13" t="s">
        <v>1421</v>
      </c>
      <c r="C2606" s="13" t="s">
        <v>712</v>
      </c>
      <c r="D2606" s="15">
        <v>5.0</v>
      </c>
      <c r="E2606" s="67">
        <f t="shared" si="11"/>
        <v>1250</v>
      </c>
      <c r="F2606" s="62" t="str">
        <f t="shared" si="12"/>
        <v>5 LeadGen Set Appointments</v>
      </c>
    </row>
    <row r="2607" hidden="1">
      <c r="A2607" s="6" t="s">
        <v>40</v>
      </c>
      <c r="B2607" s="13" t="s">
        <v>1657</v>
      </c>
      <c r="C2607" s="13" t="s">
        <v>1658</v>
      </c>
      <c r="D2607" s="15">
        <v>5.0</v>
      </c>
      <c r="E2607" s="67">
        <f t="shared" si="11"/>
        <v>1250</v>
      </c>
      <c r="F2607" s="62" t="str">
        <f t="shared" si="12"/>
        <v>5 LeadGen Set Appointments</v>
      </c>
    </row>
    <row r="2608" hidden="1">
      <c r="A2608" s="6" t="s">
        <v>40</v>
      </c>
      <c r="B2608" s="8" t="s">
        <v>1666</v>
      </c>
      <c r="C2608" s="8" t="s">
        <v>1667</v>
      </c>
      <c r="D2608" s="9">
        <v>5.0</v>
      </c>
      <c r="E2608" s="67">
        <f t="shared" si="11"/>
        <v>1250</v>
      </c>
      <c r="F2608" s="67" t="str">
        <f t="shared" si="12"/>
        <v>5 LeadGen Set Appointments</v>
      </c>
    </row>
    <row r="2609" hidden="1">
      <c r="A2609" s="6" t="s">
        <v>40</v>
      </c>
      <c r="B2609" s="8" t="s">
        <v>1567</v>
      </c>
      <c r="C2609" s="8" t="s">
        <v>1568</v>
      </c>
      <c r="D2609" s="9">
        <v>5.0</v>
      </c>
      <c r="E2609" s="67">
        <f t="shared" si="11"/>
        <v>1250</v>
      </c>
      <c r="F2609" s="67" t="str">
        <f t="shared" si="12"/>
        <v>5 LeadGen Set Appointments</v>
      </c>
    </row>
    <row r="2610" hidden="1">
      <c r="A2610" s="6" t="s">
        <v>40</v>
      </c>
      <c r="B2610" s="8" t="s">
        <v>1493</v>
      </c>
      <c r="C2610" s="8" t="s">
        <v>1494</v>
      </c>
      <c r="D2610" s="9">
        <v>5.0</v>
      </c>
      <c r="E2610" s="67">
        <f t="shared" si="11"/>
        <v>1250</v>
      </c>
      <c r="F2610" s="67" t="str">
        <f t="shared" si="12"/>
        <v>5 LeadGen Set Appointments</v>
      </c>
    </row>
    <row r="2611" hidden="1">
      <c r="A2611" s="6" t="s">
        <v>40</v>
      </c>
      <c r="B2611" s="8" t="s">
        <v>1674</v>
      </c>
      <c r="C2611" s="8" t="s">
        <v>1675</v>
      </c>
      <c r="D2611" s="9">
        <v>5.0</v>
      </c>
      <c r="E2611" s="67">
        <f t="shared" si="11"/>
        <v>1250</v>
      </c>
      <c r="F2611" s="67" t="str">
        <f t="shared" si="12"/>
        <v>5 LeadGen Set Appointments</v>
      </c>
    </row>
    <row r="2612" hidden="1">
      <c r="A2612" s="6" t="s">
        <v>40</v>
      </c>
      <c r="B2612" s="8" t="s">
        <v>1716</v>
      </c>
      <c r="C2612" s="8" t="s">
        <v>30</v>
      </c>
      <c r="D2612" s="9">
        <v>5.0</v>
      </c>
      <c r="E2612" s="67">
        <f t="shared" si="11"/>
        <v>1250</v>
      </c>
      <c r="F2612" s="67" t="str">
        <f t="shared" si="12"/>
        <v>5 LeadGen Set Appointments</v>
      </c>
    </row>
    <row r="2613" hidden="1">
      <c r="A2613" s="6" t="s">
        <v>40</v>
      </c>
      <c r="B2613" s="8" t="s">
        <v>1772</v>
      </c>
      <c r="C2613" s="8" t="s">
        <v>1773</v>
      </c>
      <c r="D2613" s="9">
        <v>5.0</v>
      </c>
      <c r="E2613" s="67">
        <f t="shared" si="11"/>
        <v>1250</v>
      </c>
      <c r="F2613" s="67" t="str">
        <f t="shared" si="12"/>
        <v>5 LeadGen Set Appointments</v>
      </c>
    </row>
    <row r="2614" hidden="1">
      <c r="A2614" s="6" t="s">
        <v>40</v>
      </c>
      <c r="B2614" s="13" t="s">
        <v>1481</v>
      </c>
      <c r="C2614" s="13" t="s">
        <v>1482</v>
      </c>
      <c r="D2614" s="15">
        <v>5.0</v>
      </c>
      <c r="E2614" s="67">
        <f t="shared" si="11"/>
        <v>1250</v>
      </c>
      <c r="F2614" s="62" t="str">
        <f t="shared" si="12"/>
        <v>5 LeadGen Set Appointments</v>
      </c>
    </row>
    <row r="2615" hidden="1">
      <c r="A2615" s="6" t="s">
        <v>40</v>
      </c>
      <c r="B2615" s="13" t="s">
        <v>1534</v>
      </c>
      <c r="C2615" s="13" t="s">
        <v>1535</v>
      </c>
      <c r="D2615" s="15">
        <v>5.0</v>
      </c>
      <c r="E2615" s="67">
        <f t="shared" si="11"/>
        <v>1250</v>
      </c>
      <c r="F2615" s="62" t="str">
        <f t="shared" si="12"/>
        <v>5 LeadGen Set Appointments</v>
      </c>
    </row>
    <row r="2616" hidden="1">
      <c r="A2616" s="6" t="s">
        <v>40</v>
      </c>
      <c r="B2616" s="13" t="s">
        <v>1682</v>
      </c>
      <c r="C2616" s="13" t="s">
        <v>1683</v>
      </c>
      <c r="D2616" s="15">
        <v>5.0</v>
      </c>
      <c r="E2616" s="67">
        <f t="shared" si="11"/>
        <v>1250</v>
      </c>
      <c r="F2616" s="62" t="str">
        <f t="shared" si="12"/>
        <v>5 LeadGen Set Appointments</v>
      </c>
    </row>
    <row r="2617" hidden="1">
      <c r="A2617" s="16" t="s">
        <v>40</v>
      </c>
      <c r="B2617" s="8" t="s">
        <v>1761</v>
      </c>
      <c r="C2617" s="8" t="s">
        <v>1762</v>
      </c>
      <c r="D2617" s="8">
        <v>5.0</v>
      </c>
      <c r="E2617" s="67">
        <f t="shared" si="11"/>
        <v>1250</v>
      </c>
      <c r="F2617" s="67" t="str">
        <f t="shared" si="12"/>
        <v>5 LeadGen Set Appointments</v>
      </c>
    </row>
    <row r="2618" hidden="1">
      <c r="A2618" s="16" t="s">
        <v>40</v>
      </c>
      <c r="B2618" s="8" t="s">
        <v>1763</v>
      </c>
      <c r="C2618" s="8" t="s">
        <v>653</v>
      </c>
      <c r="D2618" s="8">
        <v>5.0</v>
      </c>
      <c r="E2618" s="67">
        <f t="shared" si="11"/>
        <v>1250</v>
      </c>
      <c r="F2618" s="67" t="str">
        <f t="shared" si="12"/>
        <v>5 LeadGen Set Appointments</v>
      </c>
    </row>
    <row r="2619" hidden="1">
      <c r="A2619" s="16" t="s">
        <v>40</v>
      </c>
      <c r="B2619" s="8" t="s">
        <v>1506</v>
      </c>
      <c r="C2619" s="8" t="s">
        <v>1507</v>
      </c>
      <c r="D2619" s="8">
        <v>5.0</v>
      </c>
      <c r="E2619" s="67">
        <f t="shared" si="11"/>
        <v>1250</v>
      </c>
      <c r="F2619" s="67" t="str">
        <f t="shared" si="12"/>
        <v>5 LeadGen Set Appointments</v>
      </c>
    </row>
    <row r="2620" hidden="1">
      <c r="A2620" s="6" t="s">
        <v>40</v>
      </c>
      <c r="B2620" s="13" t="s">
        <v>1740</v>
      </c>
      <c r="C2620" s="13" t="s">
        <v>1741</v>
      </c>
      <c r="D2620" s="15">
        <v>4.0</v>
      </c>
      <c r="E2620" s="67">
        <f t="shared" si="11"/>
        <v>1000</v>
      </c>
      <c r="F2620" s="62" t="str">
        <f t="shared" si="12"/>
        <v>4 LeadGen Set Appointments</v>
      </c>
    </row>
    <row r="2621" hidden="1">
      <c r="A2621" s="6" t="s">
        <v>40</v>
      </c>
      <c r="B2621" s="13" t="s">
        <v>1465</v>
      </c>
      <c r="C2621" s="13" t="s">
        <v>1466</v>
      </c>
      <c r="D2621" s="15">
        <v>4.0</v>
      </c>
      <c r="E2621" s="67">
        <f t="shared" si="11"/>
        <v>1000</v>
      </c>
      <c r="F2621" s="62" t="str">
        <f t="shared" si="12"/>
        <v>4 LeadGen Set Appointments</v>
      </c>
    </row>
    <row r="2622" hidden="1">
      <c r="A2622" s="6" t="s">
        <v>40</v>
      </c>
      <c r="B2622" s="13" t="s">
        <v>1638</v>
      </c>
      <c r="C2622" s="13" t="s">
        <v>1639</v>
      </c>
      <c r="D2622" s="15">
        <v>4.0</v>
      </c>
      <c r="E2622" s="67">
        <f t="shared" si="11"/>
        <v>1000</v>
      </c>
      <c r="F2622" s="62" t="str">
        <f t="shared" si="12"/>
        <v>4 LeadGen Set Appointments</v>
      </c>
    </row>
    <row r="2623" hidden="1">
      <c r="A2623" s="6" t="s">
        <v>40</v>
      </c>
      <c r="B2623" s="8" t="s">
        <v>1774</v>
      </c>
      <c r="C2623" s="8" t="s">
        <v>1775</v>
      </c>
      <c r="D2623" s="9">
        <v>4.0</v>
      </c>
      <c r="E2623" s="67">
        <f t="shared" si="11"/>
        <v>1000</v>
      </c>
      <c r="F2623" s="67" t="str">
        <f t="shared" si="12"/>
        <v>4 LeadGen Set Appointments</v>
      </c>
    </row>
    <row r="2624" hidden="1">
      <c r="A2624" s="6" t="s">
        <v>40</v>
      </c>
      <c r="B2624" s="8" t="s">
        <v>1540</v>
      </c>
      <c r="C2624" s="8" t="s">
        <v>1541</v>
      </c>
      <c r="D2624" s="9">
        <v>4.0</v>
      </c>
      <c r="E2624" s="67">
        <f t="shared" si="11"/>
        <v>1000</v>
      </c>
      <c r="F2624" s="67" t="str">
        <f t="shared" si="12"/>
        <v>4 LeadGen Set Appointments</v>
      </c>
    </row>
    <row r="2625" hidden="1">
      <c r="A2625" s="6" t="s">
        <v>40</v>
      </c>
      <c r="B2625" s="8" t="s">
        <v>1105</v>
      </c>
      <c r="C2625" s="8" t="s">
        <v>1542</v>
      </c>
      <c r="D2625" s="9">
        <v>4.0</v>
      </c>
      <c r="E2625" s="67">
        <f t="shared" si="11"/>
        <v>1000</v>
      </c>
      <c r="F2625" s="67" t="str">
        <f t="shared" si="12"/>
        <v>4 LeadGen Set Appointments</v>
      </c>
    </row>
    <row r="2626" hidden="1">
      <c r="A2626" s="6" t="s">
        <v>40</v>
      </c>
      <c r="B2626" s="8" t="s">
        <v>1732</v>
      </c>
      <c r="C2626" s="8" t="s">
        <v>1733</v>
      </c>
      <c r="D2626" s="9">
        <v>4.0</v>
      </c>
      <c r="E2626" s="67">
        <f t="shared" si="11"/>
        <v>1000</v>
      </c>
      <c r="F2626" s="67" t="str">
        <f t="shared" si="12"/>
        <v>4 LeadGen Set Appointments</v>
      </c>
    </row>
    <row r="2627" hidden="1">
      <c r="A2627" s="6" t="s">
        <v>40</v>
      </c>
      <c r="B2627" s="8" t="s">
        <v>1648</v>
      </c>
      <c r="C2627" s="8" t="s">
        <v>1206</v>
      </c>
      <c r="D2627" s="9">
        <v>4.0</v>
      </c>
      <c r="E2627" s="67">
        <f t="shared" si="11"/>
        <v>1000</v>
      </c>
      <c r="F2627" s="67" t="str">
        <f t="shared" si="12"/>
        <v>4 LeadGen Set Appointments</v>
      </c>
    </row>
    <row r="2628" hidden="1">
      <c r="A2628" s="6" t="s">
        <v>40</v>
      </c>
      <c r="B2628" s="8" t="s">
        <v>1721</v>
      </c>
      <c r="C2628" s="8" t="s">
        <v>1722</v>
      </c>
      <c r="D2628" s="9">
        <v>4.0</v>
      </c>
      <c r="E2628" s="67">
        <f t="shared" si="11"/>
        <v>1000</v>
      </c>
      <c r="F2628" s="67" t="str">
        <f t="shared" si="12"/>
        <v>4 LeadGen Set Appointments</v>
      </c>
    </row>
    <row r="2629" hidden="1">
      <c r="A2629" s="6" t="s">
        <v>40</v>
      </c>
      <c r="B2629" s="8" t="s">
        <v>1653</v>
      </c>
      <c r="C2629" s="8" t="s">
        <v>1654</v>
      </c>
      <c r="D2629" s="9">
        <v>4.0</v>
      </c>
      <c r="E2629" s="67">
        <f t="shared" si="11"/>
        <v>1000</v>
      </c>
      <c r="F2629" s="67" t="str">
        <f t="shared" si="12"/>
        <v>4 LeadGen Set Appointments</v>
      </c>
    </row>
    <row r="2630" hidden="1">
      <c r="A2630" s="6" t="s">
        <v>40</v>
      </c>
      <c r="B2630" s="8" t="s">
        <v>1259</v>
      </c>
      <c r="C2630" s="8" t="s">
        <v>1260</v>
      </c>
      <c r="D2630" s="9">
        <v>4.0</v>
      </c>
      <c r="E2630" s="67">
        <f t="shared" si="11"/>
        <v>1000</v>
      </c>
      <c r="F2630" s="67" t="str">
        <f t="shared" si="12"/>
        <v>4 LeadGen Set Appointments</v>
      </c>
    </row>
    <row r="2631" hidden="1">
      <c r="A2631" s="6" t="s">
        <v>40</v>
      </c>
      <c r="B2631" s="8" t="s">
        <v>1426</v>
      </c>
      <c r="C2631" s="8" t="s">
        <v>1427</v>
      </c>
      <c r="D2631" s="9">
        <v>4.0</v>
      </c>
      <c r="E2631" s="67">
        <f t="shared" si="11"/>
        <v>1000</v>
      </c>
      <c r="F2631" s="67" t="str">
        <f t="shared" si="12"/>
        <v>4 LeadGen Set Appointments</v>
      </c>
    </row>
    <row r="2632" hidden="1">
      <c r="A2632" s="6" t="s">
        <v>40</v>
      </c>
      <c r="B2632" s="8" t="s">
        <v>502</v>
      </c>
      <c r="C2632" s="8" t="s">
        <v>503</v>
      </c>
      <c r="D2632" s="9">
        <v>4.0</v>
      </c>
      <c r="E2632" s="67">
        <f t="shared" si="11"/>
        <v>1000</v>
      </c>
      <c r="F2632" s="67" t="str">
        <f t="shared" si="12"/>
        <v>4 LeadGen Set Appointments</v>
      </c>
    </row>
    <row r="2633" hidden="1">
      <c r="A2633" s="6" t="s">
        <v>40</v>
      </c>
      <c r="B2633" s="8" t="s">
        <v>1393</v>
      </c>
      <c r="C2633" s="8" t="s">
        <v>1394</v>
      </c>
      <c r="D2633" s="9">
        <v>4.0</v>
      </c>
      <c r="E2633" s="67">
        <f t="shared" si="11"/>
        <v>1000</v>
      </c>
      <c r="F2633" s="67" t="str">
        <f t="shared" si="12"/>
        <v>4 LeadGen Set Appointments</v>
      </c>
    </row>
    <row r="2634" hidden="1">
      <c r="A2634" s="6" t="s">
        <v>40</v>
      </c>
      <c r="B2634" s="8" t="s">
        <v>486</v>
      </c>
      <c r="C2634" s="8" t="s">
        <v>487</v>
      </c>
      <c r="D2634" s="9">
        <v>4.0</v>
      </c>
      <c r="E2634" s="67">
        <f t="shared" si="11"/>
        <v>1000</v>
      </c>
      <c r="F2634" s="67" t="str">
        <f t="shared" si="12"/>
        <v>4 LeadGen Set Appointments</v>
      </c>
    </row>
    <row r="2635" hidden="1">
      <c r="A2635" s="6" t="s">
        <v>40</v>
      </c>
      <c r="B2635" s="8" t="s">
        <v>1555</v>
      </c>
      <c r="C2635" s="8" t="s">
        <v>1556</v>
      </c>
      <c r="D2635" s="9">
        <v>4.0</v>
      </c>
      <c r="E2635" s="67">
        <f t="shared" si="11"/>
        <v>1000</v>
      </c>
      <c r="F2635" s="67" t="str">
        <f t="shared" si="12"/>
        <v>4 LeadGen Set Appointments</v>
      </c>
    </row>
    <row r="2636" hidden="1">
      <c r="A2636" s="6" t="s">
        <v>40</v>
      </c>
      <c r="B2636" s="8" t="s">
        <v>1708</v>
      </c>
      <c r="C2636" s="8" t="s">
        <v>1709</v>
      </c>
      <c r="D2636" s="9">
        <v>4.0</v>
      </c>
      <c r="E2636" s="67">
        <f t="shared" si="11"/>
        <v>1000</v>
      </c>
      <c r="F2636" s="67" t="str">
        <f t="shared" si="12"/>
        <v>4 LeadGen Set Appointments</v>
      </c>
    </row>
    <row r="2637" hidden="1">
      <c r="A2637" s="6" t="s">
        <v>40</v>
      </c>
      <c r="B2637" s="8" t="s">
        <v>1664</v>
      </c>
      <c r="C2637" s="8" t="s">
        <v>1665</v>
      </c>
      <c r="D2637" s="9">
        <v>4.0</v>
      </c>
      <c r="E2637" s="67">
        <f t="shared" si="11"/>
        <v>1000</v>
      </c>
      <c r="F2637" s="67" t="str">
        <f t="shared" si="12"/>
        <v>4 LeadGen Set Appointments</v>
      </c>
    </row>
    <row r="2638" hidden="1">
      <c r="A2638" s="6" t="s">
        <v>40</v>
      </c>
      <c r="B2638" s="8" t="s">
        <v>532</v>
      </c>
      <c r="C2638" s="8" t="s">
        <v>533</v>
      </c>
      <c r="D2638" s="9">
        <v>4.0</v>
      </c>
      <c r="E2638" s="67">
        <f t="shared" si="11"/>
        <v>1000</v>
      </c>
      <c r="F2638" s="67" t="str">
        <f t="shared" si="12"/>
        <v>4 LeadGen Set Appointments</v>
      </c>
    </row>
    <row r="2639" hidden="1">
      <c r="A2639" s="6" t="s">
        <v>40</v>
      </c>
      <c r="B2639" s="8" t="s">
        <v>1625</v>
      </c>
      <c r="C2639" s="8" t="s">
        <v>1626</v>
      </c>
      <c r="D2639" s="9">
        <v>4.0</v>
      </c>
      <c r="E2639" s="67">
        <f t="shared" si="11"/>
        <v>1000</v>
      </c>
      <c r="F2639" s="67" t="str">
        <f t="shared" si="12"/>
        <v>4 LeadGen Set Appointments</v>
      </c>
    </row>
    <row r="2640" hidden="1">
      <c r="A2640" s="6" t="s">
        <v>40</v>
      </c>
      <c r="B2640" s="8" t="s">
        <v>1497</v>
      </c>
      <c r="C2640" s="8" t="s">
        <v>1498</v>
      </c>
      <c r="D2640" s="9">
        <v>4.0</v>
      </c>
      <c r="E2640" s="67">
        <f t="shared" si="11"/>
        <v>1000</v>
      </c>
      <c r="F2640" s="67" t="str">
        <f t="shared" si="12"/>
        <v>4 LeadGen Set Appointments</v>
      </c>
    </row>
    <row r="2641" hidden="1">
      <c r="A2641" s="6" t="s">
        <v>40</v>
      </c>
      <c r="B2641" s="8" t="s">
        <v>1283</v>
      </c>
      <c r="C2641" s="8" t="s">
        <v>404</v>
      </c>
      <c r="D2641" s="9">
        <v>4.0</v>
      </c>
      <c r="E2641" s="67">
        <f t="shared" si="11"/>
        <v>1000</v>
      </c>
      <c r="F2641" s="67" t="str">
        <f t="shared" si="12"/>
        <v>4 LeadGen Set Appointments</v>
      </c>
    </row>
    <row r="2642" hidden="1">
      <c r="A2642" s="6" t="s">
        <v>40</v>
      </c>
      <c r="B2642" s="8" t="s">
        <v>1776</v>
      </c>
      <c r="C2642" s="8" t="s">
        <v>1777</v>
      </c>
      <c r="D2642" s="9">
        <v>4.0</v>
      </c>
      <c r="E2642" s="67">
        <f t="shared" si="11"/>
        <v>1000</v>
      </c>
      <c r="F2642" s="67" t="str">
        <f t="shared" si="12"/>
        <v>4 LeadGen Set Appointments</v>
      </c>
    </row>
    <row r="2643" hidden="1">
      <c r="A2643" s="6" t="s">
        <v>40</v>
      </c>
      <c r="B2643" s="8" t="s">
        <v>1501</v>
      </c>
      <c r="C2643" s="8" t="s">
        <v>414</v>
      </c>
      <c r="D2643" s="9">
        <v>4.0</v>
      </c>
      <c r="E2643" s="67">
        <f t="shared" si="11"/>
        <v>1000</v>
      </c>
      <c r="F2643" s="67" t="str">
        <f t="shared" si="12"/>
        <v>4 LeadGen Set Appointments</v>
      </c>
    </row>
    <row r="2644" hidden="1">
      <c r="A2644" s="16" t="s">
        <v>40</v>
      </c>
      <c r="B2644" s="8" t="s">
        <v>1700</v>
      </c>
      <c r="C2644" s="8" t="s">
        <v>1701</v>
      </c>
      <c r="D2644" s="8">
        <v>4.0</v>
      </c>
      <c r="E2644" s="67">
        <f t="shared" si="11"/>
        <v>1000</v>
      </c>
      <c r="F2644" s="67" t="str">
        <f t="shared" si="12"/>
        <v>4 LeadGen Set Appointments</v>
      </c>
    </row>
    <row r="2645" hidden="1">
      <c r="A2645" s="16" t="s">
        <v>40</v>
      </c>
      <c r="B2645" s="8" t="s">
        <v>1301</v>
      </c>
      <c r="C2645" s="8" t="s">
        <v>1620</v>
      </c>
      <c r="D2645" s="8">
        <v>4.0</v>
      </c>
      <c r="E2645" s="67">
        <f t="shared" si="11"/>
        <v>1000</v>
      </c>
      <c r="F2645" s="67" t="str">
        <f t="shared" si="12"/>
        <v>4 LeadGen Set Appointments</v>
      </c>
    </row>
    <row r="2646" hidden="1">
      <c r="A2646" s="6" t="s">
        <v>40</v>
      </c>
      <c r="B2646" s="8" t="s">
        <v>1780</v>
      </c>
      <c r="C2646" s="8" t="s">
        <v>1781</v>
      </c>
      <c r="D2646" s="9">
        <v>3.0</v>
      </c>
      <c r="E2646" s="67">
        <f t="shared" si="11"/>
        <v>750</v>
      </c>
      <c r="F2646" s="67" t="str">
        <f t="shared" si="12"/>
        <v>3 LeadGen Set Appointments</v>
      </c>
    </row>
    <row r="2647" hidden="1">
      <c r="A2647" s="6" t="s">
        <v>40</v>
      </c>
      <c r="B2647" s="8" t="s">
        <v>462</v>
      </c>
      <c r="C2647" s="8" t="s">
        <v>463</v>
      </c>
      <c r="D2647" s="9">
        <v>3.0</v>
      </c>
      <c r="E2647" s="67">
        <f t="shared" si="11"/>
        <v>750</v>
      </c>
      <c r="F2647" s="67" t="str">
        <f t="shared" si="12"/>
        <v>3 LeadGen Set Appointments</v>
      </c>
    </row>
    <row r="2648" hidden="1">
      <c r="A2648" s="6" t="s">
        <v>40</v>
      </c>
      <c r="B2648" s="8" t="s">
        <v>1728</v>
      </c>
      <c r="C2648" s="8" t="s">
        <v>1729</v>
      </c>
      <c r="D2648" s="9">
        <v>3.0</v>
      </c>
      <c r="E2648" s="67">
        <f t="shared" si="11"/>
        <v>750</v>
      </c>
      <c r="F2648" s="67" t="str">
        <f t="shared" si="12"/>
        <v>3 LeadGen Set Appointments</v>
      </c>
    </row>
    <row r="2649" hidden="1">
      <c r="A2649" s="6" t="s">
        <v>40</v>
      </c>
      <c r="B2649" s="8" t="s">
        <v>1448</v>
      </c>
      <c r="C2649" s="8" t="s">
        <v>1449</v>
      </c>
      <c r="D2649" s="9">
        <v>3.0</v>
      </c>
      <c r="E2649" s="67">
        <f t="shared" si="11"/>
        <v>750</v>
      </c>
      <c r="F2649" s="67" t="str">
        <f t="shared" si="12"/>
        <v>3 LeadGen Set Appointments</v>
      </c>
    </row>
    <row r="2650" hidden="1">
      <c r="A2650" s="6" t="s">
        <v>40</v>
      </c>
      <c r="B2650" s="8" t="s">
        <v>1543</v>
      </c>
      <c r="C2650" s="8" t="s">
        <v>1544</v>
      </c>
      <c r="D2650" s="9">
        <v>3.0</v>
      </c>
      <c r="E2650" s="67">
        <f t="shared" si="11"/>
        <v>750</v>
      </c>
      <c r="F2650" s="67" t="str">
        <f t="shared" si="12"/>
        <v>3 LeadGen Set Appointments</v>
      </c>
    </row>
    <row r="2651" hidden="1">
      <c r="A2651" s="6" t="s">
        <v>40</v>
      </c>
      <c r="B2651" s="8" t="s">
        <v>684</v>
      </c>
      <c r="C2651" s="8" t="s">
        <v>685</v>
      </c>
      <c r="D2651" s="9">
        <v>3.0</v>
      </c>
      <c r="E2651" s="67">
        <f t="shared" si="11"/>
        <v>750</v>
      </c>
      <c r="F2651" s="67" t="str">
        <f t="shared" si="12"/>
        <v>3 LeadGen Set Appointments</v>
      </c>
    </row>
    <row r="2652" hidden="1">
      <c r="A2652" s="6" t="s">
        <v>40</v>
      </c>
      <c r="B2652" s="8" t="s">
        <v>1334</v>
      </c>
      <c r="C2652" s="8" t="s">
        <v>553</v>
      </c>
      <c r="D2652" s="9">
        <v>3.0</v>
      </c>
      <c r="E2652" s="67">
        <f t="shared" si="11"/>
        <v>750</v>
      </c>
      <c r="F2652" s="67" t="str">
        <f t="shared" si="12"/>
        <v>3 LeadGen Set Appointments</v>
      </c>
    </row>
    <row r="2653" hidden="1">
      <c r="A2653" s="6" t="s">
        <v>40</v>
      </c>
      <c r="B2653" s="8" t="s">
        <v>1778</v>
      </c>
      <c r="C2653" s="8" t="s">
        <v>1779</v>
      </c>
      <c r="D2653" s="9">
        <v>3.0</v>
      </c>
      <c r="E2653" s="67">
        <f t="shared" si="11"/>
        <v>750</v>
      </c>
      <c r="F2653" s="67" t="str">
        <f t="shared" si="12"/>
        <v>3 LeadGen Set Appointments</v>
      </c>
    </row>
    <row r="2654" hidden="1">
      <c r="A2654" s="6" t="s">
        <v>40</v>
      </c>
      <c r="B2654" s="8" t="s">
        <v>1782</v>
      </c>
      <c r="C2654" s="8" t="s">
        <v>1783</v>
      </c>
      <c r="D2654" s="9">
        <v>3.0</v>
      </c>
      <c r="E2654" s="67">
        <f t="shared" si="11"/>
        <v>750</v>
      </c>
      <c r="F2654" s="67" t="str">
        <f t="shared" si="12"/>
        <v>3 LeadGen Set Appointments</v>
      </c>
    </row>
    <row r="2655" hidden="1">
      <c r="A2655" s="6" t="s">
        <v>40</v>
      </c>
      <c r="B2655" s="8" t="s">
        <v>1514</v>
      </c>
      <c r="C2655" s="8" t="s">
        <v>1515</v>
      </c>
      <c r="D2655" s="9">
        <v>3.0</v>
      </c>
      <c r="E2655" s="67">
        <f t="shared" si="11"/>
        <v>750</v>
      </c>
      <c r="F2655" s="67" t="str">
        <f t="shared" si="12"/>
        <v>3 LeadGen Set Appointments</v>
      </c>
    </row>
    <row r="2656" hidden="1">
      <c r="A2656" s="6" t="s">
        <v>40</v>
      </c>
      <c r="B2656" s="8" t="s">
        <v>1469</v>
      </c>
      <c r="C2656" s="8" t="s">
        <v>1470</v>
      </c>
      <c r="D2656" s="9">
        <v>3.0</v>
      </c>
      <c r="E2656" s="67">
        <f t="shared" si="11"/>
        <v>750</v>
      </c>
      <c r="F2656" s="67" t="str">
        <f t="shared" si="12"/>
        <v>3 LeadGen Set Appointments</v>
      </c>
    </row>
    <row r="2657" hidden="1">
      <c r="A2657" s="6" t="s">
        <v>40</v>
      </c>
      <c r="B2657" s="8" t="s">
        <v>1561</v>
      </c>
      <c r="C2657" s="8" t="s">
        <v>1562</v>
      </c>
      <c r="D2657" s="9">
        <v>3.0</v>
      </c>
      <c r="E2657" s="67">
        <f t="shared" si="11"/>
        <v>750</v>
      </c>
      <c r="F2657" s="67" t="str">
        <f t="shared" si="12"/>
        <v>3 LeadGen Set Appointments</v>
      </c>
    </row>
    <row r="2658" hidden="1">
      <c r="A2658" s="6" t="s">
        <v>40</v>
      </c>
      <c r="B2658" s="8" t="s">
        <v>1784</v>
      </c>
      <c r="C2658" s="8" t="s">
        <v>1785</v>
      </c>
      <c r="D2658" s="9">
        <v>3.0</v>
      </c>
      <c r="E2658" s="67">
        <f t="shared" si="11"/>
        <v>750</v>
      </c>
      <c r="F2658" s="67" t="str">
        <f t="shared" si="12"/>
        <v>3 LeadGen Set Appointments</v>
      </c>
    </row>
    <row r="2659" hidden="1">
      <c r="A2659" s="6" t="s">
        <v>40</v>
      </c>
      <c r="B2659" s="8" t="s">
        <v>1524</v>
      </c>
      <c r="C2659" s="8" t="s">
        <v>1525</v>
      </c>
      <c r="D2659" s="9">
        <v>3.0</v>
      </c>
      <c r="E2659" s="67">
        <f t="shared" si="11"/>
        <v>750</v>
      </c>
      <c r="F2659" s="67" t="str">
        <f t="shared" si="12"/>
        <v>3 LeadGen Set Appointments</v>
      </c>
    </row>
    <row r="2660" hidden="1">
      <c r="A2660" s="6" t="s">
        <v>40</v>
      </c>
      <c r="B2660" s="8" t="s">
        <v>1696</v>
      </c>
      <c r="C2660" s="8" t="s">
        <v>1697</v>
      </c>
      <c r="D2660" s="9">
        <v>3.0</v>
      </c>
      <c r="E2660" s="67">
        <f t="shared" si="11"/>
        <v>750</v>
      </c>
      <c r="F2660" s="67" t="str">
        <f t="shared" si="12"/>
        <v>3 LeadGen Set Appointments</v>
      </c>
    </row>
    <row r="2661" hidden="1">
      <c r="A2661" s="6" t="s">
        <v>40</v>
      </c>
      <c r="B2661" s="8" t="s">
        <v>1495</v>
      </c>
      <c r="C2661" s="8" t="s">
        <v>1496</v>
      </c>
      <c r="D2661" s="9">
        <v>3.0</v>
      </c>
      <c r="E2661" s="67">
        <f t="shared" si="11"/>
        <v>750</v>
      </c>
      <c r="F2661" s="67" t="str">
        <f t="shared" si="12"/>
        <v>3 LeadGen Set Appointments</v>
      </c>
    </row>
    <row r="2662" hidden="1">
      <c r="A2662" s="6" t="s">
        <v>40</v>
      </c>
      <c r="B2662" s="8" t="s">
        <v>1632</v>
      </c>
      <c r="C2662" s="8" t="s">
        <v>1633</v>
      </c>
      <c r="D2662" s="9">
        <v>3.0</v>
      </c>
      <c r="E2662" s="67">
        <f t="shared" si="11"/>
        <v>750</v>
      </c>
      <c r="F2662" s="67" t="str">
        <f t="shared" si="12"/>
        <v>3 LeadGen Set Appointments</v>
      </c>
    </row>
    <row r="2663" hidden="1">
      <c r="A2663" s="6" t="s">
        <v>40</v>
      </c>
      <c r="B2663" s="8" t="s">
        <v>1684</v>
      </c>
      <c r="C2663" s="8" t="s">
        <v>1685</v>
      </c>
      <c r="D2663" s="9">
        <v>3.0</v>
      </c>
      <c r="E2663" s="67">
        <f t="shared" si="11"/>
        <v>750</v>
      </c>
      <c r="F2663" s="67" t="str">
        <f t="shared" si="12"/>
        <v>3 LeadGen Set Appointments</v>
      </c>
    </row>
    <row r="2664" hidden="1">
      <c r="A2664" s="16" t="s">
        <v>40</v>
      </c>
      <c r="B2664" s="8" t="s">
        <v>1770</v>
      </c>
      <c r="C2664" s="8" t="s">
        <v>1771</v>
      </c>
      <c r="D2664" s="8">
        <v>3.0</v>
      </c>
      <c r="E2664" s="67">
        <f t="shared" si="11"/>
        <v>750</v>
      </c>
      <c r="F2664" s="67" t="str">
        <f t="shared" si="12"/>
        <v>3 LeadGen Set Appointments</v>
      </c>
    </row>
    <row r="2665" hidden="1">
      <c r="A2665" s="16" t="s">
        <v>40</v>
      </c>
      <c r="B2665" s="8" t="s">
        <v>825</v>
      </c>
      <c r="C2665" s="8" t="s">
        <v>1766</v>
      </c>
      <c r="D2665" s="8">
        <v>3.0</v>
      </c>
      <c r="E2665" s="67">
        <f t="shared" si="11"/>
        <v>750</v>
      </c>
      <c r="F2665" s="67" t="str">
        <f t="shared" si="12"/>
        <v>3 LeadGen Set Appointments</v>
      </c>
    </row>
    <row r="2666" hidden="1">
      <c r="A2666" s="16" t="s">
        <v>40</v>
      </c>
      <c r="B2666" s="8" t="s">
        <v>1690</v>
      </c>
      <c r="C2666" s="8" t="s">
        <v>1691</v>
      </c>
      <c r="D2666" s="8">
        <v>3.0</v>
      </c>
      <c r="E2666" s="67">
        <f t="shared" si="11"/>
        <v>750</v>
      </c>
      <c r="F2666" s="67" t="str">
        <f t="shared" si="12"/>
        <v>3 LeadGen Set Appointments</v>
      </c>
    </row>
    <row r="2667" hidden="1">
      <c r="A2667" s="16" t="s">
        <v>40</v>
      </c>
      <c r="B2667" s="8" t="s">
        <v>1686</v>
      </c>
      <c r="C2667" s="8" t="s">
        <v>1687</v>
      </c>
      <c r="D2667" s="8">
        <v>3.0</v>
      </c>
      <c r="E2667" s="67">
        <f t="shared" si="11"/>
        <v>750</v>
      </c>
      <c r="F2667" s="67" t="str">
        <f t="shared" si="12"/>
        <v>3 LeadGen Set Appointments</v>
      </c>
    </row>
    <row r="2668" hidden="1">
      <c r="A2668" s="16" t="s">
        <v>40</v>
      </c>
      <c r="B2668" s="8" t="s">
        <v>1499</v>
      </c>
      <c r="C2668" s="8" t="s">
        <v>1500</v>
      </c>
      <c r="D2668" s="8">
        <v>3.0</v>
      </c>
      <c r="E2668" s="67">
        <f t="shared" si="11"/>
        <v>750</v>
      </c>
      <c r="F2668" s="67" t="str">
        <f t="shared" si="12"/>
        <v>3 LeadGen Set Appointments</v>
      </c>
    </row>
    <row r="2669" hidden="1">
      <c r="A2669" s="6" t="s">
        <v>40</v>
      </c>
      <c r="B2669" s="8" t="s">
        <v>1786</v>
      </c>
      <c r="C2669" s="8" t="s">
        <v>1787</v>
      </c>
      <c r="D2669" s="9">
        <v>3.0</v>
      </c>
      <c r="E2669" s="67">
        <f t="shared" si="11"/>
        <v>750</v>
      </c>
      <c r="F2669" s="67" t="str">
        <f t="shared" si="12"/>
        <v>3 LeadGen Set Appointments</v>
      </c>
    </row>
    <row r="2670" hidden="1">
      <c r="A2670" s="6" t="s">
        <v>40</v>
      </c>
      <c r="B2670" s="8" t="s">
        <v>1706</v>
      </c>
      <c r="C2670" s="8" t="s">
        <v>1707</v>
      </c>
      <c r="D2670" s="9">
        <v>2.0</v>
      </c>
      <c r="E2670" s="67">
        <f t="shared" si="11"/>
        <v>500</v>
      </c>
      <c r="F2670" s="67" t="str">
        <f t="shared" si="12"/>
        <v>2 LeadGen Set Appointments</v>
      </c>
    </row>
    <row r="2671" hidden="1">
      <c r="A2671" s="6" t="s">
        <v>40</v>
      </c>
      <c r="B2671" s="8" t="s">
        <v>736</v>
      </c>
      <c r="C2671" s="8" t="s">
        <v>737</v>
      </c>
      <c r="D2671" s="9">
        <v>2.0</v>
      </c>
      <c r="E2671" s="67">
        <f t="shared" si="11"/>
        <v>500</v>
      </c>
      <c r="F2671" s="67" t="str">
        <f t="shared" si="12"/>
        <v>2 LeadGen Set Appointments</v>
      </c>
    </row>
    <row r="2672" hidden="1">
      <c r="A2672" s="6" t="s">
        <v>40</v>
      </c>
      <c r="B2672" s="8" t="s">
        <v>1579</v>
      </c>
      <c r="C2672" s="8" t="s">
        <v>1580</v>
      </c>
      <c r="D2672" s="9">
        <v>2.0</v>
      </c>
      <c r="E2672" s="67">
        <f t="shared" si="11"/>
        <v>500</v>
      </c>
      <c r="F2672" s="67" t="str">
        <f t="shared" si="12"/>
        <v>2 LeadGen Set Appointments</v>
      </c>
    </row>
    <row r="2673" hidden="1">
      <c r="A2673" s="6" t="s">
        <v>40</v>
      </c>
      <c r="B2673" s="8" t="s">
        <v>1581</v>
      </c>
      <c r="C2673" s="8" t="s">
        <v>1582</v>
      </c>
      <c r="D2673" s="9">
        <v>2.0</v>
      </c>
      <c r="E2673" s="67">
        <f t="shared" si="11"/>
        <v>500</v>
      </c>
      <c r="F2673" s="67" t="str">
        <f t="shared" si="12"/>
        <v>2 LeadGen Set Appointments</v>
      </c>
    </row>
    <row r="2674" hidden="1">
      <c r="A2674" s="6" t="s">
        <v>40</v>
      </c>
      <c r="B2674" s="8" t="s">
        <v>1746</v>
      </c>
      <c r="C2674" s="8" t="s">
        <v>1747</v>
      </c>
      <c r="D2674" s="9">
        <v>2.0</v>
      </c>
      <c r="E2674" s="67">
        <f t="shared" si="11"/>
        <v>500</v>
      </c>
      <c r="F2674" s="67" t="str">
        <f t="shared" si="12"/>
        <v>2 LeadGen Set Appointments</v>
      </c>
    </row>
    <row r="2675" hidden="1">
      <c r="A2675" s="6" t="s">
        <v>40</v>
      </c>
      <c r="B2675" s="8" t="s">
        <v>1646</v>
      </c>
      <c r="C2675" s="8" t="s">
        <v>1647</v>
      </c>
      <c r="D2675" s="9">
        <v>2.0</v>
      </c>
      <c r="E2675" s="67">
        <f t="shared" si="11"/>
        <v>500</v>
      </c>
      <c r="F2675" s="67" t="str">
        <f t="shared" si="12"/>
        <v>2 LeadGen Set Appointments</v>
      </c>
    </row>
    <row r="2676" hidden="1">
      <c r="A2676" s="6" t="s">
        <v>40</v>
      </c>
      <c r="B2676" s="8" t="s">
        <v>560</v>
      </c>
      <c r="C2676" s="8" t="s">
        <v>561</v>
      </c>
      <c r="D2676" s="9">
        <v>2.0</v>
      </c>
      <c r="E2676" s="67">
        <f t="shared" si="11"/>
        <v>500</v>
      </c>
      <c r="F2676" s="67" t="str">
        <f t="shared" si="12"/>
        <v>2 LeadGen Set Appointments</v>
      </c>
    </row>
    <row r="2677" hidden="1">
      <c r="A2677" s="6" t="s">
        <v>40</v>
      </c>
      <c r="B2677" s="8" t="s">
        <v>1606</v>
      </c>
      <c r="C2677" s="8" t="s">
        <v>1607</v>
      </c>
      <c r="D2677" s="9">
        <v>2.0</v>
      </c>
      <c r="E2677" s="67">
        <f t="shared" si="11"/>
        <v>500</v>
      </c>
      <c r="F2677" s="67" t="str">
        <f t="shared" si="12"/>
        <v>2 LeadGen Set Appointments</v>
      </c>
    </row>
    <row r="2678" hidden="1">
      <c r="A2678" s="6" t="s">
        <v>40</v>
      </c>
      <c r="B2678" s="8" t="s">
        <v>1748</v>
      </c>
      <c r="C2678" s="8" t="s">
        <v>1749</v>
      </c>
      <c r="D2678" s="9">
        <v>2.0</v>
      </c>
      <c r="E2678" s="67">
        <f t="shared" si="11"/>
        <v>500</v>
      </c>
      <c r="F2678" s="67" t="str">
        <f t="shared" si="12"/>
        <v>2 LeadGen Set Appointments</v>
      </c>
    </row>
    <row r="2679" hidden="1">
      <c r="A2679" s="6" t="s">
        <v>40</v>
      </c>
      <c r="B2679" s="8" t="s">
        <v>1415</v>
      </c>
      <c r="C2679" s="8" t="s">
        <v>1416</v>
      </c>
      <c r="D2679" s="9">
        <v>2.0</v>
      </c>
      <c r="E2679" s="67">
        <f t="shared" si="11"/>
        <v>500</v>
      </c>
      <c r="F2679" s="67" t="str">
        <f t="shared" si="12"/>
        <v>2 LeadGen Set Appointments</v>
      </c>
    </row>
    <row r="2680" hidden="1">
      <c r="A2680" s="6" t="s">
        <v>40</v>
      </c>
      <c r="B2680" s="8" t="s">
        <v>1754</v>
      </c>
      <c r="C2680" s="8" t="s">
        <v>1755</v>
      </c>
      <c r="D2680" s="9">
        <v>2.0</v>
      </c>
      <c r="E2680" s="67">
        <f t="shared" si="11"/>
        <v>500</v>
      </c>
      <c r="F2680" s="67" t="str">
        <f t="shared" si="12"/>
        <v>2 LeadGen Set Appointments</v>
      </c>
    </row>
    <row r="2681" hidden="1">
      <c r="A2681" s="6" t="s">
        <v>40</v>
      </c>
      <c r="B2681" s="8" t="s">
        <v>1325</v>
      </c>
      <c r="C2681" s="8" t="s">
        <v>1326</v>
      </c>
      <c r="D2681" s="9">
        <v>2.0</v>
      </c>
      <c r="E2681" s="67">
        <f t="shared" si="11"/>
        <v>500</v>
      </c>
      <c r="F2681" s="67" t="str">
        <f t="shared" si="12"/>
        <v>2 LeadGen Set Appointments</v>
      </c>
    </row>
    <row r="2682" hidden="1">
      <c r="A2682" s="6" t="s">
        <v>40</v>
      </c>
      <c r="B2682" s="8" t="s">
        <v>1659</v>
      </c>
      <c r="C2682" s="8" t="s">
        <v>1660</v>
      </c>
      <c r="D2682" s="9">
        <v>2.0</v>
      </c>
      <c r="E2682" s="67">
        <f t="shared" si="11"/>
        <v>500</v>
      </c>
      <c r="F2682" s="67" t="str">
        <f t="shared" si="12"/>
        <v>2 LeadGen Set Appointments</v>
      </c>
    </row>
    <row r="2683" hidden="1">
      <c r="A2683" s="6" t="s">
        <v>40</v>
      </c>
      <c r="B2683" s="8" t="s">
        <v>1589</v>
      </c>
      <c r="C2683" s="8" t="s">
        <v>1590</v>
      </c>
      <c r="D2683" s="9">
        <v>2.0</v>
      </c>
      <c r="E2683" s="67">
        <f t="shared" si="11"/>
        <v>500</v>
      </c>
      <c r="F2683" s="67" t="str">
        <f t="shared" si="12"/>
        <v>2 LeadGen Set Appointments</v>
      </c>
    </row>
    <row r="2684" hidden="1">
      <c r="A2684" s="6" t="s">
        <v>40</v>
      </c>
      <c r="B2684" s="8" t="s">
        <v>1563</v>
      </c>
      <c r="C2684" s="8" t="s">
        <v>1564</v>
      </c>
      <c r="D2684" s="9">
        <v>2.0</v>
      </c>
      <c r="E2684" s="67">
        <f t="shared" si="11"/>
        <v>500</v>
      </c>
      <c r="F2684" s="67" t="str">
        <f t="shared" si="12"/>
        <v>2 LeadGen Set Appointments</v>
      </c>
    </row>
    <row r="2685" hidden="1">
      <c r="A2685" s="6" t="s">
        <v>40</v>
      </c>
      <c r="B2685" s="8" t="s">
        <v>1668</v>
      </c>
      <c r="C2685" s="8" t="s">
        <v>1669</v>
      </c>
      <c r="D2685" s="9">
        <v>2.0</v>
      </c>
      <c r="E2685" s="67">
        <f t="shared" si="11"/>
        <v>500</v>
      </c>
      <c r="F2685" s="67" t="str">
        <f t="shared" si="12"/>
        <v>2 LeadGen Set Appointments</v>
      </c>
    </row>
    <row r="2686" hidden="1">
      <c r="A2686" s="6" t="s">
        <v>40</v>
      </c>
      <c r="B2686" s="8" t="s">
        <v>1788</v>
      </c>
      <c r="C2686" s="8" t="s">
        <v>1789</v>
      </c>
      <c r="D2686" s="9">
        <v>2.0</v>
      </c>
      <c r="E2686" s="67">
        <f t="shared" si="11"/>
        <v>500</v>
      </c>
      <c r="F2686" s="67" t="str">
        <f t="shared" si="12"/>
        <v>2 LeadGen Set Appointments</v>
      </c>
    </row>
    <row r="2687" hidden="1">
      <c r="A2687" s="6" t="s">
        <v>40</v>
      </c>
      <c r="B2687" s="8" t="s">
        <v>1790</v>
      </c>
      <c r="C2687" s="8" t="s">
        <v>1791</v>
      </c>
      <c r="D2687" s="9">
        <v>2.0</v>
      </c>
      <c r="E2687" s="67">
        <f t="shared" si="11"/>
        <v>500</v>
      </c>
      <c r="F2687" s="67" t="str">
        <f t="shared" si="12"/>
        <v>2 LeadGen Set Appointments</v>
      </c>
    </row>
    <row r="2688" hidden="1">
      <c r="A2688" s="6" t="s">
        <v>40</v>
      </c>
      <c r="B2688" s="8" t="s">
        <v>1093</v>
      </c>
      <c r="C2688" s="8" t="s">
        <v>1760</v>
      </c>
      <c r="D2688" s="9">
        <v>2.0</v>
      </c>
      <c r="E2688" s="67">
        <f t="shared" si="11"/>
        <v>500</v>
      </c>
      <c r="F2688" s="67" t="str">
        <f t="shared" si="12"/>
        <v>2 LeadGen Set Appointments</v>
      </c>
    </row>
    <row r="2689" hidden="1">
      <c r="A2689" s="6" t="s">
        <v>40</v>
      </c>
      <c r="B2689" s="8" t="s">
        <v>1792</v>
      </c>
      <c r="C2689" s="8" t="s">
        <v>14</v>
      </c>
      <c r="D2689" s="9">
        <v>2.0</v>
      </c>
      <c r="E2689" s="67">
        <f t="shared" si="11"/>
        <v>500</v>
      </c>
      <c r="F2689" s="67" t="str">
        <f t="shared" si="12"/>
        <v>2 LeadGen Set Appointments</v>
      </c>
    </row>
    <row r="2690" hidden="1">
      <c r="A2690" s="6" t="s">
        <v>40</v>
      </c>
      <c r="B2690" s="8" t="s">
        <v>1569</v>
      </c>
      <c r="C2690" s="8" t="s">
        <v>1570</v>
      </c>
      <c r="D2690" s="9">
        <v>2.0</v>
      </c>
      <c r="E2690" s="67">
        <f t="shared" si="11"/>
        <v>500</v>
      </c>
      <c r="F2690" s="67" t="str">
        <f t="shared" si="12"/>
        <v>2 LeadGen Set Appointments</v>
      </c>
    </row>
    <row r="2691" hidden="1">
      <c r="A2691" s="6" t="s">
        <v>40</v>
      </c>
      <c r="B2691" s="8" t="s">
        <v>701</v>
      </c>
      <c r="C2691" s="8" t="s">
        <v>702</v>
      </c>
      <c r="D2691" s="9">
        <v>2.0</v>
      </c>
      <c r="E2691" s="67">
        <f t="shared" si="11"/>
        <v>500</v>
      </c>
      <c r="F2691" s="67" t="str">
        <f t="shared" si="12"/>
        <v>2 LeadGen Set Appointments</v>
      </c>
    </row>
    <row r="2692" hidden="1">
      <c r="A2692" s="6" t="s">
        <v>40</v>
      </c>
      <c r="B2692" s="8" t="s">
        <v>566</v>
      </c>
      <c r="C2692" s="8" t="s">
        <v>567</v>
      </c>
      <c r="D2692" s="9">
        <v>2.0</v>
      </c>
      <c r="E2692" s="67">
        <f t="shared" si="11"/>
        <v>500</v>
      </c>
      <c r="F2692" s="67" t="str">
        <f t="shared" si="12"/>
        <v>2 LeadGen Set Appointments</v>
      </c>
    </row>
    <row r="2693" hidden="1">
      <c r="A2693" s="16" t="s">
        <v>40</v>
      </c>
      <c r="B2693" s="8" t="s">
        <v>1698</v>
      </c>
      <c r="C2693" s="8" t="s">
        <v>1699</v>
      </c>
      <c r="D2693" s="8">
        <v>2.0</v>
      </c>
      <c r="E2693" s="67">
        <f t="shared" si="11"/>
        <v>500</v>
      </c>
      <c r="F2693" s="67" t="str">
        <f t="shared" si="12"/>
        <v>2 LeadGen Set Appointments</v>
      </c>
    </row>
    <row r="2694" hidden="1">
      <c r="A2694" s="16" t="s">
        <v>40</v>
      </c>
      <c r="B2694" s="8" t="s">
        <v>1714</v>
      </c>
      <c r="C2694" s="8" t="s">
        <v>1715</v>
      </c>
      <c r="D2694" s="8">
        <v>2.0</v>
      </c>
      <c r="E2694" s="67">
        <f t="shared" si="11"/>
        <v>500</v>
      </c>
      <c r="F2694" s="67" t="str">
        <f t="shared" si="12"/>
        <v>2 LeadGen Set Appointments</v>
      </c>
    </row>
    <row r="2695" hidden="1">
      <c r="A2695" s="16" t="s">
        <v>40</v>
      </c>
      <c r="B2695" s="8" t="s">
        <v>1694</v>
      </c>
      <c r="C2695" s="8" t="s">
        <v>1695</v>
      </c>
      <c r="D2695" s="8">
        <v>2.0</v>
      </c>
      <c r="E2695" s="67">
        <f t="shared" si="11"/>
        <v>500</v>
      </c>
      <c r="F2695" s="67" t="str">
        <f t="shared" si="12"/>
        <v>2 LeadGen Set Appointments</v>
      </c>
    </row>
    <row r="2696" hidden="1">
      <c r="A2696" s="16" t="s">
        <v>40</v>
      </c>
      <c r="B2696" s="8" t="s">
        <v>1692</v>
      </c>
      <c r="C2696" s="8" t="s">
        <v>1693</v>
      </c>
      <c r="D2696" s="8">
        <v>2.0</v>
      </c>
      <c r="E2696" s="67">
        <f t="shared" si="11"/>
        <v>500</v>
      </c>
      <c r="F2696" s="67" t="str">
        <f t="shared" si="12"/>
        <v>2 LeadGen Set Appointments</v>
      </c>
    </row>
    <row r="2697" hidden="1">
      <c r="A2697" s="16" t="s">
        <v>40</v>
      </c>
      <c r="B2697" s="8" t="s">
        <v>1702</v>
      </c>
      <c r="C2697" s="8" t="s">
        <v>1703</v>
      </c>
      <c r="D2697" s="8">
        <v>2.0</v>
      </c>
      <c r="E2697" s="67">
        <f t="shared" si="11"/>
        <v>500</v>
      </c>
      <c r="F2697" s="67" t="str">
        <f t="shared" si="12"/>
        <v>2 LeadGen Set Appointments</v>
      </c>
    </row>
    <row r="2698" hidden="1">
      <c r="A2698" s="16" t="s">
        <v>40</v>
      </c>
      <c r="B2698" s="8" t="s">
        <v>1793</v>
      </c>
      <c r="C2698" s="8" t="s">
        <v>1794</v>
      </c>
      <c r="D2698" s="8">
        <v>2.0</v>
      </c>
      <c r="E2698" s="67">
        <f t="shared" si="11"/>
        <v>500</v>
      </c>
      <c r="F2698" s="67" t="str">
        <f t="shared" si="12"/>
        <v>2 LeadGen Set Appointments</v>
      </c>
    </row>
    <row r="2699" hidden="1">
      <c r="A2699" s="16" t="s">
        <v>40</v>
      </c>
      <c r="B2699" s="8" t="s">
        <v>1767</v>
      </c>
      <c r="C2699" s="8" t="s">
        <v>521</v>
      </c>
      <c r="D2699" s="8">
        <v>2.0</v>
      </c>
      <c r="E2699" s="67">
        <f t="shared" si="11"/>
        <v>500</v>
      </c>
      <c r="F2699" s="67" t="str">
        <f t="shared" si="12"/>
        <v>2 LeadGen Set Appointments</v>
      </c>
    </row>
    <row r="2700" hidden="1">
      <c r="A2700" s="6" t="s">
        <v>40</v>
      </c>
      <c r="B2700" s="8" t="s">
        <v>1463</v>
      </c>
      <c r="C2700" s="8" t="s">
        <v>1464</v>
      </c>
      <c r="D2700" s="9">
        <v>1.0</v>
      </c>
      <c r="E2700" s="67">
        <f t="shared" si="11"/>
        <v>250</v>
      </c>
      <c r="F2700" s="67" t="str">
        <f t="shared" si="12"/>
        <v>1 LeadGen Set Appointments</v>
      </c>
    </row>
    <row r="2701" hidden="1">
      <c r="A2701" s="6" t="s">
        <v>40</v>
      </c>
      <c r="B2701" s="8" t="s">
        <v>1795</v>
      </c>
      <c r="C2701" s="8" t="s">
        <v>1796</v>
      </c>
      <c r="D2701" s="9">
        <v>1.0</v>
      </c>
      <c r="E2701" s="67">
        <f t="shared" si="11"/>
        <v>250</v>
      </c>
      <c r="F2701" s="67" t="str">
        <f t="shared" si="12"/>
        <v>1 LeadGen Set Appointments</v>
      </c>
    </row>
    <row r="2702" hidden="1">
      <c r="A2702" s="6" t="s">
        <v>40</v>
      </c>
      <c r="B2702" s="8" t="s">
        <v>1744</v>
      </c>
      <c r="C2702" s="8" t="s">
        <v>1745</v>
      </c>
      <c r="D2702" s="9">
        <v>1.0</v>
      </c>
      <c r="E2702" s="67">
        <f t="shared" si="11"/>
        <v>250</v>
      </c>
      <c r="F2702" s="67" t="str">
        <f t="shared" si="12"/>
        <v>1 LeadGen Set Appointments</v>
      </c>
    </row>
    <row r="2703" hidden="1">
      <c r="A2703" s="6" t="s">
        <v>40</v>
      </c>
      <c r="B2703" s="8" t="s">
        <v>1797</v>
      </c>
      <c r="C2703" s="8" t="s">
        <v>1798</v>
      </c>
      <c r="D2703" s="9">
        <v>1.0</v>
      </c>
      <c r="E2703" s="67">
        <f t="shared" si="11"/>
        <v>250</v>
      </c>
      <c r="F2703" s="67" t="str">
        <f t="shared" si="12"/>
        <v>1 LeadGen Set Appointments</v>
      </c>
    </row>
    <row r="2704" hidden="1">
      <c r="A2704" s="6" t="s">
        <v>40</v>
      </c>
      <c r="B2704" s="8" t="s">
        <v>1704</v>
      </c>
      <c r="C2704" s="8" t="s">
        <v>1705</v>
      </c>
      <c r="D2704" s="9">
        <v>1.0</v>
      </c>
      <c r="E2704" s="67">
        <f t="shared" si="11"/>
        <v>250</v>
      </c>
      <c r="F2704" s="67" t="str">
        <f t="shared" si="12"/>
        <v>1 LeadGen Set Appointments</v>
      </c>
    </row>
    <row r="2705" hidden="1">
      <c r="A2705" s="6" t="s">
        <v>40</v>
      </c>
      <c r="B2705" s="8" t="s">
        <v>1600</v>
      </c>
      <c r="C2705" s="8" t="s">
        <v>1601</v>
      </c>
      <c r="D2705" s="9">
        <v>1.0</v>
      </c>
      <c r="E2705" s="67">
        <f t="shared" si="11"/>
        <v>250</v>
      </c>
      <c r="F2705" s="67" t="str">
        <f t="shared" si="12"/>
        <v>1 LeadGen Set Appointments</v>
      </c>
    </row>
    <row r="2706" hidden="1">
      <c r="A2706" s="6" t="s">
        <v>40</v>
      </c>
      <c r="B2706" s="8" t="s">
        <v>1799</v>
      </c>
      <c r="C2706" s="8" t="s">
        <v>1800</v>
      </c>
      <c r="D2706" s="9">
        <v>1.0</v>
      </c>
      <c r="E2706" s="67">
        <f t="shared" si="11"/>
        <v>250</v>
      </c>
      <c r="F2706" s="67" t="str">
        <f t="shared" si="12"/>
        <v>1 LeadGen Set Appointments</v>
      </c>
    </row>
    <row r="2707" hidden="1">
      <c r="A2707" s="6" t="s">
        <v>40</v>
      </c>
      <c r="B2707" s="8" t="s">
        <v>1545</v>
      </c>
      <c r="C2707" s="8" t="s">
        <v>1546</v>
      </c>
      <c r="D2707" s="9">
        <v>1.0</v>
      </c>
      <c r="E2707" s="67">
        <f t="shared" si="11"/>
        <v>250</v>
      </c>
      <c r="F2707" s="67" t="str">
        <f t="shared" si="12"/>
        <v>1 LeadGen Set Appointments</v>
      </c>
    </row>
    <row r="2708" hidden="1">
      <c r="A2708" s="6" t="s">
        <v>40</v>
      </c>
      <c r="B2708" s="8" t="s">
        <v>1801</v>
      </c>
      <c r="C2708" s="8" t="s">
        <v>1802</v>
      </c>
      <c r="D2708" s="9">
        <v>1.0</v>
      </c>
      <c r="E2708" s="67">
        <f t="shared" si="11"/>
        <v>250</v>
      </c>
      <c r="F2708" s="67" t="str">
        <f t="shared" si="12"/>
        <v>1 LeadGen Set Appointments</v>
      </c>
    </row>
    <row r="2709" hidden="1">
      <c r="A2709" s="6" t="s">
        <v>40</v>
      </c>
      <c r="B2709" s="8" t="s">
        <v>1803</v>
      </c>
      <c r="C2709" s="8" t="s">
        <v>1804</v>
      </c>
      <c r="D2709" s="9">
        <v>1.0</v>
      </c>
      <c r="E2709" s="67">
        <f t="shared" si="11"/>
        <v>250</v>
      </c>
      <c r="F2709" s="67" t="str">
        <f t="shared" si="12"/>
        <v>1 LeadGen Set Appointments</v>
      </c>
    </row>
    <row r="2710" hidden="1">
      <c r="A2710" s="6" t="s">
        <v>40</v>
      </c>
      <c r="B2710" s="8" t="s">
        <v>1461</v>
      </c>
      <c r="C2710" s="8" t="s">
        <v>1462</v>
      </c>
      <c r="D2710" s="9">
        <v>1.0</v>
      </c>
      <c r="E2710" s="67">
        <f t="shared" si="11"/>
        <v>250</v>
      </c>
      <c r="F2710" s="67" t="str">
        <f t="shared" si="12"/>
        <v>1 LeadGen Set Appointments</v>
      </c>
    </row>
    <row r="2711" hidden="1">
      <c r="A2711" s="6" t="s">
        <v>40</v>
      </c>
      <c r="B2711" s="8" t="s">
        <v>1508</v>
      </c>
      <c r="C2711" s="8" t="s">
        <v>1509</v>
      </c>
      <c r="D2711" s="9">
        <v>1.0</v>
      </c>
      <c r="E2711" s="67">
        <f t="shared" si="11"/>
        <v>250</v>
      </c>
      <c r="F2711" s="67" t="str">
        <f t="shared" si="12"/>
        <v>1 LeadGen Set Appointments</v>
      </c>
    </row>
    <row r="2712" hidden="1">
      <c r="A2712" s="6" t="s">
        <v>40</v>
      </c>
      <c r="B2712" s="8" t="s">
        <v>1612</v>
      </c>
      <c r="C2712" s="8" t="s">
        <v>1613</v>
      </c>
      <c r="D2712" s="9">
        <v>1.0</v>
      </c>
      <c r="E2712" s="67">
        <f t="shared" si="11"/>
        <v>250</v>
      </c>
      <c r="F2712" s="67" t="str">
        <f t="shared" si="12"/>
        <v>1 LeadGen Set Appointments</v>
      </c>
    </row>
    <row r="2713" hidden="1">
      <c r="A2713" s="6" t="s">
        <v>40</v>
      </c>
      <c r="B2713" s="8" t="s">
        <v>1750</v>
      </c>
      <c r="C2713" s="8" t="s">
        <v>1751</v>
      </c>
      <c r="D2713" s="9">
        <v>1.0</v>
      </c>
      <c r="E2713" s="67">
        <f t="shared" si="11"/>
        <v>250</v>
      </c>
      <c r="F2713" s="67" t="str">
        <f t="shared" si="12"/>
        <v>1 LeadGen Set Appointments</v>
      </c>
    </row>
    <row r="2714" hidden="1">
      <c r="A2714" s="6" t="s">
        <v>40</v>
      </c>
      <c r="B2714" s="8" t="s">
        <v>1805</v>
      </c>
      <c r="C2714" s="8" t="s">
        <v>1806</v>
      </c>
      <c r="D2714" s="9">
        <v>1.0</v>
      </c>
      <c r="E2714" s="67">
        <f t="shared" si="11"/>
        <v>250</v>
      </c>
      <c r="F2714" s="67" t="str">
        <f t="shared" si="12"/>
        <v>1 LeadGen Set Appointments</v>
      </c>
    </row>
    <row r="2715" hidden="1">
      <c r="A2715" s="6" t="s">
        <v>40</v>
      </c>
      <c r="B2715" s="8" t="s">
        <v>1551</v>
      </c>
      <c r="C2715" s="8" t="s">
        <v>1552</v>
      </c>
      <c r="D2715" s="9">
        <v>1.0</v>
      </c>
      <c r="E2715" s="67">
        <f t="shared" si="11"/>
        <v>250</v>
      </c>
      <c r="F2715" s="67" t="str">
        <f t="shared" si="12"/>
        <v>1 LeadGen Set Appointments</v>
      </c>
    </row>
    <row r="2716" hidden="1">
      <c r="A2716" s="6" t="s">
        <v>40</v>
      </c>
      <c r="B2716" s="8" t="s">
        <v>1516</v>
      </c>
      <c r="C2716" s="8" t="s">
        <v>1517</v>
      </c>
      <c r="D2716" s="9">
        <v>1.0</v>
      </c>
      <c r="E2716" s="67">
        <f t="shared" si="11"/>
        <v>250</v>
      </c>
      <c r="F2716" s="67" t="str">
        <f t="shared" si="12"/>
        <v>1 LeadGen Set Appointments</v>
      </c>
    </row>
    <row r="2717" hidden="1">
      <c r="A2717" s="6" t="s">
        <v>40</v>
      </c>
      <c r="B2717" s="8" t="s">
        <v>1655</v>
      </c>
      <c r="C2717" s="8" t="s">
        <v>1656</v>
      </c>
      <c r="D2717" s="9">
        <v>1.0</v>
      </c>
      <c r="E2717" s="67">
        <f t="shared" si="11"/>
        <v>250</v>
      </c>
      <c r="F2717" s="67" t="str">
        <f t="shared" si="12"/>
        <v>1 LeadGen Set Appointments</v>
      </c>
    </row>
    <row r="2718" hidden="1">
      <c r="A2718" s="6" t="s">
        <v>40</v>
      </c>
      <c r="B2718" s="8" t="s">
        <v>1618</v>
      </c>
      <c r="C2718" s="8" t="s">
        <v>1619</v>
      </c>
      <c r="D2718" s="9">
        <v>1.0</v>
      </c>
      <c r="E2718" s="67">
        <f t="shared" si="11"/>
        <v>250</v>
      </c>
      <c r="F2718" s="67" t="str">
        <f t="shared" si="12"/>
        <v>1 LeadGen Set Appointments</v>
      </c>
    </row>
    <row r="2719" hidden="1">
      <c r="A2719" s="6" t="s">
        <v>40</v>
      </c>
      <c r="B2719" s="8" t="s">
        <v>1710</v>
      </c>
      <c r="C2719" s="8" t="s">
        <v>1711</v>
      </c>
      <c r="D2719" s="9">
        <v>1.0</v>
      </c>
      <c r="E2719" s="67">
        <f t="shared" si="11"/>
        <v>250</v>
      </c>
      <c r="F2719" s="67" t="str">
        <f t="shared" si="12"/>
        <v>1 LeadGen Set Appointments</v>
      </c>
    </row>
    <row r="2720" hidden="1">
      <c r="A2720" s="6" t="s">
        <v>40</v>
      </c>
      <c r="B2720" s="8" t="s">
        <v>1807</v>
      </c>
      <c r="C2720" s="8" t="s">
        <v>1808</v>
      </c>
      <c r="D2720" s="9">
        <v>1.0</v>
      </c>
      <c r="E2720" s="67">
        <f t="shared" si="11"/>
        <v>250</v>
      </c>
      <c r="F2720" s="67" t="str">
        <f t="shared" si="12"/>
        <v>1 LeadGen Set Appointments</v>
      </c>
    </row>
    <row r="2721" hidden="1">
      <c r="A2721" s="6" t="s">
        <v>40</v>
      </c>
      <c r="B2721" s="8" t="s">
        <v>1809</v>
      </c>
      <c r="C2721" s="8" t="s">
        <v>1810</v>
      </c>
      <c r="D2721" s="9">
        <v>1.0</v>
      </c>
      <c r="E2721" s="67">
        <f t="shared" si="11"/>
        <v>250</v>
      </c>
      <c r="F2721" s="67" t="str">
        <f t="shared" si="12"/>
        <v>1 LeadGen Set Appointments</v>
      </c>
    </row>
    <row r="2722" hidden="1">
      <c r="A2722" s="6" t="s">
        <v>40</v>
      </c>
      <c r="B2722" s="8" t="s">
        <v>1756</v>
      </c>
      <c r="C2722" s="8" t="s">
        <v>1757</v>
      </c>
      <c r="D2722" s="9">
        <v>1.0</v>
      </c>
      <c r="E2722" s="67">
        <f t="shared" si="11"/>
        <v>250</v>
      </c>
      <c r="F2722" s="67" t="str">
        <f t="shared" si="12"/>
        <v>1 LeadGen Set Appointments</v>
      </c>
    </row>
    <row r="2723" hidden="1">
      <c r="A2723" s="6" t="s">
        <v>40</v>
      </c>
      <c r="B2723" s="8" t="s">
        <v>1811</v>
      </c>
      <c r="C2723" s="8" t="s">
        <v>1812</v>
      </c>
      <c r="D2723" s="9">
        <v>1.0</v>
      </c>
      <c r="E2723" s="67">
        <f t="shared" si="11"/>
        <v>250</v>
      </c>
      <c r="F2723" s="67" t="str">
        <f t="shared" si="12"/>
        <v>1 LeadGen Set Appointments</v>
      </c>
    </row>
    <row r="2724" hidden="1">
      <c r="A2724" s="6" t="s">
        <v>40</v>
      </c>
      <c r="B2724" s="8" t="s">
        <v>1522</v>
      </c>
      <c r="C2724" s="8" t="s">
        <v>1523</v>
      </c>
      <c r="D2724" s="9">
        <v>1.0</v>
      </c>
      <c r="E2724" s="67">
        <f t="shared" si="11"/>
        <v>250</v>
      </c>
      <c r="F2724" s="67" t="str">
        <f t="shared" si="12"/>
        <v>1 LeadGen Set Appointments</v>
      </c>
    </row>
    <row r="2725" hidden="1">
      <c r="A2725" s="6" t="s">
        <v>40</v>
      </c>
      <c r="B2725" s="8" t="s">
        <v>1736</v>
      </c>
      <c r="C2725" s="8" t="s">
        <v>1737</v>
      </c>
      <c r="D2725" s="9">
        <v>1.0</v>
      </c>
      <c r="E2725" s="67">
        <f t="shared" si="11"/>
        <v>250</v>
      </c>
      <c r="F2725" s="67" t="str">
        <f t="shared" si="12"/>
        <v>1 LeadGen Set Appointments</v>
      </c>
    </row>
    <row r="2726" hidden="1">
      <c r="A2726" s="6" t="s">
        <v>40</v>
      </c>
      <c r="B2726" s="8" t="s">
        <v>1813</v>
      </c>
      <c r="C2726" s="8" t="s">
        <v>1814</v>
      </c>
      <c r="D2726" s="9">
        <v>1.0</v>
      </c>
      <c r="E2726" s="67">
        <f t="shared" si="11"/>
        <v>250</v>
      </c>
      <c r="F2726" s="67" t="str">
        <f t="shared" si="12"/>
        <v>1 LeadGen Set Appointments</v>
      </c>
    </row>
    <row r="2727" hidden="1">
      <c r="A2727" s="6" t="s">
        <v>40</v>
      </c>
      <c r="B2727" s="8" t="s">
        <v>1815</v>
      </c>
      <c r="C2727" s="8" t="s">
        <v>1816</v>
      </c>
      <c r="D2727" s="9">
        <v>1.0</v>
      </c>
      <c r="E2727" s="67">
        <f t="shared" si="11"/>
        <v>250</v>
      </c>
      <c r="F2727" s="67" t="str">
        <f t="shared" si="12"/>
        <v>1 LeadGen Set Appointments</v>
      </c>
    </row>
    <row r="2728" hidden="1">
      <c r="A2728" s="6" t="s">
        <v>40</v>
      </c>
      <c r="B2728" s="8" t="s">
        <v>1817</v>
      </c>
      <c r="C2728" s="8" t="s">
        <v>1818</v>
      </c>
      <c r="D2728" s="9">
        <v>1.0</v>
      </c>
      <c r="E2728" s="67">
        <f t="shared" si="11"/>
        <v>250</v>
      </c>
      <c r="F2728" s="67" t="str">
        <f t="shared" si="12"/>
        <v>1 LeadGen Set Appointments</v>
      </c>
    </row>
    <row r="2729" hidden="1">
      <c r="A2729" s="16" t="s">
        <v>40</v>
      </c>
      <c r="B2729" s="8" t="s">
        <v>650</v>
      </c>
      <c r="C2729" s="8" t="s">
        <v>651</v>
      </c>
      <c r="D2729" s="8">
        <v>1.0</v>
      </c>
      <c r="E2729" s="67">
        <f t="shared" si="11"/>
        <v>250</v>
      </c>
      <c r="F2729" s="67" t="str">
        <f t="shared" si="12"/>
        <v>1 LeadGen Set Appointments</v>
      </c>
    </row>
    <row r="2730" hidden="1">
      <c r="A2730" s="16" t="s">
        <v>40</v>
      </c>
      <c r="B2730" s="8" t="s">
        <v>1819</v>
      </c>
      <c r="C2730" s="8" t="s">
        <v>1820</v>
      </c>
      <c r="D2730" s="8">
        <v>1.0</v>
      </c>
      <c r="E2730" s="67">
        <f t="shared" si="11"/>
        <v>250</v>
      </c>
      <c r="F2730" s="67" t="str">
        <f t="shared" si="12"/>
        <v>1 LeadGen Set Appointments</v>
      </c>
    </row>
    <row r="2731" hidden="1">
      <c r="A2731" s="16" t="s">
        <v>40</v>
      </c>
      <c r="B2731" s="8" t="s">
        <v>1585</v>
      </c>
      <c r="C2731" s="8" t="s">
        <v>1586</v>
      </c>
      <c r="D2731" s="8">
        <v>1.0</v>
      </c>
      <c r="E2731" s="67">
        <f t="shared" si="11"/>
        <v>250</v>
      </c>
      <c r="F2731" s="67" t="str">
        <f t="shared" si="12"/>
        <v>1 LeadGen Set Appointments</v>
      </c>
    </row>
    <row r="2732" hidden="1">
      <c r="A2732" s="16" t="s">
        <v>40</v>
      </c>
      <c r="B2732" s="8" t="s">
        <v>1768</v>
      </c>
      <c r="C2732" s="8" t="s">
        <v>1769</v>
      </c>
      <c r="D2732" s="8">
        <v>1.0</v>
      </c>
      <c r="E2732" s="67">
        <f t="shared" si="11"/>
        <v>250</v>
      </c>
      <c r="F2732" s="67" t="str">
        <f t="shared" si="12"/>
        <v>1 LeadGen Set Appointments</v>
      </c>
    </row>
    <row r="2733" hidden="1">
      <c r="A2733" s="16" t="s">
        <v>40</v>
      </c>
      <c r="B2733" s="8" t="s">
        <v>1764</v>
      </c>
      <c r="C2733" s="8" t="s">
        <v>1765</v>
      </c>
      <c r="D2733" s="8">
        <v>1.0</v>
      </c>
      <c r="E2733" s="67">
        <f t="shared" si="11"/>
        <v>250</v>
      </c>
      <c r="F2733" s="67" t="str">
        <f t="shared" si="12"/>
        <v>1 LeadGen Set Appointments</v>
      </c>
    </row>
    <row r="2734" hidden="1">
      <c r="A2734" s="6" t="s">
        <v>40</v>
      </c>
      <c r="B2734" s="8" t="s">
        <v>1591</v>
      </c>
      <c r="C2734" s="8" t="s">
        <v>836</v>
      </c>
      <c r="D2734" s="9">
        <v>1.0</v>
      </c>
      <c r="E2734" s="67">
        <f t="shared" si="11"/>
        <v>250</v>
      </c>
      <c r="F2734" s="67" t="str">
        <f t="shared" si="12"/>
        <v>1 LeadGen Set Appointments</v>
      </c>
    </row>
    <row r="2735" hidden="1">
      <c r="A2735" s="6" t="s">
        <v>40</v>
      </c>
      <c r="B2735" s="8" t="s">
        <v>1237</v>
      </c>
      <c r="C2735" s="8" t="s">
        <v>1238</v>
      </c>
      <c r="D2735" s="9">
        <v>1.0</v>
      </c>
      <c r="E2735" s="67">
        <f t="shared" si="11"/>
        <v>250</v>
      </c>
      <c r="F2735" s="67" t="str">
        <f t="shared" si="12"/>
        <v>1 LeadGen Set Appointments</v>
      </c>
    </row>
    <row r="2736" hidden="1">
      <c r="A2736" s="6" t="s">
        <v>40</v>
      </c>
      <c r="B2736" s="8" t="s">
        <v>1672</v>
      </c>
      <c r="C2736" s="8" t="s">
        <v>1673</v>
      </c>
      <c r="D2736" s="9">
        <v>1.0</v>
      </c>
      <c r="E2736" s="67">
        <f t="shared" si="11"/>
        <v>250</v>
      </c>
      <c r="F2736" s="67" t="str">
        <f t="shared" si="12"/>
        <v>1 LeadGen Set Appointments</v>
      </c>
    </row>
    <row r="2737" hidden="1">
      <c r="A2737" s="6" t="s">
        <v>40</v>
      </c>
      <c r="B2737" s="8" t="s">
        <v>1821</v>
      </c>
      <c r="C2737" s="8" t="s">
        <v>1822</v>
      </c>
      <c r="D2737" s="9">
        <v>1.0</v>
      </c>
      <c r="E2737" s="67">
        <f t="shared" si="11"/>
        <v>250</v>
      </c>
      <c r="F2737" s="67" t="str">
        <f t="shared" si="12"/>
        <v>1 LeadGen Set Appointments</v>
      </c>
    </row>
    <row r="2738" hidden="1">
      <c r="A2738" s="6" t="s">
        <v>40</v>
      </c>
      <c r="B2738" s="8" t="s">
        <v>1823</v>
      </c>
      <c r="C2738" s="8" t="s">
        <v>1824</v>
      </c>
      <c r="D2738" s="9">
        <v>1.0</v>
      </c>
      <c r="E2738" s="67">
        <f t="shared" si="11"/>
        <v>250</v>
      </c>
      <c r="F2738" s="67" t="str">
        <f t="shared" si="12"/>
        <v>1 LeadGen Set Appointments</v>
      </c>
    </row>
    <row r="2739" hidden="1">
      <c r="A2739" s="16" t="s">
        <v>42</v>
      </c>
      <c r="B2739" s="13" t="s">
        <v>476</v>
      </c>
      <c r="C2739" s="13" t="s">
        <v>477</v>
      </c>
      <c r="D2739" s="13">
        <v>34.0</v>
      </c>
      <c r="E2739" s="67">
        <f t="shared" si="11"/>
        <v>17000</v>
      </c>
      <c r="F2739" s="62" t="str">
        <f t="shared" si="12"/>
        <v>34 LeadGen Set Appointments</v>
      </c>
    </row>
    <row r="2740" hidden="1">
      <c r="A2740" s="16" t="s">
        <v>42</v>
      </c>
      <c r="B2740" s="13" t="s">
        <v>644</v>
      </c>
      <c r="C2740" s="13" t="s">
        <v>645</v>
      </c>
      <c r="D2740" s="13">
        <v>24.0</v>
      </c>
      <c r="E2740" s="67">
        <f t="shared" si="11"/>
        <v>12000</v>
      </c>
      <c r="F2740" s="62" t="str">
        <f t="shared" si="12"/>
        <v>24 LeadGen Set Appointments</v>
      </c>
    </row>
    <row r="2741" hidden="1">
      <c r="A2741" s="16" t="s">
        <v>42</v>
      </c>
      <c r="B2741" s="13" t="s">
        <v>1489</v>
      </c>
      <c r="C2741" s="13" t="s">
        <v>1490</v>
      </c>
      <c r="D2741" s="13">
        <v>20.0</v>
      </c>
      <c r="E2741" s="67">
        <f t="shared" si="11"/>
        <v>10000</v>
      </c>
      <c r="F2741" s="62" t="str">
        <f t="shared" si="12"/>
        <v>20 LeadGen Set Appointments</v>
      </c>
    </row>
    <row r="2742" hidden="1">
      <c r="A2742" s="16" t="s">
        <v>42</v>
      </c>
      <c r="B2742" s="13" t="s">
        <v>411</v>
      </c>
      <c r="C2742" s="13" t="s">
        <v>412</v>
      </c>
      <c r="D2742" s="13">
        <v>18.0</v>
      </c>
      <c r="E2742" s="67">
        <f t="shared" si="11"/>
        <v>9000</v>
      </c>
      <c r="F2742" s="62" t="str">
        <f t="shared" si="12"/>
        <v>18 LeadGen Set Appointments</v>
      </c>
    </row>
    <row r="2743" hidden="1">
      <c r="A2743" s="16" t="s">
        <v>42</v>
      </c>
      <c r="B2743" s="13" t="s">
        <v>699</v>
      </c>
      <c r="C2743" s="13" t="s">
        <v>700</v>
      </c>
      <c r="D2743" s="13">
        <v>16.0</v>
      </c>
      <c r="E2743" s="67">
        <f t="shared" si="11"/>
        <v>8000</v>
      </c>
      <c r="F2743" s="62" t="str">
        <f t="shared" si="12"/>
        <v>16 LeadGen Set Appointments</v>
      </c>
    </row>
    <row r="2744" hidden="1">
      <c r="A2744" s="16" t="s">
        <v>42</v>
      </c>
      <c r="B2744" s="13" t="s">
        <v>723</v>
      </c>
      <c r="C2744" s="13" t="s">
        <v>724</v>
      </c>
      <c r="D2744" s="13">
        <v>16.0</v>
      </c>
      <c r="E2744" s="67">
        <f t="shared" si="11"/>
        <v>8000</v>
      </c>
      <c r="F2744" s="62" t="str">
        <f t="shared" si="12"/>
        <v>16 LeadGen Set Appointments</v>
      </c>
    </row>
    <row r="2745" hidden="1">
      <c r="A2745" s="16" t="s">
        <v>42</v>
      </c>
      <c r="B2745" s="13" t="s">
        <v>435</v>
      </c>
      <c r="C2745" s="13" t="s">
        <v>436</v>
      </c>
      <c r="D2745" s="13">
        <v>16.0</v>
      </c>
      <c r="E2745" s="67">
        <f t="shared" si="11"/>
        <v>8000</v>
      </c>
      <c r="F2745" s="62" t="str">
        <f t="shared" si="12"/>
        <v>16 LeadGen Set Appointments</v>
      </c>
    </row>
    <row r="2746" hidden="1">
      <c r="A2746" s="16" t="s">
        <v>42</v>
      </c>
      <c r="B2746" s="13" t="s">
        <v>1557</v>
      </c>
      <c r="C2746" s="13" t="s">
        <v>1558</v>
      </c>
      <c r="D2746" s="13">
        <v>15.0</v>
      </c>
      <c r="E2746" s="67">
        <f t="shared" si="11"/>
        <v>7500</v>
      </c>
      <c r="F2746" s="62" t="str">
        <f t="shared" si="12"/>
        <v>15 LeadGen Set Appointments</v>
      </c>
    </row>
    <row r="2747" hidden="1">
      <c r="A2747" s="16" t="s">
        <v>42</v>
      </c>
      <c r="B2747" s="13" t="s">
        <v>640</v>
      </c>
      <c r="C2747" s="13" t="s">
        <v>641</v>
      </c>
      <c r="D2747" s="13">
        <v>14.0</v>
      </c>
      <c r="E2747" s="67">
        <f t="shared" si="11"/>
        <v>7000</v>
      </c>
      <c r="F2747" s="62" t="str">
        <f t="shared" si="12"/>
        <v>14 LeadGen Set Appointments</v>
      </c>
    </row>
    <row r="2748" hidden="1">
      <c r="A2748" s="16" t="s">
        <v>42</v>
      </c>
      <c r="B2748" s="8" t="s">
        <v>540</v>
      </c>
      <c r="C2748" s="8" t="s">
        <v>1454</v>
      </c>
      <c r="D2748" s="8">
        <v>14.0</v>
      </c>
      <c r="E2748" s="67">
        <f t="shared" si="11"/>
        <v>7000</v>
      </c>
      <c r="F2748" s="67" t="str">
        <f t="shared" si="12"/>
        <v>14 LeadGen Set Appointments</v>
      </c>
    </row>
    <row r="2749" hidden="1">
      <c r="A2749" s="16" t="s">
        <v>42</v>
      </c>
      <c r="B2749" s="13" t="s">
        <v>516</v>
      </c>
      <c r="C2749" s="13" t="s">
        <v>517</v>
      </c>
      <c r="D2749" s="13">
        <v>14.0</v>
      </c>
      <c r="E2749" s="67">
        <f t="shared" si="11"/>
        <v>7000</v>
      </c>
      <c r="F2749" s="62" t="str">
        <f t="shared" si="12"/>
        <v>14 LeadGen Set Appointments</v>
      </c>
    </row>
    <row r="2750" hidden="1">
      <c r="A2750" s="16" t="s">
        <v>42</v>
      </c>
      <c r="B2750" s="13" t="s">
        <v>624</v>
      </c>
      <c r="C2750" s="13" t="s">
        <v>625</v>
      </c>
      <c r="D2750" s="13">
        <v>13.0</v>
      </c>
      <c r="E2750" s="67">
        <f t="shared" si="11"/>
        <v>6500</v>
      </c>
      <c r="F2750" s="62" t="str">
        <f t="shared" si="12"/>
        <v>13 LeadGen Set Appointments</v>
      </c>
    </row>
    <row r="2751" hidden="1">
      <c r="A2751" s="16" t="s">
        <v>42</v>
      </c>
      <c r="B2751" s="13" t="s">
        <v>746</v>
      </c>
      <c r="C2751" s="13" t="s">
        <v>747</v>
      </c>
      <c r="D2751" s="13">
        <v>13.0</v>
      </c>
      <c r="E2751" s="67">
        <f t="shared" si="11"/>
        <v>6500</v>
      </c>
      <c r="F2751" s="62" t="str">
        <f t="shared" si="12"/>
        <v>13 LeadGen Set Appointments</v>
      </c>
    </row>
    <row r="2752" hidden="1">
      <c r="A2752" s="16" t="s">
        <v>42</v>
      </c>
      <c r="B2752" s="13" t="s">
        <v>1479</v>
      </c>
      <c r="C2752" s="13" t="s">
        <v>1480</v>
      </c>
      <c r="D2752" s="13">
        <v>13.0</v>
      </c>
      <c r="E2752" s="67">
        <f t="shared" si="11"/>
        <v>6500</v>
      </c>
      <c r="F2752" s="62" t="str">
        <f t="shared" si="12"/>
        <v>13 LeadGen Set Appointments</v>
      </c>
    </row>
    <row r="2753" hidden="1">
      <c r="A2753" s="16" t="s">
        <v>42</v>
      </c>
      <c r="B2753" s="13" t="s">
        <v>1457</v>
      </c>
      <c r="C2753" s="13" t="s">
        <v>1458</v>
      </c>
      <c r="D2753" s="13">
        <v>12.0</v>
      </c>
      <c r="E2753" s="67">
        <f t="shared" si="11"/>
        <v>6000</v>
      </c>
      <c r="F2753" s="62" t="str">
        <f t="shared" si="12"/>
        <v>12 LeadGen Set Appointments</v>
      </c>
    </row>
    <row r="2754" hidden="1">
      <c r="A2754" s="16" t="s">
        <v>42</v>
      </c>
      <c r="B2754" s="13" t="s">
        <v>1459</v>
      </c>
      <c r="C2754" s="13" t="s">
        <v>1460</v>
      </c>
      <c r="D2754" s="13">
        <v>12.0</v>
      </c>
      <c r="E2754" s="67">
        <f t="shared" si="11"/>
        <v>6000</v>
      </c>
      <c r="F2754" s="62" t="str">
        <f t="shared" si="12"/>
        <v>12 LeadGen Set Appointments</v>
      </c>
    </row>
    <row r="2755" hidden="1">
      <c r="A2755" s="16" t="s">
        <v>42</v>
      </c>
      <c r="B2755" s="13" t="s">
        <v>1415</v>
      </c>
      <c r="C2755" s="13" t="s">
        <v>1416</v>
      </c>
      <c r="D2755" s="13">
        <v>12.0</v>
      </c>
      <c r="E2755" s="67">
        <f t="shared" si="11"/>
        <v>6000</v>
      </c>
      <c r="F2755" s="62" t="str">
        <f t="shared" si="12"/>
        <v>12 LeadGen Set Appointments</v>
      </c>
    </row>
    <row r="2756" hidden="1">
      <c r="A2756" s="16" t="s">
        <v>42</v>
      </c>
      <c r="B2756" s="8" t="s">
        <v>693</v>
      </c>
      <c r="C2756" s="8" t="s">
        <v>694</v>
      </c>
      <c r="D2756" s="8">
        <v>12.0</v>
      </c>
      <c r="E2756" s="67">
        <f t="shared" si="11"/>
        <v>6000</v>
      </c>
      <c r="F2756" s="67" t="str">
        <f t="shared" si="12"/>
        <v>12 LeadGen Set Appointments</v>
      </c>
    </row>
    <row r="2757" hidden="1">
      <c r="A2757" s="16" t="s">
        <v>42</v>
      </c>
      <c r="B2757" s="8" t="s">
        <v>766</v>
      </c>
      <c r="C2757" s="8" t="s">
        <v>767</v>
      </c>
      <c r="D2757" s="8">
        <v>12.0</v>
      </c>
      <c r="E2757" s="67">
        <f t="shared" si="11"/>
        <v>6000</v>
      </c>
      <c r="F2757" s="67" t="str">
        <f t="shared" si="12"/>
        <v>12 LeadGen Set Appointments</v>
      </c>
    </row>
    <row r="2758" hidden="1">
      <c r="A2758" s="16" t="s">
        <v>42</v>
      </c>
      <c r="B2758" s="8" t="s">
        <v>1573</v>
      </c>
      <c r="C2758" s="8" t="s">
        <v>1574</v>
      </c>
      <c r="D2758" s="8">
        <v>12.0</v>
      </c>
      <c r="E2758" s="67">
        <f t="shared" si="11"/>
        <v>6000</v>
      </c>
      <c r="F2758" s="67" t="str">
        <f t="shared" si="12"/>
        <v>12 LeadGen Set Appointments</v>
      </c>
    </row>
    <row r="2759" hidden="1">
      <c r="A2759" s="16" t="s">
        <v>42</v>
      </c>
      <c r="B2759" s="13" t="s">
        <v>1283</v>
      </c>
      <c r="C2759" s="13" t="s">
        <v>404</v>
      </c>
      <c r="D2759" s="13">
        <v>12.0</v>
      </c>
      <c r="E2759" s="67">
        <f t="shared" si="11"/>
        <v>6000</v>
      </c>
      <c r="F2759" s="62" t="str">
        <f t="shared" si="12"/>
        <v>12 LeadGen Set Appointments</v>
      </c>
    </row>
    <row r="2760" hidden="1">
      <c r="A2760" s="16" t="s">
        <v>42</v>
      </c>
      <c r="B2760" s="13" t="s">
        <v>1506</v>
      </c>
      <c r="C2760" s="13" t="s">
        <v>1507</v>
      </c>
      <c r="D2760" s="13">
        <v>11.0</v>
      </c>
      <c r="E2760" s="67">
        <f t="shared" si="11"/>
        <v>5500</v>
      </c>
      <c r="F2760" s="62" t="str">
        <f t="shared" si="12"/>
        <v>11 LeadGen Set Appointments</v>
      </c>
    </row>
    <row r="2761" hidden="1">
      <c r="A2761" s="16" t="s">
        <v>42</v>
      </c>
      <c r="B2761" s="13" t="s">
        <v>1025</v>
      </c>
      <c r="C2761" s="13" t="s">
        <v>1026</v>
      </c>
      <c r="D2761" s="13">
        <v>11.0</v>
      </c>
      <c r="E2761" s="67">
        <f t="shared" si="11"/>
        <v>5500</v>
      </c>
      <c r="F2761" s="62" t="str">
        <f t="shared" si="12"/>
        <v>11 LeadGen Set Appointments</v>
      </c>
    </row>
    <row r="2762" hidden="1">
      <c r="A2762" s="16" t="s">
        <v>42</v>
      </c>
      <c r="B2762" s="13" t="s">
        <v>1455</v>
      </c>
      <c r="C2762" s="13" t="s">
        <v>1456</v>
      </c>
      <c r="D2762" s="13">
        <v>11.0</v>
      </c>
      <c r="E2762" s="67">
        <f t="shared" si="11"/>
        <v>5500</v>
      </c>
      <c r="F2762" s="62" t="str">
        <f t="shared" si="12"/>
        <v>11 LeadGen Set Appointments</v>
      </c>
    </row>
    <row r="2763" hidden="1">
      <c r="A2763" s="6" t="s">
        <v>42</v>
      </c>
      <c r="B2763" s="13" t="s">
        <v>1475</v>
      </c>
      <c r="C2763" s="13" t="s">
        <v>1476</v>
      </c>
      <c r="D2763" s="15">
        <v>11.0</v>
      </c>
      <c r="E2763" s="67">
        <f t="shared" si="11"/>
        <v>5500</v>
      </c>
      <c r="F2763" s="62" t="str">
        <f t="shared" si="12"/>
        <v>11 LeadGen Set Appointments</v>
      </c>
    </row>
    <row r="2764" hidden="1">
      <c r="A2764" s="6" t="s">
        <v>42</v>
      </c>
      <c r="B2764" s="13" t="s">
        <v>486</v>
      </c>
      <c r="C2764" s="13" t="s">
        <v>487</v>
      </c>
      <c r="D2764" s="15">
        <v>11.0</v>
      </c>
      <c r="E2764" s="67">
        <f t="shared" si="11"/>
        <v>5500</v>
      </c>
      <c r="F2764" s="62" t="str">
        <f t="shared" si="12"/>
        <v>11 LeadGen Set Appointments</v>
      </c>
    </row>
    <row r="2765" hidden="1">
      <c r="A2765" s="6" t="s">
        <v>42</v>
      </c>
      <c r="B2765" s="13" t="s">
        <v>1491</v>
      </c>
      <c r="C2765" s="13" t="s">
        <v>1492</v>
      </c>
      <c r="D2765" s="15">
        <v>11.0</v>
      </c>
      <c r="E2765" s="67">
        <f t="shared" si="11"/>
        <v>5500</v>
      </c>
      <c r="F2765" s="62" t="str">
        <f t="shared" si="12"/>
        <v>11 LeadGen Set Appointments</v>
      </c>
    </row>
    <row r="2766" hidden="1">
      <c r="A2766" s="6" t="s">
        <v>42</v>
      </c>
      <c r="B2766" s="13" t="s">
        <v>510</v>
      </c>
      <c r="C2766" s="13" t="s">
        <v>511</v>
      </c>
      <c r="D2766" s="15">
        <v>11.0</v>
      </c>
      <c r="E2766" s="67">
        <f t="shared" si="11"/>
        <v>5500</v>
      </c>
      <c r="F2766" s="62" t="str">
        <f t="shared" si="12"/>
        <v>11 LeadGen Set Appointments</v>
      </c>
    </row>
    <row r="2767" hidden="1">
      <c r="A2767" s="6" t="s">
        <v>42</v>
      </c>
      <c r="B2767" s="13" t="s">
        <v>1471</v>
      </c>
      <c r="C2767" s="13" t="s">
        <v>1472</v>
      </c>
      <c r="D2767" s="15">
        <v>11.0</v>
      </c>
      <c r="E2767" s="67">
        <f t="shared" si="11"/>
        <v>5500</v>
      </c>
      <c r="F2767" s="62" t="str">
        <f t="shared" si="12"/>
        <v>11 LeadGen Set Appointments</v>
      </c>
    </row>
    <row r="2768" hidden="1">
      <c r="A2768" s="6" t="s">
        <v>42</v>
      </c>
      <c r="B2768" s="13" t="s">
        <v>1530</v>
      </c>
      <c r="C2768" s="13" t="s">
        <v>1531</v>
      </c>
      <c r="D2768" s="15">
        <v>11.0</v>
      </c>
      <c r="E2768" s="67">
        <f t="shared" si="11"/>
        <v>5500</v>
      </c>
      <c r="F2768" s="62" t="str">
        <f t="shared" si="12"/>
        <v>11 LeadGen Set Appointments</v>
      </c>
    </row>
    <row r="2769" hidden="1">
      <c r="A2769" s="6" t="s">
        <v>42</v>
      </c>
      <c r="B2769" s="13" t="s">
        <v>736</v>
      </c>
      <c r="C2769" s="13" t="s">
        <v>737</v>
      </c>
      <c r="D2769" s="15">
        <v>10.0</v>
      </c>
      <c r="E2769" s="67">
        <f t="shared" si="11"/>
        <v>5000</v>
      </c>
      <c r="F2769" s="62" t="str">
        <f t="shared" si="12"/>
        <v>10 LeadGen Set Appointments</v>
      </c>
    </row>
    <row r="2770" hidden="1">
      <c r="A2770" s="6" t="s">
        <v>42</v>
      </c>
      <c r="B2770" s="13" t="s">
        <v>546</v>
      </c>
      <c r="C2770" s="13" t="s">
        <v>547</v>
      </c>
      <c r="D2770" s="15">
        <v>10.0</v>
      </c>
      <c r="E2770" s="67">
        <f t="shared" si="11"/>
        <v>5000</v>
      </c>
      <c r="F2770" s="62" t="str">
        <f t="shared" si="12"/>
        <v>10 LeadGen Set Appointments</v>
      </c>
    </row>
    <row r="2771" hidden="1">
      <c r="A2771" s="6" t="s">
        <v>42</v>
      </c>
      <c r="B2771" s="13" t="s">
        <v>1723</v>
      </c>
      <c r="C2771" s="13" t="s">
        <v>32</v>
      </c>
      <c r="D2771" s="15">
        <v>10.0</v>
      </c>
      <c r="E2771" s="67">
        <f t="shared" si="11"/>
        <v>5000</v>
      </c>
      <c r="F2771" s="62" t="str">
        <f t="shared" si="12"/>
        <v>10 LeadGen Set Appointments</v>
      </c>
    </row>
    <row r="2772" hidden="1">
      <c r="A2772" s="6" t="s">
        <v>42</v>
      </c>
      <c r="B2772" s="8" t="s">
        <v>1481</v>
      </c>
      <c r="C2772" s="8" t="s">
        <v>1482</v>
      </c>
      <c r="D2772" s="9">
        <v>10.0</v>
      </c>
      <c r="E2772" s="67">
        <f t="shared" si="11"/>
        <v>5000</v>
      </c>
      <c r="F2772" s="67" t="str">
        <f t="shared" si="12"/>
        <v>10 LeadGen Set Appointments</v>
      </c>
    </row>
    <row r="2773" hidden="1">
      <c r="A2773" s="6" t="s">
        <v>42</v>
      </c>
      <c r="B2773" s="13" t="s">
        <v>1776</v>
      </c>
      <c r="C2773" s="13" t="s">
        <v>1777</v>
      </c>
      <c r="D2773" s="15">
        <v>10.0</v>
      </c>
      <c r="E2773" s="67">
        <f t="shared" si="11"/>
        <v>5000</v>
      </c>
      <c r="F2773" s="62" t="str">
        <f t="shared" si="12"/>
        <v>10 LeadGen Set Appointments</v>
      </c>
    </row>
    <row r="2774" hidden="1">
      <c r="A2774" s="6" t="s">
        <v>42</v>
      </c>
      <c r="B2774" s="13" t="s">
        <v>1483</v>
      </c>
      <c r="C2774" s="13" t="s">
        <v>1484</v>
      </c>
      <c r="D2774" s="15">
        <v>10.0</v>
      </c>
      <c r="E2774" s="67">
        <f t="shared" si="11"/>
        <v>5000</v>
      </c>
      <c r="F2774" s="62" t="str">
        <f t="shared" si="12"/>
        <v>10 LeadGen Set Appointments</v>
      </c>
    </row>
    <row r="2775" hidden="1">
      <c r="A2775" s="6" t="s">
        <v>42</v>
      </c>
      <c r="B2775" s="13" t="s">
        <v>1467</v>
      </c>
      <c r="C2775" s="13" t="s">
        <v>1468</v>
      </c>
      <c r="D2775" s="15">
        <v>9.0</v>
      </c>
      <c r="E2775" s="67">
        <f t="shared" si="11"/>
        <v>2250</v>
      </c>
      <c r="F2775" s="62" t="str">
        <f t="shared" si="12"/>
        <v>9 LeadGen Set Appointments</v>
      </c>
    </row>
    <row r="2776" hidden="1">
      <c r="A2776" s="6" t="s">
        <v>42</v>
      </c>
      <c r="B2776" s="13" t="s">
        <v>1477</v>
      </c>
      <c r="C2776" s="13" t="s">
        <v>1478</v>
      </c>
      <c r="D2776" s="15">
        <v>9.0</v>
      </c>
      <c r="E2776" s="67">
        <f t="shared" si="11"/>
        <v>2250</v>
      </c>
      <c r="F2776" s="62" t="str">
        <f t="shared" si="12"/>
        <v>9 LeadGen Set Appointments</v>
      </c>
    </row>
    <row r="2777" hidden="1">
      <c r="A2777" s="6" t="s">
        <v>42</v>
      </c>
      <c r="B2777" s="13" t="s">
        <v>1465</v>
      </c>
      <c r="C2777" s="13" t="s">
        <v>1466</v>
      </c>
      <c r="D2777" s="15">
        <v>8.0</v>
      </c>
      <c r="E2777" s="67">
        <f t="shared" si="11"/>
        <v>2000</v>
      </c>
      <c r="F2777" s="62" t="str">
        <f t="shared" si="12"/>
        <v>8 LeadGen Set Appointments</v>
      </c>
    </row>
    <row r="2778" hidden="1">
      <c r="A2778" s="6" t="s">
        <v>42</v>
      </c>
      <c r="B2778" s="13" t="s">
        <v>1461</v>
      </c>
      <c r="C2778" s="13" t="s">
        <v>1462</v>
      </c>
      <c r="D2778" s="15">
        <v>8.0</v>
      </c>
      <c r="E2778" s="67">
        <f t="shared" si="11"/>
        <v>2000</v>
      </c>
      <c r="F2778" s="62" t="str">
        <f t="shared" si="12"/>
        <v>8 LeadGen Set Appointments</v>
      </c>
    </row>
    <row r="2779" hidden="1">
      <c r="A2779" s="6" t="s">
        <v>42</v>
      </c>
      <c r="B2779" s="13" t="s">
        <v>1514</v>
      </c>
      <c r="C2779" s="13" t="s">
        <v>1515</v>
      </c>
      <c r="D2779" s="15">
        <v>8.0</v>
      </c>
      <c r="E2779" s="67">
        <f t="shared" si="11"/>
        <v>2000</v>
      </c>
      <c r="F2779" s="62" t="str">
        <f t="shared" si="12"/>
        <v>8 LeadGen Set Appointments</v>
      </c>
    </row>
    <row r="2780" hidden="1">
      <c r="A2780" s="6" t="s">
        <v>42</v>
      </c>
      <c r="B2780" s="8" t="s">
        <v>582</v>
      </c>
      <c r="C2780" s="8" t="s">
        <v>583</v>
      </c>
      <c r="D2780" s="9">
        <v>8.0</v>
      </c>
      <c r="E2780" s="67">
        <f t="shared" si="11"/>
        <v>2000</v>
      </c>
      <c r="F2780" s="67" t="str">
        <f t="shared" si="12"/>
        <v>8 LeadGen Set Appointments</v>
      </c>
    </row>
    <row r="2781" hidden="1">
      <c r="A2781" s="6" t="s">
        <v>42</v>
      </c>
      <c r="B2781" s="8" t="s">
        <v>1493</v>
      </c>
      <c r="C2781" s="8" t="s">
        <v>1494</v>
      </c>
      <c r="D2781" s="9">
        <v>8.0</v>
      </c>
      <c r="E2781" s="67">
        <f t="shared" si="11"/>
        <v>2000</v>
      </c>
      <c r="F2781" s="67" t="str">
        <f t="shared" si="12"/>
        <v>8 LeadGen Set Appointments</v>
      </c>
    </row>
    <row r="2782" hidden="1">
      <c r="A2782" s="6" t="s">
        <v>42</v>
      </c>
      <c r="B2782" s="8" t="s">
        <v>1469</v>
      </c>
      <c r="C2782" s="8" t="s">
        <v>1470</v>
      </c>
      <c r="D2782" s="9">
        <v>7.0</v>
      </c>
      <c r="E2782" s="67">
        <f t="shared" si="11"/>
        <v>1750</v>
      </c>
      <c r="F2782" s="67" t="str">
        <f t="shared" si="12"/>
        <v>7 LeadGen Set Appointments</v>
      </c>
    </row>
    <row r="2783" hidden="1">
      <c r="A2783" s="6" t="s">
        <v>42</v>
      </c>
      <c r="B2783" s="13" t="s">
        <v>1563</v>
      </c>
      <c r="C2783" s="13" t="s">
        <v>1564</v>
      </c>
      <c r="D2783" s="15">
        <v>7.0</v>
      </c>
      <c r="E2783" s="67">
        <f t="shared" si="11"/>
        <v>1750</v>
      </c>
      <c r="F2783" s="62" t="str">
        <f t="shared" si="12"/>
        <v>7 LeadGen Set Appointments</v>
      </c>
    </row>
    <row r="2784" hidden="1">
      <c r="A2784" s="6" t="s">
        <v>42</v>
      </c>
      <c r="B2784" s="13" t="s">
        <v>1571</v>
      </c>
      <c r="C2784" s="13" t="s">
        <v>1572</v>
      </c>
      <c r="D2784" s="15">
        <v>7.0</v>
      </c>
      <c r="E2784" s="67">
        <f t="shared" si="11"/>
        <v>1750</v>
      </c>
      <c r="F2784" s="62" t="str">
        <f t="shared" si="12"/>
        <v>7 LeadGen Set Appointments</v>
      </c>
    </row>
    <row r="2785" hidden="1">
      <c r="A2785" s="6" t="s">
        <v>42</v>
      </c>
      <c r="B2785" s="13" t="s">
        <v>1540</v>
      </c>
      <c r="C2785" s="13" t="s">
        <v>1541</v>
      </c>
      <c r="D2785" s="15">
        <v>6.0</v>
      </c>
      <c r="E2785" s="67">
        <f t="shared" si="11"/>
        <v>1500</v>
      </c>
      <c r="F2785" s="62" t="str">
        <f t="shared" si="12"/>
        <v>6 LeadGen Set Appointments</v>
      </c>
    </row>
    <row r="2786" hidden="1">
      <c r="A2786" s="6" t="s">
        <v>42</v>
      </c>
      <c r="B2786" s="13" t="s">
        <v>1504</v>
      </c>
      <c r="C2786" s="13" t="s">
        <v>1505</v>
      </c>
      <c r="D2786" s="15">
        <v>6.0</v>
      </c>
      <c r="E2786" s="67">
        <f t="shared" si="11"/>
        <v>1500</v>
      </c>
      <c r="F2786" s="62" t="str">
        <f t="shared" si="12"/>
        <v>6 LeadGen Set Appointments</v>
      </c>
    </row>
    <row r="2787" hidden="1">
      <c r="A2787" s="6" t="s">
        <v>42</v>
      </c>
      <c r="B2787" s="13" t="s">
        <v>1508</v>
      </c>
      <c r="C2787" s="13" t="s">
        <v>1509</v>
      </c>
      <c r="D2787" s="15">
        <v>6.0</v>
      </c>
      <c r="E2787" s="67">
        <f t="shared" si="11"/>
        <v>1500</v>
      </c>
      <c r="F2787" s="62" t="str">
        <f t="shared" si="12"/>
        <v>6 LeadGen Set Appointments</v>
      </c>
    </row>
    <row r="2788" hidden="1">
      <c r="A2788" s="6" t="s">
        <v>42</v>
      </c>
      <c r="B2788" s="13" t="s">
        <v>1510</v>
      </c>
      <c r="C2788" s="13" t="s">
        <v>1511</v>
      </c>
      <c r="D2788" s="15">
        <v>6.0</v>
      </c>
      <c r="E2788" s="67">
        <f t="shared" si="11"/>
        <v>1500</v>
      </c>
      <c r="F2788" s="62" t="str">
        <f t="shared" si="12"/>
        <v>6 LeadGen Set Appointments</v>
      </c>
    </row>
    <row r="2789" hidden="1">
      <c r="A2789" s="6" t="s">
        <v>42</v>
      </c>
      <c r="B2789" s="8" t="s">
        <v>1688</v>
      </c>
      <c r="C2789" s="8" t="s">
        <v>1689</v>
      </c>
      <c r="D2789" s="9">
        <v>6.0</v>
      </c>
      <c r="E2789" s="67">
        <f t="shared" si="11"/>
        <v>1500</v>
      </c>
      <c r="F2789" s="67" t="str">
        <f t="shared" si="12"/>
        <v>6 LeadGen Set Appointments</v>
      </c>
    </row>
    <row r="2790" hidden="1">
      <c r="A2790" s="6" t="s">
        <v>42</v>
      </c>
      <c r="B2790" s="8" t="s">
        <v>682</v>
      </c>
      <c r="C2790" s="8" t="s">
        <v>683</v>
      </c>
      <c r="D2790" s="9">
        <v>6.0</v>
      </c>
      <c r="E2790" s="67">
        <f t="shared" si="11"/>
        <v>1500</v>
      </c>
      <c r="F2790" s="67" t="str">
        <f t="shared" si="12"/>
        <v>6 LeadGen Set Appointments</v>
      </c>
    </row>
    <row r="2791" hidden="1">
      <c r="A2791" s="6" t="s">
        <v>42</v>
      </c>
      <c r="B2791" s="8" t="s">
        <v>1426</v>
      </c>
      <c r="C2791" s="8" t="s">
        <v>1427</v>
      </c>
      <c r="D2791" s="9">
        <v>6.0</v>
      </c>
      <c r="E2791" s="67">
        <f t="shared" si="11"/>
        <v>1500</v>
      </c>
      <c r="F2791" s="67" t="str">
        <f t="shared" si="12"/>
        <v>6 LeadGen Set Appointments</v>
      </c>
    </row>
    <row r="2792" hidden="1">
      <c r="A2792" s="6" t="s">
        <v>42</v>
      </c>
      <c r="B2792" s="8" t="s">
        <v>1553</v>
      </c>
      <c r="C2792" s="8" t="s">
        <v>1554</v>
      </c>
      <c r="D2792" s="9">
        <v>6.0</v>
      </c>
      <c r="E2792" s="67">
        <f t="shared" si="11"/>
        <v>1500</v>
      </c>
      <c r="F2792" s="67" t="str">
        <f t="shared" si="12"/>
        <v>6 LeadGen Set Appointments</v>
      </c>
    </row>
    <row r="2793" hidden="1">
      <c r="A2793" s="6" t="s">
        <v>42</v>
      </c>
      <c r="B2793" s="13" t="s">
        <v>1724</v>
      </c>
      <c r="C2793" s="13" t="s">
        <v>1725</v>
      </c>
      <c r="D2793" s="15">
        <v>6.0</v>
      </c>
      <c r="E2793" s="67">
        <f t="shared" si="11"/>
        <v>1500</v>
      </c>
      <c r="F2793" s="62" t="str">
        <f t="shared" si="12"/>
        <v>6 LeadGen Set Appointments</v>
      </c>
    </row>
    <row r="2794" hidden="1">
      <c r="A2794" s="6" t="s">
        <v>42</v>
      </c>
      <c r="B2794" s="13" t="s">
        <v>1657</v>
      </c>
      <c r="C2794" s="13" t="s">
        <v>1658</v>
      </c>
      <c r="D2794" s="15">
        <v>6.0</v>
      </c>
      <c r="E2794" s="67">
        <f t="shared" si="11"/>
        <v>1500</v>
      </c>
      <c r="F2794" s="62" t="str">
        <f t="shared" si="12"/>
        <v>6 LeadGen Set Appointments</v>
      </c>
    </row>
    <row r="2795" hidden="1">
      <c r="A2795" s="6" t="s">
        <v>42</v>
      </c>
      <c r="B2795" s="13" t="s">
        <v>1520</v>
      </c>
      <c r="C2795" s="13" t="s">
        <v>1521</v>
      </c>
      <c r="D2795" s="15">
        <v>6.0</v>
      </c>
      <c r="E2795" s="67">
        <f t="shared" si="11"/>
        <v>1500</v>
      </c>
      <c r="F2795" s="62" t="str">
        <f t="shared" si="12"/>
        <v>6 LeadGen Set Appointments</v>
      </c>
    </row>
    <row r="2796" hidden="1">
      <c r="A2796" s="6" t="s">
        <v>42</v>
      </c>
      <c r="B2796" s="13" t="s">
        <v>1668</v>
      </c>
      <c r="C2796" s="13" t="s">
        <v>1669</v>
      </c>
      <c r="D2796" s="15">
        <v>6.0</v>
      </c>
      <c r="E2796" s="67">
        <f t="shared" si="11"/>
        <v>1500</v>
      </c>
      <c r="F2796" s="62" t="str">
        <f t="shared" si="12"/>
        <v>6 LeadGen Set Appointments</v>
      </c>
    </row>
    <row r="2797" hidden="1">
      <c r="A2797" s="6" t="s">
        <v>42</v>
      </c>
      <c r="B2797" s="13" t="s">
        <v>1736</v>
      </c>
      <c r="C2797" s="13" t="s">
        <v>1737</v>
      </c>
      <c r="D2797" s="15">
        <v>6.0</v>
      </c>
      <c r="E2797" s="67">
        <f t="shared" si="11"/>
        <v>1500</v>
      </c>
      <c r="F2797" s="62" t="str">
        <f t="shared" si="12"/>
        <v>6 LeadGen Set Appointments</v>
      </c>
    </row>
    <row r="2798" hidden="1">
      <c r="A2798" s="6" t="s">
        <v>42</v>
      </c>
      <c r="B2798" s="13" t="s">
        <v>532</v>
      </c>
      <c r="C2798" s="13" t="s">
        <v>533</v>
      </c>
      <c r="D2798" s="15">
        <v>6.0</v>
      </c>
      <c r="E2798" s="67">
        <f t="shared" si="11"/>
        <v>1500</v>
      </c>
      <c r="F2798" s="62" t="str">
        <f t="shared" si="12"/>
        <v>6 LeadGen Set Appointments</v>
      </c>
    </row>
    <row r="2799" hidden="1">
      <c r="A2799" s="6" t="s">
        <v>42</v>
      </c>
      <c r="B2799" s="13" t="s">
        <v>1825</v>
      </c>
      <c r="C2799" s="13" t="s">
        <v>1826</v>
      </c>
      <c r="D2799" s="15">
        <v>6.0</v>
      </c>
      <c r="E2799" s="67">
        <f t="shared" si="11"/>
        <v>1500</v>
      </c>
      <c r="F2799" s="62" t="str">
        <f t="shared" si="12"/>
        <v>6 LeadGen Set Appointments</v>
      </c>
    </row>
    <row r="2800" hidden="1">
      <c r="A2800" s="6" t="s">
        <v>42</v>
      </c>
      <c r="B2800" s="13" t="s">
        <v>1716</v>
      </c>
      <c r="C2800" s="13" t="s">
        <v>30</v>
      </c>
      <c r="D2800" s="15">
        <v>6.0</v>
      </c>
      <c r="E2800" s="67">
        <f t="shared" si="11"/>
        <v>1500</v>
      </c>
      <c r="F2800" s="62" t="str">
        <f t="shared" si="12"/>
        <v>6 LeadGen Set Appointments</v>
      </c>
    </row>
    <row r="2801" hidden="1">
      <c r="A2801" s="6" t="s">
        <v>42</v>
      </c>
      <c r="B2801" s="8" t="s">
        <v>622</v>
      </c>
      <c r="C2801" s="8" t="s">
        <v>623</v>
      </c>
      <c r="D2801" s="9">
        <v>6.0</v>
      </c>
      <c r="E2801" s="67">
        <f t="shared" si="11"/>
        <v>1500</v>
      </c>
      <c r="F2801" s="67" t="str">
        <f t="shared" si="12"/>
        <v>6 LeadGen Set Appointments</v>
      </c>
    </row>
    <row r="2802" hidden="1">
      <c r="A2802" s="6" t="s">
        <v>42</v>
      </c>
      <c r="B2802" s="8" t="s">
        <v>1706</v>
      </c>
      <c r="C2802" s="8" t="s">
        <v>1707</v>
      </c>
      <c r="D2802" s="9">
        <v>5.0</v>
      </c>
      <c r="E2802" s="67">
        <f t="shared" si="11"/>
        <v>1250</v>
      </c>
      <c r="F2802" s="67" t="str">
        <f t="shared" si="12"/>
        <v>5 LeadGen Set Appointments</v>
      </c>
    </row>
    <row r="2803" hidden="1">
      <c r="A2803" s="6" t="s">
        <v>42</v>
      </c>
      <c r="B2803" s="8" t="s">
        <v>1473</v>
      </c>
      <c r="C2803" s="8" t="s">
        <v>1474</v>
      </c>
      <c r="D2803" s="9">
        <v>5.0</v>
      </c>
      <c r="E2803" s="67">
        <f t="shared" si="11"/>
        <v>1250</v>
      </c>
      <c r="F2803" s="67" t="str">
        <f t="shared" si="12"/>
        <v>5 LeadGen Set Appointments</v>
      </c>
    </row>
    <row r="2804" hidden="1">
      <c r="A2804" s="6" t="s">
        <v>42</v>
      </c>
      <c r="B2804" s="8" t="s">
        <v>1105</v>
      </c>
      <c r="C2804" s="8" t="s">
        <v>1542</v>
      </c>
      <c r="D2804" s="9">
        <v>5.0</v>
      </c>
      <c r="E2804" s="67">
        <f t="shared" si="11"/>
        <v>1250</v>
      </c>
      <c r="F2804" s="67" t="str">
        <f t="shared" si="12"/>
        <v>5 LeadGen Set Appointments</v>
      </c>
    </row>
    <row r="2805" hidden="1">
      <c r="A2805" s="6" t="s">
        <v>42</v>
      </c>
      <c r="B2805" s="8" t="s">
        <v>1646</v>
      </c>
      <c r="C2805" s="8" t="s">
        <v>1647</v>
      </c>
      <c r="D2805" s="9">
        <v>5.0</v>
      </c>
      <c r="E2805" s="67">
        <f t="shared" si="11"/>
        <v>1250</v>
      </c>
      <c r="F2805" s="67" t="str">
        <f t="shared" si="12"/>
        <v>5 LeadGen Set Appointments</v>
      </c>
    </row>
    <row r="2806" hidden="1">
      <c r="A2806" s="6" t="s">
        <v>42</v>
      </c>
      <c r="B2806" s="8" t="s">
        <v>1653</v>
      </c>
      <c r="C2806" s="8" t="s">
        <v>1654</v>
      </c>
      <c r="D2806" s="9">
        <v>5.0</v>
      </c>
      <c r="E2806" s="67">
        <f t="shared" si="11"/>
        <v>1250</v>
      </c>
      <c r="F2806" s="67" t="str">
        <f t="shared" si="12"/>
        <v>5 LeadGen Set Appointments</v>
      </c>
    </row>
    <row r="2807" hidden="1">
      <c r="A2807" s="6" t="s">
        <v>42</v>
      </c>
      <c r="B2807" s="13" t="s">
        <v>1516</v>
      </c>
      <c r="C2807" s="13" t="s">
        <v>1517</v>
      </c>
      <c r="D2807" s="15">
        <v>5.0</v>
      </c>
      <c r="E2807" s="67">
        <f t="shared" si="11"/>
        <v>1250</v>
      </c>
      <c r="F2807" s="62" t="str">
        <f t="shared" si="12"/>
        <v>5 LeadGen Set Appointments</v>
      </c>
    </row>
    <row r="2808" hidden="1">
      <c r="A2808" s="6" t="s">
        <v>42</v>
      </c>
      <c r="B2808" s="13" t="s">
        <v>1421</v>
      </c>
      <c r="C2808" s="13" t="s">
        <v>712</v>
      </c>
      <c r="D2808" s="15">
        <v>5.0</v>
      </c>
      <c r="E2808" s="67">
        <f t="shared" si="11"/>
        <v>1250</v>
      </c>
      <c r="F2808" s="62" t="str">
        <f t="shared" si="12"/>
        <v>5 LeadGen Set Appointments</v>
      </c>
    </row>
    <row r="2809" hidden="1">
      <c r="A2809" s="6" t="s">
        <v>42</v>
      </c>
      <c r="B2809" s="13" t="s">
        <v>626</v>
      </c>
      <c r="C2809" s="13" t="s">
        <v>627</v>
      </c>
      <c r="D2809" s="15">
        <v>5.0</v>
      </c>
      <c r="E2809" s="67">
        <f t="shared" si="11"/>
        <v>1250</v>
      </c>
      <c r="F2809" s="62" t="str">
        <f t="shared" si="12"/>
        <v>5 LeadGen Set Appointments</v>
      </c>
    </row>
    <row r="2810" hidden="1">
      <c r="A2810" s="6" t="s">
        <v>42</v>
      </c>
      <c r="B2810" s="13" t="s">
        <v>1589</v>
      </c>
      <c r="C2810" s="13" t="s">
        <v>1590</v>
      </c>
      <c r="D2810" s="15">
        <v>5.0</v>
      </c>
      <c r="E2810" s="67">
        <f t="shared" si="11"/>
        <v>1250</v>
      </c>
      <c r="F2810" s="62" t="str">
        <f t="shared" si="12"/>
        <v>5 LeadGen Set Appointments</v>
      </c>
    </row>
    <row r="2811" hidden="1">
      <c r="A2811" s="6" t="s">
        <v>42</v>
      </c>
      <c r="B2811" s="13" t="s">
        <v>518</v>
      </c>
      <c r="C2811" s="13" t="s">
        <v>519</v>
      </c>
      <c r="D2811" s="15">
        <v>5.0</v>
      </c>
      <c r="E2811" s="67">
        <f t="shared" si="11"/>
        <v>1250</v>
      </c>
      <c r="F2811" s="62" t="str">
        <f t="shared" si="12"/>
        <v>5 LeadGen Set Appointments</v>
      </c>
    </row>
    <row r="2812" hidden="1">
      <c r="A2812" s="6" t="s">
        <v>42</v>
      </c>
      <c r="B2812" s="13" t="s">
        <v>1696</v>
      </c>
      <c r="C2812" s="13" t="s">
        <v>1697</v>
      </c>
      <c r="D2812" s="15">
        <v>5.0</v>
      </c>
      <c r="E2812" s="67">
        <f t="shared" si="11"/>
        <v>1250</v>
      </c>
      <c r="F2812" s="62" t="str">
        <f t="shared" si="12"/>
        <v>5 LeadGen Set Appointments</v>
      </c>
    </row>
    <row r="2813" hidden="1">
      <c r="A2813" s="6" t="s">
        <v>42</v>
      </c>
      <c r="B2813" s="8" t="s">
        <v>1463</v>
      </c>
      <c r="C2813" s="8" t="s">
        <v>1464</v>
      </c>
      <c r="D2813" s="9">
        <v>4.0</v>
      </c>
      <c r="E2813" s="67">
        <f t="shared" si="11"/>
        <v>1000</v>
      </c>
      <c r="F2813" s="67" t="str">
        <f t="shared" si="12"/>
        <v>4 LeadGen Set Appointments</v>
      </c>
    </row>
    <row r="2814" hidden="1">
      <c r="A2814" s="6" t="s">
        <v>42</v>
      </c>
      <c r="B2814" s="8" t="s">
        <v>1638</v>
      </c>
      <c r="C2814" s="8" t="s">
        <v>1639</v>
      </c>
      <c r="D2814" s="9">
        <v>4.0</v>
      </c>
      <c r="E2814" s="67">
        <f t="shared" si="11"/>
        <v>1000</v>
      </c>
      <c r="F2814" s="67" t="str">
        <f t="shared" si="12"/>
        <v>4 LeadGen Set Appointments</v>
      </c>
    </row>
    <row r="2815" hidden="1">
      <c r="A2815" s="6" t="s">
        <v>42</v>
      </c>
      <c r="B2815" s="8" t="s">
        <v>1774</v>
      </c>
      <c r="C2815" s="8" t="s">
        <v>1775</v>
      </c>
      <c r="D2815" s="9">
        <v>4.0</v>
      </c>
      <c r="E2815" s="67">
        <f t="shared" si="11"/>
        <v>1000</v>
      </c>
      <c r="F2815" s="67" t="str">
        <f t="shared" si="12"/>
        <v>4 LeadGen Set Appointments</v>
      </c>
    </row>
    <row r="2816" hidden="1">
      <c r="A2816" s="6" t="s">
        <v>42</v>
      </c>
      <c r="B2816" s="8" t="s">
        <v>1600</v>
      </c>
      <c r="C2816" s="8" t="s">
        <v>1601</v>
      </c>
      <c r="D2816" s="9">
        <v>4.0</v>
      </c>
      <c r="E2816" s="67">
        <f t="shared" si="11"/>
        <v>1000</v>
      </c>
      <c r="F2816" s="67" t="str">
        <f t="shared" si="12"/>
        <v>4 LeadGen Set Appointments</v>
      </c>
    </row>
    <row r="2817" hidden="1">
      <c r="A2817" s="6" t="s">
        <v>42</v>
      </c>
      <c r="B2817" s="8" t="s">
        <v>1448</v>
      </c>
      <c r="C2817" s="8" t="s">
        <v>1449</v>
      </c>
      <c r="D2817" s="9">
        <v>4.0</v>
      </c>
      <c r="E2817" s="67">
        <f t="shared" si="11"/>
        <v>1000</v>
      </c>
      <c r="F2817" s="67" t="str">
        <f t="shared" si="12"/>
        <v>4 LeadGen Set Appointments</v>
      </c>
    </row>
    <row r="2818" hidden="1">
      <c r="A2818" s="6" t="s">
        <v>42</v>
      </c>
      <c r="B2818" s="8" t="s">
        <v>1543</v>
      </c>
      <c r="C2818" s="8" t="s">
        <v>1544</v>
      </c>
      <c r="D2818" s="9">
        <v>4.0</v>
      </c>
      <c r="E2818" s="67">
        <f t="shared" si="11"/>
        <v>1000</v>
      </c>
      <c r="F2818" s="67" t="str">
        <f t="shared" si="12"/>
        <v>4 LeadGen Set Appointments</v>
      </c>
    </row>
    <row r="2819" hidden="1">
      <c r="A2819" s="6" t="s">
        <v>42</v>
      </c>
      <c r="B2819" s="8" t="s">
        <v>684</v>
      </c>
      <c r="C2819" s="8" t="s">
        <v>685</v>
      </c>
      <c r="D2819" s="9">
        <v>4.0</v>
      </c>
      <c r="E2819" s="67">
        <f t="shared" si="11"/>
        <v>1000</v>
      </c>
      <c r="F2819" s="67" t="str">
        <f t="shared" si="12"/>
        <v>4 LeadGen Set Appointments</v>
      </c>
    </row>
    <row r="2820" hidden="1">
      <c r="A2820" s="6" t="s">
        <v>42</v>
      </c>
      <c r="B2820" s="8" t="s">
        <v>431</v>
      </c>
      <c r="C2820" s="8" t="s">
        <v>432</v>
      </c>
      <c r="D2820" s="9">
        <v>4.0</v>
      </c>
      <c r="E2820" s="67">
        <f t="shared" si="11"/>
        <v>1000</v>
      </c>
      <c r="F2820" s="67" t="str">
        <f t="shared" si="12"/>
        <v>4 LeadGen Set Appointments</v>
      </c>
    </row>
    <row r="2821" hidden="1">
      <c r="A2821" s="6" t="s">
        <v>42</v>
      </c>
      <c r="B2821" s="8" t="s">
        <v>1547</v>
      </c>
      <c r="C2821" s="8" t="s">
        <v>1548</v>
      </c>
      <c r="D2821" s="9">
        <v>4.0</v>
      </c>
      <c r="E2821" s="67">
        <f t="shared" si="11"/>
        <v>1000</v>
      </c>
      <c r="F2821" s="67" t="str">
        <f t="shared" si="12"/>
        <v>4 LeadGen Set Appointments</v>
      </c>
    </row>
    <row r="2822" hidden="1">
      <c r="A2822" s="6" t="s">
        <v>42</v>
      </c>
      <c r="B2822" s="8" t="s">
        <v>1778</v>
      </c>
      <c r="C2822" s="8" t="s">
        <v>1779</v>
      </c>
      <c r="D2822" s="9">
        <v>4.0</v>
      </c>
      <c r="E2822" s="67">
        <f t="shared" si="11"/>
        <v>1000</v>
      </c>
      <c r="F2822" s="67" t="str">
        <f t="shared" si="12"/>
        <v>4 LeadGen Set Appointments</v>
      </c>
    </row>
    <row r="2823" hidden="1">
      <c r="A2823" s="6" t="s">
        <v>42</v>
      </c>
      <c r="B2823" s="8" t="s">
        <v>1512</v>
      </c>
      <c r="C2823" s="8" t="s">
        <v>1513</v>
      </c>
      <c r="D2823" s="9">
        <v>4.0</v>
      </c>
      <c r="E2823" s="67">
        <f t="shared" si="11"/>
        <v>1000</v>
      </c>
      <c r="F2823" s="67" t="str">
        <f t="shared" si="12"/>
        <v>4 LeadGen Set Appointments</v>
      </c>
    </row>
    <row r="2824" hidden="1">
      <c r="A2824" s="6" t="s">
        <v>42</v>
      </c>
      <c r="B2824" s="8" t="s">
        <v>572</v>
      </c>
      <c r="C2824" s="8" t="s">
        <v>573</v>
      </c>
      <c r="D2824" s="9">
        <v>4.0</v>
      </c>
      <c r="E2824" s="67">
        <f t="shared" si="11"/>
        <v>1000</v>
      </c>
      <c r="F2824" s="67" t="str">
        <f t="shared" si="12"/>
        <v>4 LeadGen Set Appointments</v>
      </c>
    </row>
    <row r="2825" hidden="1">
      <c r="A2825" s="6" t="s">
        <v>42</v>
      </c>
      <c r="B2825" s="8" t="s">
        <v>1664</v>
      </c>
      <c r="C2825" s="8" t="s">
        <v>1665</v>
      </c>
      <c r="D2825" s="9">
        <v>4.0</v>
      </c>
      <c r="E2825" s="67">
        <f t="shared" si="11"/>
        <v>1000</v>
      </c>
      <c r="F2825" s="67" t="str">
        <f t="shared" si="12"/>
        <v>4 LeadGen Set Appointments</v>
      </c>
    </row>
    <row r="2826" hidden="1">
      <c r="A2826" s="6" t="s">
        <v>42</v>
      </c>
      <c r="B2826" s="8" t="s">
        <v>1784</v>
      </c>
      <c r="C2826" s="8" t="s">
        <v>1785</v>
      </c>
      <c r="D2826" s="9">
        <v>4.0</v>
      </c>
      <c r="E2826" s="67">
        <f t="shared" si="11"/>
        <v>1000</v>
      </c>
      <c r="F2826" s="67" t="str">
        <f t="shared" si="12"/>
        <v>4 LeadGen Set Appointments</v>
      </c>
    </row>
    <row r="2827" hidden="1">
      <c r="A2827" s="6" t="s">
        <v>42</v>
      </c>
      <c r="B2827" s="8" t="s">
        <v>1567</v>
      </c>
      <c r="C2827" s="8" t="s">
        <v>1568</v>
      </c>
      <c r="D2827" s="9">
        <v>4.0</v>
      </c>
      <c r="E2827" s="67">
        <f t="shared" si="11"/>
        <v>1000</v>
      </c>
      <c r="F2827" s="67" t="str">
        <f t="shared" si="12"/>
        <v>4 LeadGen Set Appointments</v>
      </c>
    </row>
    <row r="2828" hidden="1">
      <c r="A2828" s="6" t="s">
        <v>42</v>
      </c>
      <c r="B2828" s="8" t="s">
        <v>1093</v>
      </c>
      <c r="C2828" s="8" t="s">
        <v>1760</v>
      </c>
      <c r="D2828" s="9">
        <v>4.0</v>
      </c>
      <c r="E2828" s="67">
        <f t="shared" si="11"/>
        <v>1000</v>
      </c>
      <c r="F2828" s="67" t="str">
        <f t="shared" si="12"/>
        <v>4 LeadGen Set Appointments</v>
      </c>
    </row>
    <row r="2829" hidden="1">
      <c r="A2829" s="6" t="s">
        <v>42</v>
      </c>
      <c r="B2829" s="8" t="s">
        <v>986</v>
      </c>
      <c r="C2829" s="8" t="s">
        <v>1629</v>
      </c>
      <c r="D2829" s="9">
        <v>4.0</v>
      </c>
      <c r="E2829" s="67">
        <f t="shared" si="11"/>
        <v>1000</v>
      </c>
      <c r="F2829" s="67" t="str">
        <f t="shared" si="12"/>
        <v>4 LeadGen Set Appointments</v>
      </c>
    </row>
    <row r="2830" hidden="1">
      <c r="A2830" s="6" t="s">
        <v>42</v>
      </c>
      <c r="B2830" s="8" t="s">
        <v>1569</v>
      </c>
      <c r="C2830" s="8" t="s">
        <v>1570</v>
      </c>
      <c r="D2830" s="9">
        <v>4.0</v>
      </c>
      <c r="E2830" s="67">
        <f t="shared" si="11"/>
        <v>1000</v>
      </c>
      <c r="F2830" s="67" t="str">
        <f t="shared" si="12"/>
        <v>4 LeadGen Set Appointments</v>
      </c>
    </row>
    <row r="2831" hidden="1">
      <c r="A2831" s="6" t="s">
        <v>42</v>
      </c>
      <c r="B2831" s="8" t="s">
        <v>1532</v>
      </c>
      <c r="C2831" s="8" t="s">
        <v>1533</v>
      </c>
      <c r="D2831" s="9">
        <v>4.0</v>
      </c>
      <c r="E2831" s="67">
        <f t="shared" si="11"/>
        <v>1000</v>
      </c>
      <c r="F2831" s="67" t="str">
        <f t="shared" si="12"/>
        <v>4 LeadGen Set Appointments</v>
      </c>
    </row>
    <row r="2832" hidden="1">
      <c r="A2832" s="6" t="s">
        <v>42</v>
      </c>
      <c r="B2832" s="8" t="s">
        <v>1682</v>
      </c>
      <c r="C2832" s="8" t="s">
        <v>1683</v>
      </c>
      <c r="D2832" s="9">
        <v>4.0</v>
      </c>
      <c r="E2832" s="67">
        <f t="shared" si="11"/>
        <v>1000</v>
      </c>
      <c r="F2832" s="67" t="str">
        <f t="shared" si="12"/>
        <v>4 LeadGen Set Appointments</v>
      </c>
    </row>
    <row r="2833" hidden="1">
      <c r="A2833" s="6" t="s">
        <v>42</v>
      </c>
      <c r="B2833" s="8" t="s">
        <v>1577</v>
      </c>
      <c r="C2833" s="8" t="s">
        <v>1578</v>
      </c>
      <c r="D2833" s="9">
        <v>3.0</v>
      </c>
      <c r="E2833" s="67">
        <f t="shared" si="11"/>
        <v>750</v>
      </c>
      <c r="F2833" s="67" t="str">
        <f t="shared" si="12"/>
        <v>3 LeadGen Set Appointments</v>
      </c>
    </row>
    <row r="2834" hidden="1">
      <c r="A2834" s="6" t="s">
        <v>42</v>
      </c>
      <c r="B2834" s="8" t="s">
        <v>1726</v>
      </c>
      <c r="C2834" s="8" t="s">
        <v>1727</v>
      </c>
      <c r="D2834" s="9">
        <v>3.0</v>
      </c>
      <c r="E2834" s="67">
        <f t="shared" si="11"/>
        <v>750</v>
      </c>
      <c r="F2834" s="67" t="str">
        <f t="shared" si="12"/>
        <v>3 LeadGen Set Appointments</v>
      </c>
    </row>
    <row r="2835" hidden="1">
      <c r="A2835" s="6" t="s">
        <v>42</v>
      </c>
      <c r="B2835" s="8" t="s">
        <v>500</v>
      </c>
      <c r="C2835" s="8" t="s">
        <v>501</v>
      </c>
      <c r="D2835" s="9">
        <v>3.0</v>
      </c>
      <c r="E2835" s="67">
        <f t="shared" si="11"/>
        <v>750</v>
      </c>
      <c r="F2835" s="67" t="str">
        <f t="shared" si="12"/>
        <v>3 LeadGen Set Appointments</v>
      </c>
    </row>
    <row r="2836" hidden="1">
      <c r="A2836" s="6" t="s">
        <v>42</v>
      </c>
      <c r="B2836" s="8" t="s">
        <v>1728</v>
      </c>
      <c r="C2836" s="8" t="s">
        <v>1729</v>
      </c>
      <c r="D2836" s="9">
        <v>3.0</v>
      </c>
      <c r="E2836" s="67">
        <f t="shared" si="11"/>
        <v>750</v>
      </c>
      <c r="F2836" s="67" t="str">
        <f t="shared" si="12"/>
        <v>3 LeadGen Set Appointments</v>
      </c>
    </row>
    <row r="2837" hidden="1">
      <c r="A2837" s="6" t="s">
        <v>42</v>
      </c>
      <c r="B2837" s="8" t="s">
        <v>1606</v>
      </c>
      <c r="C2837" s="8" t="s">
        <v>1607</v>
      </c>
      <c r="D2837" s="9">
        <v>3.0</v>
      </c>
      <c r="E2837" s="67">
        <f t="shared" si="11"/>
        <v>750</v>
      </c>
      <c r="F2837" s="67" t="str">
        <f t="shared" si="12"/>
        <v>3 LeadGen Set Appointments</v>
      </c>
    </row>
    <row r="2838" hidden="1">
      <c r="A2838" s="6" t="s">
        <v>42</v>
      </c>
      <c r="B2838" s="8" t="s">
        <v>1648</v>
      </c>
      <c r="C2838" s="8" t="s">
        <v>1206</v>
      </c>
      <c r="D2838" s="9">
        <v>3.0</v>
      </c>
      <c r="E2838" s="67">
        <f t="shared" si="11"/>
        <v>750</v>
      </c>
      <c r="F2838" s="67" t="str">
        <f t="shared" si="12"/>
        <v>3 LeadGen Set Appointments</v>
      </c>
    </row>
    <row r="2839" hidden="1">
      <c r="A2839" s="6" t="s">
        <v>42</v>
      </c>
      <c r="B2839" s="8" t="s">
        <v>752</v>
      </c>
      <c r="C2839" s="8" t="s">
        <v>753</v>
      </c>
      <c r="D2839" s="9">
        <v>3.0</v>
      </c>
      <c r="E2839" s="67">
        <f t="shared" si="11"/>
        <v>750</v>
      </c>
      <c r="F2839" s="67" t="str">
        <f t="shared" si="12"/>
        <v>3 LeadGen Set Appointments</v>
      </c>
    </row>
    <row r="2840" hidden="1">
      <c r="A2840" s="6" t="s">
        <v>42</v>
      </c>
      <c r="B2840" s="8" t="s">
        <v>1608</v>
      </c>
      <c r="C2840" s="8" t="s">
        <v>1609</v>
      </c>
      <c r="D2840" s="9">
        <v>3.0</v>
      </c>
      <c r="E2840" s="67">
        <f t="shared" si="11"/>
        <v>750</v>
      </c>
      <c r="F2840" s="67" t="str">
        <f t="shared" si="12"/>
        <v>3 LeadGen Set Appointments</v>
      </c>
    </row>
    <row r="2841" hidden="1">
      <c r="A2841" s="6" t="s">
        <v>42</v>
      </c>
      <c r="B2841" s="8" t="s">
        <v>1803</v>
      </c>
      <c r="C2841" s="8" t="s">
        <v>1804</v>
      </c>
      <c r="D2841" s="9">
        <v>3.0</v>
      </c>
      <c r="E2841" s="67">
        <f t="shared" si="11"/>
        <v>750</v>
      </c>
      <c r="F2841" s="67" t="str">
        <f t="shared" si="12"/>
        <v>3 LeadGen Set Appointments</v>
      </c>
    </row>
    <row r="2842" hidden="1">
      <c r="A2842" s="6" t="s">
        <v>42</v>
      </c>
      <c r="B2842" s="8" t="s">
        <v>1827</v>
      </c>
      <c r="C2842" s="8" t="s">
        <v>1828</v>
      </c>
      <c r="D2842" s="9">
        <v>3.0</v>
      </c>
      <c r="E2842" s="67">
        <f t="shared" si="11"/>
        <v>750</v>
      </c>
      <c r="F2842" s="67" t="str">
        <f t="shared" si="12"/>
        <v>3 LeadGen Set Appointments</v>
      </c>
    </row>
    <row r="2843" hidden="1">
      <c r="A2843" s="6" t="s">
        <v>42</v>
      </c>
      <c r="B2843" s="8" t="s">
        <v>1259</v>
      </c>
      <c r="C2843" s="8" t="s">
        <v>1260</v>
      </c>
      <c r="D2843" s="9">
        <v>3.0</v>
      </c>
      <c r="E2843" s="67">
        <f t="shared" si="11"/>
        <v>750</v>
      </c>
      <c r="F2843" s="67" t="str">
        <f t="shared" si="12"/>
        <v>3 LeadGen Set Appointments</v>
      </c>
    </row>
    <row r="2844" hidden="1">
      <c r="A2844" s="6" t="s">
        <v>42</v>
      </c>
      <c r="B2844" s="8" t="s">
        <v>502</v>
      </c>
      <c r="C2844" s="8" t="s">
        <v>503</v>
      </c>
      <c r="D2844" s="9">
        <v>3.0</v>
      </c>
      <c r="E2844" s="67">
        <f t="shared" si="11"/>
        <v>750</v>
      </c>
      <c r="F2844" s="67" t="str">
        <f t="shared" si="12"/>
        <v>3 LeadGen Set Appointments</v>
      </c>
    </row>
    <row r="2845" hidden="1">
      <c r="A2845" s="6" t="s">
        <v>42</v>
      </c>
      <c r="B2845" s="8" t="s">
        <v>1393</v>
      </c>
      <c r="C2845" s="8" t="s">
        <v>1394</v>
      </c>
      <c r="D2845" s="9">
        <v>3.0</v>
      </c>
      <c r="E2845" s="67">
        <f t="shared" si="11"/>
        <v>750</v>
      </c>
      <c r="F2845" s="67" t="str">
        <f t="shared" si="12"/>
        <v>3 LeadGen Set Appointments</v>
      </c>
    </row>
    <row r="2846" hidden="1">
      <c r="A2846" s="6" t="s">
        <v>42</v>
      </c>
      <c r="B2846" s="8" t="s">
        <v>1710</v>
      </c>
      <c r="C2846" s="8" t="s">
        <v>1711</v>
      </c>
      <c r="D2846" s="9">
        <v>3.0</v>
      </c>
      <c r="E2846" s="67">
        <f t="shared" si="11"/>
        <v>750</v>
      </c>
      <c r="F2846" s="67" t="str">
        <f t="shared" si="12"/>
        <v>3 LeadGen Set Appointments</v>
      </c>
    </row>
    <row r="2847" hidden="1">
      <c r="A2847" s="6" t="s">
        <v>42</v>
      </c>
      <c r="B2847" s="8" t="s">
        <v>1659</v>
      </c>
      <c r="C2847" s="8" t="s">
        <v>1660</v>
      </c>
      <c r="D2847" s="9">
        <v>3.0</v>
      </c>
      <c r="E2847" s="67">
        <f t="shared" si="11"/>
        <v>750</v>
      </c>
      <c r="F2847" s="67" t="str">
        <f t="shared" si="12"/>
        <v>3 LeadGen Set Appointments</v>
      </c>
    </row>
    <row r="2848" hidden="1">
      <c r="A2848" s="6" t="s">
        <v>42</v>
      </c>
      <c r="B2848" s="8" t="s">
        <v>1561</v>
      </c>
      <c r="C2848" s="8" t="s">
        <v>1562</v>
      </c>
      <c r="D2848" s="9">
        <v>3.0</v>
      </c>
      <c r="E2848" s="67">
        <f t="shared" si="11"/>
        <v>750</v>
      </c>
      <c r="F2848" s="67" t="str">
        <f t="shared" si="12"/>
        <v>3 LeadGen Set Appointments</v>
      </c>
    </row>
    <row r="2849" hidden="1">
      <c r="A2849" s="6" t="s">
        <v>42</v>
      </c>
      <c r="B2849" s="8" t="s">
        <v>1829</v>
      </c>
      <c r="C2849" s="8" t="s">
        <v>1830</v>
      </c>
      <c r="D2849" s="9">
        <v>3.0</v>
      </c>
      <c r="E2849" s="67">
        <f t="shared" si="11"/>
        <v>750</v>
      </c>
      <c r="F2849" s="67" t="str">
        <f t="shared" si="12"/>
        <v>3 LeadGen Set Appointments</v>
      </c>
    </row>
    <row r="2850" hidden="1">
      <c r="A2850" s="6" t="s">
        <v>42</v>
      </c>
      <c r="B2850" s="8" t="s">
        <v>1625</v>
      </c>
      <c r="C2850" s="8" t="s">
        <v>1626</v>
      </c>
      <c r="D2850" s="9">
        <v>3.0</v>
      </c>
      <c r="E2850" s="67">
        <f t="shared" si="11"/>
        <v>750</v>
      </c>
      <c r="F2850" s="67" t="str">
        <f t="shared" si="12"/>
        <v>3 LeadGen Set Appointments</v>
      </c>
    </row>
    <row r="2851" hidden="1">
      <c r="A2851" s="6" t="s">
        <v>42</v>
      </c>
      <c r="B2851" s="8" t="s">
        <v>1495</v>
      </c>
      <c r="C2851" s="8" t="s">
        <v>1496</v>
      </c>
      <c r="D2851" s="9">
        <v>3.0</v>
      </c>
      <c r="E2851" s="67">
        <f t="shared" si="11"/>
        <v>750</v>
      </c>
      <c r="F2851" s="67" t="str">
        <f t="shared" si="12"/>
        <v>3 LeadGen Set Appointments</v>
      </c>
    </row>
    <row r="2852" hidden="1">
      <c r="A2852" s="6" t="s">
        <v>42</v>
      </c>
      <c r="B2852" s="8" t="s">
        <v>1497</v>
      </c>
      <c r="C2852" s="8" t="s">
        <v>1498</v>
      </c>
      <c r="D2852" s="9">
        <v>3.0</v>
      </c>
      <c r="E2852" s="67">
        <f t="shared" si="11"/>
        <v>750</v>
      </c>
      <c r="F2852" s="67" t="str">
        <f t="shared" si="12"/>
        <v>3 LeadGen Set Appointments</v>
      </c>
    </row>
    <row r="2853" hidden="1">
      <c r="A2853" s="6" t="s">
        <v>42</v>
      </c>
      <c r="B2853" s="8" t="s">
        <v>566</v>
      </c>
      <c r="C2853" s="8" t="s">
        <v>567</v>
      </c>
      <c r="D2853" s="9">
        <v>3.0</v>
      </c>
      <c r="E2853" s="67">
        <f t="shared" si="11"/>
        <v>750</v>
      </c>
      <c r="F2853" s="67" t="str">
        <f t="shared" si="12"/>
        <v>3 LeadGen Set Appointments</v>
      </c>
    </row>
    <row r="2854" hidden="1">
      <c r="A2854" s="6" t="s">
        <v>42</v>
      </c>
      <c r="B2854" s="8" t="s">
        <v>1740</v>
      </c>
      <c r="C2854" s="8" t="s">
        <v>1741</v>
      </c>
      <c r="D2854" s="9">
        <v>2.0</v>
      </c>
      <c r="E2854" s="67">
        <f t="shared" si="11"/>
        <v>500</v>
      </c>
      <c r="F2854" s="67" t="str">
        <f t="shared" si="12"/>
        <v>2 LeadGen Set Appointments</v>
      </c>
    </row>
    <row r="2855" hidden="1">
      <c r="A2855" s="6" t="s">
        <v>42</v>
      </c>
      <c r="B2855" s="8" t="s">
        <v>1797</v>
      </c>
      <c r="C2855" s="8" t="s">
        <v>1798</v>
      </c>
      <c r="D2855" s="9">
        <v>2.0</v>
      </c>
      <c r="E2855" s="67">
        <f t="shared" si="11"/>
        <v>500</v>
      </c>
      <c r="F2855" s="67" t="str">
        <f t="shared" si="12"/>
        <v>2 LeadGen Set Appointments</v>
      </c>
    </row>
    <row r="2856" hidden="1">
      <c r="A2856" s="6" t="s">
        <v>42</v>
      </c>
      <c r="B2856" s="8" t="s">
        <v>462</v>
      </c>
      <c r="C2856" s="8" t="s">
        <v>463</v>
      </c>
      <c r="D2856" s="9">
        <v>2.0</v>
      </c>
      <c r="E2856" s="67">
        <f t="shared" si="11"/>
        <v>500</v>
      </c>
      <c r="F2856" s="67" t="str">
        <f t="shared" si="12"/>
        <v>2 LeadGen Set Appointments</v>
      </c>
    </row>
    <row r="2857" hidden="1">
      <c r="A2857" s="6" t="s">
        <v>42</v>
      </c>
      <c r="B2857" s="8" t="s">
        <v>1704</v>
      </c>
      <c r="C2857" s="8" t="s">
        <v>1705</v>
      </c>
      <c r="D2857" s="9">
        <v>2.0</v>
      </c>
      <c r="E2857" s="67">
        <f t="shared" si="11"/>
        <v>500</v>
      </c>
      <c r="F2857" s="67" t="str">
        <f t="shared" si="12"/>
        <v>2 LeadGen Set Appointments</v>
      </c>
    </row>
    <row r="2858" hidden="1">
      <c r="A2858" s="6" t="s">
        <v>42</v>
      </c>
      <c r="B2858" s="8" t="s">
        <v>1732</v>
      </c>
      <c r="C2858" s="8" t="s">
        <v>1733</v>
      </c>
      <c r="D2858" s="9">
        <v>2.0</v>
      </c>
      <c r="E2858" s="67">
        <f t="shared" si="11"/>
        <v>500</v>
      </c>
      <c r="F2858" s="67" t="str">
        <f t="shared" si="12"/>
        <v>2 LeadGen Set Appointments</v>
      </c>
    </row>
    <row r="2859" hidden="1">
      <c r="A2859" s="6" t="s">
        <v>42</v>
      </c>
      <c r="B2859" s="8" t="s">
        <v>1545</v>
      </c>
      <c r="C2859" s="8" t="s">
        <v>1546</v>
      </c>
      <c r="D2859" s="9">
        <v>2.0</v>
      </c>
      <c r="E2859" s="67">
        <f t="shared" si="11"/>
        <v>500</v>
      </c>
      <c r="F2859" s="67" t="str">
        <f t="shared" si="12"/>
        <v>2 LeadGen Set Appointments</v>
      </c>
    </row>
    <row r="2860" hidden="1">
      <c r="A2860" s="6" t="s">
        <v>42</v>
      </c>
      <c r="B2860" s="8" t="s">
        <v>560</v>
      </c>
      <c r="C2860" s="8" t="s">
        <v>561</v>
      </c>
      <c r="D2860" s="9">
        <v>2.0</v>
      </c>
      <c r="E2860" s="67">
        <f t="shared" si="11"/>
        <v>500</v>
      </c>
      <c r="F2860" s="67" t="str">
        <f t="shared" si="12"/>
        <v>2 LeadGen Set Appointments</v>
      </c>
    </row>
    <row r="2861" hidden="1">
      <c r="A2861" s="6" t="s">
        <v>42</v>
      </c>
      <c r="B2861" s="8" t="s">
        <v>1801</v>
      </c>
      <c r="C2861" s="8" t="s">
        <v>1802</v>
      </c>
      <c r="D2861" s="9">
        <v>2.0</v>
      </c>
      <c r="E2861" s="67">
        <f t="shared" si="11"/>
        <v>500</v>
      </c>
      <c r="F2861" s="67" t="str">
        <f t="shared" si="12"/>
        <v>2 LeadGen Set Appointments</v>
      </c>
    </row>
    <row r="2862" hidden="1">
      <c r="A2862" s="6" t="s">
        <v>42</v>
      </c>
      <c r="B2862" s="8" t="s">
        <v>1748</v>
      </c>
      <c r="C2862" s="8" t="s">
        <v>1749</v>
      </c>
      <c r="D2862" s="9">
        <v>2.0</v>
      </c>
      <c r="E2862" s="67">
        <f t="shared" si="11"/>
        <v>500</v>
      </c>
      <c r="F2862" s="67" t="str">
        <f t="shared" si="12"/>
        <v>2 LeadGen Set Appointments</v>
      </c>
    </row>
    <row r="2863" hidden="1">
      <c r="A2863" s="6" t="s">
        <v>42</v>
      </c>
      <c r="B2863" s="8" t="s">
        <v>1612</v>
      </c>
      <c r="C2863" s="8" t="s">
        <v>1613</v>
      </c>
      <c r="D2863" s="9">
        <v>2.0</v>
      </c>
      <c r="E2863" s="67">
        <f t="shared" si="11"/>
        <v>500</v>
      </c>
      <c r="F2863" s="67" t="str">
        <f t="shared" si="12"/>
        <v>2 LeadGen Set Appointments</v>
      </c>
    </row>
    <row r="2864" hidden="1">
      <c r="A2864" s="6" t="s">
        <v>42</v>
      </c>
      <c r="B2864" s="8" t="s">
        <v>1551</v>
      </c>
      <c r="C2864" s="8" t="s">
        <v>1552</v>
      </c>
      <c r="D2864" s="9">
        <v>2.0</v>
      </c>
      <c r="E2864" s="67">
        <f t="shared" si="11"/>
        <v>500</v>
      </c>
      <c r="F2864" s="67" t="str">
        <f t="shared" si="12"/>
        <v>2 LeadGen Set Appointments</v>
      </c>
    </row>
    <row r="2865" hidden="1">
      <c r="A2865" s="6" t="s">
        <v>42</v>
      </c>
      <c r="B2865" s="8" t="s">
        <v>1708</v>
      </c>
      <c r="C2865" s="8" t="s">
        <v>1709</v>
      </c>
      <c r="D2865" s="9">
        <v>2.0</v>
      </c>
      <c r="E2865" s="67">
        <f t="shared" si="11"/>
        <v>500</v>
      </c>
      <c r="F2865" s="67" t="str">
        <f t="shared" si="12"/>
        <v>2 LeadGen Set Appointments</v>
      </c>
    </row>
    <row r="2866" hidden="1">
      <c r="A2866" s="6" t="s">
        <v>42</v>
      </c>
      <c r="B2866" s="8" t="s">
        <v>1809</v>
      </c>
      <c r="C2866" s="8" t="s">
        <v>1810</v>
      </c>
      <c r="D2866" s="9">
        <v>2.0</v>
      </c>
      <c r="E2866" s="67">
        <f t="shared" si="11"/>
        <v>500</v>
      </c>
      <c r="F2866" s="67" t="str">
        <f t="shared" si="12"/>
        <v>2 LeadGen Set Appointments</v>
      </c>
    </row>
    <row r="2867" hidden="1">
      <c r="A2867" s="6" t="s">
        <v>42</v>
      </c>
      <c r="B2867" s="8" t="s">
        <v>1621</v>
      </c>
      <c r="C2867" s="8" t="s">
        <v>1622</v>
      </c>
      <c r="D2867" s="9">
        <v>2.0</v>
      </c>
      <c r="E2867" s="67">
        <f t="shared" si="11"/>
        <v>500</v>
      </c>
      <c r="F2867" s="67" t="str">
        <f t="shared" si="12"/>
        <v>2 LeadGen Set Appointments</v>
      </c>
    </row>
    <row r="2868" hidden="1">
      <c r="A2868" s="6" t="s">
        <v>42</v>
      </c>
      <c r="B2868" s="8" t="s">
        <v>1666</v>
      </c>
      <c r="C2868" s="8" t="s">
        <v>1667</v>
      </c>
      <c r="D2868" s="9">
        <v>2.0</v>
      </c>
      <c r="E2868" s="67">
        <f t="shared" si="11"/>
        <v>500</v>
      </c>
      <c r="F2868" s="67" t="str">
        <f t="shared" si="12"/>
        <v>2 LeadGen Set Appointments</v>
      </c>
    </row>
    <row r="2869" hidden="1">
      <c r="A2869" s="6" t="s">
        <v>42</v>
      </c>
      <c r="B2869" s="8" t="s">
        <v>1831</v>
      </c>
      <c r="C2869" s="8" t="s">
        <v>1832</v>
      </c>
      <c r="D2869" s="9">
        <v>2.0</v>
      </c>
      <c r="E2869" s="67">
        <f t="shared" si="11"/>
        <v>500</v>
      </c>
      <c r="F2869" s="67" t="str">
        <f t="shared" si="12"/>
        <v>2 LeadGen Set Appointments</v>
      </c>
    </row>
    <row r="2870" hidden="1">
      <c r="A2870" s="6" t="s">
        <v>42</v>
      </c>
      <c r="B2870" s="8" t="s">
        <v>1811</v>
      </c>
      <c r="C2870" s="8" t="s">
        <v>1812</v>
      </c>
      <c r="D2870" s="9">
        <v>2.0</v>
      </c>
      <c r="E2870" s="67">
        <f t="shared" si="11"/>
        <v>500</v>
      </c>
      <c r="F2870" s="67" t="str">
        <f t="shared" si="12"/>
        <v>2 LeadGen Set Appointments</v>
      </c>
    </row>
    <row r="2871" hidden="1">
      <c r="A2871" s="6" t="s">
        <v>42</v>
      </c>
      <c r="B2871" s="8" t="s">
        <v>1145</v>
      </c>
      <c r="C2871" s="8" t="s">
        <v>1833</v>
      </c>
      <c r="D2871" s="9">
        <v>2.0</v>
      </c>
      <c r="E2871" s="67">
        <f t="shared" si="11"/>
        <v>500</v>
      </c>
      <c r="F2871" s="67" t="str">
        <f t="shared" si="12"/>
        <v>2 LeadGen Set Appointments</v>
      </c>
    </row>
    <row r="2872" hidden="1">
      <c r="A2872" s="6" t="s">
        <v>42</v>
      </c>
      <c r="B2872" s="8" t="s">
        <v>1524</v>
      </c>
      <c r="C2872" s="8" t="s">
        <v>1525</v>
      </c>
      <c r="D2872" s="9">
        <v>2.0</v>
      </c>
      <c r="E2872" s="67">
        <f t="shared" si="11"/>
        <v>500</v>
      </c>
      <c r="F2872" s="67" t="str">
        <f t="shared" si="12"/>
        <v>2 LeadGen Set Appointments</v>
      </c>
    </row>
    <row r="2873" hidden="1">
      <c r="A2873" s="6" t="s">
        <v>42</v>
      </c>
      <c r="B2873" s="8" t="s">
        <v>1674</v>
      </c>
      <c r="C2873" s="8" t="s">
        <v>1675</v>
      </c>
      <c r="D2873" s="9">
        <v>2.0</v>
      </c>
      <c r="E2873" s="67">
        <f t="shared" si="11"/>
        <v>500</v>
      </c>
      <c r="F2873" s="67" t="str">
        <f t="shared" si="12"/>
        <v>2 LeadGen Set Appointments</v>
      </c>
    </row>
    <row r="2874" hidden="1">
      <c r="A2874" s="6" t="s">
        <v>42</v>
      </c>
      <c r="B2874" s="8" t="s">
        <v>1813</v>
      </c>
      <c r="C2874" s="8" t="s">
        <v>1814</v>
      </c>
      <c r="D2874" s="9">
        <v>2.0</v>
      </c>
      <c r="E2874" s="67">
        <f t="shared" si="11"/>
        <v>500</v>
      </c>
      <c r="F2874" s="67" t="str">
        <f t="shared" si="12"/>
        <v>2 LeadGen Set Appointments</v>
      </c>
    </row>
    <row r="2875" hidden="1">
      <c r="A2875" s="6" t="s">
        <v>42</v>
      </c>
      <c r="B2875" s="8" t="s">
        <v>628</v>
      </c>
      <c r="C2875" s="8" t="s">
        <v>629</v>
      </c>
      <c r="D2875" s="9">
        <v>1.0</v>
      </c>
      <c r="E2875" s="67">
        <f t="shared" si="11"/>
        <v>250</v>
      </c>
      <c r="F2875" s="67" t="str">
        <f t="shared" si="12"/>
        <v>1 LeadGen Set Appointments</v>
      </c>
    </row>
    <row r="2876" hidden="1">
      <c r="A2876" s="6" t="s">
        <v>42</v>
      </c>
      <c r="B2876" s="8" t="s">
        <v>1834</v>
      </c>
      <c r="C2876" s="8" t="s">
        <v>1835</v>
      </c>
      <c r="D2876" s="9">
        <v>1.0</v>
      </c>
      <c r="E2876" s="67">
        <f t="shared" si="11"/>
        <v>250</v>
      </c>
      <c r="F2876" s="67" t="str">
        <f t="shared" si="12"/>
        <v>1 LeadGen Set Appointments</v>
      </c>
    </row>
    <row r="2877" hidden="1">
      <c r="A2877" s="6" t="s">
        <v>42</v>
      </c>
      <c r="B2877" s="8" t="s">
        <v>1836</v>
      </c>
      <c r="C2877" s="8" t="s">
        <v>1837</v>
      </c>
      <c r="D2877" s="9">
        <v>1.0</v>
      </c>
      <c r="E2877" s="67">
        <f t="shared" si="11"/>
        <v>250</v>
      </c>
      <c r="F2877" s="67" t="str">
        <f t="shared" si="12"/>
        <v>1 LeadGen Set Appointments</v>
      </c>
    </row>
    <row r="2878" hidden="1">
      <c r="A2878" s="6" t="s">
        <v>42</v>
      </c>
      <c r="B2878" s="8" t="s">
        <v>1583</v>
      </c>
      <c r="C2878" s="8" t="s">
        <v>1584</v>
      </c>
      <c r="D2878" s="9">
        <v>1.0</v>
      </c>
      <c r="E2878" s="67">
        <f t="shared" si="11"/>
        <v>250</v>
      </c>
      <c r="F2878" s="67" t="str">
        <f t="shared" si="12"/>
        <v>1 LeadGen Set Appointments</v>
      </c>
    </row>
    <row r="2879" hidden="1">
      <c r="A2879" s="6" t="s">
        <v>42</v>
      </c>
      <c r="B2879" s="8" t="s">
        <v>1838</v>
      </c>
      <c r="C2879" s="8" t="s">
        <v>1839</v>
      </c>
      <c r="D2879" s="9">
        <v>1.0</v>
      </c>
      <c r="E2879" s="67">
        <f t="shared" si="11"/>
        <v>250</v>
      </c>
      <c r="F2879" s="67" t="str">
        <f t="shared" si="12"/>
        <v>1 LeadGen Set Appointments</v>
      </c>
    </row>
    <row r="2880" hidden="1">
      <c r="A2880" s="6" t="s">
        <v>42</v>
      </c>
      <c r="B2880" s="8" t="s">
        <v>1805</v>
      </c>
      <c r="C2880" s="8" t="s">
        <v>1806</v>
      </c>
      <c r="D2880" s="9">
        <v>1.0</v>
      </c>
      <c r="E2880" s="67">
        <f t="shared" si="11"/>
        <v>250</v>
      </c>
      <c r="F2880" s="67" t="str">
        <f t="shared" si="12"/>
        <v>1 LeadGen Set Appointments</v>
      </c>
    </row>
    <row r="2881" hidden="1">
      <c r="A2881" s="6" t="s">
        <v>42</v>
      </c>
      <c r="B2881" s="8" t="s">
        <v>1840</v>
      </c>
      <c r="C2881" s="8" t="s">
        <v>1841</v>
      </c>
      <c r="D2881" s="9">
        <v>1.0</v>
      </c>
      <c r="E2881" s="67">
        <f t="shared" si="11"/>
        <v>250</v>
      </c>
      <c r="F2881" s="67" t="str">
        <f t="shared" si="12"/>
        <v>1 LeadGen Set Appointments</v>
      </c>
    </row>
    <row r="2882" hidden="1">
      <c r="A2882" s="6" t="s">
        <v>42</v>
      </c>
      <c r="B2882" s="8" t="s">
        <v>1719</v>
      </c>
      <c r="C2882" s="8" t="s">
        <v>1720</v>
      </c>
      <c r="D2882" s="9">
        <v>1.0</v>
      </c>
      <c r="E2882" s="67">
        <f t="shared" si="11"/>
        <v>250</v>
      </c>
      <c r="F2882" s="67" t="str">
        <f t="shared" si="12"/>
        <v>1 LeadGen Set Appointments</v>
      </c>
    </row>
    <row r="2883" hidden="1">
      <c r="A2883" s="6" t="s">
        <v>42</v>
      </c>
      <c r="B2883" s="8" t="s">
        <v>1842</v>
      </c>
      <c r="C2883" s="8" t="s">
        <v>1843</v>
      </c>
      <c r="D2883" s="9">
        <v>1.0</v>
      </c>
      <c r="E2883" s="67">
        <f t="shared" si="11"/>
        <v>250</v>
      </c>
      <c r="F2883" s="67" t="str">
        <f t="shared" si="12"/>
        <v>1 LeadGen Set Appointments</v>
      </c>
    </row>
    <row r="2884" hidden="1">
      <c r="A2884" s="6" t="s">
        <v>42</v>
      </c>
      <c r="B2884" s="8" t="s">
        <v>1844</v>
      </c>
      <c r="C2884" s="8" t="s">
        <v>1845</v>
      </c>
      <c r="D2884" s="9">
        <v>1.0</v>
      </c>
      <c r="E2884" s="67">
        <f t="shared" si="11"/>
        <v>250</v>
      </c>
      <c r="F2884" s="67" t="str">
        <f t="shared" si="12"/>
        <v>1 LeadGen Set Appointments</v>
      </c>
    </row>
    <row r="2885" hidden="1">
      <c r="A2885" s="6" t="s">
        <v>42</v>
      </c>
      <c r="B2885" s="8" t="s">
        <v>1846</v>
      </c>
      <c r="C2885" s="8" t="s">
        <v>1847</v>
      </c>
      <c r="D2885" s="9">
        <v>1.0</v>
      </c>
      <c r="E2885" s="67">
        <f t="shared" si="11"/>
        <v>250</v>
      </c>
      <c r="F2885" s="67" t="str">
        <f t="shared" si="12"/>
        <v>1 LeadGen Set Appointments</v>
      </c>
    </row>
    <row r="2886" hidden="1">
      <c r="A2886" s="6" t="s">
        <v>42</v>
      </c>
      <c r="B2886" s="8" t="s">
        <v>1848</v>
      </c>
      <c r="C2886" s="8" t="s">
        <v>1849</v>
      </c>
      <c r="D2886" s="9">
        <v>1.0</v>
      </c>
      <c r="E2886" s="67">
        <f t="shared" si="11"/>
        <v>250</v>
      </c>
      <c r="F2886" s="67" t="str">
        <f t="shared" si="12"/>
        <v>1 LeadGen Set Appointments</v>
      </c>
    </row>
    <row r="2887" hidden="1">
      <c r="A2887" s="6" t="s">
        <v>42</v>
      </c>
      <c r="B2887" s="8" t="s">
        <v>1325</v>
      </c>
      <c r="C2887" s="8" t="s">
        <v>1326</v>
      </c>
      <c r="D2887" s="9">
        <v>1.0</v>
      </c>
      <c r="E2887" s="67">
        <f t="shared" si="11"/>
        <v>250</v>
      </c>
      <c r="F2887" s="67" t="str">
        <f t="shared" si="12"/>
        <v>1 LeadGen Set Appointments</v>
      </c>
    </row>
    <row r="2888" hidden="1">
      <c r="A2888" s="6" t="s">
        <v>42</v>
      </c>
      <c r="B2888" s="8" t="s">
        <v>1850</v>
      </c>
      <c r="C2888" s="8" t="s">
        <v>1851</v>
      </c>
      <c r="D2888" s="9">
        <v>1.0</v>
      </c>
      <c r="E2888" s="67">
        <f t="shared" si="11"/>
        <v>250</v>
      </c>
      <c r="F2888" s="67" t="str">
        <f t="shared" si="12"/>
        <v>1 LeadGen Set Appointments</v>
      </c>
    </row>
    <row r="2889" hidden="1">
      <c r="A2889" s="6" t="s">
        <v>42</v>
      </c>
      <c r="B2889" s="8" t="s">
        <v>1790</v>
      </c>
      <c r="C2889" s="8" t="s">
        <v>1791</v>
      </c>
      <c r="D2889" s="9">
        <v>1.0</v>
      </c>
      <c r="E2889" s="67">
        <f t="shared" si="11"/>
        <v>250</v>
      </c>
      <c r="F2889" s="67" t="str">
        <f t="shared" si="12"/>
        <v>1 LeadGen Set Appointments</v>
      </c>
    </row>
    <row r="2890" hidden="1">
      <c r="A2890" s="6" t="s">
        <v>42</v>
      </c>
      <c r="B2890" s="8" t="s">
        <v>1786</v>
      </c>
      <c r="C2890" s="8" t="s">
        <v>1787</v>
      </c>
      <c r="D2890" s="9">
        <v>1.0</v>
      </c>
      <c r="E2890" s="67">
        <f t="shared" si="11"/>
        <v>250</v>
      </c>
      <c r="F2890" s="67" t="str">
        <f t="shared" si="12"/>
        <v>1 LeadGen Set Appointments</v>
      </c>
    </row>
    <row r="2891" hidden="1">
      <c r="A2891" s="6" t="s">
        <v>42</v>
      </c>
      <c r="B2891" s="8" t="s">
        <v>1852</v>
      </c>
      <c r="C2891" s="8" t="s">
        <v>1853</v>
      </c>
      <c r="D2891" s="9">
        <v>1.0</v>
      </c>
      <c r="E2891" s="67">
        <f t="shared" si="11"/>
        <v>250</v>
      </c>
      <c r="F2891" s="67" t="str">
        <f t="shared" si="12"/>
        <v>1 LeadGen Set Appointments</v>
      </c>
    </row>
    <row r="2892" hidden="1">
      <c r="A2892" s="6" t="s">
        <v>42</v>
      </c>
      <c r="B2892" s="8" t="s">
        <v>1854</v>
      </c>
      <c r="C2892" s="8" t="s">
        <v>1855</v>
      </c>
      <c r="D2892" s="9">
        <v>1.0</v>
      </c>
      <c r="E2892" s="67">
        <f t="shared" si="11"/>
        <v>250</v>
      </c>
      <c r="F2892" s="67" t="str">
        <f t="shared" si="12"/>
        <v>1 LeadGen Set Appointments</v>
      </c>
    </row>
    <row r="2893" hidden="1">
      <c r="A2893" s="6" t="s">
        <v>42</v>
      </c>
      <c r="B2893" s="8" t="s">
        <v>1856</v>
      </c>
      <c r="C2893" s="8" t="s">
        <v>1857</v>
      </c>
      <c r="D2893" s="9">
        <v>1.0</v>
      </c>
      <c r="E2893" s="67">
        <f t="shared" si="11"/>
        <v>250</v>
      </c>
      <c r="F2893" s="67" t="str">
        <f t="shared" si="12"/>
        <v>1 LeadGen Set Appointments</v>
      </c>
    </row>
    <row r="2894" hidden="1">
      <c r="A2894" s="6" t="s">
        <v>42</v>
      </c>
      <c r="B2894" s="8" t="s">
        <v>701</v>
      </c>
      <c r="C2894" s="8" t="s">
        <v>702</v>
      </c>
      <c r="D2894" s="9">
        <v>1.0</v>
      </c>
      <c r="E2894" s="67">
        <f t="shared" si="11"/>
        <v>250</v>
      </c>
      <c r="F2894" s="67" t="str">
        <f t="shared" si="12"/>
        <v>1 LeadGen Set Appointments</v>
      </c>
    </row>
    <row r="2895" hidden="1">
      <c r="A2895" s="6" t="s">
        <v>42</v>
      </c>
      <c r="B2895" s="8" t="s">
        <v>1858</v>
      </c>
      <c r="C2895" s="8" t="s">
        <v>523</v>
      </c>
      <c r="D2895" s="9">
        <v>1.0</v>
      </c>
      <c r="E2895" s="67">
        <f t="shared" si="11"/>
        <v>250</v>
      </c>
      <c r="F2895" s="67" t="str">
        <f t="shared" si="12"/>
        <v>1 LeadGen Set Appointments</v>
      </c>
    </row>
    <row r="2896" hidden="1">
      <c r="A2896" s="6" t="s">
        <v>42</v>
      </c>
      <c r="B2896" s="8" t="s">
        <v>1817</v>
      </c>
      <c r="C2896" s="8" t="s">
        <v>1818</v>
      </c>
      <c r="D2896" s="9">
        <v>1.0</v>
      </c>
      <c r="E2896" s="67">
        <f t="shared" si="11"/>
        <v>250</v>
      </c>
      <c r="F2896" s="67" t="str">
        <f t="shared" si="12"/>
        <v>1 LeadGen Set Appointments</v>
      </c>
    </row>
    <row r="2897" hidden="1">
      <c r="A2897" s="6" t="s">
        <v>42</v>
      </c>
      <c r="B2897" s="8" t="s">
        <v>1684</v>
      </c>
      <c r="C2897" s="8" t="s">
        <v>1685</v>
      </c>
      <c r="D2897" s="9">
        <v>1.0</v>
      </c>
      <c r="E2897" s="67">
        <f t="shared" si="11"/>
        <v>250</v>
      </c>
      <c r="F2897" s="67" t="str">
        <f t="shared" si="12"/>
        <v>1 LeadGen Set Appointments</v>
      </c>
    </row>
    <row r="2898" hidden="1">
      <c r="A2898" s="6" t="s">
        <v>42</v>
      </c>
      <c r="B2898" s="8" t="s">
        <v>1690</v>
      </c>
      <c r="C2898" s="8" t="s">
        <v>1691</v>
      </c>
      <c r="D2898" s="9">
        <v>9.0</v>
      </c>
      <c r="E2898" s="67">
        <f t="shared" si="11"/>
        <v>2250</v>
      </c>
      <c r="F2898" s="67" t="str">
        <f t="shared" si="12"/>
        <v>9 LeadGen Set Appointments</v>
      </c>
    </row>
    <row r="2899" hidden="1">
      <c r="A2899" s="6" t="s">
        <v>42</v>
      </c>
      <c r="B2899" s="8" t="s">
        <v>1761</v>
      </c>
      <c r="C2899" s="8" t="s">
        <v>1762</v>
      </c>
      <c r="D2899" s="9">
        <v>6.0</v>
      </c>
      <c r="E2899" s="67">
        <f t="shared" si="11"/>
        <v>1500</v>
      </c>
      <c r="F2899" s="67" t="str">
        <f t="shared" si="12"/>
        <v>6 LeadGen Set Appointments</v>
      </c>
    </row>
    <row r="2900" hidden="1">
      <c r="A2900" s="6" t="s">
        <v>42</v>
      </c>
      <c r="B2900" s="8" t="s">
        <v>1700</v>
      </c>
      <c r="C2900" s="8" t="s">
        <v>1701</v>
      </c>
      <c r="D2900" s="9">
        <v>6.0</v>
      </c>
      <c r="E2900" s="67">
        <f t="shared" si="11"/>
        <v>1500</v>
      </c>
      <c r="F2900" s="67" t="str">
        <f t="shared" si="12"/>
        <v>6 LeadGen Set Appointments</v>
      </c>
    </row>
    <row r="2901" hidden="1">
      <c r="A2901" s="6" t="s">
        <v>42</v>
      </c>
      <c r="B2901" s="8" t="s">
        <v>1526</v>
      </c>
      <c r="C2901" s="8" t="s">
        <v>1527</v>
      </c>
      <c r="D2901" s="9">
        <v>6.0</v>
      </c>
      <c r="E2901" s="67">
        <f t="shared" si="11"/>
        <v>1500</v>
      </c>
      <c r="F2901" s="67" t="str">
        <f t="shared" si="12"/>
        <v>6 LeadGen Set Appointments</v>
      </c>
    </row>
    <row r="2902" hidden="1">
      <c r="A2902" s="6" t="s">
        <v>42</v>
      </c>
      <c r="B2902" s="8" t="s">
        <v>1499</v>
      </c>
      <c r="C2902" s="8" t="s">
        <v>1500</v>
      </c>
      <c r="D2902" s="9">
        <v>6.0</v>
      </c>
      <c r="E2902" s="67">
        <f t="shared" si="11"/>
        <v>1500</v>
      </c>
      <c r="F2902" s="67" t="str">
        <f t="shared" si="12"/>
        <v>6 LeadGen Set Appointments</v>
      </c>
    </row>
    <row r="2903" hidden="1">
      <c r="A2903" s="6" t="s">
        <v>42</v>
      </c>
      <c r="B2903" s="8" t="s">
        <v>1694</v>
      </c>
      <c r="C2903" s="8" t="s">
        <v>1695</v>
      </c>
      <c r="D2903" s="9">
        <v>5.0</v>
      </c>
      <c r="E2903" s="67">
        <f t="shared" si="11"/>
        <v>1250</v>
      </c>
      <c r="F2903" s="67" t="str">
        <f t="shared" si="12"/>
        <v>5 LeadGen Set Appointments</v>
      </c>
    </row>
    <row r="2904" hidden="1">
      <c r="A2904" s="6" t="s">
        <v>42</v>
      </c>
      <c r="B2904" s="8" t="s">
        <v>1712</v>
      </c>
      <c r="C2904" s="8" t="s">
        <v>1713</v>
      </c>
      <c r="D2904" s="9">
        <v>5.0</v>
      </c>
      <c r="E2904" s="67">
        <f t="shared" si="11"/>
        <v>1250</v>
      </c>
      <c r="F2904" s="67" t="str">
        <f t="shared" si="12"/>
        <v>5 LeadGen Set Appointments</v>
      </c>
    </row>
    <row r="2905" hidden="1">
      <c r="A2905" s="6" t="s">
        <v>42</v>
      </c>
      <c r="B2905" s="8" t="s">
        <v>1585</v>
      </c>
      <c r="C2905" s="8" t="s">
        <v>1586</v>
      </c>
      <c r="D2905" s="9">
        <v>4.0</v>
      </c>
      <c r="E2905" s="67">
        <f t="shared" si="11"/>
        <v>1000</v>
      </c>
      <c r="F2905" s="67" t="str">
        <f t="shared" si="12"/>
        <v>4 LeadGen Set Appointments</v>
      </c>
    </row>
    <row r="2906" hidden="1">
      <c r="A2906" s="6" t="s">
        <v>42</v>
      </c>
      <c r="B2906" s="8" t="s">
        <v>825</v>
      </c>
      <c r="C2906" s="8" t="s">
        <v>1766</v>
      </c>
      <c r="D2906" s="9">
        <v>4.0</v>
      </c>
      <c r="E2906" s="67">
        <f t="shared" si="11"/>
        <v>1000</v>
      </c>
      <c r="F2906" s="67" t="str">
        <f t="shared" si="12"/>
        <v>4 LeadGen Set Appointments</v>
      </c>
    </row>
    <row r="2907" hidden="1">
      <c r="A2907" s="6" t="s">
        <v>42</v>
      </c>
      <c r="B2907" s="8" t="s">
        <v>1672</v>
      </c>
      <c r="C2907" s="8" t="s">
        <v>1673</v>
      </c>
      <c r="D2907" s="9">
        <v>4.0</v>
      </c>
      <c r="E2907" s="67">
        <f t="shared" si="11"/>
        <v>1000</v>
      </c>
      <c r="F2907" s="67" t="str">
        <f t="shared" si="12"/>
        <v>4 LeadGen Set Appointments</v>
      </c>
    </row>
    <row r="2908" hidden="1">
      <c r="A2908" s="6" t="s">
        <v>42</v>
      </c>
      <c r="B2908" s="8" t="s">
        <v>1698</v>
      </c>
      <c r="C2908" s="8" t="s">
        <v>1699</v>
      </c>
      <c r="D2908" s="9">
        <v>3.0</v>
      </c>
      <c r="E2908" s="67">
        <f t="shared" si="11"/>
        <v>750</v>
      </c>
      <c r="F2908" s="67" t="str">
        <f t="shared" si="12"/>
        <v>3 LeadGen Set Appointments</v>
      </c>
    </row>
    <row r="2909" hidden="1">
      <c r="A2909" s="6" t="s">
        <v>42</v>
      </c>
      <c r="B2909" s="8" t="s">
        <v>1763</v>
      </c>
      <c r="C2909" s="8" t="s">
        <v>653</v>
      </c>
      <c r="D2909" s="9">
        <v>3.0</v>
      </c>
      <c r="E2909" s="67">
        <f t="shared" si="11"/>
        <v>750</v>
      </c>
      <c r="F2909" s="67" t="str">
        <f t="shared" si="12"/>
        <v>3 LeadGen Set Appointments</v>
      </c>
    </row>
    <row r="2910" hidden="1">
      <c r="A2910" s="6" t="s">
        <v>42</v>
      </c>
      <c r="B2910" s="8" t="s">
        <v>1702</v>
      </c>
      <c r="C2910" s="8" t="s">
        <v>1703</v>
      </c>
      <c r="D2910" s="9">
        <v>3.0</v>
      </c>
      <c r="E2910" s="67">
        <f t="shared" si="11"/>
        <v>750</v>
      </c>
      <c r="F2910" s="67" t="str">
        <f t="shared" si="12"/>
        <v>3 LeadGen Set Appointments</v>
      </c>
    </row>
    <row r="2911" hidden="1">
      <c r="A2911" s="6" t="s">
        <v>42</v>
      </c>
      <c r="B2911" s="8" t="s">
        <v>1768</v>
      </c>
      <c r="C2911" s="8" t="s">
        <v>1769</v>
      </c>
      <c r="D2911" s="9">
        <v>3.0</v>
      </c>
      <c r="E2911" s="67">
        <f t="shared" si="11"/>
        <v>750</v>
      </c>
      <c r="F2911" s="67" t="str">
        <f t="shared" si="12"/>
        <v>3 LeadGen Set Appointments</v>
      </c>
    </row>
    <row r="2912" hidden="1">
      <c r="A2912" s="6" t="s">
        <v>42</v>
      </c>
      <c r="B2912" s="8" t="s">
        <v>1770</v>
      </c>
      <c r="C2912" s="8" t="s">
        <v>1771</v>
      </c>
      <c r="D2912" s="9">
        <v>3.0</v>
      </c>
      <c r="E2912" s="67">
        <f t="shared" si="11"/>
        <v>750</v>
      </c>
      <c r="F2912" s="67" t="str">
        <f t="shared" si="12"/>
        <v>3 LeadGen Set Appointments</v>
      </c>
    </row>
    <row r="2913" hidden="1">
      <c r="A2913" s="6" t="s">
        <v>42</v>
      </c>
      <c r="B2913" s="8" t="s">
        <v>1591</v>
      </c>
      <c r="C2913" s="8" t="s">
        <v>836</v>
      </c>
      <c r="D2913" s="9">
        <v>3.0</v>
      </c>
      <c r="E2913" s="67">
        <f t="shared" si="11"/>
        <v>750</v>
      </c>
      <c r="F2913" s="67" t="str">
        <f t="shared" si="12"/>
        <v>3 LeadGen Set Appointments</v>
      </c>
    </row>
    <row r="2914" hidden="1">
      <c r="A2914" s="6" t="s">
        <v>42</v>
      </c>
      <c r="B2914" s="8" t="s">
        <v>1237</v>
      </c>
      <c r="C2914" s="8" t="s">
        <v>1238</v>
      </c>
      <c r="D2914" s="9">
        <v>3.0</v>
      </c>
      <c r="E2914" s="67">
        <f t="shared" si="11"/>
        <v>750</v>
      </c>
      <c r="F2914" s="67" t="str">
        <f t="shared" si="12"/>
        <v>3 LeadGen Set Appointments</v>
      </c>
    </row>
    <row r="2915" hidden="1">
      <c r="A2915" s="6" t="s">
        <v>42</v>
      </c>
      <c r="B2915" s="8" t="s">
        <v>1714</v>
      </c>
      <c r="C2915" s="8" t="s">
        <v>1715</v>
      </c>
      <c r="D2915" s="9">
        <v>2.0</v>
      </c>
      <c r="E2915" s="67">
        <f t="shared" si="11"/>
        <v>500</v>
      </c>
      <c r="F2915" s="67" t="str">
        <f t="shared" si="12"/>
        <v>2 LeadGen Set Appointments</v>
      </c>
    </row>
    <row r="2916" hidden="1">
      <c r="A2916" s="6" t="s">
        <v>42</v>
      </c>
      <c r="B2916" s="8" t="s">
        <v>1692</v>
      </c>
      <c r="C2916" s="8" t="s">
        <v>1693</v>
      </c>
      <c r="D2916" s="9">
        <v>2.0</v>
      </c>
      <c r="E2916" s="67">
        <f t="shared" si="11"/>
        <v>500</v>
      </c>
      <c r="F2916" s="67" t="str">
        <f t="shared" si="12"/>
        <v>2 LeadGen Set Appointments</v>
      </c>
    </row>
    <row r="2917" hidden="1">
      <c r="A2917" s="6" t="s">
        <v>42</v>
      </c>
      <c r="B2917" s="8" t="s">
        <v>1301</v>
      </c>
      <c r="C2917" s="8" t="s">
        <v>1620</v>
      </c>
      <c r="D2917" s="9">
        <v>2.0</v>
      </c>
      <c r="E2917" s="67">
        <f t="shared" si="11"/>
        <v>500</v>
      </c>
      <c r="F2917" s="67" t="str">
        <f t="shared" si="12"/>
        <v>2 LeadGen Set Appointments</v>
      </c>
    </row>
    <row r="2918" hidden="1">
      <c r="A2918" s="6" t="s">
        <v>42</v>
      </c>
      <c r="B2918" s="8" t="s">
        <v>1767</v>
      </c>
      <c r="C2918" s="8" t="s">
        <v>521</v>
      </c>
      <c r="D2918" s="9">
        <v>2.0</v>
      </c>
      <c r="E2918" s="67">
        <f t="shared" si="11"/>
        <v>500</v>
      </c>
      <c r="F2918" s="67" t="str">
        <f t="shared" si="12"/>
        <v>2 LeadGen Set Appointments</v>
      </c>
    </row>
    <row r="2919" hidden="1">
      <c r="A2919" s="6" t="s">
        <v>42</v>
      </c>
      <c r="B2919" s="8" t="s">
        <v>1686</v>
      </c>
      <c r="C2919" s="8" t="s">
        <v>1687</v>
      </c>
      <c r="D2919" s="9">
        <v>2.0</v>
      </c>
      <c r="E2919" s="67">
        <f t="shared" si="11"/>
        <v>500</v>
      </c>
      <c r="F2919" s="67" t="str">
        <f t="shared" si="12"/>
        <v>2 LeadGen Set Appointments</v>
      </c>
    </row>
    <row r="2920" hidden="1">
      <c r="A2920" s="6" t="s">
        <v>42</v>
      </c>
      <c r="B2920" s="8" t="s">
        <v>1821</v>
      </c>
      <c r="C2920" s="8" t="s">
        <v>1822</v>
      </c>
      <c r="D2920" s="9">
        <v>2.0</v>
      </c>
      <c r="E2920" s="67">
        <f t="shared" si="11"/>
        <v>500</v>
      </c>
      <c r="F2920" s="67" t="str">
        <f t="shared" si="12"/>
        <v>2 LeadGen Set Appointments</v>
      </c>
    </row>
    <row r="2921" hidden="1">
      <c r="A2921" s="6" t="s">
        <v>42</v>
      </c>
      <c r="B2921" s="8" t="s">
        <v>650</v>
      </c>
      <c r="C2921" s="8" t="s">
        <v>651</v>
      </c>
      <c r="D2921" s="9">
        <v>1.0</v>
      </c>
      <c r="E2921" s="67">
        <f t="shared" si="11"/>
        <v>250</v>
      </c>
      <c r="F2921" s="67" t="str">
        <f t="shared" si="12"/>
        <v>1 LeadGen Set Appointments</v>
      </c>
    </row>
    <row r="2922" hidden="1">
      <c r="A2922" s="6" t="s">
        <v>42</v>
      </c>
      <c r="B2922" s="8" t="s">
        <v>1764</v>
      </c>
      <c r="C2922" s="8" t="s">
        <v>1765</v>
      </c>
      <c r="D2922" s="9">
        <v>1.0</v>
      </c>
      <c r="E2922" s="67">
        <f t="shared" si="11"/>
        <v>250</v>
      </c>
      <c r="F2922" s="67" t="str">
        <f t="shared" si="12"/>
        <v>1 LeadGen Set Appointments</v>
      </c>
    </row>
    <row r="2923" hidden="1">
      <c r="A2923" s="6" t="s">
        <v>42</v>
      </c>
      <c r="B2923" s="8" t="s">
        <v>1793</v>
      </c>
      <c r="C2923" s="8" t="s">
        <v>1794</v>
      </c>
      <c r="D2923" s="9">
        <v>1.0</v>
      </c>
      <c r="E2923" s="67">
        <f t="shared" si="11"/>
        <v>250</v>
      </c>
      <c r="F2923" s="67" t="str">
        <f t="shared" si="12"/>
        <v>1 LeadGen Set Appointments</v>
      </c>
    </row>
    <row r="2924" hidden="1">
      <c r="A2924" s="6" t="s">
        <v>42</v>
      </c>
      <c r="B2924" s="8" t="s">
        <v>618</v>
      </c>
      <c r="C2924" s="8" t="s">
        <v>619</v>
      </c>
      <c r="D2924" s="9">
        <v>2.0</v>
      </c>
      <c r="E2924" s="67">
        <f t="shared" si="11"/>
        <v>500</v>
      </c>
      <c r="F2924" s="67" t="str">
        <f t="shared" si="12"/>
        <v>2 LeadGen Set Appointments</v>
      </c>
    </row>
    <row r="2925" hidden="1">
      <c r="A2925" s="6" t="s">
        <v>42</v>
      </c>
      <c r="B2925" s="8" t="s">
        <v>1859</v>
      </c>
      <c r="C2925" s="8" t="s">
        <v>1860</v>
      </c>
      <c r="D2925" s="9">
        <v>1.0</v>
      </c>
      <c r="E2925" s="67">
        <f t="shared" si="11"/>
        <v>250</v>
      </c>
      <c r="F2925" s="67" t="str">
        <f t="shared" si="12"/>
        <v>1 LeadGen Set Appointments</v>
      </c>
    </row>
    <row r="2926" hidden="1">
      <c r="A2926" s="6" t="s">
        <v>42</v>
      </c>
      <c r="B2926" s="8" t="s">
        <v>1861</v>
      </c>
      <c r="C2926" s="8" t="s">
        <v>1862</v>
      </c>
      <c r="D2926" s="9">
        <v>1.0</v>
      </c>
      <c r="E2926" s="67">
        <f t="shared" si="11"/>
        <v>250</v>
      </c>
      <c r="F2926" s="67" t="str">
        <f t="shared" si="12"/>
        <v>1 LeadGen Set Appointments</v>
      </c>
    </row>
    <row r="2927" hidden="1">
      <c r="A2927" s="6" t="s">
        <v>42</v>
      </c>
      <c r="B2927" s="8" t="s">
        <v>1863</v>
      </c>
      <c r="C2927" s="8" t="s">
        <v>1864</v>
      </c>
      <c r="D2927" s="9">
        <v>3.0</v>
      </c>
      <c r="E2927" s="67">
        <f t="shared" si="11"/>
        <v>750</v>
      </c>
      <c r="F2927" s="67" t="str">
        <f t="shared" si="12"/>
        <v>3 LeadGen Set Appointments</v>
      </c>
    </row>
    <row r="2928" hidden="1">
      <c r="A2928" s="6" t="s">
        <v>44</v>
      </c>
      <c r="B2928" s="13" t="s">
        <v>476</v>
      </c>
      <c r="C2928" s="13" t="s">
        <v>477</v>
      </c>
      <c r="D2928" s="15">
        <v>30.0</v>
      </c>
      <c r="E2928" s="67">
        <f t="shared" si="11"/>
        <v>15000</v>
      </c>
      <c r="F2928" s="62" t="str">
        <f t="shared" si="12"/>
        <v>30 LeadGen Set Appointments</v>
      </c>
    </row>
    <row r="2929" hidden="1">
      <c r="A2929" s="6" t="s">
        <v>44</v>
      </c>
      <c r="B2929" s="13" t="s">
        <v>644</v>
      </c>
      <c r="C2929" s="13" t="s">
        <v>645</v>
      </c>
      <c r="D2929" s="15">
        <v>23.0</v>
      </c>
      <c r="E2929" s="67">
        <f t="shared" si="11"/>
        <v>11500</v>
      </c>
      <c r="F2929" s="62" t="str">
        <f t="shared" si="12"/>
        <v>23 LeadGen Set Appointments</v>
      </c>
    </row>
    <row r="2930" hidden="1">
      <c r="A2930" s="6" t="s">
        <v>44</v>
      </c>
      <c r="B2930" s="13" t="s">
        <v>540</v>
      </c>
      <c r="C2930" s="13" t="s">
        <v>1454</v>
      </c>
      <c r="D2930" s="15">
        <v>18.0</v>
      </c>
      <c r="E2930" s="67">
        <f t="shared" si="11"/>
        <v>9000</v>
      </c>
      <c r="F2930" s="62" t="str">
        <f t="shared" si="12"/>
        <v>18 LeadGen Set Appointments</v>
      </c>
    </row>
    <row r="2931" hidden="1">
      <c r="A2931" s="6" t="s">
        <v>44</v>
      </c>
      <c r="B2931" s="13" t="s">
        <v>1489</v>
      </c>
      <c r="C2931" s="13" t="s">
        <v>1490</v>
      </c>
      <c r="D2931" s="15">
        <v>14.0</v>
      </c>
      <c r="E2931" s="67">
        <f t="shared" si="11"/>
        <v>7000</v>
      </c>
      <c r="F2931" s="62" t="str">
        <f t="shared" si="12"/>
        <v>14 LeadGen Set Appointments</v>
      </c>
    </row>
    <row r="2932" hidden="1">
      <c r="A2932" s="6" t="s">
        <v>44</v>
      </c>
      <c r="B2932" s="13" t="s">
        <v>1479</v>
      </c>
      <c r="C2932" s="13" t="s">
        <v>1480</v>
      </c>
      <c r="D2932" s="15">
        <v>13.0</v>
      </c>
      <c r="E2932" s="67">
        <f t="shared" si="11"/>
        <v>6500</v>
      </c>
      <c r="F2932" s="62" t="str">
        <f t="shared" si="12"/>
        <v>13 LeadGen Set Appointments</v>
      </c>
    </row>
    <row r="2933" hidden="1">
      <c r="A2933" s="6" t="s">
        <v>44</v>
      </c>
      <c r="B2933" s="13" t="s">
        <v>1457</v>
      </c>
      <c r="C2933" s="13" t="s">
        <v>1458</v>
      </c>
      <c r="D2933" s="15">
        <v>12.0</v>
      </c>
      <c r="E2933" s="67">
        <f t="shared" si="11"/>
        <v>6000</v>
      </c>
      <c r="F2933" s="62" t="str">
        <f t="shared" si="12"/>
        <v>12 LeadGen Set Appointments</v>
      </c>
    </row>
    <row r="2934" hidden="1">
      <c r="A2934" s="6" t="s">
        <v>44</v>
      </c>
      <c r="B2934" s="13" t="s">
        <v>435</v>
      </c>
      <c r="C2934" s="13" t="s">
        <v>436</v>
      </c>
      <c r="D2934" s="15">
        <v>12.0</v>
      </c>
      <c r="E2934" s="67">
        <f t="shared" si="11"/>
        <v>6000</v>
      </c>
      <c r="F2934" s="62" t="str">
        <f t="shared" si="12"/>
        <v>12 LeadGen Set Appointments</v>
      </c>
    </row>
    <row r="2935" hidden="1">
      <c r="A2935" s="6" t="s">
        <v>44</v>
      </c>
      <c r="B2935" s="13" t="s">
        <v>723</v>
      </c>
      <c r="C2935" s="13" t="s">
        <v>724</v>
      </c>
      <c r="D2935" s="15">
        <v>11.0</v>
      </c>
      <c r="E2935" s="67">
        <f t="shared" si="11"/>
        <v>5500</v>
      </c>
      <c r="F2935" s="62" t="str">
        <f t="shared" si="12"/>
        <v>11 LeadGen Set Appointments</v>
      </c>
    </row>
    <row r="2936" hidden="1">
      <c r="A2936" s="6" t="s">
        <v>44</v>
      </c>
      <c r="B2936" s="13" t="s">
        <v>1467</v>
      </c>
      <c r="C2936" s="13" t="s">
        <v>1468</v>
      </c>
      <c r="D2936" s="15">
        <v>10.0</v>
      </c>
      <c r="E2936" s="67">
        <f t="shared" si="11"/>
        <v>5000</v>
      </c>
      <c r="F2936" s="62" t="str">
        <f t="shared" si="12"/>
        <v>10 LeadGen Set Appointments</v>
      </c>
    </row>
    <row r="2937" hidden="1">
      <c r="A2937" s="6" t="s">
        <v>44</v>
      </c>
      <c r="B2937" s="8" t="s">
        <v>1865</v>
      </c>
      <c r="C2937" s="8" t="s">
        <v>1866</v>
      </c>
      <c r="D2937" s="9">
        <v>10.0</v>
      </c>
      <c r="E2937" s="67">
        <f t="shared" si="11"/>
        <v>5000</v>
      </c>
      <c r="F2937" s="67" t="str">
        <f t="shared" si="12"/>
        <v>10 LeadGen Set Appointments</v>
      </c>
    </row>
    <row r="2938" hidden="1">
      <c r="A2938" s="6" t="s">
        <v>44</v>
      </c>
      <c r="B2938" s="13" t="s">
        <v>766</v>
      </c>
      <c r="C2938" s="13" t="s">
        <v>767</v>
      </c>
      <c r="D2938" s="15">
        <v>10.0</v>
      </c>
      <c r="E2938" s="67">
        <f t="shared" si="11"/>
        <v>5000</v>
      </c>
      <c r="F2938" s="62" t="str">
        <f t="shared" si="12"/>
        <v>10 LeadGen Set Appointments</v>
      </c>
    </row>
    <row r="2939" hidden="1">
      <c r="A2939" s="6" t="s">
        <v>44</v>
      </c>
      <c r="B2939" s="13" t="s">
        <v>1471</v>
      </c>
      <c r="C2939" s="13" t="s">
        <v>1472</v>
      </c>
      <c r="D2939" s="15">
        <v>10.0</v>
      </c>
      <c r="E2939" s="67">
        <f t="shared" si="11"/>
        <v>5000</v>
      </c>
      <c r="F2939" s="62" t="str">
        <f t="shared" si="12"/>
        <v>10 LeadGen Set Appointments</v>
      </c>
    </row>
    <row r="2940" hidden="1">
      <c r="A2940" s="6" t="s">
        <v>44</v>
      </c>
      <c r="B2940" s="13" t="s">
        <v>1455</v>
      </c>
      <c r="C2940" s="13" t="s">
        <v>1456</v>
      </c>
      <c r="D2940" s="15">
        <v>9.0</v>
      </c>
      <c r="E2940" s="67">
        <f t="shared" si="11"/>
        <v>2250</v>
      </c>
      <c r="F2940" s="62" t="str">
        <f t="shared" si="12"/>
        <v>9 LeadGen Set Appointments</v>
      </c>
    </row>
    <row r="2941" hidden="1">
      <c r="A2941" s="6" t="s">
        <v>44</v>
      </c>
      <c r="B2941" s="13" t="s">
        <v>746</v>
      </c>
      <c r="C2941" s="13" t="s">
        <v>747</v>
      </c>
      <c r="D2941" s="15">
        <v>9.0</v>
      </c>
      <c r="E2941" s="67">
        <f t="shared" si="11"/>
        <v>2250</v>
      </c>
      <c r="F2941" s="62" t="str">
        <f t="shared" si="12"/>
        <v>9 LeadGen Set Appointments</v>
      </c>
    </row>
    <row r="2942" hidden="1">
      <c r="A2942" s="6" t="s">
        <v>44</v>
      </c>
      <c r="B2942" s="13" t="s">
        <v>736</v>
      </c>
      <c r="C2942" s="13" t="s">
        <v>737</v>
      </c>
      <c r="D2942" s="15">
        <v>8.0</v>
      </c>
      <c r="E2942" s="67">
        <f t="shared" si="11"/>
        <v>2000</v>
      </c>
      <c r="F2942" s="62" t="str">
        <f t="shared" si="12"/>
        <v>8 LeadGen Set Appointments</v>
      </c>
    </row>
    <row r="2943" hidden="1">
      <c r="A2943" s="6" t="s">
        <v>44</v>
      </c>
      <c r="B2943" s="13" t="s">
        <v>1491</v>
      </c>
      <c r="C2943" s="13" t="s">
        <v>1492</v>
      </c>
      <c r="D2943" s="15">
        <v>8.0</v>
      </c>
      <c r="E2943" s="67">
        <f t="shared" si="11"/>
        <v>2000</v>
      </c>
      <c r="F2943" s="62" t="str">
        <f t="shared" si="12"/>
        <v>8 LeadGen Set Appointments</v>
      </c>
    </row>
    <row r="2944" hidden="1">
      <c r="A2944" s="6" t="s">
        <v>44</v>
      </c>
      <c r="B2944" s="13" t="s">
        <v>1415</v>
      </c>
      <c r="C2944" s="13" t="s">
        <v>1416</v>
      </c>
      <c r="D2944" s="15">
        <v>7.0</v>
      </c>
      <c r="E2944" s="67">
        <f t="shared" si="11"/>
        <v>1750</v>
      </c>
      <c r="F2944" s="62" t="str">
        <f t="shared" si="12"/>
        <v>7 LeadGen Set Appointments</v>
      </c>
    </row>
    <row r="2945" hidden="1">
      <c r="A2945" s="6" t="s">
        <v>44</v>
      </c>
      <c r="B2945" s="8" t="s">
        <v>699</v>
      </c>
      <c r="C2945" s="8" t="s">
        <v>700</v>
      </c>
      <c r="D2945" s="9">
        <v>7.0</v>
      </c>
      <c r="E2945" s="67">
        <f t="shared" si="11"/>
        <v>1750</v>
      </c>
      <c r="F2945" s="67" t="str">
        <f t="shared" si="12"/>
        <v>7 LeadGen Set Appointments</v>
      </c>
    </row>
    <row r="2946" hidden="1">
      <c r="A2946" s="6" t="s">
        <v>44</v>
      </c>
      <c r="B2946" s="8" t="s">
        <v>1825</v>
      </c>
      <c r="C2946" s="8" t="s">
        <v>1826</v>
      </c>
      <c r="D2946" s="9">
        <v>7.0</v>
      </c>
      <c r="E2946" s="67">
        <f t="shared" si="11"/>
        <v>1750</v>
      </c>
      <c r="F2946" s="67" t="str">
        <f t="shared" si="12"/>
        <v>7 LeadGen Set Appointments</v>
      </c>
    </row>
    <row r="2947" hidden="1">
      <c r="A2947" s="6" t="s">
        <v>44</v>
      </c>
      <c r="B2947" s="8" t="s">
        <v>411</v>
      </c>
      <c r="C2947" s="8" t="s">
        <v>412</v>
      </c>
      <c r="D2947" s="9">
        <v>7.0</v>
      </c>
      <c r="E2947" s="67">
        <f t="shared" si="11"/>
        <v>1750</v>
      </c>
      <c r="F2947" s="67" t="str">
        <f t="shared" si="12"/>
        <v>7 LeadGen Set Appointments</v>
      </c>
    </row>
    <row r="2948" hidden="1">
      <c r="A2948" s="6" t="s">
        <v>44</v>
      </c>
      <c r="B2948" s="13" t="s">
        <v>1283</v>
      </c>
      <c r="C2948" s="13" t="s">
        <v>404</v>
      </c>
      <c r="D2948" s="15">
        <v>7.0</v>
      </c>
      <c r="E2948" s="67">
        <f t="shared" si="11"/>
        <v>1750</v>
      </c>
      <c r="F2948" s="62" t="str">
        <f t="shared" si="12"/>
        <v>7 LeadGen Set Appointments</v>
      </c>
    </row>
    <row r="2949" hidden="1">
      <c r="A2949" s="6" t="s">
        <v>44</v>
      </c>
      <c r="B2949" s="13" t="s">
        <v>1483</v>
      </c>
      <c r="C2949" s="13" t="s">
        <v>1484</v>
      </c>
      <c r="D2949" s="15">
        <v>7.0</v>
      </c>
      <c r="E2949" s="67">
        <f t="shared" si="11"/>
        <v>1750</v>
      </c>
      <c r="F2949" s="62" t="str">
        <f t="shared" si="12"/>
        <v>7 LeadGen Set Appointments</v>
      </c>
    </row>
    <row r="2950" hidden="1">
      <c r="A2950" s="6" t="s">
        <v>44</v>
      </c>
      <c r="B2950" s="13" t="s">
        <v>1475</v>
      </c>
      <c r="C2950" s="13" t="s">
        <v>1476</v>
      </c>
      <c r="D2950" s="15">
        <v>6.0</v>
      </c>
      <c r="E2950" s="67">
        <f t="shared" si="11"/>
        <v>1500</v>
      </c>
      <c r="F2950" s="62" t="str">
        <f t="shared" si="12"/>
        <v>6 LeadGen Set Appointments</v>
      </c>
    </row>
    <row r="2951" hidden="1">
      <c r="A2951" s="6" t="s">
        <v>44</v>
      </c>
      <c r="B2951" s="13" t="s">
        <v>502</v>
      </c>
      <c r="C2951" s="13" t="s">
        <v>503</v>
      </c>
      <c r="D2951" s="15">
        <v>6.0</v>
      </c>
      <c r="E2951" s="67">
        <f t="shared" si="11"/>
        <v>1500</v>
      </c>
      <c r="F2951" s="62" t="str">
        <f t="shared" si="12"/>
        <v>6 LeadGen Set Appointments</v>
      </c>
    </row>
    <row r="2952" hidden="1">
      <c r="A2952" s="6" t="s">
        <v>44</v>
      </c>
      <c r="B2952" s="13" t="s">
        <v>1724</v>
      </c>
      <c r="C2952" s="13" t="s">
        <v>1725</v>
      </c>
      <c r="D2952" s="15">
        <v>6.0</v>
      </c>
      <c r="E2952" s="67">
        <f t="shared" si="11"/>
        <v>1500</v>
      </c>
      <c r="F2952" s="62" t="str">
        <f t="shared" si="12"/>
        <v>6 LeadGen Set Appointments</v>
      </c>
    </row>
    <row r="2953" hidden="1">
      <c r="A2953" s="6" t="s">
        <v>44</v>
      </c>
      <c r="B2953" s="13" t="s">
        <v>516</v>
      </c>
      <c r="C2953" s="13" t="s">
        <v>517</v>
      </c>
      <c r="D2953" s="15">
        <v>6.0</v>
      </c>
      <c r="E2953" s="67">
        <f t="shared" si="11"/>
        <v>1500</v>
      </c>
      <c r="F2953" s="62" t="str">
        <f t="shared" si="12"/>
        <v>6 LeadGen Set Appointments</v>
      </c>
    </row>
    <row r="2954" hidden="1">
      <c r="A2954" s="6" t="s">
        <v>44</v>
      </c>
      <c r="B2954" s="8" t="s">
        <v>510</v>
      </c>
      <c r="C2954" s="8" t="s">
        <v>511</v>
      </c>
      <c r="D2954" s="9">
        <v>6.0</v>
      </c>
      <c r="E2954" s="67">
        <f t="shared" si="11"/>
        <v>1500</v>
      </c>
      <c r="F2954" s="67" t="str">
        <f t="shared" si="12"/>
        <v>6 LeadGen Set Appointments</v>
      </c>
    </row>
    <row r="2955" hidden="1">
      <c r="A2955" s="6" t="s">
        <v>44</v>
      </c>
      <c r="B2955" s="8" t="s">
        <v>1726</v>
      </c>
      <c r="C2955" s="8" t="s">
        <v>1727</v>
      </c>
      <c r="D2955" s="9">
        <v>5.0</v>
      </c>
      <c r="E2955" s="67">
        <f t="shared" si="11"/>
        <v>1250</v>
      </c>
      <c r="F2955" s="67" t="str">
        <f t="shared" si="12"/>
        <v>5 LeadGen Set Appointments</v>
      </c>
    </row>
    <row r="2956" hidden="1">
      <c r="A2956" s="6" t="s">
        <v>44</v>
      </c>
      <c r="B2956" s="8" t="s">
        <v>628</v>
      </c>
      <c r="C2956" s="8" t="s">
        <v>629</v>
      </c>
      <c r="D2956" s="9">
        <v>5.0</v>
      </c>
      <c r="E2956" s="67">
        <f t="shared" si="11"/>
        <v>1250</v>
      </c>
      <c r="F2956" s="67" t="str">
        <f t="shared" si="12"/>
        <v>5 LeadGen Set Appointments</v>
      </c>
    </row>
    <row r="2957" hidden="1">
      <c r="A2957" s="6" t="s">
        <v>44</v>
      </c>
      <c r="B2957" s="8" t="s">
        <v>1579</v>
      </c>
      <c r="C2957" s="8" t="s">
        <v>1580</v>
      </c>
      <c r="D2957" s="9">
        <v>5.0</v>
      </c>
      <c r="E2957" s="67">
        <f t="shared" si="11"/>
        <v>1250</v>
      </c>
      <c r="F2957" s="67" t="str">
        <f t="shared" si="12"/>
        <v>5 LeadGen Set Appointments</v>
      </c>
    </row>
    <row r="2958" hidden="1">
      <c r="A2958" s="6" t="s">
        <v>44</v>
      </c>
      <c r="B2958" s="13" t="s">
        <v>640</v>
      </c>
      <c r="C2958" s="13" t="s">
        <v>641</v>
      </c>
      <c r="D2958" s="15">
        <v>5.0</v>
      </c>
      <c r="E2958" s="67">
        <f t="shared" si="11"/>
        <v>1250</v>
      </c>
      <c r="F2958" s="62" t="str">
        <f t="shared" si="12"/>
        <v>5 LeadGen Set Appointments</v>
      </c>
    </row>
    <row r="2959" hidden="1">
      <c r="A2959" s="6" t="s">
        <v>44</v>
      </c>
      <c r="B2959" s="13" t="s">
        <v>1512</v>
      </c>
      <c r="C2959" s="13" t="s">
        <v>1513</v>
      </c>
      <c r="D2959" s="15">
        <v>5.0</v>
      </c>
      <c r="E2959" s="67">
        <f t="shared" si="11"/>
        <v>1250</v>
      </c>
      <c r="F2959" s="62" t="str">
        <f t="shared" si="12"/>
        <v>5 LeadGen Set Appointments</v>
      </c>
    </row>
    <row r="2960" hidden="1">
      <c r="A2960" s="6" t="s">
        <v>44</v>
      </c>
      <c r="B2960" s="13" t="s">
        <v>1426</v>
      </c>
      <c r="C2960" s="13" t="s">
        <v>1427</v>
      </c>
      <c r="D2960" s="15">
        <v>5.0</v>
      </c>
      <c r="E2960" s="67">
        <f t="shared" si="11"/>
        <v>1250</v>
      </c>
      <c r="F2960" s="62" t="str">
        <f t="shared" si="12"/>
        <v>5 LeadGen Set Appointments</v>
      </c>
    </row>
    <row r="2961" hidden="1">
      <c r="A2961" s="6" t="s">
        <v>44</v>
      </c>
      <c r="B2961" s="13" t="s">
        <v>486</v>
      </c>
      <c r="C2961" s="13" t="s">
        <v>487</v>
      </c>
      <c r="D2961" s="15">
        <v>5.0</v>
      </c>
      <c r="E2961" s="67">
        <f t="shared" si="11"/>
        <v>1250</v>
      </c>
      <c r="F2961" s="62" t="str">
        <f t="shared" si="12"/>
        <v>5 LeadGen Set Appointments</v>
      </c>
    </row>
    <row r="2962" hidden="1">
      <c r="A2962" s="6" t="s">
        <v>44</v>
      </c>
      <c r="B2962" s="13" t="s">
        <v>1710</v>
      </c>
      <c r="C2962" s="13" t="s">
        <v>1711</v>
      </c>
      <c r="D2962" s="15">
        <v>5.0</v>
      </c>
      <c r="E2962" s="67">
        <f t="shared" si="11"/>
        <v>1250</v>
      </c>
      <c r="F2962" s="62" t="str">
        <f t="shared" si="12"/>
        <v>5 LeadGen Set Appointments</v>
      </c>
    </row>
    <row r="2963" hidden="1">
      <c r="A2963" s="6" t="s">
        <v>44</v>
      </c>
      <c r="B2963" s="13" t="s">
        <v>626</v>
      </c>
      <c r="C2963" s="13" t="s">
        <v>627</v>
      </c>
      <c r="D2963" s="15">
        <v>5.0</v>
      </c>
      <c r="E2963" s="67">
        <f t="shared" si="11"/>
        <v>1250</v>
      </c>
      <c r="F2963" s="62" t="str">
        <f t="shared" si="12"/>
        <v>5 LeadGen Set Appointments</v>
      </c>
    </row>
    <row r="2964" hidden="1">
      <c r="A2964" s="6" t="s">
        <v>44</v>
      </c>
      <c r="B2964" s="13" t="s">
        <v>1784</v>
      </c>
      <c r="C2964" s="13" t="s">
        <v>1785</v>
      </c>
      <c r="D2964" s="15">
        <v>5.0</v>
      </c>
      <c r="E2964" s="67">
        <f t="shared" si="11"/>
        <v>1250</v>
      </c>
      <c r="F2964" s="62" t="str">
        <f t="shared" si="12"/>
        <v>5 LeadGen Set Appointments</v>
      </c>
    </row>
    <row r="2965" hidden="1">
      <c r="A2965" s="6" t="s">
        <v>44</v>
      </c>
      <c r="B2965" s="13" t="s">
        <v>1668</v>
      </c>
      <c r="C2965" s="13" t="s">
        <v>1669</v>
      </c>
      <c r="D2965" s="15">
        <v>5.0</v>
      </c>
      <c r="E2965" s="67">
        <f t="shared" si="11"/>
        <v>1250</v>
      </c>
      <c r="F2965" s="62" t="str">
        <f t="shared" si="12"/>
        <v>5 LeadGen Set Appointments</v>
      </c>
    </row>
    <row r="2966" hidden="1">
      <c r="A2966" s="6" t="s">
        <v>44</v>
      </c>
      <c r="B2966" s="8" t="s">
        <v>1524</v>
      </c>
      <c r="C2966" s="8" t="s">
        <v>1525</v>
      </c>
      <c r="D2966" s="9">
        <v>5.0</v>
      </c>
      <c r="E2966" s="67">
        <f t="shared" si="11"/>
        <v>1250</v>
      </c>
      <c r="F2966" s="67" t="str">
        <f t="shared" si="12"/>
        <v>5 LeadGen Set Appointments</v>
      </c>
    </row>
    <row r="2967" hidden="1">
      <c r="A2967" s="6" t="s">
        <v>44</v>
      </c>
      <c r="B2967" s="8" t="s">
        <v>1736</v>
      </c>
      <c r="C2967" s="8" t="s">
        <v>1737</v>
      </c>
      <c r="D2967" s="9">
        <v>5.0</v>
      </c>
      <c r="E2967" s="67">
        <f t="shared" si="11"/>
        <v>1250</v>
      </c>
      <c r="F2967" s="67" t="str">
        <f t="shared" si="12"/>
        <v>5 LeadGen Set Appointments</v>
      </c>
    </row>
    <row r="2968" hidden="1">
      <c r="A2968" s="6" t="s">
        <v>44</v>
      </c>
      <c r="B2968" s="8" t="s">
        <v>1465</v>
      </c>
      <c r="C2968" s="8" t="s">
        <v>1466</v>
      </c>
      <c r="D2968" s="9">
        <v>4.0</v>
      </c>
      <c r="E2968" s="67">
        <f t="shared" si="11"/>
        <v>1000</v>
      </c>
      <c r="F2968" s="67" t="str">
        <f t="shared" si="12"/>
        <v>4 LeadGen Set Appointments</v>
      </c>
    </row>
    <row r="2969" hidden="1">
      <c r="A2969" s="6" t="s">
        <v>44</v>
      </c>
      <c r="B2969" s="8" t="s">
        <v>500</v>
      </c>
      <c r="C2969" s="8" t="s">
        <v>501</v>
      </c>
      <c r="D2969" s="9">
        <v>4.0</v>
      </c>
      <c r="E2969" s="67">
        <f t="shared" si="11"/>
        <v>1000</v>
      </c>
      <c r="F2969" s="67" t="str">
        <f t="shared" si="12"/>
        <v>4 LeadGen Set Appointments</v>
      </c>
    </row>
    <row r="2970" hidden="1">
      <c r="A2970" s="6" t="s">
        <v>44</v>
      </c>
      <c r="B2970" s="8" t="s">
        <v>1459</v>
      </c>
      <c r="C2970" s="8" t="s">
        <v>1460</v>
      </c>
      <c r="D2970" s="9">
        <v>4.0</v>
      </c>
      <c r="E2970" s="67">
        <f t="shared" si="11"/>
        <v>1000</v>
      </c>
      <c r="F2970" s="67" t="str">
        <f t="shared" si="12"/>
        <v>4 LeadGen Set Appointments</v>
      </c>
    </row>
    <row r="2971" hidden="1">
      <c r="A2971" s="6" t="s">
        <v>44</v>
      </c>
      <c r="B2971" s="8" t="s">
        <v>1774</v>
      </c>
      <c r="C2971" s="8" t="s">
        <v>1775</v>
      </c>
      <c r="D2971" s="9">
        <v>4.0</v>
      </c>
      <c r="E2971" s="67">
        <f t="shared" si="11"/>
        <v>1000</v>
      </c>
      <c r="F2971" s="67" t="str">
        <f t="shared" si="12"/>
        <v>4 LeadGen Set Appointments</v>
      </c>
    </row>
    <row r="2972" hidden="1">
      <c r="A2972" s="6" t="s">
        <v>44</v>
      </c>
      <c r="B2972" s="13" t="s">
        <v>1448</v>
      </c>
      <c r="C2972" s="13" t="s">
        <v>1449</v>
      </c>
      <c r="D2972" s="15">
        <v>4.0</v>
      </c>
      <c r="E2972" s="67">
        <f t="shared" si="11"/>
        <v>1000</v>
      </c>
      <c r="F2972" s="62" t="str">
        <f t="shared" si="12"/>
        <v>4 LeadGen Set Appointments</v>
      </c>
    </row>
    <row r="2973" hidden="1">
      <c r="A2973" s="6" t="s">
        <v>44</v>
      </c>
      <c r="B2973" s="13" t="s">
        <v>1732</v>
      </c>
      <c r="C2973" s="13" t="s">
        <v>1733</v>
      </c>
      <c r="D2973" s="15">
        <v>4.0</v>
      </c>
      <c r="E2973" s="67">
        <f t="shared" si="11"/>
        <v>1000</v>
      </c>
      <c r="F2973" s="62" t="str">
        <f t="shared" si="12"/>
        <v>4 LeadGen Set Appointments</v>
      </c>
    </row>
    <row r="2974" hidden="1">
      <c r="A2974" s="6" t="s">
        <v>44</v>
      </c>
      <c r="B2974" s="13" t="s">
        <v>1545</v>
      </c>
      <c r="C2974" s="13" t="s">
        <v>1546</v>
      </c>
      <c r="D2974" s="15">
        <v>4.0</v>
      </c>
      <c r="E2974" s="67">
        <f t="shared" si="11"/>
        <v>1000</v>
      </c>
      <c r="F2974" s="62" t="str">
        <f t="shared" si="12"/>
        <v>4 LeadGen Set Appointments</v>
      </c>
    </row>
    <row r="2975" hidden="1">
      <c r="A2975" s="6" t="s">
        <v>44</v>
      </c>
      <c r="B2975" s="13" t="s">
        <v>1547</v>
      </c>
      <c r="C2975" s="13" t="s">
        <v>1548</v>
      </c>
      <c r="D2975" s="15">
        <v>4.0</v>
      </c>
      <c r="E2975" s="67">
        <f t="shared" si="11"/>
        <v>1000</v>
      </c>
      <c r="F2975" s="62" t="str">
        <f t="shared" si="12"/>
        <v>4 LeadGen Set Appointments</v>
      </c>
    </row>
    <row r="2976" hidden="1">
      <c r="A2976" s="6" t="s">
        <v>44</v>
      </c>
      <c r="B2976" s="13" t="s">
        <v>1504</v>
      </c>
      <c r="C2976" s="13" t="s">
        <v>1505</v>
      </c>
      <c r="D2976" s="15">
        <v>4.0</v>
      </c>
      <c r="E2976" s="67">
        <f t="shared" si="11"/>
        <v>1000</v>
      </c>
      <c r="F2976" s="62" t="str">
        <f t="shared" si="12"/>
        <v>4 LeadGen Set Appointments</v>
      </c>
    </row>
    <row r="2977" hidden="1">
      <c r="A2977" s="6" t="s">
        <v>44</v>
      </c>
      <c r="B2977" s="13" t="s">
        <v>1334</v>
      </c>
      <c r="C2977" s="13" t="s">
        <v>553</v>
      </c>
      <c r="D2977" s="15">
        <v>4.0</v>
      </c>
      <c r="E2977" s="67">
        <f t="shared" si="11"/>
        <v>1000</v>
      </c>
      <c r="F2977" s="62" t="str">
        <f t="shared" si="12"/>
        <v>4 LeadGen Set Appointments</v>
      </c>
    </row>
    <row r="2978" hidden="1">
      <c r="A2978" s="6" t="s">
        <v>44</v>
      </c>
      <c r="B2978" s="8" t="s">
        <v>1612</v>
      </c>
      <c r="C2978" s="8" t="s">
        <v>1613</v>
      </c>
      <c r="D2978" s="9">
        <v>4.0</v>
      </c>
      <c r="E2978" s="67">
        <f t="shared" si="11"/>
        <v>1000</v>
      </c>
      <c r="F2978" s="67" t="str">
        <f t="shared" si="12"/>
        <v>4 LeadGen Set Appointments</v>
      </c>
    </row>
    <row r="2979" hidden="1">
      <c r="A2979" s="6" t="s">
        <v>44</v>
      </c>
      <c r="B2979" s="8" t="s">
        <v>1719</v>
      </c>
      <c r="C2979" s="8" t="s">
        <v>1720</v>
      </c>
      <c r="D2979" s="9">
        <v>4.0</v>
      </c>
      <c r="E2979" s="67">
        <f t="shared" si="11"/>
        <v>1000</v>
      </c>
      <c r="F2979" s="67" t="str">
        <f t="shared" si="12"/>
        <v>4 LeadGen Set Appointments</v>
      </c>
    </row>
    <row r="2980" hidden="1">
      <c r="A2980" s="6" t="s">
        <v>44</v>
      </c>
      <c r="B2980" s="8" t="s">
        <v>582</v>
      </c>
      <c r="C2980" s="8" t="s">
        <v>583</v>
      </c>
      <c r="D2980" s="9">
        <v>4.0</v>
      </c>
      <c r="E2980" s="67">
        <f t="shared" si="11"/>
        <v>1000</v>
      </c>
      <c r="F2980" s="67" t="str">
        <f t="shared" si="12"/>
        <v>4 LeadGen Set Appointments</v>
      </c>
    </row>
    <row r="2981" hidden="1">
      <c r="A2981" s="6" t="s">
        <v>44</v>
      </c>
      <c r="B2981" s="8" t="s">
        <v>1469</v>
      </c>
      <c r="C2981" s="8" t="s">
        <v>1470</v>
      </c>
      <c r="D2981" s="9">
        <v>4.0</v>
      </c>
      <c r="E2981" s="67">
        <f t="shared" si="11"/>
        <v>1000</v>
      </c>
      <c r="F2981" s="67" t="str">
        <f t="shared" si="12"/>
        <v>4 LeadGen Set Appointments</v>
      </c>
    </row>
    <row r="2982" hidden="1">
      <c r="A2982" s="6" t="s">
        <v>44</v>
      </c>
      <c r="B2982" s="8" t="s">
        <v>1557</v>
      </c>
      <c r="C2982" s="8" t="s">
        <v>1558</v>
      </c>
      <c r="D2982" s="9">
        <v>4.0</v>
      </c>
      <c r="E2982" s="67">
        <f t="shared" si="11"/>
        <v>1000</v>
      </c>
      <c r="F2982" s="67" t="str">
        <f t="shared" si="12"/>
        <v>4 LeadGen Set Appointments</v>
      </c>
    </row>
    <row r="2983" hidden="1">
      <c r="A2983" s="6" t="s">
        <v>44</v>
      </c>
      <c r="B2983" s="8" t="s">
        <v>1520</v>
      </c>
      <c r="C2983" s="8" t="s">
        <v>1521</v>
      </c>
      <c r="D2983" s="9">
        <v>4.0</v>
      </c>
      <c r="E2983" s="67">
        <f t="shared" si="11"/>
        <v>1000</v>
      </c>
      <c r="F2983" s="67" t="str">
        <f t="shared" si="12"/>
        <v>4 LeadGen Set Appointments</v>
      </c>
    </row>
    <row r="2984" hidden="1">
      <c r="A2984" s="6" t="s">
        <v>44</v>
      </c>
      <c r="B2984" s="8" t="s">
        <v>1716</v>
      </c>
      <c r="C2984" s="8" t="s">
        <v>30</v>
      </c>
      <c r="D2984" s="9">
        <v>4.0</v>
      </c>
      <c r="E2984" s="67">
        <f t="shared" si="11"/>
        <v>1000</v>
      </c>
      <c r="F2984" s="67" t="str">
        <f t="shared" si="12"/>
        <v>4 LeadGen Set Appointments</v>
      </c>
    </row>
    <row r="2985" hidden="1">
      <c r="A2985" s="6" t="s">
        <v>44</v>
      </c>
      <c r="B2985" s="8" t="s">
        <v>624</v>
      </c>
      <c r="C2985" s="8" t="s">
        <v>625</v>
      </c>
      <c r="D2985" s="9">
        <v>4.0</v>
      </c>
      <c r="E2985" s="67">
        <f t="shared" si="11"/>
        <v>1000</v>
      </c>
      <c r="F2985" s="67" t="str">
        <f t="shared" si="12"/>
        <v>4 LeadGen Set Appointments</v>
      </c>
    </row>
    <row r="2986" hidden="1">
      <c r="A2986" s="6" t="s">
        <v>44</v>
      </c>
      <c r="B2986" s="8" t="s">
        <v>1481</v>
      </c>
      <c r="C2986" s="8" t="s">
        <v>1482</v>
      </c>
      <c r="D2986" s="9">
        <v>4.0</v>
      </c>
      <c r="E2986" s="67">
        <f t="shared" si="11"/>
        <v>1000</v>
      </c>
      <c r="F2986" s="67" t="str">
        <f t="shared" si="12"/>
        <v>4 LeadGen Set Appointments</v>
      </c>
    </row>
    <row r="2987" hidden="1">
      <c r="A2987" s="6" t="s">
        <v>44</v>
      </c>
      <c r="B2987" s="8" t="s">
        <v>1573</v>
      </c>
      <c r="C2987" s="8" t="s">
        <v>1574</v>
      </c>
      <c r="D2987" s="9">
        <v>4.0</v>
      </c>
      <c r="E2987" s="67">
        <f t="shared" si="11"/>
        <v>1000</v>
      </c>
      <c r="F2987" s="67" t="str">
        <f t="shared" si="12"/>
        <v>4 LeadGen Set Appointments</v>
      </c>
    </row>
    <row r="2988" hidden="1">
      <c r="A2988" s="6" t="s">
        <v>44</v>
      </c>
      <c r="B2988" s="8" t="s">
        <v>1776</v>
      </c>
      <c r="C2988" s="8" t="s">
        <v>1777</v>
      </c>
      <c r="D2988" s="9">
        <v>4.0</v>
      </c>
      <c r="E2988" s="67">
        <f t="shared" si="11"/>
        <v>1000</v>
      </c>
      <c r="F2988" s="67" t="str">
        <f t="shared" si="12"/>
        <v>4 LeadGen Set Appointments</v>
      </c>
    </row>
    <row r="2989" hidden="1">
      <c r="A2989" s="6" t="s">
        <v>44</v>
      </c>
      <c r="B2989" s="8" t="s">
        <v>1530</v>
      </c>
      <c r="C2989" s="8" t="s">
        <v>1531</v>
      </c>
      <c r="D2989" s="9">
        <v>4.0</v>
      </c>
      <c r="E2989" s="67">
        <f t="shared" si="11"/>
        <v>1000</v>
      </c>
      <c r="F2989" s="67" t="str">
        <f t="shared" si="12"/>
        <v>4 LeadGen Set Appointments</v>
      </c>
    </row>
    <row r="2990" hidden="1">
      <c r="A2990" s="6" t="s">
        <v>44</v>
      </c>
      <c r="B2990" s="8" t="s">
        <v>1532</v>
      </c>
      <c r="C2990" s="8" t="s">
        <v>1533</v>
      </c>
      <c r="D2990" s="9">
        <v>4.0</v>
      </c>
      <c r="E2990" s="67">
        <f t="shared" si="11"/>
        <v>1000</v>
      </c>
      <c r="F2990" s="67" t="str">
        <f t="shared" si="12"/>
        <v>4 LeadGen Set Appointments</v>
      </c>
    </row>
    <row r="2991" hidden="1">
      <c r="A2991" s="6" t="s">
        <v>44</v>
      </c>
      <c r="B2991" s="8" t="s">
        <v>1682</v>
      </c>
      <c r="C2991" s="8" t="s">
        <v>1683</v>
      </c>
      <c r="D2991" s="9">
        <v>4.0</v>
      </c>
      <c r="E2991" s="67">
        <f t="shared" si="11"/>
        <v>1000</v>
      </c>
      <c r="F2991" s="67" t="str">
        <f t="shared" si="12"/>
        <v>4 LeadGen Set Appointments</v>
      </c>
    </row>
    <row r="2992" hidden="1">
      <c r="A2992" s="6" t="s">
        <v>44</v>
      </c>
      <c r="B2992" s="8" t="s">
        <v>1577</v>
      </c>
      <c r="C2992" s="8" t="s">
        <v>1578</v>
      </c>
      <c r="D2992" s="9">
        <v>3.0</v>
      </c>
      <c r="E2992" s="67">
        <f t="shared" si="11"/>
        <v>750</v>
      </c>
      <c r="F2992" s="67" t="str">
        <f t="shared" si="12"/>
        <v>3 LeadGen Set Appointments</v>
      </c>
    </row>
    <row r="2993" hidden="1">
      <c r="A2993" s="6" t="s">
        <v>44</v>
      </c>
      <c r="B2993" s="8" t="s">
        <v>1638</v>
      </c>
      <c r="C2993" s="8" t="s">
        <v>1639</v>
      </c>
      <c r="D2993" s="9">
        <v>3.0</v>
      </c>
      <c r="E2993" s="67">
        <f t="shared" si="11"/>
        <v>750</v>
      </c>
      <c r="F2993" s="67" t="str">
        <f t="shared" si="12"/>
        <v>3 LeadGen Set Appointments</v>
      </c>
    </row>
    <row r="2994" hidden="1">
      <c r="A2994" s="6" t="s">
        <v>44</v>
      </c>
      <c r="B2994" s="8" t="s">
        <v>1704</v>
      </c>
      <c r="C2994" s="8" t="s">
        <v>1705</v>
      </c>
      <c r="D2994" s="9">
        <v>3.0</v>
      </c>
      <c r="E2994" s="67">
        <f t="shared" si="11"/>
        <v>750</v>
      </c>
      <c r="F2994" s="67" t="str">
        <f t="shared" si="12"/>
        <v>3 LeadGen Set Appointments</v>
      </c>
    </row>
    <row r="2995" hidden="1">
      <c r="A2995" s="6" t="s">
        <v>44</v>
      </c>
      <c r="B2995" s="8" t="s">
        <v>1473</v>
      </c>
      <c r="C2995" s="8" t="s">
        <v>1474</v>
      </c>
      <c r="D2995" s="9">
        <v>3.0</v>
      </c>
      <c r="E2995" s="67">
        <f t="shared" si="11"/>
        <v>750</v>
      </c>
      <c r="F2995" s="67" t="str">
        <f t="shared" si="12"/>
        <v>3 LeadGen Set Appointments</v>
      </c>
    </row>
    <row r="2996" hidden="1">
      <c r="A2996" s="6" t="s">
        <v>44</v>
      </c>
      <c r="B2996" s="8" t="s">
        <v>1606</v>
      </c>
      <c r="C2996" s="8" t="s">
        <v>1607</v>
      </c>
      <c r="D2996" s="9">
        <v>3.0</v>
      </c>
      <c r="E2996" s="67">
        <f t="shared" si="11"/>
        <v>750</v>
      </c>
      <c r="F2996" s="67" t="str">
        <f t="shared" si="12"/>
        <v>3 LeadGen Set Appointments</v>
      </c>
    </row>
    <row r="2997" hidden="1">
      <c r="A2997" s="6" t="s">
        <v>44</v>
      </c>
      <c r="B2997" s="8" t="s">
        <v>1583</v>
      </c>
      <c r="C2997" s="8" t="s">
        <v>1584</v>
      </c>
      <c r="D2997" s="9">
        <v>3.0</v>
      </c>
      <c r="E2997" s="67">
        <f t="shared" si="11"/>
        <v>750</v>
      </c>
      <c r="F2997" s="67" t="str">
        <f t="shared" si="12"/>
        <v>3 LeadGen Set Appointments</v>
      </c>
    </row>
    <row r="2998" hidden="1">
      <c r="A2998" s="6" t="s">
        <v>44</v>
      </c>
      <c r="B2998" s="8" t="s">
        <v>1838</v>
      </c>
      <c r="C2998" s="8" t="s">
        <v>1839</v>
      </c>
      <c r="D2998" s="9">
        <v>3.0</v>
      </c>
      <c r="E2998" s="67">
        <f t="shared" si="11"/>
        <v>750</v>
      </c>
      <c r="F2998" s="67" t="str">
        <f t="shared" si="12"/>
        <v>3 LeadGen Set Appointments</v>
      </c>
    </row>
    <row r="2999" hidden="1">
      <c r="A2999" s="6" t="s">
        <v>44</v>
      </c>
      <c r="B2999" s="8" t="s">
        <v>1461</v>
      </c>
      <c r="C2999" s="8" t="s">
        <v>1462</v>
      </c>
      <c r="D2999" s="9">
        <v>3.0</v>
      </c>
      <c r="E2999" s="67">
        <f t="shared" si="11"/>
        <v>750</v>
      </c>
      <c r="F2999" s="67" t="str">
        <f t="shared" si="12"/>
        <v>3 LeadGen Set Appointments</v>
      </c>
    </row>
    <row r="3000" hidden="1">
      <c r="A3000" s="6" t="s">
        <v>44</v>
      </c>
      <c r="B3000" s="8" t="s">
        <v>1510</v>
      </c>
      <c r="C3000" s="8" t="s">
        <v>1511</v>
      </c>
      <c r="D3000" s="9">
        <v>3.0</v>
      </c>
      <c r="E3000" s="67">
        <f t="shared" si="11"/>
        <v>750</v>
      </c>
      <c r="F3000" s="67" t="str">
        <f t="shared" si="12"/>
        <v>3 LeadGen Set Appointments</v>
      </c>
    </row>
    <row r="3001" hidden="1">
      <c r="A3001" s="6" t="s">
        <v>44</v>
      </c>
      <c r="B3001" s="8" t="s">
        <v>1688</v>
      </c>
      <c r="C3001" s="8" t="s">
        <v>1689</v>
      </c>
      <c r="D3001" s="9">
        <v>3.0</v>
      </c>
      <c r="E3001" s="67">
        <f t="shared" si="11"/>
        <v>750</v>
      </c>
      <c r="F3001" s="67" t="str">
        <f t="shared" si="12"/>
        <v>3 LeadGen Set Appointments</v>
      </c>
    </row>
    <row r="3002" hidden="1">
      <c r="A3002" s="6" t="s">
        <v>44</v>
      </c>
      <c r="B3002" s="8" t="s">
        <v>682</v>
      </c>
      <c r="C3002" s="8" t="s">
        <v>683</v>
      </c>
      <c r="D3002" s="9">
        <v>3.0</v>
      </c>
      <c r="E3002" s="67">
        <f t="shared" si="11"/>
        <v>750</v>
      </c>
      <c r="F3002" s="67" t="str">
        <f t="shared" si="12"/>
        <v>3 LeadGen Set Appointments</v>
      </c>
    </row>
    <row r="3003" hidden="1">
      <c r="A3003" s="6" t="s">
        <v>44</v>
      </c>
      <c r="B3003" s="8" t="s">
        <v>1477</v>
      </c>
      <c r="C3003" s="8" t="s">
        <v>1478</v>
      </c>
      <c r="D3003" s="9">
        <v>3.0</v>
      </c>
      <c r="E3003" s="67">
        <f t="shared" si="11"/>
        <v>750</v>
      </c>
      <c r="F3003" s="67" t="str">
        <f t="shared" si="12"/>
        <v>3 LeadGen Set Appointments</v>
      </c>
    </row>
    <row r="3004" hidden="1">
      <c r="A3004" s="6" t="s">
        <v>44</v>
      </c>
      <c r="B3004" s="8" t="s">
        <v>1516</v>
      </c>
      <c r="C3004" s="8" t="s">
        <v>1517</v>
      </c>
      <c r="D3004" s="9">
        <v>3.0</v>
      </c>
      <c r="E3004" s="67">
        <f t="shared" si="11"/>
        <v>750</v>
      </c>
      <c r="F3004" s="67" t="str">
        <f t="shared" si="12"/>
        <v>3 LeadGen Set Appointments</v>
      </c>
    </row>
    <row r="3005" hidden="1">
      <c r="A3005" s="6" t="s">
        <v>44</v>
      </c>
      <c r="B3005" s="8" t="s">
        <v>1867</v>
      </c>
      <c r="C3005" s="8" t="s">
        <v>1868</v>
      </c>
      <c r="D3005" s="9">
        <v>3.0</v>
      </c>
      <c r="E3005" s="67">
        <f t="shared" si="11"/>
        <v>750</v>
      </c>
      <c r="F3005" s="67" t="str">
        <f t="shared" si="12"/>
        <v>3 LeadGen Set Appointments</v>
      </c>
    </row>
    <row r="3006" hidden="1">
      <c r="A3006" s="6" t="s">
        <v>44</v>
      </c>
      <c r="B3006" s="8" t="s">
        <v>1723</v>
      </c>
      <c r="C3006" s="8" t="s">
        <v>32</v>
      </c>
      <c r="D3006" s="9">
        <v>3.0</v>
      </c>
      <c r="E3006" s="67">
        <f t="shared" si="11"/>
        <v>750</v>
      </c>
      <c r="F3006" s="67" t="str">
        <f t="shared" si="12"/>
        <v>3 LeadGen Set Appointments</v>
      </c>
    </row>
    <row r="3007" hidden="1">
      <c r="A3007" s="6" t="s">
        <v>44</v>
      </c>
      <c r="B3007" s="8" t="s">
        <v>1664</v>
      </c>
      <c r="C3007" s="8" t="s">
        <v>1665</v>
      </c>
      <c r="D3007" s="9">
        <v>3.0</v>
      </c>
      <c r="E3007" s="67">
        <f t="shared" si="11"/>
        <v>750</v>
      </c>
      <c r="F3007" s="67" t="str">
        <f t="shared" si="12"/>
        <v>3 LeadGen Set Appointments</v>
      </c>
    </row>
    <row r="3008" hidden="1">
      <c r="A3008" s="6" t="s">
        <v>44</v>
      </c>
      <c r="B3008" s="8" t="s">
        <v>1093</v>
      </c>
      <c r="C3008" s="8" t="s">
        <v>1760</v>
      </c>
      <c r="D3008" s="9">
        <v>3.0</v>
      </c>
      <c r="E3008" s="67">
        <f t="shared" si="11"/>
        <v>750</v>
      </c>
      <c r="F3008" s="67" t="str">
        <f t="shared" si="12"/>
        <v>3 LeadGen Set Appointments</v>
      </c>
    </row>
    <row r="3009" hidden="1">
      <c r="A3009" s="6" t="s">
        <v>44</v>
      </c>
      <c r="B3009" s="8" t="s">
        <v>1569</v>
      </c>
      <c r="C3009" s="8" t="s">
        <v>1570</v>
      </c>
      <c r="D3009" s="9">
        <v>3.0</v>
      </c>
      <c r="E3009" s="67">
        <f t="shared" si="11"/>
        <v>750</v>
      </c>
      <c r="F3009" s="67" t="str">
        <f t="shared" si="12"/>
        <v>3 LeadGen Set Appointments</v>
      </c>
    </row>
    <row r="3010" hidden="1">
      <c r="A3010" s="6" t="s">
        <v>44</v>
      </c>
      <c r="B3010" s="8" t="s">
        <v>922</v>
      </c>
      <c r="C3010" s="8" t="s">
        <v>923</v>
      </c>
      <c r="D3010" s="9">
        <v>2.0</v>
      </c>
      <c r="E3010" s="67">
        <f t="shared" si="11"/>
        <v>500</v>
      </c>
      <c r="F3010" s="67" t="str">
        <f t="shared" si="12"/>
        <v>2 LeadGen Set Appointments</v>
      </c>
    </row>
    <row r="3011" hidden="1">
      <c r="A3011" s="6" t="s">
        <v>44</v>
      </c>
      <c r="B3011" s="8" t="s">
        <v>1869</v>
      </c>
      <c r="C3011" s="8" t="s">
        <v>1870</v>
      </c>
      <c r="D3011" s="9">
        <v>2.0</v>
      </c>
      <c r="E3011" s="67">
        <f t="shared" si="11"/>
        <v>500</v>
      </c>
      <c r="F3011" s="67" t="str">
        <f t="shared" si="12"/>
        <v>2 LeadGen Set Appointments</v>
      </c>
    </row>
    <row r="3012" hidden="1">
      <c r="A3012" s="6" t="s">
        <v>44</v>
      </c>
      <c r="B3012" s="8" t="s">
        <v>1463</v>
      </c>
      <c r="C3012" s="8" t="s">
        <v>1464</v>
      </c>
      <c r="D3012" s="9">
        <v>2.0</v>
      </c>
      <c r="E3012" s="67">
        <f t="shared" si="11"/>
        <v>500</v>
      </c>
      <c r="F3012" s="67" t="str">
        <f t="shared" si="12"/>
        <v>2 LeadGen Set Appointments</v>
      </c>
    </row>
    <row r="3013" hidden="1">
      <c r="A3013" s="6" t="s">
        <v>44</v>
      </c>
      <c r="B3013" s="8" t="s">
        <v>1728</v>
      </c>
      <c r="C3013" s="8" t="s">
        <v>1729</v>
      </c>
      <c r="D3013" s="9">
        <v>2.0</v>
      </c>
      <c r="E3013" s="67">
        <f t="shared" si="11"/>
        <v>500</v>
      </c>
      <c r="F3013" s="67" t="str">
        <f t="shared" si="12"/>
        <v>2 LeadGen Set Appointments</v>
      </c>
    </row>
    <row r="3014" hidden="1">
      <c r="A3014" s="6" t="s">
        <v>44</v>
      </c>
      <c r="B3014" s="8" t="s">
        <v>1540</v>
      </c>
      <c r="C3014" s="8" t="s">
        <v>1541</v>
      </c>
      <c r="D3014" s="9">
        <v>2.0</v>
      </c>
      <c r="E3014" s="67">
        <f t="shared" si="11"/>
        <v>500</v>
      </c>
      <c r="F3014" s="67" t="str">
        <f t="shared" si="12"/>
        <v>2 LeadGen Set Appointments</v>
      </c>
    </row>
    <row r="3015" hidden="1">
      <c r="A3015" s="6" t="s">
        <v>44</v>
      </c>
      <c r="B3015" s="8" t="s">
        <v>1543</v>
      </c>
      <c r="C3015" s="8" t="s">
        <v>1544</v>
      </c>
      <c r="D3015" s="9">
        <v>2.0</v>
      </c>
      <c r="E3015" s="67">
        <f t="shared" si="11"/>
        <v>500</v>
      </c>
      <c r="F3015" s="67" t="str">
        <f t="shared" si="12"/>
        <v>2 LeadGen Set Appointments</v>
      </c>
    </row>
    <row r="3016" hidden="1">
      <c r="A3016" s="6" t="s">
        <v>44</v>
      </c>
      <c r="B3016" s="8" t="s">
        <v>546</v>
      </c>
      <c r="C3016" s="8" t="s">
        <v>547</v>
      </c>
      <c r="D3016" s="9">
        <v>2.0</v>
      </c>
      <c r="E3016" s="67">
        <f t="shared" si="11"/>
        <v>500</v>
      </c>
      <c r="F3016" s="67" t="str">
        <f t="shared" si="12"/>
        <v>2 LeadGen Set Appointments</v>
      </c>
    </row>
    <row r="3017" hidden="1">
      <c r="A3017" s="6" t="s">
        <v>44</v>
      </c>
      <c r="B3017" s="8" t="s">
        <v>1646</v>
      </c>
      <c r="C3017" s="8" t="s">
        <v>1647</v>
      </c>
      <c r="D3017" s="9">
        <v>2.0</v>
      </c>
      <c r="E3017" s="67">
        <f t="shared" si="11"/>
        <v>500</v>
      </c>
      <c r="F3017" s="67" t="str">
        <f t="shared" si="12"/>
        <v>2 LeadGen Set Appointments</v>
      </c>
    </row>
    <row r="3018" hidden="1">
      <c r="A3018" s="6" t="s">
        <v>44</v>
      </c>
      <c r="B3018" s="8" t="s">
        <v>684</v>
      </c>
      <c r="C3018" s="8" t="s">
        <v>685</v>
      </c>
      <c r="D3018" s="9">
        <v>2.0</v>
      </c>
      <c r="E3018" s="67">
        <f t="shared" si="11"/>
        <v>500</v>
      </c>
      <c r="F3018" s="67" t="str">
        <f t="shared" si="12"/>
        <v>2 LeadGen Set Appointments</v>
      </c>
    </row>
    <row r="3019" hidden="1">
      <c r="A3019" s="6" t="s">
        <v>44</v>
      </c>
      <c r="B3019" s="8" t="s">
        <v>431</v>
      </c>
      <c r="C3019" s="8" t="s">
        <v>432</v>
      </c>
      <c r="D3019" s="9">
        <v>2.0</v>
      </c>
      <c r="E3019" s="67">
        <f t="shared" si="11"/>
        <v>500</v>
      </c>
      <c r="F3019" s="67" t="str">
        <f t="shared" si="12"/>
        <v>2 LeadGen Set Appointments</v>
      </c>
    </row>
    <row r="3020" hidden="1">
      <c r="A3020" s="6" t="s">
        <v>44</v>
      </c>
      <c r="B3020" s="8" t="s">
        <v>560</v>
      </c>
      <c r="C3020" s="8" t="s">
        <v>561</v>
      </c>
      <c r="D3020" s="9">
        <v>2.0</v>
      </c>
      <c r="E3020" s="67">
        <f t="shared" si="11"/>
        <v>500</v>
      </c>
      <c r="F3020" s="67" t="str">
        <f t="shared" si="12"/>
        <v>2 LeadGen Set Appointments</v>
      </c>
    </row>
    <row r="3021" hidden="1">
      <c r="A3021" s="6" t="s">
        <v>44</v>
      </c>
      <c r="B3021" s="8" t="s">
        <v>1648</v>
      </c>
      <c r="C3021" s="8" t="s">
        <v>1206</v>
      </c>
      <c r="D3021" s="9">
        <v>2.0</v>
      </c>
      <c r="E3021" s="67">
        <f t="shared" si="11"/>
        <v>500</v>
      </c>
      <c r="F3021" s="67" t="str">
        <f t="shared" si="12"/>
        <v>2 LeadGen Set Appointments</v>
      </c>
    </row>
    <row r="3022" hidden="1">
      <c r="A3022" s="6" t="s">
        <v>44</v>
      </c>
      <c r="B3022" s="8" t="s">
        <v>752</v>
      </c>
      <c r="C3022" s="8" t="s">
        <v>753</v>
      </c>
      <c r="D3022" s="9">
        <v>2.0</v>
      </c>
      <c r="E3022" s="67">
        <f t="shared" si="11"/>
        <v>500</v>
      </c>
      <c r="F3022" s="67" t="str">
        <f t="shared" si="12"/>
        <v>2 LeadGen Set Appointments</v>
      </c>
    </row>
    <row r="3023" hidden="1">
      <c r="A3023" s="6" t="s">
        <v>44</v>
      </c>
      <c r="B3023" s="8" t="s">
        <v>1778</v>
      </c>
      <c r="C3023" s="8" t="s">
        <v>1779</v>
      </c>
      <c r="D3023" s="9">
        <v>2.0</v>
      </c>
      <c r="E3023" s="67">
        <f t="shared" si="11"/>
        <v>500</v>
      </c>
      <c r="F3023" s="67" t="str">
        <f t="shared" si="12"/>
        <v>2 LeadGen Set Appointments</v>
      </c>
    </row>
    <row r="3024" hidden="1">
      <c r="A3024" s="6" t="s">
        <v>44</v>
      </c>
      <c r="B3024" s="8" t="s">
        <v>1840</v>
      </c>
      <c r="C3024" s="8" t="s">
        <v>1841</v>
      </c>
      <c r="D3024" s="9">
        <v>2.0</v>
      </c>
      <c r="E3024" s="67">
        <f t="shared" si="11"/>
        <v>500</v>
      </c>
      <c r="F3024" s="67" t="str">
        <f t="shared" si="12"/>
        <v>2 LeadGen Set Appointments</v>
      </c>
    </row>
    <row r="3025" hidden="1">
      <c r="A3025" s="6" t="s">
        <v>44</v>
      </c>
      <c r="B3025" s="8" t="s">
        <v>1259</v>
      </c>
      <c r="C3025" s="8" t="s">
        <v>1260</v>
      </c>
      <c r="D3025" s="9">
        <v>2.0</v>
      </c>
      <c r="E3025" s="67">
        <f t="shared" si="11"/>
        <v>500</v>
      </c>
      <c r="F3025" s="67" t="str">
        <f t="shared" si="12"/>
        <v>2 LeadGen Set Appointments</v>
      </c>
    </row>
    <row r="3026" hidden="1">
      <c r="A3026" s="6" t="s">
        <v>44</v>
      </c>
      <c r="B3026" s="8" t="s">
        <v>1551</v>
      </c>
      <c r="C3026" s="8" t="s">
        <v>1552</v>
      </c>
      <c r="D3026" s="9">
        <v>2.0</v>
      </c>
      <c r="E3026" s="67">
        <f t="shared" si="11"/>
        <v>500</v>
      </c>
      <c r="F3026" s="67" t="str">
        <f t="shared" si="12"/>
        <v>2 LeadGen Set Appointments</v>
      </c>
    </row>
    <row r="3027" hidden="1">
      <c r="A3027" s="6" t="s">
        <v>44</v>
      </c>
      <c r="B3027" s="8" t="s">
        <v>693</v>
      </c>
      <c r="C3027" s="8" t="s">
        <v>694</v>
      </c>
      <c r="D3027" s="9">
        <v>2.0</v>
      </c>
      <c r="E3027" s="67">
        <f t="shared" si="11"/>
        <v>500</v>
      </c>
      <c r="F3027" s="67" t="str">
        <f t="shared" si="12"/>
        <v>2 LeadGen Set Appointments</v>
      </c>
    </row>
    <row r="3028" hidden="1">
      <c r="A3028" s="6" t="s">
        <v>44</v>
      </c>
      <c r="B3028" s="8" t="s">
        <v>1844</v>
      </c>
      <c r="C3028" s="8" t="s">
        <v>1845</v>
      </c>
      <c r="D3028" s="9">
        <v>2.0</v>
      </c>
      <c r="E3028" s="67">
        <f t="shared" si="11"/>
        <v>500</v>
      </c>
      <c r="F3028" s="67" t="str">
        <f t="shared" si="12"/>
        <v>2 LeadGen Set Appointments</v>
      </c>
    </row>
    <row r="3029" hidden="1">
      <c r="A3029" s="6" t="s">
        <v>44</v>
      </c>
      <c r="B3029" s="8" t="s">
        <v>1325</v>
      </c>
      <c r="C3029" s="8" t="s">
        <v>1326</v>
      </c>
      <c r="D3029" s="9">
        <v>2.0</v>
      </c>
      <c r="E3029" s="67">
        <f t="shared" si="11"/>
        <v>500</v>
      </c>
      <c r="F3029" s="67" t="str">
        <f t="shared" si="12"/>
        <v>2 LeadGen Set Appointments</v>
      </c>
    </row>
    <row r="3030" hidden="1">
      <c r="A3030" s="6" t="s">
        <v>44</v>
      </c>
      <c r="B3030" s="8" t="s">
        <v>1421</v>
      </c>
      <c r="C3030" s="8" t="s">
        <v>712</v>
      </c>
      <c r="D3030" s="9">
        <v>2.0</v>
      </c>
      <c r="E3030" s="67">
        <f t="shared" si="11"/>
        <v>500</v>
      </c>
      <c r="F3030" s="67" t="str">
        <f t="shared" si="12"/>
        <v>2 LeadGen Set Appointments</v>
      </c>
    </row>
    <row r="3031" hidden="1">
      <c r="A3031" s="6" t="s">
        <v>44</v>
      </c>
      <c r="B3031" s="8" t="s">
        <v>1657</v>
      </c>
      <c r="C3031" s="8" t="s">
        <v>1658</v>
      </c>
      <c r="D3031" s="9">
        <v>2.0</v>
      </c>
      <c r="E3031" s="67">
        <f t="shared" si="11"/>
        <v>500</v>
      </c>
      <c r="F3031" s="67" t="str">
        <f t="shared" si="12"/>
        <v>2 LeadGen Set Appointments</v>
      </c>
    </row>
    <row r="3032" hidden="1">
      <c r="A3032" s="6" t="s">
        <v>44</v>
      </c>
      <c r="B3032" s="8" t="s">
        <v>1563</v>
      </c>
      <c r="C3032" s="8" t="s">
        <v>1564</v>
      </c>
      <c r="D3032" s="9">
        <v>2.0</v>
      </c>
      <c r="E3032" s="67">
        <f t="shared" si="11"/>
        <v>500</v>
      </c>
      <c r="F3032" s="67" t="str">
        <f t="shared" si="12"/>
        <v>2 LeadGen Set Appointments</v>
      </c>
    </row>
    <row r="3033" hidden="1">
      <c r="A3033" s="6" t="s">
        <v>44</v>
      </c>
      <c r="B3033" s="8" t="s">
        <v>1811</v>
      </c>
      <c r="C3033" s="8" t="s">
        <v>1812</v>
      </c>
      <c r="D3033" s="9">
        <v>2.0</v>
      </c>
      <c r="E3033" s="67">
        <f t="shared" si="11"/>
        <v>500</v>
      </c>
      <c r="F3033" s="67" t="str">
        <f t="shared" si="12"/>
        <v>2 LeadGen Set Appointments</v>
      </c>
    </row>
    <row r="3034" hidden="1">
      <c r="A3034" s="6" t="s">
        <v>44</v>
      </c>
      <c r="B3034" s="8" t="s">
        <v>518</v>
      </c>
      <c r="C3034" s="8" t="s">
        <v>519</v>
      </c>
      <c r="D3034" s="9">
        <v>2.0</v>
      </c>
      <c r="E3034" s="67">
        <f t="shared" si="11"/>
        <v>500</v>
      </c>
      <c r="F3034" s="67" t="str">
        <f t="shared" si="12"/>
        <v>2 LeadGen Set Appointments</v>
      </c>
    </row>
    <row r="3035" hidden="1">
      <c r="A3035" s="6" t="s">
        <v>44</v>
      </c>
      <c r="B3035" s="8" t="s">
        <v>532</v>
      </c>
      <c r="C3035" s="8" t="s">
        <v>533</v>
      </c>
      <c r="D3035" s="9">
        <v>2.0</v>
      </c>
      <c r="E3035" s="67">
        <f t="shared" si="11"/>
        <v>500</v>
      </c>
      <c r="F3035" s="67" t="str">
        <f t="shared" si="12"/>
        <v>2 LeadGen Set Appointments</v>
      </c>
    </row>
    <row r="3036" hidden="1">
      <c r="A3036" s="6" t="s">
        <v>44</v>
      </c>
      <c r="B3036" s="8" t="s">
        <v>1786</v>
      </c>
      <c r="C3036" s="8" t="s">
        <v>1787</v>
      </c>
      <c r="D3036" s="9">
        <v>2.0</v>
      </c>
      <c r="E3036" s="67">
        <f t="shared" si="11"/>
        <v>500</v>
      </c>
      <c r="F3036" s="67" t="str">
        <f t="shared" si="12"/>
        <v>2 LeadGen Set Appointments</v>
      </c>
    </row>
    <row r="3037" hidden="1">
      <c r="A3037" s="6" t="s">
        <v>44</v>
      </c>
      <c r="B3037" s="8" t="s">
        <v>1493</v>
      </c>
      <c r="C3037" s="8" t="s">
        <v>1494</v>
      </c>
      <c r="D3037" s="9">
        <v>2.0</v>
      </c>
      <c r="E3037" s="67">
        <f t="shared" si="11"/>
        <v>500</v>
      </c>
      <c r="F3037" s="67" t="str">
        <f t="shared" si="12"/>
        <v>2 LeadGen Set Appointments</v>
      </c>
    </row>
    <row r="3038" hidden="1">
      <c r="A3038" s="6" t="s">
        <v>44</v>
      </c>
      <c r="B3038" s="8" t="s">
        <v>1625</v>
      </c>
      <c r="C3038" s="8" t="s">
        <v>1626</v>
      </c>
      <c r="D3038" s="9">
        <v>2.0</v>
      </c>
      <c r="E3038" s="67">
        <f t="shared" si="11"/>
        <v>500</v>
      </c>
      <c r="F3038" s="67" t="str">
        <f t="shared" si="12"/>
        <v>2 LeadGen Set Appointments</v>
      </c>
    </row>
    <row r="3039" hidden="1">
      <c r="A3039" s="6" t="s">
        <v>44</v>
      </c>
      <c r="B3039" s="8" t="s">
        <v>986</v>
      </c>
      <c r="C3039" s="8" t="s">
        <v>1629</v>
      </c>
      <c r="D3039" s="9">
        <v>2.0</v>
      </c>
      <c r="E3039" s="67">
        <f t="shared" si="11"/>
        <v>500</v>
      </c>
      <c r="F3039" s="67" t="str">
        <f t="shared" si="12"/>
        <v>2 LeadGen Set Appointments</v>
      </c>
    </row>
    <row r="3040" hidden="1">
      <c r="A3040" s="6" t="s">
        <v>44</v>
      </c>
      <c r="B3040" s="8" t="s">
        <v>1497</v>
      </c>
      <c r="C3040" s="8" t="s">
        <v>1498</v>
      </c>
      <c r="D3040" s="9">
        <v>2.0</v>
      </c>
      <c r="E3040" s="67">
        <f t="shared" si="11"/>
        <v>500</v>
      </c>
      <c r="F3040" s="67" t="str">
        <f t="shared" si="12"/>
        <v>2 LeadGen Set Appointments</v>
      </c>
    </row>
    <row r="3041" hidden="1">
      <c r="A3041" s="6" t="s">
        <v>44</v>
      </c>
      <c r="B3041" s="8" t="s">
        <v>1856</v>
      </c>
      <c r="C3041" s="8" t="s">
        <v>1857</v>
      </c>
      <c r="D3041" s="9">
        <v>2.0</v>
      </c>
      <c r="E3041" s="67">
        <f t="shared" si="11"/>
        <v>500</v>
      </c>
      <c r="F3041" s="67" t="str">
        <f t="shared" si="12"/>
        <v>2 LeadGen Set Appointments</v>
      </c>
    </row>
    <row r="3042" hidden="1">
      <c r="A3042" s="6" t="s">
        <v>44</v>
      </c>
      <c r="B3042" s="8" t="s">
        <v>1813</v>
      </c>
      <c r="C3042" s="8" t="s">
        <v>1814</v>
      </c>
      <c r="D3042" s="9">
        <v>2.0</v>
      </c>
      <c r="E3042" s="67">
        <f t="shared" si="11"/>
        <v>500</v>
      </c>
      <c r="F3042" s="67" t="str">
        <f t="shared" si="12"/>
        <v>2 LeadGen Set Appointments</v>
      </c>
    </row>
    <row r="3043" hidden="1">
      <c r="A3043" s="6" t="s">
        <v>44</v>
      </c>
      <c r="B3043" s="8" t="s">
        <v>701</v>
      </c>
      <c r="C3043" s="8" t="s">
        <v>702</v>
      </c>
      <c r="D3043" s="9">
        <v>2.0</v>
      </c>
      <c r="E3043" s="67">
        <f t="shared" si="11"/>
        <v>500</v>
      </c>
      <c r="F3043" s="67" t="str">
        <f t="shared" si="12"/>
        <v>2 LeadGen Set Appointments</v>
      </c>
    </row>
    <row r="3044" hidden="1">
      <c r="A3044" s="6" t="s">
        <v>44</v>
      </c>
      <c r="B3044" s="8" t="s">
        <v>622</v>
      </c>
      <c r="C3044" s="8" t="s">
        <v>623</v>
      </c>
      <c r="D3044" s="9">
        <v>2.0</v>
      </c>
      <c r="E3044" s="67">
        <f t="shared" si="11"/>
        <v>500</v>
      </c>
      <c r="F3044" s="67" t="str">
        <f t="shared" si="12"/>
        <v>2 LeadGen Set Appointments</v>
      </c>
    </row>
    <row r="3045" hidden="1">
      <c r="A3045" s="6" t="s">
        <v>44</v>
      </c>
      <c r="B3045" s="8" t="s">
        <v>1684</v>
      </c>
      <c r="C3045" s="8" t="s">
        <v>1685</v>
      </c>
      <c r="D3045" s="9">
        <v>2.0</v>
      </c>
      <c r="E3045" s="67">
        <f t="shared" si="11"/>
        <v>500</v>
      </c>
      <c r="F3045" s="67" t="str">
        <f t="shared" si="12"/>
        <v>2 LeadGen Set Appointments</v>
      </c>
    </row>
    <row r="3046" hidden="1">
      <c r="A3046" s="6" t="s">
        <v>44</v>
      </c>
      <c r="B3046" s="8" t="s">
        <v>1706</v>
      </c>
      <c r="C3046" s="8" t="s">
        <v>1707</v>
      </c>
      <c r="D3046" s="9">
        <v>1.0</v>
      </c>
      <c r="E3046" s="67">
        <f t="shared" si="11"/>
        <v>250</v>
      </c>
      <c r="F3046" s="67" t="str">
        <f t="shared" si="12"/>
        <v>1 LeadGen Set Appointments</v>
      </c>
    </row>
    <row r="3047" hidden="1">
      <c r="A3047" s="6" t="s">
        <v>44</v>
      </c>
      <c r="B3047" s="8" t="s">
        <v>1600</v>
      </c>
      <c r="C3047" s="8" t="s">
        <v>1601</v>
      </c>
      <c r="D3047" s="9">
        <v>1.0</v>
      </c>
      <c r="E3047" s="67">
        <f t="shared" si="11"/>
        <v>250</v>
      </c>
      <c r="F3047" s="67" t="str">
        <f t="shared" si="12"/>
        <v>1 LeadGen Set Appointments</v>
      </c>
    </row>
    <row r="3048" hidden="1">
      <c r="A3048" s="6" t="s">
        <v>44</v>
      </c>
      <c r="B3048" s="8" t="s">
        <v>1861</v>
      </c>
      <c r="C3048" s="8" t="s">
        <v>1862</v>
      </c>
      <c r="D3048" s="9">
        <v>1.0</v>
      </c>
      <c r="E3048" s="67">
        <f t="shared" si="11"/>
        <v>250</v>
      </c>
      <c r="F3048" s="67" t="str">
        <f t="shared" si="12"/>
        <v>1 LeadGen Set Appointments</v>
      </c>
    </row>
    <row r="3049" hidden="1">
      <c r="A3049" s="6" t="s">
        <v>44</v>
      </c>
      <c r="B3049" s="8" t="s">
        <v>1834</v>
      </c>
      <c r="C3049" s="8" t="s">
        <v>1835</v>
      </c>
      <c r="D3049" s="9">
        <v>1.0</v>
      </c>
      <c r="E3049" s="67">
        <f t="shared" si="11"/>
        <v>250</v>
      </c>
      <c r="F3049" s="67" t="str">
        <f t="shared" si="12"/>
        <v>1 LeadGen Set Appointments</v>
      </c>
    </row>
    <row r="3050" hidden="1">
      <c r="A3050" s="6" t="s">
        <v>44</v>
      </c>
      <c r="B3050" s="8" t="s">
        <v>1871</v>
      </c>
      <c r="C3050" s="8" t="s">
        <v>1872</v>
      </c>
      <c r="D3050" s="9">
        <v>1.0</v>
      </c>
      <c r="E3050" s="67">
        <f t="shared" si="11"/>
        <v>250</v>
      </c>
      <c r="F3050" s="67" t="str">
        <f t="shared" si="12"/>
        <v>1 LeadGen Set Appointments</v>
      </c>
    </row>
    <row r="3051" hidden="1">
      <c r="A3051" s="6" t="s">
        <v>44</v>
      </c>
      <c r="B3051" s="8" t="s">
        <v>1836</v>
      </c>
      <c r="C3051" s="8" t="s">
        <v>1837</v>
      </c>
      <c r="D3051" s="9">
        <v>1.0</v>
      </c>
      <c r="E3051" s="67">
        <f t="shared" si="11"/>
        <v>250</v>
      </c>
      <c r="F3051" s="67" t="str">
        <f t="shared" si="12"/>
        <v>1 LeadGen Set Appointments</v>
      </c>
    </row>
    <row r="3052" hidden="1">
      <c r="A3052" s="6" t="s">
        <v>44</v>
      </c>
      <c r="B3052" s="8" t="s">
        <v>1803</v>
      </c>
      <c r="C3052" s="8" t="s">
        <v>1804</v>
      </c>
      <c r="D3052" s="9">
        <v>1.0</v>
      </c>
      <c r="E3052" s="67">
        <f t="shared" si="11"/>
        <v>250</v>
      </c>
      <c r="F3052" s="67" t="str">
        <f t="shared" si="12"/>
        <v>1 LeadGen Set Appointments</v>
      </c>
    </row>
    <row r="3053" hidden="1">
      <c r="A3053" s="6" t="s">
        <v>44</v>
      </c>
      <c r="B3053" s="8" t="s">
        <v>1748</v>
      </c>
      <c r="C3053" s="8" t="s">
        <v>1749</v>
      </c>
      <c r="D3053" s="9">
        <v>1.0</v>
      </c>
      <c r="E3053" s="67">
        <f t="shared" si="11"/>
        <v>250</v>
      </c>
      <c r="F3053" s="67" t="str">
        <f t="shared" si="12"/>
        <v>1 LeadGen Set Appointments</v>
      </c>
    </row>
    <row r="3054" hidden="1">
      <c r="A3054" s="6" t="s">
        <v>44</v>
      </c>
      <c r="B3054" s="8" t="s">
        <v>1873</v>
      </c>
      <c r="C3054" s="8" t="s">
        <v>1874</v>
      </c>
      <c r="D3054" s="9">
        <v>1.0</v>
      </c>
      <c r="E3054" s="67">
        <f t="shared" si="11"/>
        <v>250</v>
      </c>
      <c r="F3054" s="67" t="str">
        <f t="shared" si="12"/>
        <v>1 LeadGen Set Appointments</v>
      </c>
    </row>
    <row r="3055" hidden="1">
      <c r="A3055" s="6" t="s">
        <v>44</v>
      </c>
      <c r="B3055" s="8" t="s">
        <v>1508</v>
      </c>
      <c r="C3055" s="8" t="s">
        <v>1509</v>
      </c>
      <c r="D3055" s="9">
        <v>1.0</v>
      </c>
      <c r="E3055" s="67">
        <f t="shared" si="11"/>
        <v>250</v>
      </c>
      <c r="F3055" s="67" t="str">
        <f t="shared" si="12"/>
        <v>1 LeadGen Set Appointments</v>
      </c>
    </row>
    <row r="3056" hidden="1">
      <c r="A3056" s="6" t="s">
        <v>44</v>
      </c>
      <c r="B3056" s="8" t="s">
        <v>1827</v>
      </c>
      <c r="C3056" s="8" t="s">
        <v>1828</v>
      </c>
      <c r="D3056" s="9">
        <v>1.0</v>
      </c>
      <c r="E3056" s="67">
        <f t="shared" si="11"/>
        <v>250</v>
      </c>
      <c r="F3056" s="67" t="str">
        <f t="shared" si="12"/>
        <v>1 LeadGen Set Appointments</v>
      </c>
    </row>
    <row r="3057" hidden="1">
      <c r="A3057" s="6" t="s">
        <v>44</v>
      </c>
      <c r="B3057" s="8" t="s">
        <v>1859</v>
      </c>
      <c r="C3057" s="8" t="s">
        <v>1860</v>
      </c>
      <c r="D3057" s="9">
        <v>1.0</v>
      </c>
      <c r="E3057" s="67">
        <f t="shared" si="11"/>
        <v>250</v>
      </c>
      <c r="F3057" s="67" t="str">
        <f t="shared" si="12"/>
        <v>1 LeadGen Set Appointments</v>
      </c>
    </row>
    <row r="3058" hidden="1">
      <c r="A3058" s="6" t="s">
        <v>44</v>
      </c>
      <c r="B3058" s="8" t="s">
        <v>1875</v>
      </c>
      <c r="C3058" s="8" t="s">
        <v>1876</v>
      </c>
      <c r="D3058" s="9">
        <v>1.0</v>
      </c>
      <c r="E3058" s="67">
        <f t="shared" si="11"/>
        <v>250</v>
      </c>
      <c r="F3058" s="67" t="str">
        <f t="shared" si="12"/>
        <v>1 LeadGen Set Appointments</v>
      </c>
    </row>
    <row r="3059" hidden="1">
      <c r="A3059" s="6" t="s">
        <v>44</v>
      </c>
      <c r="B3059" s="8" t="s">
        <v>1653</v>
      </c>
      <c r="C3059" s="8" t="s">
        <v>1654</v>
      </c>
      <c r="D3059" s="9">
        <v>1.0</v>
      </c>
      <c r="E3059" s="67">
        <f t="shared" si="11"/>
        <v>250</v>
      </c>
      <c r="F3059" s="67" t="str">
        <f t="shared" si="12"/>
        <v>1 LeadGen Set Appointments</v>
      </c>
    </row>
    <row r="3060" hidden="1">
      <c r="A3060" s="6" t="s">
        <v>44</v>
      </c>
      <c r="B3060" s="8" t="s">
        <v>1514</v>
      </c>
      <c r="C3060" s="8" t="s">
        <v>1515</v>
      </c>
      <c r="D3060" s="9">
        <v>1.0</v>
      </c>
      <c r="E3060" s="67">
        <f t="shared" si="11"/>
        <v>250</v>
      </c>
      <c r="F3060" s="67" t="str">
        <f t="shared" si="12"/>
        <v>1 LeadGen Set Appointments</v>
      </c>
    </row>
    <row r="3061" hidden="1">
      <c r="A3061" s="6" t="s">
        <v>44</v>
      </c>
      <c r="B3061" s="8" t="s">
        <v>1842</v>
      </c>
      <c r="C3061" s="8" t="s">
        <v>1843</v>
      </c>
      <c r="D3061" s="9">
        <v>1.0</v>
      </c>
      <c r="E3061" s="67">
        <f t="shared" si="11"/>
        <v>250</v>
      </c>
      <c r="F3061" s="67" t="str">
        <f t="shared" si="12"/>
        <v>1 LeadGen Set Appointments</v>
      </c>
    </row>
    <row r="3062" hidden="1">
      <c r="A3062" s="6" t="s">
        <v>44</v>
      </c>
      <c r="B3062" s="8" t="s">
        <v>1553</v>
      </c>
      <c r="C3062" s="8" t="s">
        <v>1554</v>
      </c>
      <c r="D3062" s="9">
        <v>1.0</v>
      </c>
      <c r="E3062" s="67">
        <f t="shared" si="11"/>
        <v>250</v>
      </c>
      <c r="F3062" s="67" t="str">
        <f t="shared" si="12"/>
        <v>1 LeadGen Set Appointments</v>
      </c>
    </row>
    <row r="3063" hidden="1">
      <c r="A3063" s="6" t="s">
        <v>44</v>
      </c>
      <c r="B3063" s="8" t="s">
        <v>1846</v>
      </c>
      <c r="C3063" s="8" t="s">
        <v>1847</v>
      </c>
      <c r="D3063" s="9">
        <v>1.0</v>
      </c>
      <c r="E3063" s="67">
        <f t="shared" si="11"/>
        <v>250</v>
      </c>
      <c r="F3063" s="67" t="str">
        <f t="shared" si="12"/>
        <v>1 LeadGen Set Appointments</v>
      </c>
    </row>
    <row r="3064" hidden="1">
      <c r="A3064" s="6" t="s">
        <v>44</v>
      </c>
      <c r="B3064" s="8" t="s">
        <v>1393</v>
      </c>
      <c r="C3064" s="8" t="s">
        <v>1394</v>
      </c>
      <c r="D3064" s="9">
        <v>1.0</v>
      </c>
      <c r="E3064" s="67">
        <f t="shared" si="11"/>
        <v>250</v>
      </c>
      <c r="F3064" s="67" t="str">
        <f t="shared" si="12"/>
        <v>1 LeadGen Set Appointments</v>
      </c>
    </row>
    <row r="3065" hidden="1">
      <c r="A3065" s="6" t="s">
        <v>44</v>
      </c>
      <c r="B3065" s="8" t="s">
        <v>572</v>
      </c>
      <c r="C3065" s="8" t="s">
        <v>573</v>
      </c>
      <c r="D3065" s="9">
        <v>1.0</v>
      </c>
      <c r="E3065" s="67">
        <f t="shared" si="11"/>
        <v>250</v>
      </c>
      <c r="F3065" s="67" t="str">
        <f t="shared" si="12"/>
        <v>1 LeadGen Set Appointments</v>
      </c>
    </row>
    <row r="3066" hidden="1">
      <c r="A3066" s="6" t="s">
        <v>44</v>
      </c>
      <c r="B3066" s="8" t="s">
        <v>1708</v>
      </c>
      <c r="C3066" s="8" t="s">
        <v>1709</v>
      </c>
      <c r="D3066" s="9">
        <v>1.0</v>
      </c>
      <c r="E3066" s="67">
        <f t="shared" si="11"/>
        <v>250</v>
      </c>
      <c r="F3066" s="67" t="str">
        <f t="shared" si="12"/>
        <v>1 LeadGen Set Appointments</v>
      </c>
    </row>
    <row r="3067" hidden="1">
      <c r="A3067" s="6" t="s">
        <v>44</v>
      </c>
      <c r="B3067" s="8" t="s">
        <v>1877</v>
      </c>
      <c r="C3067" s="8" t="s">
        <v>1878</v>
      </c>
      <c r="D3067" s="9">
        <v>1.0</v>
      </c>
      <c r="E3067" s="67">
        <f t="shared" si="11"/>
        <v>250</v>
      </c>
      <c r="F3067" s="67" t="str">
        <f t="shared" si="12"/>
        <v>1 LeadGen Set Appointments</v>
      </c>
    </row>
    <row r="3068" hidden="1">
      <c r="A3068" s="6" t="s">
        <v>44</v>
      </c>
      <c r="B3068" s="8" t="s">
        <v>1561</v>
      </c>
      <c r="C3068" s="8" t="s">
        <v>1562</v>
      </c>
      <c r="D3068" s="9">
        <v>1.0</v>
      </c>
      <c r="E3068" s="67">
        <f t="shared" si="11"/>
        <v>250</v>
      </c>
      <c r="F3068" s="67" t="str">
        <f t="shared" si="12"/>
        <v>1 LeadGen Set Appointments</v>
      </c>
    </row>
    <row r="3069" hidden="1">
      <c r="A3069" s="6" t="s">
        <v>44</v>
      </c>
      <c r="B3069" s="8" t="s">
        <v>1850</v>
      </c>
      <c r="C3069" s="8" t="s">
        <v>1851</v>
      </c>
      <c r="D3069" s="9">
        <v>1.0</v>
      </c>
      <c r="E3069" s="67">
        <f t="shared" si="11"/>
        <v>250</v>
      </c>
      <c r="F3069" s="67" t="str">
        <f t="shared" si="12"/>
        <v>1 LeadGen Set Appointments</v>
      </c>
    </row>
    <row r="3070" hidden="1">
      <c r="A3070" s="6" t="s">
        <v>44</v>
      </c>
      <c r="B3070" s="8" t="s">
        <v>1567</v>
      </c>
      <c r="C3070" s="8" t="s">
        <v>1568</v>
      </c>
      <c r="D3070" s="9">
        <v>1.0</v>
      </c>
      <c r="E3070" s="67">
        <f t="shared" si="11"/>
        <v>250</v>
      </c>
      <c r="F3070" s="67" t="str">
        <f t="shared" si="12"/>
        <v>1 LeadGen Set Appointments</v>
      </c>
    </row>
    <row r="3071" hidden="1">
      <c r="A3071" s="6" t="s">
        <v>44</v>
      </c>
      <c r="B3071" s="8" t="s">
        <v>1829</v>
      </c>
      <c r="C3071" s="8" t="s">
        <v>1830</v>
      </c>
      <c r="D3071" s="9">
        <v>1.0</v>
      </c>
      <c r="E3071" s="67">
        <f t="shared" si="11"/>
        <v>250</v>
      </c>
      <c r="F3071" s="67" t="str">
        <f t="shared" si="12"/>
        <v>1 LeadGen Set Appointments</v>
      </c>
    </row>
    <row r="3072" hidden="1">
      <c r="A3072" s="6" t="s">
        <v>44</v>
      </c>
      <c r="B3072" s="8" t="s">
        <v>1674</v>
      </c>
      <c r="C3072" s="8" t="s">
        <v>1675</v>
      </c>
      <c r="D3072" s="9">
        <v>1.0</v>
      </c>
      <c r="E3072" s="67">
        <f t="shared" si="11"/>
        <v>250</v>
      </c>
      <c r="F3072" s="67" t="str">
        <f t="shared" si="12"/>
        <v>1 LeadGen Set Appointments</v>
      </c>
    </row>
    <row r="3073" hidden="1">
      <c r="A3073" s="6" t="s">
        <v>44</v>
      </c>
      <c r="B3073" s="8" t="s">
        <v>1571</v>
      </c>
      <c r="C3073" s="8" t="s">
        <v>1572</v>
      </c>
      <c r="D3073" s="9">
        <v>1.0</v>
      </c>
      <c r="E3073" s="67">
        <f t="shared" si="11"/>
        <v>250</v>
      </c>
      <c r="F3073" s="67" t="str">
        <f t="shared" si="12"/>
        <v>1 LeadGen Set Appointments</v>
      </c>
    </row>
    <row r="3074" hidden="1">
      <c r="A3074" s="6" t="s">
        <v>44</v>
      </c>
      <c r="B3074" s="8" t="s">
        <v>566</v>
      </c>
      <c r="C3074" s="8" t="s">
        <v>567</v>
      </c>
      <c r="D3074" s="9">
        <v>1.0</v>
      </c>
      <c r="E3074" s="67">
        <f t="shared" si="11"/>
        <v>250</v>
      </c>
      <c r="F3074" s="67" t="str">
        <f t="shared" si="12"/>
        <v>1 LeadGen Set Appointments</v>
      </c>
    </row>
    <row r="3075" hidden="1">
      <c r="A3075" s="6" t="s">
        <v>44</v>
      </c>
      <c r="B3075" s="8" t="s">
        <v>1879</v>
      </c>
      <c r="C3075" s="8" t="s">
        <v>1880</v>
      </c>
      <c r="D3075" s="9">
        <v>1.0</v>
      </c>
      <c r="E3075" s="67">
        <f t="shared" si="11"/>
        <v>250</v>
      </c>
      <c r="F3075" s="67" t="str">
        <f t="shared" si="12"/>
        <v>1 LeadGen Set Appointments</v>
      </c>
    </row>
    <row r="3076" hidden="1">
      <c r="A3076" s="6" t="s">
        <v>44</v>
      </c>
      <c r="B3076" s="8" t="s">
        <v>1700</v>
      </c>
      <c r="C3076" s="8" t="s">
        <v>1701</v>
      </c>
      <c r="D3076" s="9">
        <v>9.0</v>
      </c>
      <c r="E3076" s="67">
        <f t="shared" si="11"/>
        <v>2250</v>
      </c>
      <c r="F3076" s="67" t="str">
        <f t="shared" si="12"/>
        <v>9 LeadGen Set Appointments</v>
      </c>
    </row>
    <row r="3077" hidden="1">
      <c r="A3077" s="6" t="s">
        <v>44</v>
      </c>
      <c r="B3077" s="8" t="s">
        <v>1025</v>
      </c>
      <c r="C3077" s="8" t="s">
        <v>1026</v>
      </c>
      <c r="D3077" s="9">
        <v>16.0</v>
      </c>
      <c r="E3077" s="67">
        <f t="shared" si="11"/>
        <v>8000</v>
      </c>
      <c r="F3077" s="67" t="str">
        <f t="shared" si="12"/>
        <v>16 LeadGen Set Appointments</v>
      </c>
    </row>
    <row r="3078" hidden="1">
      <c r="A3078" s="6" t="s">
        <v>44</v>
      </c>
      <c r="B3078" s="8" t="s">
        <v>1506</v>
      </c>
      <c r="C3078" s="8" t="s">
        <v>1507</v>
      </c>
      <c r="D3078" s="9">
        <v>7.0</v>
      </c>
      <c r="E3078" s="67">
        <f t="shared" si="11"/>
        <v>1750</v>
      </c>
      <c r="F3078" s="67" t="str">
        <f t="shared" si="12"/>
        <v>7 LeadGen Set Appointments</v>
      </c>
    </row>
    <row r="3079" hidden="1">
      <c r="A3079" s="6" t="s">
        <v>44</v>
      </c>
      <c r="B3079" s="8" t="s">
        <v>1863</v>
      </c>
      <c r="C3079" s="8" t="s">
        <v>1864</v>
      </c>
      <c r="D3079" s="9">
        <v>5.0</v>
      </c>
      <c r="E3079" s="67">
        <f t="shared" si="11"/>
        <v>1250</v>
      </c>
      <c r="F3079" s="67" t="str">
        <f t="shared" si="12"/>
        <v>5 LeadGen Set Appointments</v>
      </c>
    </row>
    <row r="3080" hidden="1">
      <c r="A3080" s="6" t="s">
        <v>44</v>
      </c>
      <c r="B3080" s="8" t="s">
        <v>1672</v>
      </c>
      <c r="C3080" s="8" t="s">
        <v>1673</v>
      </c>
      <c r="D3080" s="9">
        <v>5.0</v>
      </c>
      <c r="E3080" s="67">
        <f t="shared" si="11"/>
        <v>1250</v>
      </c>
      <c r="F3080" s="67" t="str">
        <f t="shared" si="12"/>
        <v>5 LeadGen Set Appointments</v>
      </c>
    </row>
    <row r="3081" hidden="1">
      <c r="A3081" s="6" t="s">
        <v>44</v>
      </c>
      <c r="B3081" s="8" t="s">
        <v>650</v>
      </c>
      <c r="C3081" s="8" t="s">
        <v>651</v>
      </c>
      <c r="D3081" s="9">
        <v>4.0</v>
      </c>
      <c r="E3081" s="67">
        <f t="shared" si="11"/>
        <v>1000</v>
      </c>
      <c r="F3081" s="67" t="str">
        <f t="shared" si="12"/>
        <v>4 LeadGen Set Appointments</v>
      </c>
    </row>
    <row r="3082" hidden="1">
      <c r="A3082" s="6" t="s">
        <v>44</v>
      </c>
      <c r="B3082" s="8" t="s">
        <v>1761</v>
      </c>
      <c r="C3082" s="8" t="s">
        <v>1762</v>
      </c>
      <c r="D3082" s="9">
        <v>3.0</v>
      </c>
      <c r="E3082" s="67">
        <f t="shared" si="11"/>
        <v>750</v>
      </c>
      <c r="F3082" s="67" t="str">
        <f t="shared" si="12"/>
        <v>3 LeadGen Set Appointments</v>
      </c>
    </row>
    <row r="3083" hidden="1">
      <c r="A3083" s="6" t="s">
        <v>44</v>
      </c>
      <c r="B3083" s="8" t="s">
        <v>1770</v>
      </c>
      <c r="C3083" s="8" t="s">
        <v>1771</v>
      </c>
      <c r="D3083" s="9">
        <v>3.0</v>
      </c>
      <c r="E3083" s="67">
        <f t="shared" si="11"/>
        <v>750</v>
      </c>
      <c r="F3083" s="67" t="str">
        <f t="shared" si="12"/>
        <v>3 LeadGen Set Appointments</v>
      </c>
    </row>
    <row r="3084" hidden="1">
      <c r="A3084" s="6" t="s">
        <v>44</v>
      </c>
      <c r="B3084" s="8" t="s">
        <v>1764</v>
      </c>
      <c r="C3084" s="8" t="s">
        <v>1765</v>
      </c>
      <c r="D3084" s="9">
        <v>3.0</v>
      </c>
      <c r="E3084" s="67">
        <f t="shared" si="11"/>
        <v>750</v>
      </c>
      <c r="F3084" s="67" t="str">
        <f t="shared" si="12"/>
        <v>3 LeadGen Set Appointments</v>
      </c>
    </row>
    <row r="3085" hidden="1">
      <c r="A3085" s="6" t="s">
        <v>44</v>
      </c>
      <c r="B3085" s="8" t="s">
        <v>1301</v>
      </c>
      <c r="C3085" s="8" t="s">
        <v>1620</v>
      </c>
      <c r="D3085" s="9">
        <v>3.0</v>
      </c>
      <c r="E3085" s="67">
        <f t="shared" si="11"/>
        <v>750</v>
      </c>
      <c r="F3085" s="67" t="str">
        <f t="shared" si="12"/>
        <v>3 LeadGen Set Appointments</v>
      </c>
    </row>
    <row r="3086" hidden="1">
      <c r="A3086" s="6" t="s">
        <v>44</v>
      </c>
      <c r="B3086" s="8" t="s">
        <v>1591</v>
      </c>
      <c r="C3086" s="8" t="s">
        <v>836</v>
      </c>
      <c r="D3086" s="9">
        <v>3.0</v>
      </c>
      <c r="E3086" s="67">
        <f t="shared" si="11"/>
        <v>750</v>
      </c>
      <c r="F3086" s="67" t="str">
        <f t="shared" si="12"/>
        <v>3 LeadGen Set Appointments</v>
      </c>
    </row>
    <row r="3087" hidden="1">
      <c r="A3087" s="6" t="s">
        <v>44</v>
      </c>
      <c r="B3087" s="8" t="s">
        <v>1526</v>
      </c>
      <c r="C3087" s="8" t="s">
        <v>1527</v>
      </c>
      <c r="D3087" s="9">
        <v>3.0</v>
      </c>
      <c r="E3087" s="67">
        <f t="shared" si="11"/>
        <v>750</v>
      </c>
      <c r="F3087" s="67" t="str">
        <f t="shared" si="12"/>
        <v>3 LeadGen Set Appointments</v>
      </c>
    </row>
    <row r="3088" hidden="1">
      <c r="A3088" s="6" t="s">
        <v>44</v>
      </c>
      <c r="B3088" s="8" t="s">
        <v>1698</v>
      </c>
      <c r="C3088" s="8" t="s">
        <v>1699</v>
      </c>
      <c r="D3088" s="9">
        <v>2.0</v>
      </c>
      <c r="E3088" s="67">
        <f t="shared" si="11"/>
        <v>500</v>
      </c>
      <c r="F3088" s="67" t="str">
        <f t="shared" si="12"/>
        <v>2 LeadGen Set Appointments</v>
      </c>
    </row>
    <row r="3089" hidden="1">
      <c r="A3089" s="6" t="s">
        <v>44</v>
      </c>
      <c r="B3089" s="8" t="s">
        <v>1694</v>
      </c>
      <c r="C3089" s="8" t="s">
        <v>1695</v>
      </c>
      <c r="D3089" s="9">
        <v>2.0</v>
      </c>
      <c r="E3089" s="67">
        <f t="shared" si="11"/>
        <v>500</v>
      </c>
      <c r="F3089" s="67" t="str">
        <f t="shared" si="12"/>
        <v>2 LeadGen Set Appointments</v>
      </c>
    </row>
    <row r="3090" hidden="1">
      <c r="A3090" s="6" t="s">
        <v>44</v>
      </c>
      <c r="B3090" s="8" t="s">
        <v>1881</v>
      </c>
      <c r="C3090" s="8" t="s">
        <v>1882</v>
      </c>
      <c r="D3090" s="9">
        <v>2.0</v>
      </c>
      <c r="E3090" s="67">
        <f t="shared" si="11"/>
        <v>500</v>
      </c>
      <c r="F3090" s="67" t="str">
        <f t="shared" si="12"/>
        <v>2 LeadGen Set Appointments</v>
      </c>
    </row>
    <row r="3091" hidden="1">
      <c r="A3091" s="6" t="s">
        <v>44</v>
      </c>
      <c r="B3091" s="8" t="s">
        <v>1692</v>
      </c>
      <c r="C3091" s="8" t="s">
        <v>1693</v>
      </c>
      <c r="D3091" s="9">
        <v>2.0</v>
      </c>
      <c r="E3091" s="67">
        <f t="shared" si="11"/>
        <v>500</v>
      </c>
      <c r="F3091" s="67" t="str">
        <f t="shared" si="12"/>
        <v>2 LeadGen Set Appointments</v>
      </c>
    </row>
    <row r="3092" hidden="1">
      <c r="A3092" s="6" t="s">
        <v>44</v>
      </c>
      <c r="B3092" s="8" t="s">
        <v>1768</v>
      </c>
      <c r="C3092" s="8" t="s">
        <v>1769</v>
      </c>
      <c r="D3092" s="9">
        <v>2.0</v>
      </c>
      <c r="E3092" s="67">
        <f t="shared" si="11"/>
        <v>500</v>
      </c>
      <c r="F3092" s="67" t="str">
        <f t="shared" si="12"/>
        <v>2 LeadGen Set Appointments</v>
      </c>
    </row>
    <row r="3093" hidden="1">
      <c r="A3093" s="6" t="s">
        <v>44</v>
      </c>
      <c r="B3093" s="8" t="s">
        <v>1767</v>
      </c>
      <c r="C3093" s="8" t="s">
        <v>521</v>
      </c>
      <c r="D3093" s="9">
        <v>2.0</v>
      </c>
      <c r="E3093" s="67">
        <f t="shared" si="11"/>
        <v>500</v>
      </c>
      <c r="F3093" s="67" t="str">
        <f t="shared" si="12"/>
        <v>2 LeadGen Set Appointments</v>
      </c>
    </row>
    <row r="3094" hidden="1">
      <c r="A3094" s="6" t="s">
        <v>44</v>
      </c>
      <c r="B3094" s="8" t="s">
        <v>1686</v>
      </c>
      <c r="C3094" s="8" t="s">
        <v>1687</v>
      </c>
      <c r="D3094" s="9">
        <v>2.0</v>
      </c>
      <c r="E3094" s="67">
        <f t="shared" si="11"/>
        <v>500</v>
      </c>
      <c r="F3094" s="67" t="str">
        <f t="shared" si="12"/>
        <v>2 LeadGen Set Appointments</v>
      </c>
    </row>
    <row r="3095" hidden="1">
      <c r="A3095" s="6" t="s">
        <v>44</v>
      </c>
      <c r="B3095" s="8" t="s">
        <v>1499</v>
      </c>
      <c r="C3095" s="8" t="s">
        <v>1500</v>
      </c>
      <c r="D3095" s="9">
        <v>2.0</v>
      </c>
      <c r="E3095" s="67">
        <f t="shared" si="11"/>
        <v>500</v>
      </c>
      <c r="F3095" s="67" t="str">
        <f t="shared" si="12"/>
        <v>2 LeadGen Set Appointments</v>
      </c>
    </row>
    <row r="3096" hidden="1">
      <c r="A3096" s="6" t="s">
        <v>44</v>
      </c>
      <c r="B3096" s="8" t="s">
        <v>1714</v>
      </c>
      <c r="C3096" s="8" t="s">
        <v>1715</v>
      </c>
      <c r="D3096" s="9">
        <v>1.0</v>
      </c>
      <c r="E3096" s="67">
        <f t="shared" si="11"/>
        <v>250</v>
      </c>
      <c r="F3096" s="67" t="str">
        <f t="shared" si="12"/>
        <v>1 LeadGen Set Appointments</v>
      </c>
    </row>
    <row r="3097" hidden="1">
      <c r="A3097" s="6" t="s">
        <v>44</v>
      </c>
      <c r="B3097" s="8" t="s">
        <v>1763</v>
      </c>
      <c r="C3097" s="8" t="s">
        <v>653</v>
      </c>
      <c r="D3097" s="9">
        <v>1.0</v>
      </c>
      <c r="E3097" s="67">
        <f t="shared" si="11"/>
        <v>250</v>
      </c>
      <c r="F3097" s="67" t="str">
        <f t="shared" si="12"/>
        <v>1 LeadGen Set Appointments</v>
      </c>
    </row>
    <row r="3098" hidden="1">
      <c r="A3098" s="6" t="s">
        <v>44</v>
      </c>
      <c r="B3098" s="8" t="s">
        <v>1702</v>
      </c>
      <c r="C3098" s="8" t="s">
        <v>1703</v>
      </c>
      <c r="D3098" s="9">
        <v>1.0</v>
      </c>
      <c r="E3098" s="67">
        <f t="shared" si="11"/>
        <v>250</v>
      </c>
      <c r="F3098" s="67" t="str">
        <f t="shared" si="12"/>
        <v>1 LeadGen Set Appointments</v>
      </c>
    </row>
    <row r="3099" hidden="1">
      <c r="A3099" s="6" t="s">
        <v>44</v>
      </c>
      <c r="B3099" s="8" t="s">
        <v>618</v>
      </c>
      <c r="C3099" s="8" t="s">
        <v>619</v>
      </c>
      <c r="D3099" s="9">
        <v>1.0</v>
      </c>
      <c r="E3099" s="67">
        <f t="shared" si="11"/>
        <v>250</v>
      </c>
      <c r="F3099" s="67" t="str">
        <f t="shared" si="12"/>
        <v>1 LeadGen Set Appointments</v>
      </c>
    </row>
    <row r="3100" hidden="1">
      <c r="A3100" s="6" t="s">
        <v>44</v>
      </c>
      <c r="B3100" s="8" t="s">
        <v>1690</v>
      </c>
      <c r="C3100" s="8" t="s">
        <v>1691</v>
      </c>
      <c r="D3100" s="9">
        <v>10.0</v>
      </c>
      <c r="E3100" s="67">
        <f t="shared" si="11"/>
        <v>5000</v>
      </c>
      <c r="F3100" s="67" t="str">
        <f t="shared" si="12"/>
        <v>10 LeadGen Set Appointments</v>
      </c>
    </row>
    <row r="3101" hidden="1">
      <c r="A3101" s="6" t="s">
        <v>44</v>
      </c>
      <c r="B3101" s="8" t="s">
        <v>1793</v>
      </c>
      <c r="C3101" s="8" t="s">
        <v>1794</v>
      </c>
      <c r="D3101" s="9">
        <v>1.0</v>
      </c>
      <c r="E3101" s="67">
        <f t="shared" si="11"/>
        <v>250</v>
      </c>
      <c r="F3101" s="67" t="str">
        <f t="shared" si="12"/>
        <v>1 LeadGen Set Appointments</v>
      </c>
    </row>
    <row r="3102" hidden="1">
      <c r="A3102" s="6" t="s">
        <v>44</v>
      </c>
      <c r="B3102" s="8" t="s">
        <v>1712</v>
      </c>
      <c r="C3102" s="8" t="s">
        <v>1713</v>
      </c>
      <c r="D3102" s="9">
        <v>1.0</v>
      </c>
      <c r="E3102" s="67">
        <f t="shared" si="11"/>
        <v>250</v>
      </c>
      <c r="F3102" s="67" t="str">
        <f t="shared" si="12"/>
        <v>1 LeadGen Set Appointments</v>
      </c>
    </row>
    <row r="3103" hidden="1">
      <c r="A3103" s="6" t="s">
        <v>44</v>
      </c>
      <c r="B3103" s="8" t="s">
        <v>1883</v>
      </c>
      <c r="C3103" s="8" t="s">
        <v>1884</v>
      </c>
      <c r="D3103" s="9">
        <v>1.0</v>
      </c>
      <c r="E3103" s="67">
        <f t="shared" si="11"/>
        <v>250</v>
      </c>
      <c r="F3103" s="67" t="str">
        <f t="shared" si="12"/>
        <v>1 LeadGen Set Appointments</v>
      </c>
    </row>
    <row r="3104" hidden="1">
      <c r="A3104" s="6" t="s">
        <v>44</v>
      </c>
      <c r="B3104" s="8" t="s">
        <v>1821</v>
      </c>
      <c r="C3104" s="8" t="s">
        <v>1822</v>
      </c>
      <c r="D3104" s="9">
        <v>1.0</v>
      </c>
      <c r="E3104" s="67">
        <f t="shared" si="11"/>
        <v>250</v>
      </c>
      <c r="F3104" s="67" t="str">
        <f t="shared" si="12"/>
        <v>1 LeadGen Set Appointments</v>
      </c>
    </row>
    <row r="3105" hidden="1">
      <c r="A3105" s="6" t="s">
        <v>44</v>
      </c>
      <c r="B3105" s="8" t="s">
        <v>1885</v>
      </c>
      <c r="C3105" s="8" t="s">
        <v>1886</v>
      </c>
      <c r="D3105" s="9">
        <v>2.0</v>
      </c>
      <c r="E3105" s="67">
        <f t="shared" si="11"/>
        <v>500</v>
      </c>
      <c r="F3105" s="67" t="str">
        <f t="shared" si="12"/>
        <v>2 LeadGen Set Appointments</v>
      </c>
    </row>
    <row r="3106" hidden="1">
      <c r="A3106" s="6" t="s">
        <v>44</v>
      </c>
      <c r="B3106" s="8" t="s">
        <v>242</v>
      </c>
      <c r="C3106" s="8" t="s">
        <v>1887</v>
      </c>
      <c r="D3106" s="9">
        <v>4.0</v>
      </c>
      <c r="E3106" s="67">
        <f t="shared" si="11"/>
        <v>1000</v>
      </c>
      <c r="F3106" s="67" t="str">
        <f t="shared" si="12"/>
        <v>4 LeadGen Set Appointments</v>
      </c>
    </row>
    <row r="3107" hidden="1">
      <c r="A3107" s="6" t="s">
        <v>44</v>
      </c>
      <c r="B3107" s="8" t="s">
        <v>244</v>
      </c>
      <c r="C3107" s="8" t="s">
        <v>1888</v>
      </c>
      <c r="D3107" s="9">
        <v>3.0</v>
      </c>
      <c r="E3107" s="67">
        <f t="shared" si="11"/>
        <v>750</v>
      </c>
      <c r="F3107" s="67" t="str">
        <f t="shared" si="12"/>
        <v>3 LeadGen Set Appointments</v>
      </c>
    </row>
    <row r="3108" hidden="1">
      <c r="A3108" s="6" t="s">
        <v>44</v>
      </c>
      <c r="B3108" s="8" t="s">
        <v>246</v>
      </c>
      <c r="C3108" s="8" t="s">
        <v>1889</v>
      </c>
      <c r="D3108" s="9">
        <v>2.0</v>
      </c>
      <c r="E3108" s="67">
        <f t="shared" si="11"/>
        <v>500</v>
      </c>
      <c r="F3108" s="67" t="str">
        <f t="shared" si="12"/>
        <v>2 LeadGen Set Appointments</v>
      </c>
    </row>
    <row r="3109" hidden="1">
      <c r="A3109" s="6" t="s">
        <v>44</v>
      </c>
      <c r="B3109" s="8" t="s">
        <v>240</v>
      </c>
      <c r="C3109" s="8" t="s">
        <v>241</v>
      </c>
      <c r="D3109" s="9">
        <v>2.0</v>
      </c>
      <c r="E3109" s="67">
        <f t="shared" si="11"/>
        <v>500</v>
      </c>
      <c r="F3109" s="67" t="str">
        <f t="shared" si="12"/>
        <v>2 LeadGen Set Appointments</v>
      </c>
    </row>
    <row r="3110" hidden="1">
      <c r="A3110" s="6" t="s">
        <v>44</v>
      </c>
      <c r="B3110" s="8" t="s">
        <v>238</v>
      </c>
      <c r="C3110" s="8" t="s">
        <v>1890</v>
      </c>
      <c r="D3110" s="9">
        <v>2.0</v>
      </c>
      <c r="E3110" s="67">
        <f t="shared" si="11"/>
        <v>500</v>
      </c>
      <c r="F3110" s="67" t="str">
        <f t="shared" si="12"/>
        <v>2 LeadGen Set Appointments</v>
      </c>
    </row>
    <row r="3111" hidden="1">
      <c r="A3111" s="6" t="s">
        <v>44</v>
      </c>
      <c r="B3111" s="8" t="s">
        <v>1891</v>
      </c>
      <c r="C3111" s="8" t="s">
        <v>1892</v>
      </c>
      <c r="D3111" s="9">
        <v>4.0</v>
      </c>
      <c r="E3111" s="67">
        <f t="shared" si="11"/>
        <v>1000</v>
      </c>
      <c r="F3111" s="67" t="str">
        <f t="shared" si="12"/>
        <v>4 LeadGen Set Appointments</v>
      </c>
    </row>
    <row r="3112" hidden="1">
      <c r="A3112" s="6" t="s">
        <v>46</v>
      </c>
      <c r="B3112" s="13" t="s">
        <v>644</v>
      </c>
      <c r="C3112" s="13" t="s">
        <v>645</v>
      </c>
      <c r="D3112" s="15">
        <v>35.0</v>
      </c>
      <c r="E3112" s="67">
        <f t="shared" si="11"/>
        <v>17500</v>
      </c>
      <c r="F3112" s="62" t="str">
        <f t="shared" si="12"/>
        <v>35 LeadGen Set Appointments</v>
      </c>
    </row>
    <row r="3113" hidden="1">
      <c r="A3113" s="6" t="s">
        <v>46</v>
      </c>
      <c r="B3113" s="13" t="s">
        <v>476</v>
      </c>
      <c r="C3113" s="13" t="s">
        <v>477</v>
      </c>
      <c r="D3113" s="15">
        <v>31.0</v>
      </c>
      <c r="E3113" s="67">
        <f t="shared" si="11"/>
        <v>15500</v>
      </c>
      <c r="F3113" s="62" t="str">
        <f t="shared" si="12"/>
        <v>31 LeadGen Set Appointments</v>
      </c>
    </row>
    <row r="3114" hidden="1">
      <c r="A3114" s="6" t="s">
        <v>46</v>
      </c>
      <c r="B3114" s="13" t="s">
        <v>540</v>
      </c>
      <c r="C3114" s="13" t="s">
        <v>1454</v>
      </c>
      <c r="D3114" s="15">
        <v>21.0</v>
      </c>
      <c r="E3114" s="67">
        <f t="shared" si="11"/>
        <v>10500</v>
      </c>
      <c r="F3114" s="62" t="str">
        <f t="shared" si="12"/>
        <v>21 LeadGen Set Appointments</v>
      </c>
    </row>
    <row r="3115" hidden="1">
      <c r="A3115" s="6" t="s">
        <v>46</v>
      </c>
      <c r="B3115" s="13" t="s">
        <v>1471</v>
      </c>
      <c r="C3115" s="13" t="s">
        <v>1472</v>
      </c>
      <c r="D3115" s="15">
        <v>20.0</v>
      </c>
      <c r="E3115" s="67">
        <f t="shared" si="11"/>
        <v>10000</v>
      </c>
      <c r="F3115" s="62" t="str">
        <f t="shared" si="12"/>
        <v>20 LeadGen Set Appointments</v>
      </c>
    </row>
    <row r="3116" hidden="1">
      <c r="A3116" s="6" t="s">
        <v>46</v>
      </c>
      <c r="B3116" s="13" t="s">
        <v>723</v>
      </c>
      <c r="C3116" s="13" t="s">
        <v>724</v>
      </c>
      <c r="D3116" s="15">
        <v>18.0</v>
      </c>
      <c r="E3116" s="67">
        <f t="shared" si="11"/>
        <v>9000</v>
      </c>
      <c r="F3116" s="62" t="str">
        <f t="shared" si="12"/>
        <v>18 LeadGen Set Appointments</v>
      </c>
    </row>
    <row r="3117" hidden="1">
      <c r="A3117" s="6" t="s">
        <v>46</v>
      </c>
      <c r="B3117" s="13" t="s">
        <v>1489</v>
      </c>
      <c r="C3117" s="13" t="s">
        <v>1490</v>
      </c>
      <c r="D3117" s="15">
        <v>16.0</v>
      </c>
      <c r="E3117" s="67">
        <f t="shared" si="11"/>
        <v>8000</v>
      </c>
      <c r="F3117" s="62" t="str">
        <f t="shared" si="12"/>
        <v>16 LeadGen Set Appointments</v>
      </c>
    </row>
    <row r="3118" hidden="1">
      <c r="A3118" s="6" t="s">
        <v>46</v>
      </c>
      <c r="B3118" s="13" t="s">
        <v>1491</v>
      </c>
      <c r="C3118" s="13" t="s">
        <v>1492</v>
      </c>
      <c r="D3118" s="15">
        <v>16.0</v>
      </c>
      <c r="E3118" s="67">
        <f t="shared" si="11"/>
        <v>8000</v>
      </c>
      <c r="F3118" s="62" t="str">
        <f t="shared" si="12"/>
        <v>16 LeadGen Set Appointments</v>
      </c>
    </row>
    <row r="3119" hidden="1">
      <c r="A3119" s="6" t="s">
        <v>46</v>
      </c>
      <c r="B3119" s="13" t="s">
        <v>1865</v>
      </c>
      <c r="C3119" s="13" t="s">
        <v>1866</v>
      </c>
      <c r="D3119" s="15">
        <v>16.0</v>
      </c>
      <c r="E3119" s="67">
        <f t="shared" si="11"/>
        <v>8000</v>
      </c>
      <c r="F3119" s="62" t="str">
        <f t="shared" si="12"/>
        <v>16 LeadGen Set Appointments</v>
      </c>
    </row>
    <row r="3120" hidden="1">
      <c r="A3120" s="6" t="s">
        <v>46</v>
      </c>
      <c r="B3120" s="13" t="s">
        <v>766</v>
      </c>
      <c r="C3120" s="13" t="s">
        <v>767</v>
      </c>
      <c r="D3120" s="15">
        <v>15.0</v>
      </c>
      <c r="E3120" s="67">
        <f t="shared" si="11"/>
        <v>7500</v>
      </c>
      <c r="F3120" s="62" t="str">
        <f t="shared" si="12"/>
        <v>15 LeadGen Set Appointments</v>
      </c>
    </row>
    <row r="3121" hidden="1">
      <c r="A3121" s="6" t="s">
        <v>46</v>
      </c>
      <c r="B3121" s="8" t="s">
        <v>516</v>
      </c>
      <c r="C3121" s="8" t="s">
        <v>517</v>
      </c>
      <c r="D3121" s="9">
        <v>13.0</v>
      </c>
      <c r="E3121" s="67">
        <f t="shared" si="11"/>
        <v>6500</v>
      </c>
      <c r="F3121" s="67" t="str">
        <f t="shared" si="12"/>
        <v>13 LeadGen Set Appointments</v>
      </c>
    </row>
    <row r="3122" hidden="1">
      <c r="A3122" s="6" t="s">
        <v>46</v>
      </c>
      <c r="B3122" s="13" t="s">
        <v>435</v>
      </c>
      <c r="C3122" s="13" t="s">
        <v>436</v>
      </c>
      <c r="D3122" s="15">
        <v>13.0</v>
      </c>
      <c r="E3122" s="67">
        <f t="shared" si="11"/>
        <v>6500</v>
      </c>
      <c r="F3122" s="62" t="str">
        <f t="shared" si="12"/>
        <v>13 LeadGen Set Appointments</v>
      </c>
    </row>
    <row r="3123" hidden="1">
      <c r="A3123" s="6" t="s">
        <v>46</v>
      </c>
      <c r="B3123" s="13" t="s">
        <v>1861</v>
      </c>
      <c r="C3123" s="13" t="s">
        <v>1862</v>
      </c>
      <c r="D3123" s="15">
        <v>12.0</v>
      </c>
      <c r="E3123" s="67">
        <f t="shared" si="11"/>
        <v>6000</v>
      </c>
      <c r="F3123" s="62" t="str">
        <f t="shared" si="12"/>
        <v>12 LeadGen Set Appointments</v>
      </c>
    </row>
    <row r="3124" hidden="1">
      <c r="A3124" s="6" t="s">
        <v>46</v>
      </c>
      <c r="B3124" s="13" t="s">
        <v>1557</v>
      </c>
      <c r="C3124" s="13" t="s">
        <v>1558</v>
      </c>
      <c r="D3124" s="15">
        <v>12.0</v>
      </c>
      <c r="E3124" s="67">
        <f t="shared" si="11"/>
        <v>6000</v>
      </c>
      <c r="F3124" s="62" t="str">
        <f t="shared" si="12"/>
        <v>12 LeadGen Set Appointments</v>
      </c>
    </row>
    <row r="3125" hidden="1">
      <c r="A3125" s="6" t="s">
        <v>46</v>
      </c>
      <c r="B3125" s="13" t="s">
        <v>1510</v>
      </c>
      <c r="C3125" s="13" t="s">
        <v>1511</v>
      </c>
      <c r="D3125" s="15">
        <v>11.0</v>
      </c>
      <c r="E3125" s="67">
        <f t="shared" si="11"/>
        <v>5500</v>
      </c>
      <c r="F3125" s="62" t="str">
        <f t="shared" si="12"/>
        <v>11 LeadGen Set Appointments</v>
      </c>
    </row>
    <row r="3126" hidden="1">
      <c r="A3126" s="6" t="s">
        <v>46</v>
      </c>
      <c r="B3126" s="13" t="s">
        <v>242</v>
      </c>
      <c r="C3126" s="13" t="s">
        <v>1887</v>
      </c>
      <c r="D3126" s="15">
        <v>11.0</v>
      </c>
      <c r="E3126" s="67">
        <f t="shared" si="11"/>
        <v>5500</v>
      </c>
      <c r="F3126" s="62" t="str">
        <f t="shared" si="12"/>
        <v>11 LeadGen Set Appointments</v>
      </c>
    </row>
    <row r="3127" hidden="1">
      <c r="A3127" s="6" t="s">
        <v>46</v>
      </c>
      <c r="B3127" s="13" t="s">
        <v>1455</v>
      </c>
      <c r="C3127" s="13" t="s">
        <v>1456</v>
      </c>
      <c r="D3127" s="15">
        <v>10.0</v>
      </c>
      <c r="E3127" s="67">
        <f t="shared" si="11"/>
        <v>5000</v>
      </c>
      <c r="F3127" s="62" t="str">
        <f t="shared" si="12"/>
        <v>10 LeadGen Set Appointments</v>
      </c>
    </row>
    <row r="3128" hidden="1">
      <c r="A3128" s="6" t="s">
        <v>46</v>
      </c>
      <c r="B3128" s="13" t="s">
        <v>1774</v>
      </c>
      <c r="C3128" s="13" t="s">
        <v>1775</v>
      </c>
      <c r="D3128" s="15">
        <v>10.0</v>
      </c>
      <c r="E3128" s="67">
        <f t="shared" si="11"/>
        <v>5000</v>
      </c>
      <c r="F3128" s="62" t="str">
        <f t="shared" si="12"/>
        <v>10 LeadGen Set Appointments</v>
      </c>
    </row>
    <row r="3129" hidden="1">
      <c r="A3129" s="6" t="s">
        <v>46</v>
      </c>
      <c r="B3129" s="8" t="s">
        <v>1475</v>
      </c>
      <c r="C3129" s="8" t="s">
        <v>1476</v>
      </c>
      <c r="D3129" s="9">
        <v>10.0</v>
      </c>
      <c r="E3129" s="67">
        <f t="shared" si="11"/>
        <v>5000</v>
      </c>
      <c r="F3129" s="67" t="str">
        <f t="shared" si="12"/>
        <v>10 LeadGen Set Appointments</v>
      </c>
    </row>
    <row r="3130" hidden="1">
      <c r="A3130" s="6" t="s">
        <v>46</v>
      </c>
      <c r="B3130" s="8" t="s">
        <v>640</v>
      </c>
      <c r="C3130" s="8" t="s">
        <v>641</v>
      </c>
      <c r="D3130" s="9">
        <v>10.0</v>
      </c>
      <c r="E3130" s="67">
        <f t="shared" si="11"/>
        <v>5000</v>
      </c>
      <c r="F3130" s="67" t="str">
        <f t="shared" si="12"/>
        <v>10 LeadGen Set Appointments</v>
      </c>
    </row>
    <row r="3131" hidden="1">
      <c r="A3131" s="6" t="s">
        <v>46</v>
      </c>
      <c r="B3131" s="8" t="s">
        <v>1723</v>
      </c>
      <c r="C3131" s="8" t="s">
        <v>32</v>
      </c>
      <c r="D3131" s="9">
        <v>10.0</v>
      </c>
      <c r="E3131" s="67">
        <f t="shared" si="11"/>
        <v>5000</v>
      </c>
      <c r="F3131" s="67" t="str">
        <f t="shared" si="12"/>
        <v>10 LeadGen Set Appointments</v>
      </c>
    </row>
    <row r="3132" hidden="1">
      <c r="A3132" s="6" t="s">
        <v>46</v>
      </c>
      <c r="B3132" s="13" t="s">
        <v>699</v>
      </c>
      <c r="C3132" s="13" t="s">
        <v>700</v>
      </c>
      <c r="D3132" s="15">
        <v>10.0</v>
      </c>
      <c r="E3132" s="67">
        <f t="shared" si="11"/>
        <v>5000</v>
      </c>
      <c r="F3132" s="62" t="str">
        <f t="shared" si="12"/>
        <v>10 LeadGen Set Appointments</v>
      </c>
    </row>
    <row r="3133" hidden="1">
      <c r="A3133" s="6" t="s">
        <v>46</v>
      </c>
      <c r="B3133" s="13" t="s">
        <v>411</v>
      </c>
      <c r="C3133" s="13" t="s">
        <v>412</v>
      </c>
      <c r="D3133" s="15">
        <v>10.0</v>
      </c>
      <c r="E3133" s="67">
        <f t="shared" si="11"/>
        <v>5000</v>
      </c>
      <c r="F3133" s="62" t="str">
        <f t="shared" si="12"/>
        <v>10 LeadGen Set Appointments</v>
      </c>
    </row>
    <row r="3134" hidden="1">
      <c r="A3134" s="6" t="s">
        <v>46</v>
      </c>
      <c r="B3134" s="13" t="s">
        <v>1573</v>
      </c>
      <c r="C3134" s="13" t="s">
        <v>1574</v>
      </c>
      <c r="D3134" s="15">
        <v>10.0</v>
      </c>
      <c r="E3134" s="67">
        <f t="shared" si="11"/>
        <v>5000</v>
      </c>
      <c r="F3134" s="62" t="str">
        <f t="shared" si="12"/>
        <v>10 LeadGen Set Appointments</v>
      </c>
    </row>
    <row r="3135" hidden="1">
      <c r="A3135" s="6" t="s">
        <v>46</v>
      </c>
      <c r="B3135" s="13" t="s">
        <v>1700</v>
      </c>
      <c r="C3135" s="13" t="s">
        <v>1701</v>
      </c>
      <c r="D3135" s="15">
        <v>10.0</v>
      </c>
      <c r="E3135" s="67">
        <f t="shared" si="11"/>
        <v>5000</v>
      </c>
      <c r="F3135" s="62" t="str">
        <f t="shared" si="12"/>
        <v>10 LeadGen Set Appointments</v>
      </c>
    </row>
    <row r="3136" hidden="1">
      <c r="A3136" s="6" t="s">
        <v>46</v>
      </c>
      <c r="B3136" s="13" t="s">
        <v>1506</v>
      </c>
      <c r="C3136" s="13" t="s">
        <v>1507</v>
      </c>
      <c r="D3136" s="15">
        <v>11.0</v>
      </c>
      <c r="E3136" s="67">
        <f t="shared" si="11"/>
        <v>5500</v>
      </c>
      <c r="F3136" s="62" t="str">
        <f t="shared" si="12"/>
        <v>11 LeadGen Set Appointments</v>
      </c>
    </row>
    <row r="3137" hidden="1">
      <c r="A3137" s="6" t="s">
        <v>46</v>
      </c>
      <c r="B3137" s="13" t="s">
        <v>1025</v>
      </c>
      <c r="C3137" s="13" t="s">
        <v>1026</v>
      </c>
      <c r="D3137" s="15">
        <v>14.0</v>
      </c>
      <c r="E3137" s="67">
        <f t="shared" si="11"/>
        <v>7000</v>
      </c>
      <c r="F3137" s="62" t="str">
        <f t="shared" si="12"/>
        <v>14 LeadGen Set Appointments</v>
      </c>
    </row>
    <row r="3138" hidden="1">
      <c r="A3138" s="6" t="s">
        <v>46</v>
      </c>
      <c r="B3138" s="8" t="s">
        <v>1463</v>
      </c>
      <c r="C3138" s="8" t="s">
        <v>1464</v>
      </c>
      <c r="D3138" s="9">
        <v>9.0</v>
      </c>
      <c r="E3138" s="67">
        <f t="shared" si="11"/>
        <v>2250</v>
      </c>
      <c r="F3138" s="67" t="str">
        <f t="shared" si="12"/>
        <v>9 LeadGen Set Appointments</v>
      </c>
    </row>
    <row r="3139" hidden="1">
      <c r="A3139" s="6" t="s">
        <v>46</v>
      </c>
      <c r="B3139" s="8" t="s">
        <v>1606</v>
      </c>
      <c r="C3139" s="8" t="s">
        <v>1607</v>
      </c>
      <c r="D3139" s="9">
        <v>9.0</v>
      </c>
      <c r="E3139" s="67">
        <f t="shared" si="11"/>
        <v>2250</v>
      </c>
      <c r="F3139" s="67" t="str">
        <f t="shared" si="12"/>
        <v>9 LeadGen Set Appointments</v>
      </c>
    </row>
    <row r="3140" hidden="1">
      <c r="A3140" s="6" t="s">
        <v>46</v>
      </c>
      <c r="B3140" s="8" t="s">
        <v>1668</v>
      </c>
      <c r="C3140" s="8" t="s">
        <v>1669</v>
      </c>
      <c r="D3140" s="9">
        <v>9.0</v>
      </c>
      <c r="E3140" s="67">
        <f t="shared" si="11"/>
        <v>2250</v>
      </c>
      <c r="F3140" s="67" t="str">
        <f t="shared" si="12"/>
        <v>9 LeadGen Set Appointments</v>
      </c>
    </row>
    <row r="3141" hidden="1">
      <c r="A3141" s="6" t="s">
        <v>46</v>
      </c>
      <c r="B3141" s="8" t="s">
        <v>510</v>
      </c>
      <c r="C3141" s="8" t="s">
        <v>511</v>
      </c>
      <c r="D3141" s="9">
        <v>9.0</v>
      </c>
      <c r="E3141" s="67">
        <f t="shared" si="11"/>
        <v>2250</v>
      </c>
      <c r="F3141" s="67" t="str">
        <f t="shared" si="12"/>
        <v>9 LeadGen Set Appointments</v>
      </c>
    </row>
    <row r="3142" hidden="1">
      <c r="A3142" s="6" t="s">
        <v>46</v>
      </c>
      <c r="B3142" s="13" t="s">
        <v>1825</v>
      </c>
      <c r="C3142" s="13" t="s">
        <v>1826</v>
      </c>
      <c r="D3142" s="15">
        <v>9.0</v>
      </c>
      <c r="E3142" s="67">
        <f t="shared" si="11"/>
        <v>2250</v>
      </c>
      <c r="F3142" s="62" t="str">
        <f t="shared" si="12"/>
        <v>9 LeadGen Set Appointments</v>
      </c>
    </row>
    <row r="3143" hidden="1">
      <c r="A3143" s="6" t="s">
        <v>46</v>
      </c>
      <c r="B3143" s="13" t="s">
        <v>624</v>
      </c>
      <c r="C3143" s="13" t="s">
        <v>625</v>
      </c>
      <c r="D3143" s="15">
        <v>9.0</v>
      </c>
      <c r="E3143" s="67">
        <f t="shared" si="11"/>
        <v>2250</v>
      </c>
      <c r="F3143" s="62" t="str">
        <f t="shared" si="12"/>
        <v>9 LeadGen Set Appointments</v>
      </c>
    </row>
    <row r="3144" hidden="1">
      <c r="A3144" s="6" t="s">
        <v>46</v>
      </c>
      <c r="B3144" s="13" t="s">
        <v>1459</v>
      </c>
      <c r="C3144" s="13" t="s">
        <v>1460</v>
      </c>
      <c r="D3144" s="15">
        <v>8.0</v>
      </c>
      <c r="E3144" s="67">
        <f t="shared" si="11"/>
        <v>2000</v>
      </c>
      <c r="F3144" s="62" t="str">
        <f t="shared" si="12"/>
        <v>8 LeadGen Set Appointments</v>
      </c>
    </row>
    <row r="3145" hidden="1">
      <c r="A3145" s="6" t="s">
        <v>46</v>
      </c>
      <c r="B3145" s="13" t="s">
        <v>1893</v>
      </c>
      <c r="C3145" s="13" t="s">
        <v>1894</v>
      </c>
      <c r="D3145" s="15">
        <v>8.0</v>
      </c>
      <c r="E3145" s="67">
        <f t="shared" si="11"/>
        <v>2000</v>
      </c>
      <c r="F3145" s="62" t="str">
        <f t="shared" si="12"/>
        <v>8 LeadGen Set Appointments</v>
      </c>
    </row>
    <row r="3146" hidden="1">
      <c r="A3146" s="6" t="s">
        <v>46</v>
      </c>
      <c r="B3146" s="13" t="s">
        <v>1467</v>
      </c>
      <c r="C3146" s="13" t="s">
        <v>1468</v>
      </c>
      <c r="D3146" s="15">
        <v>8.0</v>
      </c>
      <c r="E3146" s="67">
        <f t="shared" si="11"/>
        <v>2000</v>
      </c>
      <c r="F3146" s="62" t="str">
        <f t="shared" si="12"/>
        <v>8 LeadGen Set Appointments</v>
      </c>
    </row>
    <row r="3147" hidden="1">
      <c r="A3147" s="6" t="s">
        <v>46</v>
      </c>
      <c r="B3147" s="13" t="s">
        <v>238</v>
      </c>
      <c r="C3147" s="13" t="s">
        <v>1890</v>
      </c>
      <c r="D3147" s="15">
        <v>8.0</v>
      </c>
      <c r="E3147" s="67">
        <f t="shared" si="11"/>
        <v>2000</v>
      </c>
      <c r="F3147" s="62" t="str">
        <f t="shared" si="12"/>
        <v>8 LeadGen Set Appointments</v>
      </c>
    </row>
    <row r="3148" hidden="1">
      <c r="A3148" s="6" t="s">
        <v>46</v>
      </c>
      <c r="B3148" s="13" t="s">
        <v>1477</v>
      </c>
      <c r="C3148" s="13" t="s">
        <v>1478</v>
      </c>
      <c r="D3148" s="15">
        <v>8.0</v>
      </c>
      <c r="E3148" s="67">
        <f t="shared" si="11"/>
        <v>2000</v>
      </c>
      <c r="F3148" s="62" t="str">
        <f t="shared" si="12"/>
        <v>8 LeadGen Set Appointments</v>
      </c>
    </row>
    <row r="3149" hidden="1">
      <c r="A3149" s="6" t="s">
        <v>46</v>
      </c>
      <c r="B3149" s="13" t="s">
        <v>1514</v>
      </c>
      <c r="C3149" s="13" t="s">
        <v>1515</v>
      </c>
      <c r="D3149" s="15">
        <v>8.0</v>
      </c>
      <c r="E3149" s="67">
        <f t="shared" si="11"/>
        <v>2000</v>
      </c>
      <c r="F3149" s="62" t="str">
        <f t="shared" si="12"/>
        <v>8 LeadGen Set Appointments</v>
      </c>
    </row>
    <row r="3150" hidden="1">
      <c r="A3150" s="6" t="s">
        <v>46</v>
      </c>
      <c r="B3150" s="8" t="s">
        <v>1481</v>
      </c>
      <c r="C3150" s="8" t="s">
        <v>1482</v>
      </c>
      <c r="D3150" s="9">
        <v>8.0</v>
      </c>
      <c r="E3150" s="67">
        <f t="shared" si="11"/>
        <v>2000</v>
      </c>
      <c r="F3150" s="67" t="str">
        <f t="shared" si="12"/>
        <v>8 LeadGen Set Appointments</v>
      </c>
    </row>
    <row r="3151" hidden="1">
      <c r="A3151" s="6" t="s">
        <v>46</v>
      </c>
      <c r="B3151" s="8" t="s">
        <v>1895</v>
      </c>
      <c r="C3151" s="8" t="s">
        <v>1896</v>
      </c>
      <c r="D3151" s="9">
        <v>7.0</v>
      </c>
      <c r="E3151" s="67">
        <f t="shared" si="11"/>
        <v>1750</v>
      </c>
      <c r="F3151" s="67" t="str">
        <f t="shared" si="12"/>
        <v>7 LeadGen Set Appointments</v>
      </c>
    </row>
    <row r="3152" hidden="1">
      <c r="A3152" s="6" t="s">
        <v>46</v>
      </c>
      <c r="B3152" s="8" t="s">
        <v>736</v>
      </c>
      <c r="C3152" s="8" t="s">
        <v>737</v>
      </c>
      <c r="D3152" s="9">
        <v>7.0</v>
      </c>
      <c r="E3152" s="67">
        <f t="shared" si="11"/>
        <v>1750</v>
      </c>
      <c r="F3152" s="67" t="str">
        <f t="shared" si="12"/>
        <v>7 LeadGen Set Appointments</v>
      </c>
    </row>
    <row r="3153" hidden="1">
      <c r="A3153" s="6" t="s">
        <v>46</v>
      </c>
      <c r="B3153" s="8" t="s">
        <v>1547</v>
      </c>
      <c r="C3153" s="8" t="s">
        <v>1548</v>
      </c>
      <c r="D3153" s="9">
        <v>7.0</v>
      </c>
      <c r="E3153" s="67">
        <f t="shared" si="11"/>
        <v>1750</v>
      </c>
      <c r="F3153" s="67" t="str">
        <f t="shared" si="12"/>
        <v>7 LeadGen Set Appointments</v>
      </c>
    </row>
    <row r="3154" hidden="1">
      <c r="A3154" s="6" t="s">
        <v>46</v>
      </c>
      <c r="B3154" s="8" t="s">
        <v>1461</v>
      </c>
      <c r="C3154" s="8" t="s">
        <v>1462</v>
      </c>
      <c r="D3154" s="9">
        <v>7.0</v>
      </c>
      <c r="E3154" s="67">
        <f t="shared" si="11"/>
        <v>1750</v>
      </c>
      <c r="F3154" s="67" t="str">
        <f t="shared" si="12"/>
        <v>7 LeadGen Set Appointments</v>
      </c>
    </row>
    <row r="3155" hidden="1">
      <c r="A3155" s="6" t="s">
        <v>46</v>
      </c>
      <c r="B3155" s="8" t="s">
        <v>502</v>
      </c>
      <c r="C3155" s="8" t="s">
        <v>503</v>
      </c>
      <c r="D3155" s="9">
        <v>7.0</v>
      </c>
      <c r="E3155" s="67">
        <f t="shared" si="11"/>
        <v>1750</v>
      </c>
      <c r="F3155" s="67" t="str">
        <f t="shared" si="12"/>
        <v>7 LeadGen Set Appointments</v>
      </c>
    </row>
    <row r="3156" hidden="1">
      <c r="A3156" s="6" t="s">
        <v>46</v>
      </c>
      <c r="B3156" s="13" t="s">
        <v>582</v>
      </c>
      <c r="C3156" s="13" t="s">
        <v>583</v>
      </c>
      <c r="D3156" s="15">
        <v>7.0</v>
      </c>
      <c r="E3156" s="67">
        <f t="shared" si="11"/>
        <v>1750</v>
      </c>
      <c r="F3156" s="62" t="str">
        <f t="shared" si="12"/>
        <v>7 LeadGen Set Appointments</v>
      </c>
    </row>
    <row r="3157" hidden="1">
      <c r="A3157" s="6" t="s">
        <v>46</v>
      </c>
      <c r="B3157" s="13" t="s">
        <v>1897</v>
      </c>
      <c r="C3157" s="13" t="s">
        <v>1898</v>
      </c>
      <c r="D3157" s="15">
        <v>7.0</v>
      </c>
      <c r="E3157" s="67">
        <f t="shared" si="11"/>
        <v>1750</v>
      </c>
      <c r="F3157" s="62" t="str">
        <f t="shared" si="12"/>
        <v>7 LeadGen Set Appointments</v>
      </c>
    </row>
    <row r="3158" hidden="1">
      <c r="A3158" s="6" t="s">
        <v>46</v>
      </c>
      <c r="B3158" s="13" t="s">
        <v>746</v>
      </c>
      <c r="C3158" s="13" t="s">
        <v>747</v>
      </c>
      <c r="D3158" s="15">
        <v>7.0</v>
      </c>
      <c r="E3158" s="67">
        <f t="shared" si="11"/>
        <v>1750</v>
      </c>
      <c r="F3158" s="62" t="str">
        <f t="shared" si="12"/>
        <v>7 LeadGen Set Appointments</v>
      </c>
    </row>
    <row r="3159" hidden="1">
      <c r="A3159" s="6" t="s">
        <v>46</v>
      </c>
      <c r="B3159" s="13" t="s">
        <v>1483</v>
      </c>
      <c r="C3159" s="13" t="s">
        <v>1484</v>
      </c>
      <c r="D3159" s="15">
        <v>7.0</v>
      </c>
      <c r="E3159" s="67">
        <f t="shared" si="11"/>
        <v>1750</v>
      </c>
      <c r="F3159" s="62" t="str">
        <f t="shared" si="12"/>
        <v>7 LeadGen Set Appointments</v>
      </c>
    </row>
    <row r="3160" hidden="1">
      <c r="A3160" s="6" t="s">
        <v>46</v>
      </c>
      <c r="B3160" s="13" t="s">
        <v>1704</v>
      </c>
      <c r="C3160" s="13" t="s">
        <v>1705</v>
      </c>
      <c r="D3160" s="15">
        <v>6.0</v>
      </c>
      <c r="E3160" s="67">
        <f t="shared" si="11"/>
        <v>1500</v>
      </c>
      <c r="F3160" s="62" t="str">
        <f t="shared" si="12"/>
        <v>6 LeadGen Set Appointments</v>
      </c>
    </row>
    <row r="3161" hidden="1">
      <c r="A3161" s="6" t="s">
        <v>46</v>
      </c>
      <c r="B3161" s="13" t="s">
        <v>500</v>
      </c>
      <c r="C3161" s="13" t="s">
        <v>501</v>
      </c>
      <c r="D3161" s="15">
        <v>6.0</v>
      </c>
      <c r="E3161" s="67">
        <f t="shared" si="11"/>
        <v>1500</v>
      </c>
      <c r="F3161" s="62" t="str">
        <f t="shared" si="12"/>
        <v>6 LeadGen Set Appointments</v>
      </c>
    </row>
    <row r="3162" hidden="1">
      <c r="A3162" s="6" t="s">
        <v>46</v>
      </c>
      <c r="B3162" s="8" t="s">
        <v>1543</v>
      </c>
      <c r="C3162" s="8" t="s">
        <v>1544</v>
      </c>
      <c r="D3162" s="9">
        <v>6.0</v>
      </c>
      <c r="E3162" s="67">
        <f t="shared" si="11"/>
        <v>1500</v>
      </c>
      <c r="F3162" s="67" t="str">
        <f t="shared" si="12"/>
        <v>6 LeadGen Set Appointments</v>
      </c>
    </row>
    <row r="3163" hidden="1">
      <c r="A3163" s="6" t="s">
        <v>46</v>
      </c>
      <c r="B3163" s="8" t="s">
        <v>684</v>
      </c>
      <c r="C3163" s="8" t="s">
        <v>685</v>
      </c>
      <c r="D3163" s="9">
        <v>6.0</v>
      </c>
      <c r="E3163" s="67">
        <f t="shared" si="11"/>
        <v>1500</v>
      </c>
      <c r="F3163" s="67" t="str">
        <f t="shared" si="12"/>
        <v>6 LeadGen Set Appointments</v>
      </c>
    </row>
    <row r="3164" hidden="1">
      <c r="A3164" s="6" t="s">
        <v>46</v>
      </c>
      <c r="B3164" s="8" t="s">
        <v>1504</v>
      </c>
      <c r="C3164" s="8" t="s">
        <v>1505</v>
      </c>
      <c r="D3164" s="9">
        <v>6.0</v>
      </c>
      <c r="E3164" s="67">
        <f t="shared" si="11"/>
        <v>1500</v>
      </c>
      <c r="F3164" s="67" t="str">
        <f t="shared" si="12"/>
        <v>6 LeadGen Set Appointments</v>
      </c>
    </row>
    <row r="3165" hidden="1">
      <c r="A3165" s="6" t="s">
        <v>46</v>
      </c>
      <c r="B3165" s="8" t="s">
        <v>240</v>
      </c>
      <c r="C3165" s="8" t="s">
        <v>241</v>
      </c>
      <c r="D3165" s="9">
        <v>6.0</v>
      </c>
      <c r="E3165" s="67">
        <f t="shared" si="11"/>
        <v>1500</v>
      </c>
      <c r="F3165" s="67" t="str">
        <f t="shared" si="12"/>
        <v>6 LeadGen Set Appointments</v>
      </c>
    </row>
    <row r="3166" hidden="1">
      <c r="A3166" s="6" t="s">
        <v>46</v>
      </c>
      <c r="B3166" s="8" t="s">
        <v>1583</v>
      </c>
      <c r="C3166" s="8" t="s">
        <v>1584</v>
      </c>
      <c r="D3166" s="9">
        <v>6.0</v>
      </c>
      <c r="E3166" s="67">
        <f t="shared" si="11"/>
        <v>1500</v>
      </c>
      <c r="F3166" s="67" t="str">
        <f t="shared" si="12"/>
        <v>6 LeadGen Set Appointments</v>
      </c>
    </row>
    <row r="3167" hidden="1">
      <c r="A3167" s="6" t="s">
        <v>46</v>
      </c>
      <c r="B3167" s="8" t="s">
        <v>1859</v>
      </c>
      <c r="C3167" s="8" t="s">
        <v>1860</v>
      </c>
      <c r="D3167" s="9">
        <v>6.0</v>
      </c>
      <c r="E3167" s="67">
        <f t="shared" si="11"/>
        <v>1500</v>
      </c>
      <c r="F3167" s="67" t="str">
        <f t="shared" si="12"/>
        <v>6 LeadGen Set Appointments</v>
      </c>
    </row>
    <row r="3168" hidden="1">
      <c r="A3168" s="6" t="s">
        <v>46</v>
      </c>
      <c r="B3168" s="8" t="s">
        <v>486</v>
      </c>
      <c r="C3168" s="8" t="s">
        <v>487</v>
      </c>
      <c r="D3168" s="9">
        <v>6.0</v>
      </c>
      <c r="E3168" s="67">
        <f t="shared" si="11"/>
        <v>1500</v>
      </c>
      <c r="F3168" s="67" t="str">
        <f t="shared" si="12"/>
        <v>6 LeadGen Set Appointments</v>
      </c>
    </row>
    <row r="3169" hidden="1">
      <c r="A3169" s="6" t="s">
        <v>46</v>
      </c>
      <c r="B3169" s="8" t="s">
        <v>1784</v>
      </c>
      <c r="C3169" s="8" t="s">
        <v>1785</v>
      </c>
      <c r="D3169" s="9">
        <v>6.0</v>
      </c>
      <c r="E3169" s="67">
        <f t="shared" si="11"/>
        <v>1500</v>
      </c>
      <c r="F3169" s="67" t="str">
        <f t="shared" si="12"/>
        <v>6 LeadGen Set Appointments</v>
      </c>
    </row>
    <row r="3170" hidden="1">
      <c r="A3170" s="6" t="s">
        <v>46</v>
      </c>
      <c r="B3170" s="8" t="s">
        <v>1716</v>
      </c>
      <c r="C3170" s="8" t="s">
        <v>30</v>
      </c>
      <c r="D3170" s="9">
        <v>6.0</v>
      </c>
      <c r="E3170" s="67">
        <f t="shared" si="11"/>
        <v>1500</v>
      </c>
      <c r="F3170" s="67" t="str">
        <f t="shared" si="12"/>
        <v>6 LeadGen Set Appointments</v>
      </c>
    </row>
    <row r="3171" hidden="1">
      <c r="A3171" s="6" t="s">
        <v>46</v>
      </c>
      <c r="B3171" s="8" t="s">
        <v>1776</v>
      </c>
      <c r="C3171" s="8" t="s">
        <v>1777</v>
      </c>
      <c r="D3171" s="9">
        <v>6.0</v>
      </c>
      <c r="E3171" s="67">
        <f t="shared" si="11"/>
        <v>1500</v>
      </c>
      <c r="F3171" s="67" t="str">
        <f t="shared" si="12"/>
        <v>6 LeadGen Set Appointments</v>
      </c>
    </row>
    <row r="3172" hidden="1">
      <c r="A3172" s="6" t="s">
        <v>46</v>
      </c>
      <c r="B3172" s="8" t="s">
        <v>628</v>
      </c>
      <c r="C3172" s="8" t="s">
        <v>629</v>
      </c>
      <c r="D3172" s="9">
        <v>5.0</v>
      </c>
      <c r="E3172" s="67">
        <f t="shared" si="11"/>
        <v>1250</v>
      </c>
      <c r="F3172" s="67" t="str">
        <f t="shared" si="12"/>
        <v>5 LeadGen Set Appointments</v>
      </c>
    </row>
    <row r="3173" hidden="1">
      <c r="A3173" s="6" t="s">
        <v>46</v>
      </c>
      <c r="B3173" s="8" t="s">
        <v>752</v>
      </c>
      <c r="C3173" s="8" t="s">
        <v>753</v>
      </c>
      <c r="D3173" s="9">
        <v>5.0</v>
      </c>
      <c r="E3173" s="67">
        <f t="shared" si="11"/>
        <v>1250</v>
      </c>
      <c r="F3173" s="67" t="str">
        <f t="shared" si="12"/>
        <v>5 LeadGen Set Appointments</v>
      </c>
    </row>
    <row r="3174" hidden="1">
      <c r="A3174" s="6" t="s">
        <v>46</v>
      </c>
      <c r="B3174" s="8" t="s">
        <v>1608</v>
      </c>
      <c r="C3174" s="8" t="s">
        <v>1609</v>
      </c>
      <c r="D3174" s="9">
        <v>5.0</v>
      </c>
      <c r="E3174" s="67">
        <f t="shared" si="11"/>
        <v>1250</v>
      </c>
      <c r="F3174" s="67" t="str">
        <f t="shared" si="12"/>
        <v>5 LeadGen Set Appointments</v>
      </c>
    </row>
    <row r="3175" hidden="1">
      <c r="A3175" s="6" t="s">
        <v>46</v>
      </c>
      <c r="B3175" s="8" t="s">
        <v>1748</v>
      </c>
      <c r="C3175" s="8" t="s">
        <v>1749</v>
      </c>
      <c r="D3175" s="9">
        <v>5.0</v>
      </c>
      <c r="E3175" s="67">
        <f t="shared" si="11"/>
        <v>1250</v>
      </c>
      <c r="F3175" s="67" t="str">
        <f t="shared" si="12"/>
        <v>5 LeadGen Set Appointments</v>
      </c>
    </row>
    <row r="3176" hidden="1">
      <c r="A3176" s="6" t="s">
        <v>46</v>
      </c>
      <c r="B3176" s="8" t="s">
        <v>1688</v>
      </c>
      <c r="C3176" s="8" t="s">
        <v>1689</v>
      </c>
      <c r="D3176" s="9">
        <v>5.0</v>
      </c>
      <c r="E3176" s="67">
        <f t="shared" si="11"/>
        <v>1250</v>
      </c>
      <c r="F3176" s="67" t="str">
        <f t="shared" si="12"/>
        <v>5 LeadGen Set Appointments</v>
      </c>
    </row>
    <row r="3177" hidden="1">
      <c r="A3177" s="6" t="s">
        <v>46</v>
      </c>
      <c r="B3177" s="8" t="s">
        <v>1415</v>
      </c>
      <c r="C3177" s="8" t="s">
        <v>1416</v>
      </c>
      <c r="D3177" s="9">
        <v>5.0</v>
      </c>
      <c r="E3177" s="67">
        <f t="shared" si="11"/>
        <v>1250</v>
      </c>
      <c r="F3177" s="67" t="str">
        <f t="shared" si="12"/>
        <v>5 LeadGen Set Appointments</v>
      </c>
    </row>
    <row r="3178" hidden="1">
      <c r="A3178" s="6" t="s">
        <v>46</v>
      </c>
      <c r="B3178" s="8" t="s">
        <v>1426</v>
      </c>
      <c r="C3178" s="8" t="s">
        <v>1427</v>
      </c>
      <c r="D3178" s="9">
        <v>5.0</v>
      </c>
      <c r="E3178" s="67">
        <f t="shared" si="11"/>
        <v>1250</v>
      </c>
      <c r="F3178" s="67" t="str">
        <f t="shared" si="12"/>
        <v>5 LeadGen Set Appointments</v>
      </c>
    </row>
    <row r="3179" hidden="1">
      <c r="A3179" s="6" t="s">
        <v>46</v>
      </c>
      <c r="B3179" s="8" t="s">
        <v>1724</v>
      </c>
      <c r="C3179" s="8" t="s">
        <v>1725</v>
      </c>
      <c r="D3179" s="9">
        <v>5.0</v>
      </c>
      <c r="E3179" s="67">
        <f t="shared" si="11"/>
        <v>1250</v>
      </c>
      <c r="F3179" s="67" t="str">
        <f t="shared" si="12"/>
        <v>5 LeadGen Set Appointments</v>
      </c>
    </row>
    <row r="3180" hidden="1">
      <c r="A3180" s="6" t="s">
        <v>46</v>
      </c>
      <c r="B3180" s="8" t="s">
        <v>1891</v>
      </c>
      <c r="C3180" s="8" t="s">
        <v>1892</v>
      </c>
      <c r="D3180" s="9">
        <v>5.0</v>
      </c>
      <c r="E3180" s="67">
        <f t="shared" si="11"/>
        <v>1250</v>
      </c>
      <c r="F3180" s="67" t="str">
        <f t="shared" si="12"/>
        <v>5 LeadGen Set Appointments</v>
      </c>
    </row>
    <row r="3181" hidden="1">
      <c r="A3181" s="6" t="s">
        <v>46</v>
      </c>
      <c r="B3181" s="8" t="s">
        <v>1657</v>
      </c>
      <c r="C3181" s="8" t="s">
        <v>1658</v>
      </c>
      <c r="D3181" s="9">
        <v>5.0</v>
      </c>
      <c r="E3181" s="67">
        <f t="shared" si="11"/>
        <v>1250</v>
      </c>
      <c r="F3181" s="67" t="str">
        <f t="shared" si="12"/>
        <v>5 LeadGen Set Appointments</v>
      </c>
    </row>
    <row r="3182" hidden="1">
      <c r="A3182" s="6" t="s">
        <v>46</v>
      </c>
      <c r="B3182" s="8" t="s">
        <v>1666</v>
      </c>
      <c r="C3182" s="8" t="s">
        <v>1667</v>
      </c>
      <c r="D3182" s="9">
        <v>5.0</v>
      </c>
      <c r="E3182" s="67">
        <f t="shared" si="11"/>
        <v>1250</v>
      </c>
      <c r="F3182" s="67" t="str">
        <f t="shared" si="12"/>
        <v>5 LeadGen Set Appointments</v>
      </c>
    </row>
    <row r="3183" hidden="1">
      <c r="A3183" s="6" t="s">
        <v>46</v>
      </c>
      <c r="B3183" s="8" t="s">
        <v>532</v>
      </c>
      <c r="C3183" s="8" t="s">
        <v>533</v>
      </c>
      <c r="D3183" s="9">
        <v>5.0</v>
      </c>
      <c r="E3183" s="67">
        <f t="shared" si="11"/>
        <v>1250</v>
      </c>
      <c r="F3183" s="67" t="str">
        <f t="shared" si="12"/>
        <v>5 LeadGen Set Appointments</v>
      </c>
    </row>
    <row r="3184" hidden="1">
      <c r="A3184" s="6" t="s">
        <v>46</v>
      </c>
      <c r="B3184" s="8" t="s">
        <v>1493</v>
      </c>
      <c r="C3184" s="8" t="s">
        <v>1494</v>
      </c>
      <c r="D3184" s="9">
        <v>5.0</v>
      </c>
      <c r="E3184" s="67">
        <f t="shared" si="11"/>
        <v>1250</v>
      </c>
      <c r="F3184" s="67" t="str">
        <f t="shared" si="12"/>
        <v>5 LeadGen Set Appointments</v>
      </c>
    </row>
    <row r="3185" hidden="1">
      <c r="A3185" s="6" t="s">
        <v>46</v>
      </c>
      <c r="B3185" s="8" t="s">
        <v>1571</v>
      </c>
      <c r="C3185" s="8" t="s">
        <v>1572</v>
      </c>
      <c r="D3185" s="9">
        <v>5.0</v>
      </c>
      <c r="E3185" s="67">
        <f t="shared" si="11"/>
        <v>1250</v>
      </c>
      <c r="F3185" s="67" t="str">
        <f t="shared" si="12"/>
        <v>5 LeadGen Set Appointments</v>
      </c>
    </row>
    <row r="3186" hidden="1">
      <c r="A3186" s="6" t="s">
        <v>46</v>
      </c>
      <c r="B3186" s="8" t="s">
        <v>701</v>
      </c>
      <c r="C3186" s="8" t="s">
        <v>702</v>
      </c>
      <c r="D3186" s="9">
        <v>5.0</v>
      </c>
      <c r="E3186" s="67">
        <f t="shared" si="11"/>
        <v>1250</v>
      </c>
      <c r="F3186" s="67" t="str">
        <f t="shared" si="12"/>
        <v>5 LeadGen Set Appointments</v>
      </c>
    </row>
    <row r="3187" hidden="1">
      <c r="A3187" s="6" t="s">
        <v>46</v>
      </c>
      <c r="B3187" s="8" t="s">
        <v>1283</v>
      </c>
      <c r="C3187" s="8" t="s">
        <v>404</v>
      </c>
      <c r="D3187" s="9">
        <v>5.0</v>
      </c>
      <c r="E3187" s="67">
        <f t="shared" si="11"/>
        <v>1250</v>
      </c>
      <c r="F3187" s="67" t="str">
        <f t="shared" si="12"/>
        <v>5 LeadGen Set Appointments</v>
      </c>
    </row>
    <row r="3188" hidden="1">
      <c r="A3188" s="6" t="s">
        <v>46</v>
      </c>
      <c r="B3188" s="8" t="s">
        <v>1706</v>
      </c>
      <c r="C3188" s="8" t="s">
        <v>1707</v>
      </c>
      <c r="D3188" s="9">
        <v>4.0</v>
      </c>
      <c r="E3188" s="67">
        <f t="shared" si="11"/>
        <v>1000</v>
      </c>
      <c r="F3188" s="67" t="str">
        <f t="shared" si="12"/>
        <v>4 LeadGen Set Appointments</v>
      </c>
    </row>
    <row r="3189" hidden="1">
      <c r="A3189" s="6" t="s">
        <v>46</v>
      </c>
      <c r="B3189" s="8" t="s">
        <v>1577</v>
      </c>
      <c r="C3189" s="8" t="s">
        <v>1578</v>
      </c>
      <c r="D3189" s="9">
        <v>4.0</v>
      </c>
      <c r="E3189" s="67">
        <f t="shared" si="11"/>
        <v>1000</v>
      </c>
      <c r="F3189" s="67" t="str">
        <f t="shared" si="12"/>
        <v>4 LeadGen Set Appointments</v>
      </c>
    </row>
    <row r="3190" hidden="1">
      <c r="A3190" s="6" t="s">
        <v>46</v>
      </c>
      <c r="B3190" s="8" t="s">
        <v>1579</v>
      </c>
      <c r="C3190" s="8" t="s">
        <v>1580</v>
      </c>
      <c r="D3190" s="9">
        <v>4.0</v>
      </c>
      <c r="E3190" s="67">
        <f t="shared" si="11"/>
        <v>1000</v>
      </c>
      <c r="F3190" s="67" t="str">
        <f t="shared" si="12"/>
        <v>4 LeadGen Set Appointments</v>
      </c>
    </row>
    <row r="3191" hidden="1">
      <c r="A3191" s="6" t="s">
        <v>46</v>
      </c>
      <c r="B3191" s="8" t="s">
        <v>546</v>
      </c>
      <c r="C3191" s="8" t="s">
        <v>547</v>
      </c>
      <c r="D3191" s="9">
        <v>4.0</v>
      </c>
      <c r="E3191" s="67">
        <f t="shared" si="11"/>
        <v>1000</v>
      </c>
      <c r="F3191" s="67" t="str">
        <f t="shared" si="12"/>
        <v>4 LeadGen Set Appointments</v>
      </c>
    </row>
    <row r="3192" hidden="1">
      <c r="A3192" s="6" t="s">
        <v>46</v>
      </c>
      <c r="B3192" s="8" t="s">
        <v>1646</v>
      </c>
      <c r="C3192" s="8" t="s">
        <v>1647</v>
      </c>
      <c r="D3192" s="9">
        <v>4.0</v>
      </c>
      <c r="E3192" s="67">
        <f t="shared" si="11"/>
        <v>1000</v>
      </c>
      <c r="F3192" s="67" t="str">
        <f t="shared" si="12"/>
        <v>4 LeadGen Set Appointments</v>
      </c>
    </row>
    <row r="3193" hidden="1">
      <c r="A3193" s="6" t="s">
        <v>46</v>
      </c>
      <c r="B3193" s="8" t="s">
        <v>1732</v>
      </c>
      <c r="C3193" s="8" t="s">
        <v>1733</v>
      </c>
      <c r="D3193" s="9">
        <v>4.0</v>
      </c>
      <c r="E3193" s="67">
        <f t="shared" si="11"/>
        <v>1000</v>
      </c>
      <c r="F3193" s="67" t="str">
        <f t="shared" si="12"/>
        <v>4 LeadGen Set Appointments</v>
      </c>
    </row>
    <row r="3194" hidden="1">
      <c r="A3194" s="6" t="s">
        <v>46</v>
      </c>
      <c r="B3194" s="8" t="s">
        <v>560</v>
      </c>
      <c r="C3194" s="8" t="s">
        <v>561</v>
      </c>
      <c r="D3194" s="9">
        <v>4.0</v>
      </c>
      <c r="E3194" s="67">
        <f t="shared" si="11"/>
        <v>1000</v>
      </c>
      <c r="F3194" s="67" t="str">
        <f t="shared" si="12"/>
        <v>4 LeadGen Set Appointments</v>
      </c>
    </row>
    <row r="3195" hidden="1">
      <c r="A3195" s="6" t="s">
        <v>46</v>
      </c>
      <c r="B3195" s="8" t="s">
        <v>1553</v>
      </c>
      <c r="C3195" s="8" t="s">
        <v>1554</v>
      </c>
      <c r="D3195" s="9">
        <v>4.0</v>
      </c>
      <c r="E3195" s="67">
        <f t="shared" si="11"/>
        <v>1000</v>
      </c>
      <c r="F3195" s="67" t="str">
        <f t="shared" si="12"/>
        <v>4 LeadGen Set Appointments</v>
      </c>
    </row>
    <row r="3196" hidden="1">
      <c r="A3196" s="6" t="s">
        <v>46</v>
      </c>
      <c r="B3196" s="8" t="s">
        <v>1393</v>
      </c>
      <c r="C3196" s="8" t="s">
        <v>1394</v>
      </c>
      <c r="D3196" s="9">
        <v>4.0</v>
      </c>
      <c r="E3196" s="67">
        <f t="shared" si="11"/>
        <v>1000</v>
      </c>
      <c r="F3196" s="67" t="str">
        <f t="shared" si="12"/>
        <v>4 LeadGen Set Appointments</v>
      </c>
    </row>
    <row r="3197" hidden="1">
      <c r="A3197" s="6" t="s">
        <v>46</v>
      </c>
      <c r="B3197" s="8" t="s">
        <v>1421</v>
      </c>
      <c r="C3197" s="8" t="s">
        <v>712</v>
      </c>
      <c r="D3197" s="9">
        <v>4.0</v>
      </c>
      <c r="E3197" s="67">
        <f t="shared" si="11"/>
        <v>1000</v>
      </c>
      <c r="F3197" s="67" t="str">
        <f t="shared" si="12"/>
        <v>4 LeadGen Set Appointments</v>
      </c>
    </row>
    <row r="3198" hidden="1">
      <c r="A3198" s="6" t="s">
        <v>46</v>
      </c>
      <c r="B3198" s="8" t="s">
        <v>572</v>
      </c>
      <c r="C3198" s="8" t="s">
        <v>573</v>
      </c>
      <c r="D3198" s="9">
        <v>4.0</v>
      </c>
      <c r="E3198" s="67">
        <f t="shared" si="11"/>
        <v>1000</v>
      </c>
      <c r="F3198" s="67" t="str">
        <f t="shared" si="12"/>
        <v>4 LeadGen Set Appointments</v>
      </c>
    </row>
    <row r="3199" hidden="1">
      <c r="A3199" s="6" t="s">
        <v>46</v>
      </c>
      <c r="B3199" s="8" t="s">
        <v>1524</v>
      </c>
      <c r="C3199" s="8" t="s">
        <v>1525</v>
      </c>
      <c r="D3199" s="9">
        <v>4.0</v>
      </c>
      <c r="E3199" s="67">
        <f t="shared" si="11"/>
        <v>1000</v>
      </c>
      <c r="F3199" s="67" t="str">
        <f t="shared" si="12"/>
        <v>4 LeadGen Set Appointments</v>
      </c>
    </row>
    <row r="3200" hidden="1">
      <c r="A3200" s="6" t="s">
        <v>46</v>
      </c>
      <c r="B3200" s="8" t="s">
        <v>1829</v>
      </c>
      <c r="C3200" s="8" t="s">
        <v>1830</v>
      </c>
      <c r="D3200" s="9">
        <v>4.0</v>
      </c>
      <c r="E3200" s="67">
        <f t="shared" si="11"/>
        <v>1000</v>
      </c>
      <c r="F3200" s="67" t="str">
        <f t="shared" si="12"/>
        <v>4 LeadGen Set Appointments</v>
      </c>
    </row>
    <row r="3201" hidden="1">
      <c r="A3201" s="6" t="s">
        <v>46</v>
      </c>
      <c r="B3201" s="8" t="s">
        <v>1786</v>
      </c>
      <c r="C3201" s="8" t="s">
        <v>1787</v>
      </c>
      <c r="D3201" s="9">
        <v>4.0</v>
      </c>
      <c r="E3201" s="67">
        <f t="shared" si="11"/>
        <v>1000</v>
      </c>
      <c r="F3201" s="67" t="str">
        <f t="shared" si="12"/>
        <v>4 LeadGen Set Appointments</v>
      </c>
    </row>
    <row r="3202" hidden="1">
      <c r="A3202" s="6" t="s">
        <v>46</v>
      </c>
      <c r="B3202" s="8" t="s">
        <v>1569</v>
      </c>
      <c r="C3202" s="8" t="s">
        <v>1570</v>
      </c>
      <c r="D3202" s="9">
        <v>4.0</v>
      </c>
      <c r="E3202" s="67">
        <f t="shared" si="11"/>
        <v>1000</v>
      </c>
      <c r="F3202" s="67" t="str">
        <f t="shared" si="12"/>
        <v>4 LeadGen Set Appointments</v>
      </c>
    </row>
    <row r="3203" hidden="1">
      <c r="A3203" s="6" t="s">
        <v>46</v>
      </c>
      <c r="B3203" s="8" t="s">
        <v>622</v>
      </c>
      <c r="C3203" s="8" t="s">
        <v>623</v>
      </c>
      <c r="D3203" s="9">
        <v>4.0</v>
      </c>
      <c r="E3203" s="67">
        <f t="shared" si="11"/>
        <v>1000</v>
      </c>
      <c r="F3203" s="67" t="str">
        <f t="shared" si="12"/>
        <v>4 LeadGen Set Appointments</v>
      </c>
    </row>
    <row r="3204" hidden="1">
      <c r="A3204" s="6" t="s">
        <v>46</v>
      </c>
      <c r="B3204" s="8" t="s">
        <v>1465</v>
      </c>
      <c r="C3204" s="8" t="s">
        <v>1466</v>
      </c>
      <c r="D3204" s="9">
        <v>3.0</v>
      </c>
      <c r="E3204" s="67">
        <f t="shared" si="11"/>
        <v>750</v>
      </c>
      <c r="F3204" s="67" t="str">
        <f t="shared" si="12"/>
        <v>3 LeadGen Set Appointments</v>
      </c>
    </row>
    <row r="3205" hidden="1">
      <c r="A3205" s="6" t="s">
        <v>46</v>
      </c>
      <c r="B3205" s="8" t="s">
        <v>462</v>
      </c>
      <c r="C3205" s="8" t="s">
        <v>463</v>
      </c>
      <c r="D3205" s="9">
        <v>3.0</v>
      </c>
      <c r="E3205" s="67">
        <f t="shared" si="11"/>
        <v>750</v>
      </c>
      <c r="F3205" s="67" t="str">
        <f t="shared" si="12"/>
        <v>3 LeadGen Set Appointments</v>
      </c>
    </row>
    <row r="3206" hidden="1">
      <c r="A3206" s="6" t="s">
        <v>46</v>
      </c>
      <c r="B3206" s="8" t="s">
        <v>1638</v>
      </c>
      <c r="C3206" s="8" t="s">
        <v>1639</v>
      </c>
      <c r="D3206" s="9">
        <v>3.0</v>
      </c>
      <c r="E3206" s="67">
        <f t="shared" si="11"/>
        <v>750</v>
      </c>
      <c r="F3206" s="67" t="str">
        <f t="shared" si="12"/>
        <v>3 LeadGen Set Appointments</v>
      </c>
    </row>
    <row r="3207" hidden="1">
      <c r="A3207" s="6" t="s">
        <v>46</v>
      </c>
      <c r="B3207" s="8" t="s">
        <v>1473</v>
      </c>
      <c r="C3207" s="8" t="s">
        <v>1474</v>
      </c>
      <c r="D3207" s="9">
        <v>3.0</v>
      </c>
      <c r="E3207" s="67">
        <f t="shared" si="11"/>
        <v>750</v>
      </c>
      <c r="F3207" s="67" t="str">
        <f t="shared" si="12"/>
        <v>3 LeadGen Set Appointments</v>
      </c>
    </row>
    <row r="3208" hidden="1">
      <c r="A3208" s="6" t="s">
        <v>46</v>
      </c>
      <c r="B3208" s="8" t="s">
        <v>1448</v>
      </c>
      <c r="C3208" s="8" t="s">
        <v>1449</v>
      </c>
      <c r="D3208" s="9">
        <v>3.0</v>
      </c>
      <c r="E3208" s="67">
        <f t="shared" si="11"/>
        <v>750</v>
      </c>
      <c r="F3208" s="67" t="str">
        <f t="shared" si="12"/>
        <v>3 LeadGen Set Appointments</v>
      </c>
    </row>
    <row r="3209" hidden="1">
      <c r="A3209" s="6" t="s">
        <v>46</v>
      </c>
      <c r="B3209" s="8" t="s">
        <v>244</v>
      </c>
      <c r="C3209" s="8" t="s">
        <v>1888</v>
      </c>
      <c r="D3209" s="9">
        <v>3.0</v>
      </c>
      <c r="E3209" s="67">
        <f t="shared" si="11"/>
        <v>750</v>
      </c>
      <c r="F3209" s="67" t="str">
        <f t="shared" si="12"/>
        <v>3 LeadGen Set Appointments</v>
      </c>
    </row>
    <row r="3210" hidden="1">
      <c r="A3210" s="6" t="s">
        <v>46</v>
      </c>
      <c r="B3210" s="8" t="s">
        <v>1540</v>
      </c>
      <c r="C3210" s="8" t="s">
        <v>1541</v>
      </c>
      <c r="D3210" s="9">
        <v>3.0</v>
      </c>
      <c r="E3210" s="67">
        <f t="shared" si="11"/>
        <v>750</v>
      </c>
      <c r="F3210" s="67" t="str">
        <f t="shared" si="12"/>
        <v>3 LeadGen Set Appointments</v>
      </c>
    </row>
    <row r="3211" hidden="1">
      <c r="A3211" s="6" t="s">
        <v>46</v>
      </c>
      <c r="B3211" s="8" t="s">
        <v>431</v>
      </c>
      <c r="C3211" s="8" t="s">
        <v>432</v>
      </c>
      <c r="D3211" s="9">
        <v>3.0</v>
      </c>
      <c r="E3211" s="67">
        <f t="shared" si="11"/>
        <v>750</v>
      </c>
      <c r="F3211" s="67" t="str">
        <f t="shared" si="12"/>
        <v>3 LeadGen Set Appointments</v>
      </c>
    </row>
    <row r="3212" hidden="1">
      <c r="A3212" s="6" t="s">
        <v>46</v>
      </c>
      <c r="B3212" s="8" t="s">
        <v>1545</v>
      </c>
      <c r="C3212" s="8" t="s">
        <v>1546</v>
      </c>
      <c r="D3212" s="9">
        <v>3.0</v>
      </c>
      <c r="E3212" s="67">
        <f t="shared" si="11"/>
        <v>750</v>
      </c>
      <c r="F3212" s="67" t="str">
        <f t="shared" si="12"/>
        <v>3 LeadGen Set Appointments</v>
      </c>
    </row>
    <row r="3213" hidden="1">
      <c r="A3213" s="6" t="s">
        <v>46</v>
      </c>
      <c r="B3213" s="8" t="s">
        <v>1838</v>
      </c>
      <c r="C3213" s="8" t="s">
        <v>1839</v>
      </c>
      <c r="D3213" s="9">
        <v>3.0</v>
      </c>
      <c r="E3213" s="67">
        <f t="shared" si="11"/>
        <v>750</v>
      </c>
      <c r="F3213" s="67" t="str">
        <f t="shared" si="12"/>
        <v>3 LeadGen Set Appointments</v>
      </c>
    </row>
    <row r="3214" hidden="1">
      <c r="A3214" s="6" t="s">
        <v>46</v>
      </c>
      <c r="B3214" s="8" t="s">
        <v>1508</v>
      </c>
      <c r="C3214" s="8" t="s">
        <v>1509</v>
      </c>
      <c r="D3214" s="9">
        <v>3.0</v>
      </c>
      <c r="E3214" s="67">
        <f t="shared" si="11"/>
        <v>750</v>
      </c>
      <c r="F3214" s="67" t="str">
        <f t="shared" si="12"/>
        <v>3 LeadGen Set Appointments</v>
      </c>
    </row>
    <row r="3215" hidden="1">
      <c r="A3215" s="6" t="s">
        <v>46</v>
      </c>
      <c r="B3215" s="8" t="s">
        <v>1612</v>
      </c>
      <c r="C3215" s="8" t="s">
        <v>1613</v>
      </c>
      <c r="D3215" s="9">
        <v>3.0</v>
      </c>
      <c r="E3215" s="67">
        <f t="shared" si="11"/>
        <v>750</v>
      </c>
      <c r="F3215" s="67" t="str">
        <f t="shared" si="12"/>
        <v>3 LeadGen Set Appointments</v>
      </c>
    </row>
    <row r="3216" hidden="1">
      <c r="A3216" s="6" t="s">
        <v>46</v>
      </c>
      <c r="B3216" s="8" t="s">
        <v>1778</v>
      </c>
      <c r="C3216" s="8" t="s">
        <v>1779</v>
      </c>
      <c r="D3216" s="9">
        <v>3.0</v>
      </c>
      <c r="E3216" s="67">
        <f t="shared" si="11"/>
        <v>750</v>
      </c>
      <c r="F3216" s="67" t="str">
        <f t="shared" si="12"/>
        <v>3 LeadGen Set Appointments</v>
      </c>
    </row>
    <row r="3217" hidden="1">
      <c r="A3217" s="6" t="s">
        <v>46</v>
      </c>
      <c r="B3217" s="8" t="s">
        <v>682</v>
      </c>
      <c r="C3217" s="8" t="s">
        <v>683</v>
      </c>
      <c r="D3217" s="9">
        <v>3.0</v>
      </c>
      <c r="E3217" s="67">
        <f t="shared" si="11"/>
        <v>750</v>
      </c>
      <c r="F3217" s="67" t="str">
        <f t="shared" si="12"/>
        <v>3 LeadGen Set Appointments</v>
      </c>
    </row>
    <row r="3218" hidden="1">
      <c r="A3218" s="6" t="s">
        <v>46</v>
      </c>
      <c r="B3218" s="8" t="s">
        <v>1719</v>
      </c>
      <c r="C3218" s="8" t="s">
        <v>1720</v>
      </c>
      <c r="D3218" s="9">
        <v>3.0</v>
      </c>
      <c r="E3218" s="67">
        <f t="shared" si="11"/>
        <v>750</v>
      </c>
      <c r="F3218" s="67" t="str">
        <f t="shared" si="12"/>
        <v>3 LeadGen Set Appointments</v>
      </c>
    </row>
    <row r="3219" hidden="1">
      <c r="A3219" s="6" t="s">
        <v>46</v>
      </c>
      <c r="B3219" s="8" t="s">
        <v>693</v>
      </c>
      <c r="C3219" s="8" t="s">
        <v>694</v>
      </c>
      <c r="D3219" s="9">
        <v>3.0</v>
      </c>
      <c r="E3219" s="67">
        <f t="shared" si="11"/>
        <v>750</v>
      </c>
      <c r="F3219" s="67" t="str">
        <f t="shared" si="12"/>
        <v>3 LeadGen Set Appointments</v>
      </c>
    </row>
    <row r="3220" hidden="1">
      <c r="A3220" s="6" t="s">
        <v>46</v>
      </c>
      <c r="B3220" s="8" t="s">
        <v>1469</v>
      </c>
      <c r="C3220" s="8" t="s">
        <v>1470</v>
      </c>
      <c r="D3220" s="9">
        <v>3.0</v>
      </c>
      <c r="E3220" s="67">
        <f t="shared" si="11"/>
        <v>750</v>
      </c>
      <c r="F3220" s="67" t="str">
        <f t="shared" si="12"/>
        <v>3 LeadGen Set Appointments</v>
      </c>
    </row>
    <row r="3221" hidden="1">
      <c r="A3221" s="6" t="s">
        <v>46</v>
      </c>
      <c r="B3221" s="8" t="s">
        <v>1325</v>
      </c>
      <c r="C3221" s="8" t="s">
        <v>1326</v>
      </c>
      <c r="D3221" s="9">
        <v>3.0</v>
      </c>
      <c r="E3221" s="67">
        <f t="shared" si="11"/>
        <v>750</v>
      </c>
      <c r="F3221" s="67" t="str">
        <f t="shared" si="12"/>
        <v>3 LeadGen Set Appointments</v>
      </c>
    </row>
    <row r="3222" hidden="1">
      <c r="A3222" s="6" t="s">
        <v>46</v>
      </c>
      <c r="B3222" s="8" t="s">
        <v>626</v>
      </c>
      <c r="C3222" s="8" t="s">
        <v>627</v>
      </c>
      <c r="D3222" s="9">
        <v>3.0</v>
      </c>
      <c r="E3222" s="67">
        <f t="shared" si="11"/>
        <v>750</v>
      </c>
      <c r="F3222" s="67" t="str">
        <f t="shared" si="12"/>
        <v>3 LeadGen Set Appointments</v>
      </c>
    </row>
    <row r="3223" hidden="1">
      <c r="A3223" s="6" t="s">
        <v>46</v>
      </c>
      <c r="B3223" s="8" t="s">
        <v>1708</v>
      </c>
      <c r="C3223" s="8" t="s">
        <v>1709</v>
      </c>
      <c r="D3223" s="9">
        <v>3.0</v>
      </c>
      <c r="E3223" s="67">
        <f t="shared" si="11"/>
        <v>750</v>
      </c>
      <c r="F3223" s="67" t="str">
        <f t="shared" si="12"/>
        <v>3 LeadGen Set Appointments</v>
      </c>
    </row>
    <row r="3224" hidden="1">
      <c r="A3224" s="6" t="s">
        <v>46</v>
      </c>
      <c r="B3224" s="8" t="s">
        <v>518</v>
      </c>
      <c r="C3224" s="8" t="s">
        <v>519</v>
      </c>
      <c r="D3224" s="9">
        <v>3.0</v>
      </c>
      <c r="E3224" s="67">
        <f t="shared" si="11"/>
        <v>750</v>
      </c>
      <c r="F3224" s="67" t="str">
        <f t="shared" si="12"/>
        <v>3 LeadGen Set Appointments</v>
      </c>
    </row>
    <row r="3225" hidden="1">
      <c r="A3225" s="6" t="s">
        <v>46</v>
      </c>
      <c r="B3225" s="8" t="s">
        <v>1567</v>
      </c>
      <c r="C3225" s="8" t="s">
        <v>1568</v>
      </c>
      <c r="D3225" s="9">
        <v>3.0</v>
      </c>
      <c r="E3225" s="67">
        <f t="shared" si="11"/>
        <v>750</v>
      </c>
      <c r="F3225" s="67" t="str">
        <f t="shared" si="12"/>
        <v>3 LeadGen Set Appointments</v>
      </c>
    </row>
    <row r="3226" hidden="1">
      <c r="A3226" s="6" t="s">
        <v>46</v>
      </c>
      <c r="B3226" s="8" t="s">
        <v>1093</v>
      </c>
      <c r="C3226" s="8" t="s">
        <v>1760</v>
      </c>
      <c r="D3226" s="9">
        <v>3.0</v>
      </c>
      <c r="E3226" s="67">
        <f t="shared" si="11"/>
        <v>750</v>
      </c>
      <c r="F3226" s="67" t="str">
        <f t="shared" si="12"/>
        <v>3 LeadGen Set Appointments</v>
      </c>
    </row>
    <row r="3227" hidden="1">
      <c r="A3227" s="6" t="s">
        <v>46</v>
      </c>
      <c r="B3227" s="8" t="s">
        <v>1899</v>
      </c>
      <c r="C3227" s="8" t="s">
        <v>1900</v>
      </c>
      <c r="D3227" s="9">
        <v>3.0</v>
      </c>
      <c r="E3227" s="67">
        <f t="shared" si="11"/>
        <v>750</v>
      </c>
      <c r="F3227" s="67" t="str">
        <f t="shared" si="12"/>
        <v>3 LeadGen Set Appointments</v>
      </c>
    </row>
    <row r="3228" hidden="1">
      <c r="A3228" s="6" t="s">
        <v>46</v>
      </c>
      <c r="B3228" s="8" t="s">
        <v>1858</v>
      </c>
      <c r="C3228" s="8" t="s">
        <v>523</v>
      </c>
      <c r="D3228" s="9">
        <v>3.0</v>
      </c>
      <c r="E3228" s="67">
        <f t="shared" si="11"/>
        <v>750</v>
      </c>
      <c r="F3228" s="67" t="str">
        <f t="shared" si="12"/>
        <v>3 LeadGen Set Appointments</v>
      </c>
    </row>
    <row r="3229" hidden="1">
      <c r="A3229" s="6" t="s">
        <v>46</v>
      </c>
      <c r="B3229" s="8" t="s">
        <v>1879</v>
      </c>
      <c r="C3229" s="8" t="s">
        <v>1880</v>
      </c>
      <c r="D3229" s="9">
        <v>3.0</v>
      </c>
      <c r="E3229" s="67">
        <f t="shared" si="11"/>
        <v>750</v>
      </c>
      <c r="F3229" s="67" t="str">
        <f t="shared" si="12"/>
        <v>3 LeadGen Set Appointments</v>
      </c>
    </row>
    <row r="3230" hidden="1">
      <c r="A3230" s="6" t="s">
        <v>46</v>
      </c>
      <c r="B3230" s="8" t="s">
        <v>1726</v>
      </c>
      <c r="C3230" s="8" t="s">
        <v>1727</v>
      </c>
      <c r="D3230" s="9">
        <v>2.0</v>
      </c>
      <c r="E3230" s="67">
        <f t="shared" si="11"/>
        <v>500</v>
      </c>
      <c r="F3230" s="67" t="str">
        <f t="shared" si="12"/>
        <v>2 LeadGen Set Appointments</v>
      </c>
    </row>
    <row r="3231" hidden="1">
      <c r="A3231" s="6" t="s">
        <v>46</v>
      </c>
      <c r="B3231" s="8" t="s">
        <v>1600</v>
      </c>
      <c r="C3231" s="8" t="s">
        <v>1601</v>
      </c>
      <c r="D3231" s="9">
        <v>2.0</v>
      </c>
      <c r="E3231" s="67">
        <f t="shared" si="11"/>
        <v>500</v>
      </c>
      <c r="F3231" s="67" t="str">
        <f t="shared" si="12"/>
        <v>2 LeadGen Set Appointments</v>
      </c>
    </row>
    <row r="3232" hidden="1">
      <c r="A3232" s="6" t="s">
        <v>46</v>
      </c>
      <c r="B3232" s="8" t="s">
        <v>1901</v>
      </c>
      <c r="C3232" s="8" t="s">
        <v>1902</v>
      </c>
      <c r="D3232" s="9">
        <v>2.0</v>
      </c>
      <c r="E3232" s="67">
        <f t="shared" si="11"/>
        <v>500</v>
      </c>
      <c r="F3232" s="67" t="str">
        <f t="shared" si="12"/>
        <v>2 LeadGen Set Appointments</v>
      </c>
    </row>
    <row r="3233" hidden="1">
      <c r="A3233" s="6" t="s">
        <v>46</v>
      </c>
      <c r="B3233" s="8" t="s">
        <v>1799</v>
      </c>
      <c r="C3233" s="8" t="s">
        <v>1800</v>
      </c>
      <c r="D3233" s="9">
        <v>2.0</v>
      </c>
      <c r="E3233" s="67">
        <f t="shared" si="11"/>
        <v>500</v>
      </c>
      <c r="F3233" s="67" t="str">
        <f t="shared" si="12"/>
        <v>2 LeadGen Set Appointments</v>
      </c>
    </row>
    <row r="3234" hidden="1">
      <c r="A3234" s="6" t="s">
        <v>46</v>
      </c>
      <c r="B3234" s="8" t="s">
        <v>1834</v>
      </c>
      <c r="C3234" s="8" t="s">
        <v>1835</v>
      </c>
      <c r="D3234" s="9">
        <v>2.0</v>
      </c>
      <c r="E3234" s="67">
        <f t="shared" si="11"/>
        <v>500</v>
      </c>
      <c r="F3234" s="67" t="str">
        <f t="shared" si="12"/>
        <v>2 LeadGen Set Appointments</v>
      </c>
    </row>
    <row r="3235" hidden="1">
      <c r="A3235" s="6" t="s">
        <v>46</v>
      </c>
      <c r="B3235" s="8" t="s">
        <v>1803</v>
      </c>
      <c r="C3235" s="8" t="s">
        <v>1804</v>
      </c>
      <c r="D3235" s="9">
        <v>2.0</v>
      </c>
      <c r="E3235" s="67">
        <f t="shared" si="11"/>
        <v>500</v>
      </c>
      <c r="F3235" s="67" t="str">
        <f t="shared" si="12"/>
        <v>2 LeadGen Set Appointments</v>
      </c>
    </row>
    <row r="3236" hidden="1">
      <c r="A3236" s="6" t="s">
        <v>46</v>
      </c>
      <c r="B3236" s="8" t="s">
        <v>1334</v>
      </c>
      <c r="C3236" s="8" t="s">
        <v>553</v>
      </c>
      <c r="D3236" s="9">
        <v>2.0</v>
      </c>
      <c r="E3236" s="67">
        <f t="shared" si="11"/>
        <v>500</v>
      </c>
      <c r="F3236" s="67" t="str">
        <f t="shared" si="12"/>
        <v>2 LeadGen Set Appointments</v>
      </c>
    </row>
    <row r="3237" hidden="1">
      <c r="A3237" s="6" t="s">
        <v>46</v>
      </c>
      <c r="B3237" s="8" t="s">
        <v>1512</v>
      </c>
      <c r="C3237" s="8" t="s">
        <v>1513</v>
      </c>
      <c r="D3237" s="9">
        <v>2.0</v>
      </c>
      <c r="E3237" s="67">
        <f t="shared" si="11"/>
        <v>500</v>
      </c>
      <c r="F3237" s="67" t="str">
        <f t="shared" si="12"/>
        <v>2 LeadGen Set Appointments</v>
      </c>
    </row>
    <row r="3238" hidden="1">
      <c r="A3238" s="6" t="s">
        <v>46</v>
      </c>
      <c r="B3238" s="8" t="s">
        <v>1842</v>
      </c>
      <c r="C3238" s="8" t="s">
        <v>1843</v>
      </c>
      <c r="D3238" s="9">
        <v>2.0</v>
      </c>
      <c r="E3238" s="67">
        <f t="shared" si="11"/>
        <v>500</v>
      </c>
      <c r="F3238" s="67" t="str">
        <f t="shared" si="12"/>
        <v>2 LeadGen Set Appointments</v>
      </c>
    </row>
    <row r="3239" hidden="1">
      <c r="A3239" s="6" t="s">
        <v>46</v>
      </c>
      <c r="B3239" s="8" t="s">
        <v>1844</v>
      </c>
      <c r="C3239" s="8" t="s">
        <v>1845</v>
      </c>
      <c r="D3239" s="9">
        <v>2.0</v>
      </c>
      <c r="E3239" s="67">
        <f t="shared" si="11"/>
        <v>500</v>
      </c>
      <c r="F3239" s="67" t="str">
        <f t="shared" si="12"/>
        <v>2 LeadGen Set Appointments</v>
      </c>
    </row>
    <row r="3240" hidden="1">
      <c r="A3240" s="6" t="s">
        <v>46</v>
      </c>
      <c r="B3240" s="8" t="s">
        <v>1903</v>
      </c>
      <c r="C3240" s="8" t="s">
        <v>1904</v>
      </c>
      <c r="D3240" s="9">
        <v>2.0</v>
      </c>
      <c r="E3240" s="67">
        <f t="shared" si="11"/>
        <v>500</v>
      </c>
      <c r="F3240" s="67" t="str">
        <f t="shared" si="12"/>
        <v>2 LeadGen Set Appointments</v>
      </c>
    </row>
    <row r="3241" hidden="1">
      <c r="A3241" s="6" t="s">
        <v>46</v>
      </c>
      <c r="B3241" s="8" t="s">
        <v>1846</v>
      </c>
      <c r="C3241" s="8" t="s">
        <v>1847</v>
      </c>
      <c r="D3241" s="9">
        <v>2.0</v>
      </c>
      <c r="E3241" s="67">
        <f t="shared" si="11"/>
        <v>500</v>
      </c>
      <c r="F3241" s="67" t="str">
        <f t="shared" si="12"/>
        <v>2 LeadGen Set Appointments</v>
      </c>
    </row>
    <row r="3242" hidden="1">
      <c r="A3242" s="6" t="s">
        <v>46</v>
      </c>
      <c r="B3242" s="8" t="s">
        <v>1710</v>
      </c>
      <c r="C3242" s="8" t="s">
        <v>1711</v>
      </c>
      <c r="D3242" s="9">
        <v>2.0</v>
      </c>
      <c r="E3242" s="67">
        <f t="shared" si="11"/>
        <v>500</v>
      </c>
      <c r="F3242" s="67" t="str">
        <f t="shared" si="12"/>
        <v>2 LeadGen Set Appointments</v>
      </c>
    </row>
    <row r="3243" hidden="1">
      <c r="A3243" s="6" t="s">
        <v>46</v>
      </c>
      <c r="B3243" s="8" t="s">
        <v>1736</v>
      </c>
      <c r="C3243" s="8" t="s">
        <v>1737</v>
      </c>
      <c r="D3243" s="9">
        <v>2.0</v>
      </c>
      <c r="E3243" s="67">
        <f t="shared" si="11"/>
        <v>500</v>
      </c>
      <c r="F3243" s="67" t="str">
        <f t="shared" si="12"/>
        <v>2 LeadGen Set Appointments</v>
      </c>
    </row>
    <row r="3244" hidden="1">
      <c r="A3244" s="6" t="s">
        <v>46</v>
      </c>
      <c r="B3244" s="8" t="s">
        <v>1625</v>
      </c>
      <c r="C3244" s="8" t="s">
        <v>1626</v>
      </c>
      <c r="D3244" s="9">
        <v>2.0</v>
      </c>
      <c r="E3244" s="67">
        <f t="shared" si="11"/>
        <v>500</v>
      </c>
      <c r="F3244" s="67" t="str">
        <f t="shared" si="12"/>
        <v>2 LeadGen Set Appointments</v>
      </c>
    </row>
    <row r="3245" hidden="1">
      <c r="A3245" s="6" t="s">
        <v>46</v>
      </c>
      <c r="B3245" s="8" t="s">
        <v>1674</v>
      </c>
      <c r="C3245" s="8" t="s">
        <v>1675</v>
      </c>
      <c r="D3245" s="9">
        <v>2.0</v>
      </c>
      <c r="E3245" s="67">
        <f t="shared" si="11"/>
        <v>500</v>
      </c>
      <c r="F3245" s="67" t="str">
        <f t="shared" si="12"/>
        <v>2 LeadGen Set Appointments</v>
      </c>
    </row>
    <row r="3246" hidden="1">
      <c r="A3246" s="6" t="s">
        <v>46</v>
      </c>
      <c r="B3246" s="8" t="s">
        <v>1532</v>
      </c>
      <c r="C3246" s="8" t="s">
        <v>1533</v>
      </c>
      <c r="D3246" s="9">
        <v>2.0</v>
      </c>
      <c r="E3246" s="67">
        <f t="shared" si="11"/>
        <v>500</v>
      </c>
      <c r="F3246" s="67" t="str">
        <f t="shared" si="12"/>
        <v>2 LeadGen Set Appointments</v>
      </c>
    </row>
    <row r="3247" hidden="1">
      <c r="A3247" s="6" t="s">
        <v>46</v>
      </c>
      <c r="B3247" s="8" t="s">
        <v>1682</v>
      </c>
      <c r="C3247" s="8" t="s">
        <v>1683</v>
      </c>
      <c r="D3247" s="9">
        <v>2.0</v>
      </c>
      <c r="E3247" s="67">
        <f t="shared" si="11"/>
        <v>500</v>
      </c>
      <c r="F3247" s="67" t="str">
        <f t="shared" si="12"/>
        <v>2 LeadGen Set Appointments</v>
      </c>
    </row>
    <row r="3248" hidden="1">
      <c r="A3248" s="6" t="s">
        <v>46</v>
      </c>
      <c r="B3248" s="8" t="s">
        <v>606</v>
      </c>
      <c r="C3248" s="8" t="s">
        <v>607</v>
      </c>
      <c r="D3248" s="9">
        <v>2.0</v>
      </c>
      <c r="E3248" s="67">
        <f t="shared" si="11"/>
        <v>500</v>
      </c>
      <c r="F3248" s="67" t="str">
        <f t="shared" si="12"/>
        <v>2 LeadGen Set Appointments</v>
      </c>
    </row>
    <row r="3249" hidden="1">
      <c r="A3249" s="6" t="s">
        <v>46</v>
      </c>
      <c r="B3249" s="8" t="s">
        <v>900</v>
      </c>
      <c r="C3249" s="8" t="s">
        <v>901</v>
      </c>
      <c r="D3249" s="9">
        <v>1.0</v>
      </c>
      <c r="E3249" s="67">
        <f t="shared" si="11"/>
        <v>250</v>
      </c>
      <c r="F3249" s="67" t="str">
        <f t="shared" si="12"/>
        <v>1 LeadGen Set Appointments</v>
      </c>
    </row>
    <row r="3250" hidden="1">
      <c r="A3250" s="6" t="s">
        <v>46</v>
      </c>
      <c r="B3250" s="8" t="s">
        <v>1435</v>
      </c>
      <c r="C3250" s="8" t="s">
        <v>741</v>
      </c>
      <c r="D3250" s="9">
        <v>1.0</v>
      </c>
      <c r="E3250" s="67">
        <f t="shared" si="11"/>
        <v>250</v>
      </c>
      <c r="F3250" s="67" t="str">
        <f t="shared" si="12"/>
        <v>1 LeadGen Set Appointments</v>
      </c>
    </row>
    <row r="3251" hidden="1">
      <c r="A3251" s="6" t="s">
        <v>46</v>
      </c>
      <c r="B3251" s="8" t="s">
        <v>1905</v>
      </c>
      <c r="C3251" s="8" t="s">
        <v>1906</v>
      </c>
      <c r="D3251" s="9">
        <v>1.0</v>
      </c>
      <c r="E3251" s="67">
        <f t="shared" si="11"/>
        <v>250</v>
      </c>
      <c r="F3251" s="67" t="str">
        <f t="shared" si="12"/>
        <v>1 LeadGen Set Appointments</v>
      </c>
    </row>
    <row r="3252" hidden="1">
      <c r="A3252" s="6" t="s">
        <v>46</v>
      </c>
      <c r="B3252" s="8" t="s">
        <v>1728</v>
      </c>
      <c r="C3252" s="8" t="s">
        <v>1729</v>
      </c>
      <c r="D3252" s="9">
        <v>1.0</v>
      </c>
      <c r="E3252" s="67">
        <f t="shared" si="11"/>
        <v>250</v>
      </c>
      <c r="F3252" s="67" t="str">
        <f t="shared" si="12"/>
        <v>1 LeadGen Set Appointments</v>
      </c>
    </row>
    <row r="3253" hidden="1">
      <c r="A3253" s="6" t="s">
        <v>46</v>
      </c>
      <c r="B3253" s="8" t="s">
        <v>1871</v>
      </c>
      <c r="C3253" s="8" t="s">
        <v>1872</v>
      </c>
      <c r="D3253" s="9">
        <v>1.0</v>
      </c>
      <c r="E3253" s="67">
        <f t="shared" si="11"/>
        <v>250</v>
      </c>
      <c r="F3253" s="67" t="str">
        <f t="shared" si="12"/>
        <v>1 LeadGen Set Appointments</v>
      </c>
    </row>
    <row r="3254" hidden="1">
      <c r="A3254" s="6" t="s">
        <v>46</v>
      </c>
      <c r="B3254" s="8" t="s">
        <v>1885</v>
      </c>
      <c r="C3254" s="8" t="s">
        <v>1886</v>
      </c>
      <c r="D3254" s="9">
        <v>1.0</v>
      </c>
      <c r="E3254" s="67">
        <f t="shared" si="11"/>
        <v>250</v>
      </c>
      <c r="F3254" s="67" t="str">
        <f t="shared" si="12"/>
        <v>1 LeadGen Set Appointments</v>
      </c>
    </row>
    <row r="3255" hidden="1">
      <c r="A3255" s="6" t="s">
        <v>46</v>
      </c>
      <c r="B3255" s="8" t="s">
        <v>1827</v>
      </c>
      <c r="C3255" s="8" t="s">
        <v>1828</v>
      </c>
      <c r="D3255" s="9">
        <v>1.0</v>
      </c>
      <c r="E3255" s="67">
        <f t="shared" si="11"/>
        <v>250</v>
      </c>
      <c r="F3255" s="67" t="str">
        <f t="shared" si="12"/>
        <v>1 LeadGen Set Appointments</v>
      </c>
    </row>
    <row r="3256" hidden="1">
      <c r="A3256" s="6" t="s">
        <v>46</v>
      </c>
      <c r="B3256" s="8" t="s">
        <v>1907</v>
      </c>
      <c r="C3256" s="8" t="s">
        <v>1908</v>
      </c>
      <c r="D3256" s="9">
        <v>1.0</v>
      </c>
      <c r="E3256" s="67">
        <f t="shared" si="11"/>
        <v>250</v>
      </c>
      <c r="F3256" s="67" t="str">
        <f t="shared" si="12"/>
        <v>1 LeadGen Set Appointments</v>
      </c>
    </row>
    <row r="3257" hidden="1">
      <c r="A3257" s="6" t="s">
        <v>46</v>
      </c>
      <c r="B3257" s="8" t="s">
        <v>1653</v>
      </c>
      <c r="C3257" s="8" t="s">
        <v>1654</v>
      </c>
      <c r="D3257" s="9">
        <v>1.0</v>
      </c>
      <c r="E3257" s="67">
        <f t="shared" si="11"/>
        <v>250</v>
      </c>
      <c r="F3257" s="67" t="str">
        <f t="shared" si="12"/>
        <v>1 LeadGen Set Appointments</v>
      </c>
    </row>
    <row r="3258" hidden="1">
      <c r="A3258" s="6" t="s">
        <v>46</v>
      </c>
      <c r="B3258" s="8" t="s">
        <v>1259</v>
      </c>
      <c r="C3258" s="8" t="s">
        <v>1260</v>
      </c>
      <c r="D3258" s="9">
        <v>1.0</v>
      </c>
      <c r="E3258" s="67">
        <f t="shared" si="11"/>
        <v>250</v>
      </c>
      <c r="F3258" s="67" t="str">
        <f t="shared" si="12"/>
        <v>1 LeadGen Set Appointments</v>
      </c>
    </row>
    <row r="3259" hidden="1">
      <c r="A3259" s="6" t="s">
        <v>46</v>
      </c>
      <c r="B3259" s="8" t="s">
        <v>1664</v>
      </c>
      <c r="C3259" s="8" t="s">
        <v>1665</v>
      </c>
      <c r="D3259" s="9">
        <v>1.0</v>
      </c>
      <c r="E3259" s="67">
        <f t="shared" si="11"/>
        <v>250</v>
      </c>
      <c r="F3259" s="67" t="str">
        <f t="shared" si="12"/>
        <v>1 LeadGen Set Appointments</v>
      </c>
    </row>
    <row r="3260" hidden="1">
      <c r="A3260" s="6" t="s">
        <v>46</v>
      </c>
      <c r="B3260" s="8" t="s">
        <v>1563</v>
      </c>
      <c r="C3260" s="8" t="s">
        <v>1564</v>
      </c>
      <c r="D3260" s="9">
        <v>1.0</v>
      </c>
      <c r="E3260" s="67">
        <f t="shared" si="11"/>
        <v>250</v>
      </c>
      <c r="F3260" s="67" t="str">
        <f t="shared" si="12"/>
        <v>1 LeadGen Set Appointments</v>
      </c>
    </row>
    <row r="3261" hidden="1">
      <c r="A3261" s="6" t="s">
        <v>46</v>
      </c>
      <c r="B3261" s="8" t="s">
        <v>1909</v>
      </c>
      <c r="C3261" s="8" t="s">
        <v>1910</v>
      </c>
      <c r="D3261" s="9">
        <v>1.0</v>
      </c>
      <c r="E3261" s="67">
        <f t="shared" si="11"/>
        <v>250</v>
      </c>
      <c r="F3261" s="67" t="str">
        <f t="shared" si="12"/>
        <v>1 LeadGen Set Appointments</v>
      </c>
    </row>
    <row r="3262" hidden="1">
      <c r="A3262" s="6" t="s">
        <v>46</v>
      </c>
      <c r="B3262" s="8" t="s">
        <v>1911</v>
      </c>
      <c r="C3262" s="8" t="s">
        <v>1912</v>
      </c>
      <c r="D3262" s="9">
        <v>1.0</v>
      </c>
      <c r="E3262" s="67">
        <f t="shared" si="11"/>
        <v>250</v>
      </c>
      <c r="F3262" s="67" t="str">
        <f t="shared" si="12"/>
        <v>1 LeadGen Set Appointments</v>
      </c>
    </row>
    <row r="3263" hidden="1">
      <c r="A3263" s="6" t="s">
        <v>46</v>
      </c>
      <c r="B3263" s="8" t="s">
        <v>1424</v>
      </c>
      <c r="C3263" s="8" t="s">
        <v>1425</v>
      </c>
      <c r="D3263" s="9">
        <v>1.0</v>
      </c>
      <c r="E3263" s="67">
        <f t="shared" si="11"/>
        <v>250</v>
      </c>
      <c r="F3263" s="67" t="str">
        <f t="shared" si="12"/>
        <v>1 LeadGen Set Appointments</v>
      </c>
    </row>
    <row r="3264" hidden="1">
      <c r="A3264" s="6" t="s">
        <v>46</v>
      </c>
      <c r="B3264" s="8" t="s">
        <v>566</v>
      </c>
      <c r="C3264" s="8" t="s">
        <v>567</v>
      </c>
      <c r="D3264" s="9">
        <v>1.0</v>
      </c>
      <c r="E3264" s="67">
        <f t="shared" si="11"/>
        <v>250</v>
      </c>
      <c r="F3264" s="67" t="str">
        <f t="shared" si="12"/>
        <v>1 LeadGen Set Appointments</v>
      </c>
    </row>
    <row r="3265" hidden="1">
      <c r="A3265" s="6" t="s">
        <v>46</v>
      </c>
      <c r="B3265" s="8" t="s">
        <v>1913</v>
      </c>
      <c r="C3265" s="8" t="s">
        <v>1914</v>
      </c>
      <c r="D3265" s="9">
        <v>1.0</v>
      </c>
      <c r="E3265" s="67">
        <f t="shared" si="11"/>
        <v>250</v>
      </c>
      <c r="F3265" s="67" t="str">
        <f t="shared" si="12"/>
        <v>1 LeadGen Set Appointments</v>
      </c>
    </row>
    <row r="3266" hidden="1">
      <c r="A3266" s="6" t="s">
        <v>46</v>
      </c>
      <c r="B3266" s="8" t="s">
        <v>1684</v>
      </c>
      <c r="C3266" s="8" t="s">
        <v>1685</v>
      </c>
      <c r="D3266" s="9">
        <v>1.0</v>
      </c>
      <c r="E3266" s="67">
        <f t="shared" si="11"/>
        <v>250</v>
      </c>
      <c r="F3266" s="67" t="str">
        <f t="shared" si="12"/>
        <v>1 LeadGen Set Appointments</v>
      </c>
    </row>
    <row r="3267" hidden="1">
      <c r="A3267" s="6" t="s">
        <v>46</v>
      </c>
      <c r="B3267" s="8" t="s">
        <v>1915</v>
      </c>
      <c r="C3267" s="8" t="s">
        <v>1916</v>
      </c>
      <c r="D3267" s="9">
        <v>1.0</v>
      </c>
      <c r="E3267" s="67">
        <f t="shared" si="11"/>
        <v>250</v>
      </c>
      <c r="F3267" s="67" t="str">
        <f t="shared" si="12"/>
        <v>1 LeadGen Set Appointments</v>
      </c>
    </row>
    <row r="3268" hidden="1">
      <c r="A3268" s="16" t="s">
        <v>46</v>
      </c>
      <c r="B3268" s="8" t="s">
        <v>1698</v>
      </c>
      <c r="C3268" s="8" t="s">
        <v>1699</v>
      </c>
      <c r="D3268" s="8">
        <v>1.0</v>
      </c>
      <c r="E3268" s="67">
        <f t="shared" si="11"/>
        <v>250</v>
      </c>
      <c r="F3268" s="67" t="str">
        <f t="shared" si="12"/>
        <v>1 LeadGen Set Appointments</v>
      </c>
    </row>
    <row r="3269" hidden="1">
      <c r="A3269" s="16" t="s">
        <v>46</v>
      </c>
      <c r="B3269" s="8" t="s">
        <v>650</v>
      </c>
      <c r="C3269" s="8" t="s">
        <v>651</v>
      </c>
      <c r="D3269" s="8">
        <v>3.0</v>
      </c>
      <c r="E3269" s="67">
        <f t="shared" si="11"/>
        <v>750</v>
      </c>
      <c r="F3269" s="67" t="str">
        <f t="shared" si="12"/>
        <v>3 LeadGen Set Appointments</v>
      </c>
    </row>
    <row r="3270" hidden="1">
      <c r="A3270" s="16" t="s">
        <v>46</v>
      </c>
      <c r="B3270" s="8" t="s">
        <v>1714</v>
      </c>
      <c r="C3270" s="8" t="s">
        <v>1715</v>
      </c>
      <c r="D3270" s="8">
        <v>4.0</v>
      </c>
      <c r="E3270" s="67">
        <f t="shared" si="11"/>
        <v>1000</v>
      </c>
      <c r="F3270" s="67" t="str">
        <f t="shared" si="12"/>
        <v>4 LeadGen Set Appointments</v>
      </c>
    </row>
    <row r="3271" hidden="1">
      <c r="A3271" s="16" t="s">
        <v>46</v>
      </c>
      <c r="B3271" s="8" t="s">
        <v>1761</v>
      </c>
      <c r="C3271" s="8" t="s">
        <v>1762</v>
      </c>
      <c r="D3271" s="8">
        <v>6.0</v>
      </c>
      <c r="E3271" s="67">
        <f t="shared" si="11"/>
        <v>1500</v>
      </c>
      <c r="F3271" s="67" t="str">
        <f t="shared" si="12"/>
        <v>6 LeadGen Set Appointments</v>
      </c>
    </row>
    <row r="3272" hidden="1">
      <c r="A3272" s="16" t="s">
        <v>46</v>
      </c>
      <c r="B3272" s="8" t="s">
        <v>1763</v>
      </c>
      <c r="C3272" s="8" t="s">
        <v>653</v>
      </c>
      <c r="D3272" s="8">
        <v>4.0</v>
      </c>
      <c r="E3272" s="67">
        <f t="shared" si="11"/>
        <v>1000</v>
      </c>
      <c r="F3272" s="67" t="str">
        <f t="shared" si="12"/>
        <v>4 LeadGen Set Appointments</v>
      </c>
    </row>
    <row r="3273" hidden="1">
      <c r="A3273" s="16" t="s">
        <v>46</v>
      </c>
      <c r="B3273" s="8" t="s">
        <v>1819</v>
      </c>
      <c r="C3273" s="8" t="s">
        <v>1820</v>
      </c>
      <c r="D3273" s="8">
        <v>5.0</v>
      </c>
      <c r="E3273" s="67">
        <f t="shared" si="11"/>
        <v>1250</v>
      </c>
      <c r="F3273" s="67" t="str">
        <f t="shared" si="12"/>
        <v>5 LeadGen Set Appointments</v>
      </c>
    </row>
    <row r="3274" hidden="1">
      <c r="A3274" s="16" t="s">
        <v>46</v>
      </c>
      <c r="B3274" s="8" t="s">
        <v>1917</v>
      </c>
      <c r="C3274" s="8" t="s">
        <v>1918</v>
      </c>
      <c r="D3274" s="8">
        <v>1.0</v>
      </c>
      <c r="E3274" s="67">
        <f t="shared" si="11"/>
        <v>250</v>
      </c>
      <c r="F3274" s="67" t="str">
        <f t="shared" si="12"/>
        <v>1 LeadGen Set Appointments</v>
      </c>
    </row>
    <row r="3275" hidden="1">
      <c r="A3275" s="16" t="s">
        <v>46</v>
      </c>
      <c r="B3275" s="8" t="s">
        <v>1694</v>
      </c>
      <c r="C3275" s="8" t="s">
        <v>1695</v>
      </c>
      <c r="D3275" s="8">
        <v>4.0</v>
      </c>
      <c r="E3275" s="67">
        <f t="shared" si="11"/>
        <v>1000</v>
      </c>
      <c r="F3275" s="67" t="str">
        <f t="shared" si="12"/>
        <v>4 LeadGen Set Appointments</v>
      </c>
    </row>
    <row r="3276" hidden="1">
      <c r="A3276" s="16" t="s">
        <v>46</v>
      </c>
      <c r="B3276" s="8" t="s">
        <v>1863</v>
      </c>
      <c r="C3276" s="8" t="s">
        <v>1864</v>
      </c>
      <c r="D3276" s="8">
        <v>6.0</v>
      </c>
      <c r="E3276" s="67">
        <f t="shared" si="11"/>
        <v>1500</v>
      </c>
      <c r="F3276" s="67" t="str">
        <f t="shared" si="12"/>
        <v>6 LeadGen Set Appointments</v>
      </c>
    </row>
    <row r="3277" hidden="1">
      <c r="A3277" s="16" t="s">
        <v>46</v>
      </c>
      <c r="B3277" s="8" t="s">
        <v>1919</v>
      </c>
      <c r="C3277" s="8" t="s">
        <v>1920</v>
      </c>
      <c r="D3277" s="8">
        <v>0.0</v>
      </c>
      <c r="E3277" s="67">
        <f t="shared" si="11"/>
        <v>0</v>
      </c>
      <c r="F3277" s="67" t="str">
        <f t="shared" si="12"/>
        <v>0 LeadGen Set Appointments</v>
      </c>
    </row>
    <row r="3278" hidden="1">
      <c r="A3278" s="16" t="s">
        <v>46</v>
      </c>
      <c r="B3278" s="8" t="s">
        <v>1881</v>
      </c>
      <c r="C3278" s="8" t="s">
        <v>1882</v>
      </c>
      <c r="D3278" s="8">
        <v>6.0</v>
      </c>
      <c r="E3278" s="67">
        <f t="shared" si="11"/>
        <v>1500</v>
      </c>
      <c r="F3278" s="67" t="str">
        <f t="shared" si="12"/>
        <v>6 LeadGen Set Appointments</v>
      </c>
    </row>
    <row r="3279" hidden="1">
      <c r="A3279" s="16" t="s">
        <v>46</v>
      </c>
      <c r="B3279" s="8" t="s">
        <v>1585</v>
      </c>
      <c r="C3279" s="8" t="s">
        <v>1586</v>
      </c>
      <c r="D3279" s="8">
        <v>4.0</v>
      </c>
      <c r="E3279" s="67">
        <f t="shared" si="11"/>
        <v>1000</v>
      </c>
      <c r="F3279" s="67" t="str">
        <f t="shared" si="12"/>
        <v>4 LeadGen Set Appointments</v>
      </c>
    </row>
    <row r="3280" hidden="1">
      <c r="A3280" s="16" t="s">
        <v>46</v>
      </c>
      <c r="B3280" s="8" t="s">
        <v>246</v>
      </c>
      <c r="C3280" s="8" t="s">
        <v>1889</v>
      </c>
      <c r="D3280" s="8">
        <v>4.0</v>
      </c>
      <c r="E3280" s="67">
        <f t="shared" si="11"/>
        <v>1000</v>
      </c>
      <c r="F3280" s="67" t="str">
        <f t="shared" si="12"/>
        <v>4 LeadGen Set Appointments</v>
      </c>
    </row>
    <row r="3281" hidden="1">
      <c r="A3281" s="16" t="s">
        <v>46</v>
      </c>
      <c r="B3281" s="8" t="s">
        <v>1692</v>
      </c>
      <c r="C3281" s="8" t="s">
        <v>1693</v>
      </c>
      <c r="D3281" s="8">
        <v>3.0</v>
      </c>
      <c r="E3281" s="67">
        <f t="shared" si="11"/>
        <v>750</v>
      </c>
      <c r="F3281" s="67" t="str">
        <f t="shared" si="12"/>
        <v>3 LeadGen Set Appointments</v>
      </c>
    </row>
    <row r="3282" hidden="1">
      <c r="A3282" s="16" t="s">
        <v>46</v>
      </c>
      <c r="B3282" s="8" t="s">
        <v>1702</v>
      </c>
      <c r="C3282" s="8" t="s">
        <v>1703</v>
      </c>
      <c r="D3282" s="8">
        <v>4.0</v>
      </c>
      <c r="E3282" s="67">
        <f t="shared" si="11"/>
        <v>1000</v>
      </c>
      <c r="F3282" s="67" t="str">
        <f t="shared" si="12"/>
        <v>4 LeadGen Set Appointments</v>
      </c>
    </row>
    <row r="3283" hidden="1">
      <c r="A3283" s="16" t="s">
        <v>46</v>
      </c>
      <c r="B3283" s="8" t="s">
        <v>1768</v>
      </c>
      <c r="C3283" s="8" t="s">
        <v>1769</v>
      </c>
      <c r="D3283" s="8">
        <v>2.0</v>
      </c>
      <c r="E3283" s="67">
        <f t="shared" si="11"/>
        <v>500</v>
      </c>
      <c r="F3283" s="67" t="str">
        <f t="shared" si="12"/>
        <v>2 LeadGen Set Appointments</v>
      </c>
    </row>
    <row r="3284" hidden="1">
      <c r="A3284" s="16" t="s">
        <v>46</v>
      </c>
      <c r="B3284" s="8" t="s">
        <v>1770</v>
      </c>
      <c r="C3284" s="8" t="s">
        <v>1771</v>
      </c>
      <c r="D3284" s="8">
        <v>6.0</v>
      </c>
      <c r="E3284" s="67">
        <f t="shared" si="11"/>
        <v>1500</v>
      </c>
      <c r="F3284" s="67" t="str">
        <f t="shared" si="12"/>
        <v>6 LeadGen Set Appointments</v>
      </c>
    </row>
    <row r="3285" hidden="1">
      <c r="A3285" s="16" t="s">
        <v>46</v>
      </c>
      <c r="B3285" s="8" t="s">
        <v>1479</v>
      </c>
      <c r="C3285" s="8" t="s">
        <v>1480</v>
      </c>
      <c r="D3285" s="8">
        <v>4.0</v>
      </c>
      <c r="E3285" s="67">
        <f t="shared" si="11"/>
        <v>1000</v>
      </c>
      <c r="F3285" s="67" t="str">
        <f t="shared" si="12"/>
        <v>4 LeadGen Set Appointments</v>
      </c>
    </row>
    <row r="3286" hidden="1">
      <c r="A3286" s="16" t="s">
        <v>46</v>
      </c>
      <c r="B3286" s="8" t="s">
        <v>1921</v>
      </c>
      <c r="C3286" s="8" t="s">
        <v>33</v>
      </c>
      <c r="D3286" s="8">
        <v>4.0</v>
      </c>
      <c r="E3286" s="67">
        <f t="shared" si="11"/>
        <v>1000</v>
      </c>
      <c r="F3286" s="67" t="str">
        <f t="shared" si="12"/>
        <v>4 LeadGen Set Appointments</v>
      </c>
    </row>
    <row r="3287" hidden="1">
      <c r="A3287" s="16" t="s">
        <v>46</v>
      </c>
      <c r="B3287" s="8" t="s">
        <v>618</v>
      </c>
      <c r="C3287" s="8" t="s">
        <v>619</v>
      </c>
      <c r="D3287" s="8">
        <v>8.0</v>
      </c>
      <c r="E3287" s="67">
        <f t="shared" si="11"/>
        <v>2000</v>
      </c>
      <c r="F3287" s="67" t="str">
        <f t="shared" si="12"/>
        <v>8 LeadGen Set Appointments</v>
      </c>
    </row>
    <row r="3288" hidden="1">
      <c r="A3288" s="16" t="s">
        <v>46</v>
      </c>
      <c r="B3288" s="8" t="s">
        <v>1301</v>
      </c>
      <c r="C3288" s="8" t="s">
        <v>1620</v>
      </c>
      <c r="D3288" s="8">
        <v>2.0</v>
      </c>
      <c r="E3288" s="67">
        <f t="shared" si="11"/>
        <v>500</v>
      </c>
      <c r="F3288" s="67" t="str">
        <f t="shared" si="12"/>
        <v>2 LeadGen Set Appointments</v>
      </c>
    </row>
    <row r="3289" hidden="1">
      <c r="A3289" s="16" t="s">
        <v>46</v>
      </c>
      <c r="B3289" s="8" t="s">
        <v>234</v>
      </c>
      <c r="C3289" s="8" t="s">
        <v>1922</v>
      </c>
      <c r="D3289" s="8">
        <v>6.0</v>
      </c>
      <c r="E3289" s="67">
        <f t="shared" si="11"/>
        <v>1500</v>
      </c>
      <c r="F3289" s="67" t="str">
        <f t="shared" si="12"/>
        <v>6 LeadGen Set Appointments</v>
      </c>
    </row>
    <row r="3290" hidden="1">
      <c r="A3290" s="16" t="s">
        <v>46</v>
      </c>
      <c r="B3290" s="8" t="s">
        <v>1591</v>
      </c>
      <c r="C3290" s="8" t="s">
        <v>836</v>
      </c>
      <c r="D3290" s="8">
        <v>4.0</v>
      </c>
      <c r="E3290" s="67">
        <f t="shared" si="11"/>
        <v>1000</v>
      </c>
      <c r="F3290" s="67" t="str">
        <f t="shared" si="12"/>
        <v>4 LeadGen Set Appointments</v>
      </c>
    </row>
    <row r="3291" hidden="1">
      <c r="A3291" s="16" t="s">
        <v>46</v>
      </c>
      <c r="B3291" s="8" t="s">
        <v>825</v>
      </c>
      <c r="C3291" s="8" t="s">
        <v>1766</v>
      </c>
      <c r="D3291" s="8">
        <v>6.0</v>
      </c>
      <c r="E3291" s="67">
        <f t="shared" si="11"/>
        <v>1500</v>
      </c>
      <c r="F3291" s="67" t="str">
        <f t="shared" si="12"/>
        <v>6 LeadGen Set Appointments</v>
      </c>
    </row>
    <row r="3292" hidden="1">
      <c r="A3292" s="16" t="s">
        <v>46</v>
      </c>
      <c r="B3292" s="8" t="s">
        <v>1237</v>
      </c>
      <c r="C3292" s="8" t="s">
        <v>1238</v>
      </c>
      <c r="D3292" s="8">
        <v>1.0</v>
      </c>
      <c r="E3292" s="67">
        <f t="shared" si="11"/>
        <v>250</v>
      </c>
      <c r="F3292" s="67" t="str">
        <f t="shared" si="12"/>
        <v>1 LeadGen Set Appointments</v>
      </c>
    </row>
    <row r="3293" hidden="1">
      <c r="A3293" s="16" t="s">
        <v>46</v>
      </c>
      <c r="B3293" s="8" t="s">
        <v>1690</v>
      </c>
      <c r="C3293" s="8" t="s">
        <v>1691</v>
      </c>
      <c r="D3293" s="8">
        <v>5.0</v>
      </c>
      <c r="E3293" s="67">
        <f t="shared" si="11"/>
        <v>1250</v>
      </c>
      <c r="F3293" s="67" t="str">
        <f t="shared" si="12"/>
        <v>5 LeadGen Set Appointments</v>
      </c>
    </row>
    <row r="3294" hidden="1">
      <c r="A3294" s="16" t="s">
        <v>46</v>
      </c>
      <c r="B3294" s="8" t="s">
        <v>1793</v>
      </c>
      <c r="C3294" s="8" t="s">
        <v>1794</v>
      </c>
      <c r="D3294" s="8">
        <v>2.0</v>
      </c>
      <c r="E3294" s="67">
        <f t="shared" si="11"/>
        <v>500</v>
      </c>
      <c r="F3294" s="67" t="str">
        <f t="shared" si="12"/>
        <v>2 LeadGen Set Appointments</v>
      </c>
    </row>
    <row r="3295" hidden="1">
      <c r="A3295" s="16" t="s">
        <v>46</v>
      </c>
      <c r="B3295" s="8" t="s">
        <v>1767</v>
      </c>
      <c r="C3295" s="8" t="s">
        <v>521</v>
      </c>
      <c r="D3295" s="8">
        <v>2.0</v>
      </c>
      <c r="E3295" s="67">
        <f t="shared" si="11"/>
        <v>500</v>
      </c>
      <c r="F3295" s="67" t="str">
        <f t="shared" si="12"/>
        <v>2 LeadGen Set Appointments</v>
      </c>
    </row>
    <row r="3296" hidden="1">
      <c r="A3296" s="16" t="s">
        <v>46</v>
      </c>
      <c r="B3296" s="8" t="s">
        <v>1686</v>
      </c>
      <c r="C3296" s="8" t="s">
        <v>1687</v>
      </c>
      <c r="D3296" s="8">
        <v>0.0</v>
      </c>
      <c r="E3296" s="67">
        <f t="shared" si="11"/>
        <v>0</v>
      </c>
      <c r="F3296" s="67" t="str">
        <f t="shared" si="12"/>
        <v>0 LeadGen Set Appointments</v>
      </c>
    </row>
    <row r="3297" hidden="1">
      <c r="A3297" s="16" t="s">
        <v>46</v>
      </c>
      <c r="B3297" s="8" t="s">
        <v>1526</v>
      </c>
      <c r="C3297" s="8" t="s">
        <v>1527</v>
      </c>
      <c r="D3297" s="8">
        <v>8.0</v>
      </c>
      <c r="E3297" s="67">
        <f t="shared" si="11"/>
        <v>2000</v>
      </c>
      <c r="F3297" s="67" t="str">
        <f t="shared" si="12"/>
        <v>8 LeadGen Set Appointments</v>
      </c>
    </row>
    <row r="3298" hidden="1">
      <c r="A3298" s="16" t="s">
        <v>46</v>
      </c>
      <c r="B3298" s="8" t="s">
        <v>1672</v>
      </c>
      <c r="C3298" s="8" t="s">
        <v>1673</v>
      </c>
      <c r="D3298" s="8">
        <v>4.0</v>
      </c>
      <c r="E3298" s="67">
        <f t="shared" si="11"/>
        <v>1000</v>
      </c>
      <c r="F3298" s="67" t="str">
        <f t="shared" si="12"/>
        <v>4 LeadGen Set Appointments</v>
      </c>
    </row>
    <row r="3299" hidden="1">
      <c r="A3299" s="6" t="s">
        <v>46</v>
      </c>
      <c r="B3299" s="8" t="s">
        <v>1712</v>
      </c>
      <c r="C3299" s="8" t="s">
        <v>1713</v>
      </c>
      <c r="D3299" s="9">
        <v>2.0</v>
      </c>
      <c r="E3299" s="67">
        <f t="shared" si="11"/>
        <v>500</v>
      </c>
      <c r="F3299" s="67" t="str">
        <f t="shared" si="12"/>
        <v>2 LeadGen Set Appointments</v>
      </c>
    </row>
    <row r="3300" hidden="1">
      <c r="A3300" s="6" t="s">
        <v>46</v>
      </c>
      <c r="B3300" s="8" t="s">
        <v>1923</v>
      </c>
      <c r="C3300" s="8" t="s">
        <v>1924</v>
      </c>
      <c r="D3300" s="9">
        <v>2.0</v>
      </c>
      <c r="E3300" s="67">
        <f t="shared" si="11"/>
        <v>500</v>
      </c>
      <c r="F3300" s="67" t="str">
        <f t="shared" si="12"/>
        <v>2 LeadGen Set Appointments</v>
      </c>
    </row>
    <row r="3301" hidden="1">
      <c r="A3301" s="6" t="s">
        <v>46</v>
      </c>
      <c r="B3301" s="8" t="s">
        <v>1883</v>
      </c>
      <c r="C3301" s="8" t="s">
        <v>1884</v>
      </c>
      <c r="D3301" s="9">
        <v>2.0</v>
      </c>
      <c r="E3301" s="67">
        <f t="shared" si="11"/>
        <v>500</v>
      </c>
      <c r="F3301" s="67" t="str">
        <f t="shared" si="12"/>
        <v>2 LeadGen Set Appointments</v>
      </c>
    </row>
    <row r="3302" hidden="1">
      <c r="A3302" s="6" t="s">
        <v>46</v>
      </c>
      <c r="B3302" s="8" t="s">
        <v>1925</v>
      </c>
      <c r="C3302" s="8" t="s">
        <v>35</v>
      </c>
      <c r="D3302" s="9">
        <v>2.0</v>
      </c>
      <c r="E3302" s="67">
        <f t="shared" si="11"/>
        <v>500</v>
      </c>
      <c r="F3302" s="67" t="str">
        <f t="shared" si="12"/>
        <v>2 LeadGen Set Appointments</v>
      </c>
    </row>
    <row r="3303" hidden="1">
      <c r="A3303" s="6" t="s">
        <v>46</v>
      </c>
      <c r="B3303" s="8" t="s">
        <v>1499</v>
      </c>
      <c r="C3303" s="8" t="s">
        <v>1500</v>
      </c>
      <c r="D3303" s="9">
        <v>2.0</v>
      </c>
      <c r="E3303" s="67">
        <f t="shared" si="11"/>
        <v>500</v>
      </c>
      <c r="F3303" s="67" t="str">
        <f t="shared" si="12"/>
        <v>2 LeadGen Set Appointments</v>
      </c>
    </row>
    <row r="3304" hidden="1">
      <c r="A3304" s="6" t="s">
        <v>46</v>
      </c>
      <c r="B3304" s="8" t="s">
        <v>1821</v>
      </c>
      <c r="C3304" s="8" t="s">
        <v>1822</v>
      </c>
      <c r="D3304" s="9">
        <v>2.0</v>
      </c>
      <c r="E3304" s="67">
        <f t="shared" si="11"/>
        <v>500</v>
      </c>
      <c r="F3304" s="67" t="str">
        <f t="shared" si="12"/>
        <v>2 LeadGen Set Appointments</v>
      </c>
    </row>
    <row r="3305" hidden="1">
      <c r="A3305" s="6" t="s">
        <v>46</v>
      </c>
      <c r="B3305" s="8" t="s">
        <v>1926</v>
      </c>
      <c r="C3305" s="8" t="s">
        <v>34</v>
      </c>
      <c r="D3305" s="9">
        <v>6.0</v>
      </c>
      <c r="E3305" s="67">
        <f t="shared" si="11"/>
        <v>1500</v>
      </c>
      <c r="F3305" s="67" t="str">
        <f t="shared" si="12"/>
        <v>6 LeadGen Set Appointments</v>
      </c>
    </row>
    <row r="3306" hidden="1">
      <c r="A3306" s="6" t="s">
        <v>46</v>
      </c>
      <c r="B3306" s="8" t="s">
        <v>1457</v>
      </c>
      <c r="C3306" s="8" t="s">
        <v>1458</v>
      </c>
      <c r="D3306" s="9">
        <v>7.0</v>
      </c>
      <c r="E3306" s="67">
        <f t="shared" si="11"/>
        <v>1750</v>
      </c>
      <c r="F3306" s="67" t="str">
        <f t="shared" si="12"/>
        <v>7 LeadGen Set Appointments</v>
      </c>
    </row>
    <row r="3307" hidden="1">
      <c r="A3307" s="6" t="s">
        <v>46</v>
      </c>
      <c r="B3307" s="8" t="s">
        <v>1927</v>
      </c>
      <c r="C3307" s="8" t="s">
        <v>1928</v>
      </c>
      <c r="D3307" s="9">
        <v>6.0</v>
      </c>
      <c r="E3307" s="67">
        <f t="shared" si="11"/>
        <v>1500</v>
      </c>
      <c r="F3307" s="67" t="str">
        <f t="shared" si="12"/>
        <v>6 LeadGen Set Appointments</v>
      </c>
    </row>
    <row r="3308" hidden="1">
      <c r="A3308" s="6" t="s">
        <v>46</v>
      </c>
      <c r="B3308" s="8" t="s">
        <v>1929</v>
      </c>
      <c r="C3308" s="8" t="s">
        <v>1930</v>
      </c>
      <c r="D3308" s="9">
        <v>1.0</v>
      </c>
      <c r="E3308" s="67">
        <f t="shared" si="11"/>
        <v>250</v>
      </c>
      <c r="F3308" s="67" t="str">
        <f t="shared" si="12"/>
        <v>1 LeadGen Set Appointments</v>
      </c>
    </row>
    <row r="3309" hidden="1">
      <c r="A3309" s="6" t="s">
        <v>46</v>
      </c>
      <c r="B3309" s="8" t="s">
        <v>974</v>
      </c>
      <c r="C3309" s="8" t="s">
        <v>975</v>
      </c>
      <c r="D3309" s="9">
        <v>2.0</v>
      </c>
      <c r="E3309" s="67">
        <f t="shared" si="11"/>
        <v>500</v>
      </c>
      <c r="F3309" s="67" t="str">
        <f t="shared" si="12"/>
        <v>2 LeadGen Set Appointments</v>
      </c>
    </row>
    <row r="3310" hidden="1">
      <c r="A3310" s="6" t="s">
        <v>48</v>
      </c>
      <c r="B3310" s="13" t="s">
        <v>644</v>
      </c>
      <c r="C3310" s="13" t="s">
        <v>645</v>
      </c>
      <c r="D3310" s="15">
        <v>27.0</v>
      </c>
      <c r="E3310" s="67">
        <f t="shared" si="11"/>
        <v>13500</v>
      </c>
      <c r="F3310" s="62" t="str">
        <f t="shared" si="12"/>
        <v>27 LeadGen Set Appointments</v>
      </c>
    </row>
    <row r="3311" hidden="1">
      <c r="A3311" s="6" t="s">
        <v>48</v>
      </c>
      <c r="B3311" s="13" t="s">
        <v>476</v>
      </c>
      <c r="C3311" s="13" t="s">
        <v>477</v>
      </c>
      <c r="D3311" s="15">
        <v>21.0</v>
      </c>
      <c r="E3311" s="67">
        <f t="shared" si="11"/>
        <v>10500</v>
      </c>
      <c r="F3311" s="62" t="str">
        <f t="shared" si="12"/>
        <v>21 LeadGen Set Appointments</v>
      </c>
    </row>
    <row r="3312" hidden="1">
      <c r="A3312" s="6" t="s">
        <v>48</v>
      </c>
      <c r="B3312" s="13" t="s">
        <v>540</v>
      </c>
      <c r="C3312" s="13" t="s">
        <v>1454</v>
      </c>
      <c r="D3312" s="15">
        <v>20.0</v>
      </c>
      <c r="E3312" s="67">
        <f t="shared" si="11"/>
        <v>10000</v>
      </c>
      <c r="F3312" s="62" t="str">
        <f t="shared" si="12"/>
        <v>20 LeadGen Set Appointments</v>
      </c>
    </row>
    <row r="3313" hidden="1">
      <c r="A3313" s="6" t="s">
        <v>48</v>
      </c>
      <c r="B3313" s="13" t="s">
        <v>1489</v>
      </c>
      <c r="C3313" s="13" t="s">
        <v>1490</v>
      </c>
      <c r="D3313" s="15">
        <v>15.0</v>
      </c>
      <c r="E3313" s="67">
        <f t="shared" si="11"/>
        <v>7500</v>
      </c>
      <c r="F3313" s="62" t="str">
        <f t="shared" si="12"/>
        <v>15 LeadGen Set Appointments</v>
      </c>
    </row>
    <row r="3314" hidden="1">
      <c r="A3314" s="6" t="s">
        <v>48</v>
      </c>
      <c r="B3314" s="13" t="s">
        <v>516</v>
      </c>
      <c r="C3314" s="13" t="s">
        <v>517</v>
      </c>
      <c r="D3314" s="15">
        <v>15.0</v>
      </c>
      <c r="E3314" s="67">
        <f t="shared" si="11"/>
        <v>7500</v>
      </c>
      <c r="F3314" s="62" t="str">
        <f t="shared" si="12"/>
        <v>15 LeadGen Set Appointments</v>
      </c>
    </row>
    <row r="3315" hidden="1">
      <c r="A3315" s="6" t="s">
        <v>48</v>
      </c>
      <c r="B3315" s="13" t="s">
        <v>699</v>
      </c>
      <c r="C3315" s="13" t="s">
        <v>700</v>
      </c>
      <c r="D3315" s="15">
        <v>14.0</v>
      </c>
      <c r="E3315" s="67">
        <f t="shared" si="11"/>
        <v>7000</v>
      </c>
      <c r="F3315" s="62" t="str">
        <f t="shared" si="12"/>
        <v>14 LeadGen Set Appointments</v>
      </c>
    </row>
    <row r="3316" hidden="1">
      <c r="A3316" s="6" t="s">
        <v>48</v>
      </c>
      <c r="B3316" s="13" t="s">
        <v>244</v>
      </c>
      <c r="C3316" s="13" t="s">
        <v>1888</v>
      </c>
      <c r="D3316" s="15">
        <v>13.0</v>
      </c>
      <c r="E3316" s="67">
        <f t="shared" si="11"/>
        <v>6500</v>
      </c>
      <c r="F3316" s="62" t="str">
        <f t="shared" si="12"/>
        <v>13 LeadGen Set Appointments</v>
      </c>
    </row>
    <row r="3317" hidden="1">
      <c r="A3317" s="6" t="s">
        <v>48</v>
      </c>
      <c r="B3317" s="13" t="s">
        <v>1455</v>
      </c>
      <c r="C3317" s="13" t="s">
        <v>1456</v>
      </c>
      <c r="D3317" s="15">
        <v>12.0</v>
      </c>
      <c r="E3317" s="67">
        <f t="shared" si="11"/>
        <v>6000</v>
      </c>
      <c r="F3317" s="62" t="str">
        <f t="shared" si="12"/>
        <v>12 LeadGen Set Appointments</v>
      </c>
    </row>
    <row r="3318" hidden="1">
      <c r="A3318" s="6" t="s">
        <v>48</v>
      </c>
      <c r="B3318" s="13" t="s">
        <v>736</v>
      </c>
      <c r="C3318" s="13" t="s">
        <v>737</v>
      </c>
      <c r="D3318" s="15">
        <v>12.0</v>
      </c>
      <c r="E3318" s="67">
        <f t="shared" si="11"/>
        <v>6000</v>
      </c>
      <c r="F3318" s="62" t="str">
        <f t="shared" si="12"/>
        <v>12 LeadGen Set Appointments</v>
      </c>
    </row>
    <row r="3319" hidden="1">
      <c r="A3319" s="6" t="s">
        <v>48</v>
      </c>
      <c r="B3319" s="8" t="s">
        <v>766</v>
      </c>
      <c r="C3319" s="8" t="s">
        <v>767</v>
      </c>
      <c r="D3319" s="9">
        <v>12.0</v>
      </c>
      <c r="E3319" s="67">
        <f t="shared" si="11"/>
        <v>6000</v>
      </c>
      <c r="F3319" s="67" t="str">
        <f t="shared" si="12"/>
        <v>12 LeadGen Set Appointments</v>
      </c>
    </row>
    <row r="3320" hidden="1">
      <c r="A3320" s="6" t="s">
        <v>48</v>
      </c>
      <c r="B3320" s="13" t="s">
        <v>746</v>
      </c>
      <c r="C3320" s="13" t="s">
        <v>747</v>
      </c>
      <c r="D3320" s="15">
        <v>12.0</v>
      </c>
      <c r="E3320" s="67">
        <f t="shared" si="11"/>
        <v>6000</v>
      </c>
      <c r="F3320" s="62" t="str">
        <f t="shared" si="12"/>
        <v>12 LeadGen Set Appointments</v>
      </c>
    </row>
    <row r="3321" hidden="1">
      <c r="A3321" s="6" t="s">
        <v>48</v>
      </c>
      <c r="B3321" s="13" t="s">
        <v>1893</v>
      </c>
      <c r="C3321" s="13" t="s">
        <v>1894</v>
      </c>
      <c r="D3321" s="15">
        <v>11.0</v>
      </c>
      <c r="E3321" s="67">
        <f t="shared" si="11"/>
        <v>5500</v>
      </c>
      <c r="F3321" s="62" t="str">
        <f t="shared" si="12"/>
        <v>11 LeadGen Set Appointments</v>
      </c>
    </row>
    <row r="3322" hidden="1">
      <c r="A3322" s="6" t="s">
        <v>48</v>
      </c>
      <c r="B3322" s="13" t="s">
        <v>1510</v>
      </c>
      <c r="C3322" s="13" t="s">
        <v>1511</v>
      </c>
      <c r="D3322" s="15">
        <v>11.0</v>
      </c>
      <c r="E3322" s="67">
        <f t="shared" si="11"/>
        <v>5500</v>
      </c>
      <c r="F3322" s="62" t="str">
        <f t="shared" si="12"/>
        <v>11 LeadGen Set Appointments</v>
      </c>
    </row>
    <row r="3323" hidden="1">
      <c r="A3323" s="6" t="s">
        <v>48</v>
      </c>
      <c r="B3323" s="13" t="s">
        <v>510</v>
      </c>
      <c r="C3323" s="13" t="s">
        <v>511</v>
      </c>
      <c r="D3323" s="15">
        <v>11.0</v>
      </c>
      <c r="E3323" s="67">
        <f t="shared" si="11"/>
        <v>5500</v>
      </c>
      <c r="F3323" s="62" t="str">
        <f t="shared" si="12"/>
        <v>11 LeadGen Set Appointments</v>
      </c>
    </row>
    <row r="3324" hidden="1">
      <c r="A3324" s="6" t="s">
        <v>48</v>
      </c>
      <c r="B3324" s="13" t="s">
        <v>411</v>
      </c>
      <c r="C3324" s="13" t="s">
        <v>412</v>
      </c>
      <c r="D3324" s="15">
        <v>11.0</v>
      </c>
      <c r="E3324" s="67">
        <f t="shared" si="11"/>
        <v>5500</v>
      </c>
      <c r="F3324" s="62" t="str">
        <f t="shared" si="12"/>
        <v>11 LeadGen Set Appointments</v>
      </c>
    </row>
    <row r="3325" hidden="1">
      <c r="A3325" s="6" t="s">
        <v>48</v>
      </c>
      <c r="B3325" s="13" t="s">
        <v>1776</v>
      </c>
      <c r="C3325" s="13" t="s">
        <v>1777</v>
      </c>
      <c r="D3325" s="15">
        <v>11.0</v>
      </c>
      <c r="E3325" s="67">
        <f t="shared" si="11"/>
        <v>5500</v>
      </c>
      <c r="F3325" s="62" t="str">
        <f t="shared" si="12"/>
        <v>11 LeadGen Set Appointments</v>
      </c>
    </row>
    <row r="3326" hidden="1">
      <c r="A3326" s="6" t="s">
        <v>48</v>
      </c>
      <c r="B3326" s="13" t="s">
        <v>1471</v>
      </c>
      <c r="C3326" s="13" t="s">
        <v>1472</v>
      </c>
      <c r="D3326" s="15">
        <v>11.0</v>
      </c>
      <c r="E3326" s="67">
        <f t="shared" si="11"/>
        <v>5500</v>
      </c>
      <c r="F3326" s="62" t="str">
        <f t="shared" si="12"/>
        <v>11 LeadGen Set Appointments</v>
      </c>
    </row>
    <row r="3327" hidden="1">
      <c r="A3327" s="6" t="s">
        <v>48</v>
      </c>
      <c r="B3327" s="8" t="s">
        <v>1467</v>
      </c>
      <c r="C3327" s="8" t="s">
        <v>1468</v>
      </c>
      <c r="D3327" s="9">
        <v>10.0</v>
      </c>
      <c r="E3327" s="67">
        <f t="shared" si="11"/>
        <v>5000</v>
      </c>
      <c r="F3327" s="67" t="str">
        <f t="shared" si="12"/>
        <v>10 LeadGen Set Appointments</v>
      </c>
    </row>
    <row r="3328" hidden="1">
      <c r="A3328" s="6" t="s">
        <v>48</v>
      </c>
      <c r="B3328" s="8" t="s">
        <v>1415</v>
      </c>
      <c r="C3328" s="8" t="s">
        <v>1416</v>
      </c>
      <c r="D3328" s="9">
        <v>10.0</v>
      </c>
      <c r="E3328" s="67">
        <f t="shared" si="11"/>
        <v>5000</v>
      </c>
      <c r="F3328" s="67" t="str">
        <f t="shared" si="12"/>
        <v>10 LeadGen Set Appointments</v>
      </c>
    </row>
    <row r="3329" hidden="1">
      <c r="A3329" s="6" t="s">
        <v>48</v>
      </c>
      <c r="B3329" s="8" t="s">
        <v>1426</v>
      </c>
      <c r="C3329" s="8" t="s">
        <v>1427</v>
      </c>
      <c r="D3329" s="9">
        <v>10.0</v>
      </c>
      <c r="E3329" s="67">
        <f t="shared" si="11"/>
        <v>5000</v>
      </c>
      <c r="F3329" s="67" t="str">
        <f t="shared" si="12"/>
        <v>10 LeadGen Set Appointments</v>
      </c>
    </row>
    <row r="3330" hidden="1">
      <c r="A3330" s="6" t="s">
        <v>48</v>
      </c>
      <c r="B3330" s="13" t="s">
        <v>1723</v>
      </c>
      <c r="C3330" s="13" t="s">
        <v>32</v>
      </c>
      <c r="D3330" s="15">
        <v>10.0</v>
      </c>
      <c r="E3330" s="67">
        <f t="shared" si="11"/>
        <v>5000</v>
      </c>
      <c r="F3330" s="62" t="str">
        <f t="shared" si="12"/>
        <v>10 LeadGen Set Appointments</v>
      </c>
    </row>
    <row r="3331" hidden="1">
      <c r="A3331" s="6" t="s">
        <v>48</v>
      </c>
      <c r="B3331" s="13" t="s">
        <v>1865</v>
      </c>
      <c r="C3331" s="13" t="s">
        <v>1866</v>
      </c>
      <c r="D3331" s="15">
        <v>10.0</v>
      </c>
      <c r="E3331" s="67">
        <f t="shared" si="11"/>
        <v>5000</v>
      </c>
      <c r="F3331" s="62" t="str">
        <f t="shared" si="12"/>
        <v>10 LeadGen Set Appointments</v>
      </c>
    </row>
    <row r="3332" hidden="1">
      <c r="A3332" s="6" t="s">
        <v>48</v>
      </c>
      <c r="B3332" s="13" t="s">
        <v>723</v>
      </c>
      <c r="C3332" s="13" t="s">
        <v>724</v>
      </c>
      <c r="D3332" s="15">
        <v>10.0</v>
      </c>
      <c r="E3332" s="67">
        <f t="shared" si="11"/>
        <v>5000</v>
      </c>
      <c r="F3332" s="62" t="str">
        <f t="shared" si="12"/>
        <v>10 LeadGen Set Appointments</v>
      </c>
    </row>
    <row r="3333" hidden="1">
      <c r="A3333" s="6" t="s">
        <v>48</v>
      </c>
      <c r="B3333" s="13" t="s">
        <v>1283</v>
      </c>
      <c r="C3333" s="13" t="s">
        <v>404</v>
      </c>
      <c r="D3333" s="15">
        <v>10.0</v>
      </c>
      <c r="E3333" s="67">
        <f t="shared" si="11"/>
        <v>5000</v>
      </c>
      <c r="F3333" s="62" t="str">
        <f t="shared" si="12"/>
        <v>10 LeadGen Set Appointments</v>
      </c>
    </row>
    <row r="3334" hidden="1">
      <c r="A3334" s="6" t="s">
        <v>48</v>
      </c>
      <c r="B3334" s="13" t="s">
        <v>1483</v>
      </c>
      <c r="C3334" s="13" t="s">
        <v>1484</v>
      </c>
      <c r="D3334" s="15">
        <v>10.0</v>
      </c>
      <c r="E3334" s="67">
        <f t="shared" si="11"/>
        <v>5000</v>
      </c>
      <c r="F3334" s="62" t="str">
        <f t="shared" si="12"/>
        <v>10 LeadGen Set Appointments</v>
      </c>
    </row>
    <row r="3335" hidden="1">
      <c r="A3335" s="6" t="s">
        <v>48</v>
      </c>
      <c r="B3335" s="13" t="s">
        <v>1921</v>
      </c>
      <c r="C3335" s="13" t="s">
        <v>33</v>
      </c>
      <c r="D3335" s="15">
        <v>10.0</v>
      </c>
      <c r="E3335" s="67">
        <f t="shared" si="11"/>
        <v>5000</v>
      </c>
      <c r="F3335" s="62" t="str">
        <f t="shared" si="12"/>
        <v>10 LeadGen Set Appointments</v>
      </c>
    </row>
    <row r="3336" hidden="1">
      <c r="A3336" s="6" t="s">
        <v>48</v>
      </c>
      <c r="B3336" s="8" t="s">
        <v>1025</v>
      </c>
      <c r="C3336" s="8" t="s">
        <v>1026</v>
      </c>
      <c r="D3336" s="9">
        <v>10.0</v>
      </c>
      <c r="E3336" s="67">
        <f t="shared" si="11"/>
        <v>5000</v>
      </c>
      <c r="F3336" s="67" t="str">
        <f t="shared" si="12"/>
        <v>10 LeadGen Set Appointments</v>
      </c>
    </row>
    <row r="3337" hidden="1">
      <c r="A3337" s="6" t="s">
        <v>48</v>
      </c>
      <c r="B3337" s="8" t="s">
        <v>1514</v>
      </c>
      <c r="C3337" s="8" t="s">
        <v>1515</v>
      </c>
      <c r="D3337" s="9">
        <v>9.0</v>
      </c>
      <c r="E3337" s="67">
        <f t="shared" si="11"/>
        <v>2250</v>
      </c>
      <c r="F3337" s="67" t="str">
        <f t="shared" si="12"/>
        <v>9 LeadGen Set Appointments</v>
      </c>
    </row>
    <row r="3338" hidden="1">
      <c r="A3338" s="6" t="s">
        <v>48</v>
      </c>
      <c r="B3338" s="8" t="s">
        <v>693</v>
      </c>
      <c r="C3338" s="8" t="s">
        <v>694</v>
      </c>
      <c r="D3338" s="9">
        <v>9.0</v>
      </c>
      <c r="E3338" s="67">
        <f t="shared" si="11"/>
        <v>2250</v>
      </c>
      <c r="F3338" s="67" t="str">
        <f t="shared" si="12"/>
        <v>9 LeadGen Set Appointments</v>
      </c>
    </row>
    <row r="3339" hidden="1">
      <c r="A3339" s="6" t="s">
        <v>48</v>
      </c>
      <c r="B3339" s="8" t="s">
        <v>1825</v>
      </c>
      <c r="C3339" s="8" t="s">
        <v>1826</v>
      </c>
      <c r="D3339" s="9">
        <v>9.0</v>
      </c>
      <c r="E3339" s="67">
        <f t="shared" si="11"/>
        <v>2250</v>
      </c>
      <c r="F3339" s="67" t="str">
        <f t="shared" si="12"/>
        <v>9 LeadGen Set Appointments</v>
      </c>
    </row>
    <row r="3340" hidden="1">
      <c r="A3340" s="6" t="s">
        <v>48</v>
      </c>
      <c r="B3340" s="13" t="s">
        <v>1929</v>
      </c>
      <c r="C3340" s="13" t="s">
        <v>1930</v>
      </c>
      <c r="D3340" s="15">
        <v>9.0</v>
      </c>
      <c r="E3340" s="67">
        <f t="shared" si="11"/>
        <v>2250</v>
      </c>
      <c r="F3340" s="62" t="str">
        <f t="shared" si="12"/>
        <v>9 LeadGen Set Appointments</v>
      </c>
    </row>
    <row r="3341" hidden="1">
      <c r="A3341" s="6" t="s">
        <v>48</v>
      </c>
      <c r="B3341" s="13" t="s">
        <v>486</v>
      </c>
      <c r="C3341" s="13" t="s">
        <v>487</v>
      </c>
      <c r="D3341" s="15">
        <v>8.0</v>
      </c>
      <c r="E3341" s="67">
        <f t="shared" si="11"/>
        <v>2000</v>
      </c>
      <c r="F3341" s="62" t="str">
        <f t="shared" si="12"/>
        <v>8 LeadGen Set Appointments</v>
      </c>
    </row>
    <row r="3342" hidden="1">
      <c r="A3342" s="6" t="s">
        <v>48</v>
      </c>
      <c r="B3342" s="13" t="s">
        <v>626</v>
      </c>
      <c r="C3342" s="13" t="s">
        <v>627</v>
      </c>
      <c r="D3342" s="15">
        <v>8.0</v>
      </c>
      <c r="E3342" s="67">
        <f t="shared" si="11"/>
        <v>2000</v>
      </c>
      <c r="F3342" s="62" t="str">
        <f t="shared" si="12"/>
        <v>8 LeadGen Set Appointments</v>
      </c>
    </row>
    <row r="3343" hidden="1">
      <c r="A3343" s="6" t="s">
        <v>48</v>
      </c>
      <c r="B3343" s="13" t="s">
        <v>1463</v>
      </c>
      <c r="C3343" s="13" t="s">
        <v>1464</v>
      </c>
      <c r="D3343" s="15">
        <v>7.0</v>
      </c>
      <c r="E3343" s="67">
        <f t="shared" si="11"/>
        <v>1750</v>
      </c>
      <c r="F3343" s="62" t="str">
        <f t="shared" si="12"/>
        <v>7 LeadGen Set Appointments</v>
      </c>
    </row>
    <row r="3344" hidden="1">
      <c r="A3344" s="6" t="s">
        <v>48</v>
      </c>
      <c r="B3344" s="13" t="s">
        <v>1646</v>
      </c>
      <c r="C3344" s="13" t="s">
        <v>1647</v>
      </c>
      <c r="D3344" s="15">
        <v>7.0</v>
      </c>
      <c r="E3344" s="67">
        <f t="shared" si="11"/>
        <v>1750</v>
      </c>
      <c r="F3344" s="62" t="str">
        <f t="shared" si="12"/>
        <v>7 LeadGen Set Appointments</v>
      </c>
    </row>
    <row r="3345" hidden="1">
      <c r="A3345" s="6" t="s">
        <v>48</v>
      </c>
      <c r="B3345" s="13" t="s">
        <v>1475</v>
      </c>
      <c r="C3345" s="13" t="s">
        <v>1476</v>
      </c>
      <c r="D3345" s="15">
        <v>7.0</v>
      </c>
      <c r="E3345" s="67">
        <f t="shared" si="11"/>
        <v>1750</v>
      </c>
      <c r="F3345" s="62" t="str">
        <f t="shared" si="12"/>
        <v>7 LeadGen Set Appointments</v>
      </c>
    </row>
    <row r="3346" hidden="1">
      <c r="A3346" s="6" t="s">
        <v>48</v>
      </c>
      <c r="B3346" s="13" t="s">
        <v>1778</v>
      </c>
      <c r="C3346" s="13" t="s">
        <v>1779</v>
      </c>
      <c r="D3346" s="15">
        <v>7.0</v>
      </c>
      <c r="E3346" s="67">
        <f t="shared" si="11"/>
        <v>1750</v>
      </c>
      <c r="F3346" s="62" t="str">
        <f t="shared" si="12"/>
        <v>7 LeadGen Set Appointments</v>
      </c>
    </row>
    <row r="3347" hidden="1">
      <c r="A3347" s="6" t="s">
        <v>48</v>
      </c>
      <c r="B3347" s="13" t="s">
        <v>1867</v>
      </c>
      <c r="C3347" s="13" t="s">
        <v>1868</v>
      </c>
      <c r="D3347" s="15">
        <v>7.0</v>
      </c>
      <c r="E3347" s="67">
        <f t="shared" si="11"/>
        <v>1750</v>
      </c>
      <c r="F3347" s="62" t="str">
        <f t="shared" si="12"/>
        <v>7 LeadGen Set Appointments</v>
      </c>
    </row>
    <row r="3348" hidden="1">
      <c r="A3348" s="6" t="s">
        <v>48</v>
      </c>
      <c r="B3348" s="8" t="s">
        <v>242</v>
      </c>
      <c r="C3348" s="8" t="s">
        <v>1887</v>
      </c>
      <c r="D3348" s="9">
        <v>7.0</v>
      </c>
      <c r="E3348" s="67">
        <f t="shared" si="11"/>
        <v>1750</v>
      </c>
      <c r="F3348" s="67" t="str">
        <f t="shared" si="12"/>
        <v>7 LeadGen Set Appointments</v>
      </c>
    </row>
    <row r="3349" hidden="1">
      <c r="A3349" s="6" t="s">
        <v>48</v>
      </c>
      <c r="B3349" s="8" t="s">
        <v>1664</v>
      </c>
      <c r="C3349" s="8" t="s">
        <v>1665</v>
      </c>
      <c r="D3349" s="9">
        <v>7.0</v>
      </c>
      <c r="E3349" s="67">
        <f t="shared" si="11"/>
        <v>1750</v>
      </c>
      <c r="F3349" s="67" t="str">
        <f t="shared" si="12"/>
        <v>7 LeadGen Set Appointments</v>
      </c>
    </row>
    <row r="3350" hidden="1">
      <c r="A3350" s="6" t="s">
        <v>48</v>
      </c>
      <c r="B3350" s="8" t="s">
        <v>1786</v>
      </c>
      <c r="C3350" s="8" t="s">
        <v>1787</v>
      </c>
      <c r="D3350" s="9">
        <v>7.0</v>
      </c>
      <c r="E3350" s="67">
        <f t="shared" si="11"/>
        <v>1750</v>
      </c>
      <c r="F3350" s="67" t="str">
        <f t="shared" si="12"/>
        <v>7 LeadGen Set Appointments</v>
      </c>
    </row>
    <row r="3351" hidden="1">
      <c r="A3351" s="6" t="s">
        <v>48</v>
      </c>
      <c r="B3351" s="8" t="s">
        <v>1625</v>
      </c>
      <c r="C3351" s="8" t="s">
        <v>1626</v>
      </c>
      <c r="D3351" s="9">
        <v>7.0</v>
      </c>
      <c r="E3351" s="67">
        <f t="shared" si="11"/>
        <v>1750</v>
      </c>
      <c r="F3351" s="67" t="str">
        <f t="shared" si="12"/>
        <v>7 LeadGen Set Appointments</v>
      </c>
    </row>
    <row r="3352" hidden="1">
      <c r="A3352" s="6" t="s">
        <v>48</v>
      </c>
      <c r="B3352" s="8" t="s">
        <v>566</v>
      </c>
      <c r="C3352" s="8" t="s">
        <v>567</v>
      </c>
      <c r="D3352" s="9">
        <v>7.0</v>
      </c>
      <c r="E3352" s="67">
        <f t="shared" si="11"/>
        <v>1750</v>
      </c>
      <c r="F3352" s="67" t="str">
        <f t="shared" si="12"/>
        <v>7 LeadGen Set Appointments</v>
      </c>
    </row>
    <row r="3353" hidden="1">
      <c r="A3353" s="6" t="s">
        <v>48</v>
      </c>
      <c r="B3353" s="8" t="s">
        <v>1473</v>
      </c>
      <c r="C3353" s="8" t="s">
        <v>1474</v>
      </c>
      <c r="D3353" s="9">
        <v>6.0</v>
      </c>
      <c r="E3353" s="67">
        <f t="shared" si="11"/>
        <v>1500</v>
      </c>
      <c r="F3353" s="67" t="str">
        <f t="shared" si="12"/>
        <v>6 LeadGen Set Appointments</v>
      </c>
    </row>
    <row r="3354" hidden="1">
      <c r="A3354" s="6" t="s">
        <v>48</v>
      </c>
      <c r="B3354" s="13" t="s">
        <v>1927</v>
      </c>
      <c r="C3354" s="13" t="s">
        <v>1928</v>
      </c>
      <c r="D3354" s="15">
        <v>6.0</v>
      </c>
      <c r="E3354" s="67">
        <f t="shared" si="11"/>
        <v>1500</v>
      </c>
      <c r="F3354" s="62" t="str">
        <f t="shared" si="12"/>
        <v>6 LeadGen Set Appointments</v>
      </c>
    </row>
    <row r="3355" hidden="1">
      <c r="A3355" s="6" t="s">
        <v>48</v>
      </c>
      <c r="B3355" s="13" t="s">
        <v>1545</v>
      </c>
      <c r="C3355" s="13" t="s">
        <v>1546</v>
      </c>
      <c r="D3355" s="15">
        <v>6.0</v>
      </c>
      <c r="E3355" s="67">
        <f t="shared" si="11"/>
        <v>1500</v>
      </c>
      <c r="F3355" s="62" t="str">
        <f t="shared" si="12"/>
        <v>6 LeadGen Set Appointments</v>
      </c>
    </row>
    <row r="3356" hidden="1">
      <c r="A3356" s="6" t="s">
        <v>48</v>
      </c>
      <c r="B3356" s="13" t="s">
        <v>1583</v>
      </c>
      <c r="C3356" s="13" t="s">
        <v>1584</v>
      </c>
      <c r="D3356" s="15">
        <v>6.0</v>
      </c>
      <c r="E3356" s="67">
        <f t="shared" si="11"/>
        <v>1500</v>
      </c>
      <c r="F3356" s="62" t="str">
        <f t="shared" si="12"/>
        <v>6 LeadGen Set Appointments</v>
      </c>
    </row>
    <row r="3357" hidden="1">
      <c r="A3357" s="6" t="s">
        <v>48</v>
      </c>
      <c r="B3357" s="13" t="s">
        <v>640</v>
      </c>
      <c r="C3357" s="13" t="s">
        <v>641</v>
      </c>
      <c r="D3357" s="15">
        <v>6.0</v>
      </c>
      <c r="E3357" s="67">
        <f t="shared" si="11"/>
        <v>1500</v>
      </c>
      <c r="F3357" s="62" t="str">
        <f t="shared" si="12"/>
        <v>6 LeadGen Set Appointments</v>
      </c>
    </row>
    <row r="3358" hidden="1">
      <c r="A3358" s="6" t="s">
        <v>48</v>
      </c>
      <c r="B3358" s="13" t="s">
        <v>1461</v>
      </c>
      <c r="C3358" s="13" t="s">
        <v>1462</v>
      </c>
      <c r="D3358" s="15">
        <v>6.0</v>
      </c>
      <c r="E3358" s="67">
        <f t="shared" si="11"/>
        <v>1500</v>
      </c>
      <c r="F3358" s="62" t="str">
        <f t="shared" si="12"/>
        <v>6 LeadGen Set Appointments</v>
      </c>
    </row>
    <row r="3359" hidden="1">
      <c r="A3359" s="6" t="s">
        <v>48</v>
      </c>
      <c r="B3359" s="13" t="s">
        <v>1334</v>
      </c>
      <c r="C3359" s="13" t="s">
        <v>553</v>
      </c>
      <c r="D3359" s="15">
        <v>6.0</v>
      </c>
      <c r="E3359" s="67">
        <f t="shared" si="11"/>
        <v>1500</v>
      </c>
      <c r="F3359" s="62" t="str">
        <f t="shared" si="12"/>
        <v>6 LeadGen Set Appointments</v>
      </c>
    </row>
    <row r="3360" hidden="1">
      <c r="A3360" s="6" t="s">
        <v>48</v>
      </c>
      <c r="B3360" s="8" t="s">
        <v>1512</v>
      </c>
      <c r="C3360" s="8" t="s">
        <v>1513</v>
      </c>
      <c r="D3360" s="9">
        <v>6.0</v>
      </c>
      <c r="E3360" s="67">
        <f t="shared" si="11"/>
        <v>1500</v>
      </c>
      <c r="F3360" s="67" t="str">
        <f t="shared" si="12"/>
        <v>6 LeadGen Set Appointments</v>
      </c>
    </row>
    <row r="3361" hidden="1">
      <c r="A3361" s="6" t="s">
        <v>48</v>
      </c>
      <c r="B3361" s="8" t="s">
        <v>1557</v>
      </c>
      <c r="C3361" s="8" t="s">
        <v>1558</v>
      </c>
      <c r="D3361" s="9">
        <v>6.0</v>
      </c>
      <c r="E3361" s="67">
        <f t="shared" si="11"/>
        <v>1500</v>
      </c>
      <c r="F3361" s="67" t="str">
        <f t="shared" si="12"/>
        <v>6 LeadGen Set Appointments</v>
      </c>
    </row>
    <row r="3362" hidden="1">
      <c r="A3362" s="6" t="s">
        <v>48</v>
      </c>
      <c r="B3362" s="8" t="s">
        <v>1493</v>
      </c>
      <c r="C3362" s="8" t="s">
        <v>1494</v>
      </c>
      <c r="D3362" s="9">
        <v>6.0</v>
      </c>
      <c r="E3362" s="67">
        <f t="shared" si="11"/>
        <v>1500</v>
      </c>
      <c r="F3362" s="67" t="str">
        <f t="shared" si="12"/>
        <v>6 LeadGen Set Appointments</v>
      </c>
    </row>
    <row r="3363" hidden="1">
      <c r="A3363" s="6" t="s">
        <v>48</v>
      </c>
      <c r="B3363" s="8" t="s">
        <v>624</v>
      </c>
      <c r="C3363" s="8" t="s">
        <v>625</v>
      </c>
      <c r="D3363" s="9">
        <v>6.0</v>
      </c>
      <c r="E3363" s="67">
        <f t="shared" si="11"/>
        <v>1500</v>
      </c>
      <c r="F3363" s="67" t="str">
        <f t="shared" si="12"/>
        <v>6 LeadGen Set Appointments</v>
      </c>
    </row>
    <row r="3364" hidden="1">
      <c r="A3364" s="6" t="s">
        <v>48</v>
      </c>
      <c r="B3364" s="8" t="s">
        <v>500</v>
      </c>
      <c r="C3364" s="8" t="s">
        <v>501</v>
      </c>
      <c r="D3364" s="9">
        <v>5.0</v>
      </c>
      <c r="E3364" s="67">
        <f t="shared" si="11"/>
        <v>1250</v>
      </c>
      <c r="F3364" s="67" t="str">
        <f t="shared" si="12"/>
        <v>5 LeadGen Set Appointments</v>
      </c>
    </row>
    <row r="3365" hidden="1">
      <c r="A3365" s="6" t="s">
        <v>48</v>
      </c>
      <c r="B3365" s="8" t="s">
        <v>1861</v>
      </c>
      <c r="C3365" s="8" t="s">
        <v>1862</v>
      </c>
      <c r="D3365" s="9">
        <v>5.0</v>
      </c>
      <c r="E3365" s="67">
        <f t="shared" si="11"/>
        <v>1250</v>
      </c>
      <c r="F3365" s="67" t="str">
        <f t="shared" si="12"/>
        <v>5 LeadGen Set Appointments</v>
      </c>
    </row>
    <row r="3366" hidden="1">
      <c r="A3366" s="6" t="s">
        <v>48</v>
      </c>
      <c r="B3366" s="8" t="s">
        <v>628</v>
      </c>
      <c r="C3366" s="8" t="s">
        <v>629</v>
      </c>
      <c r="D3366" s="9">
        <v>5.0</v>
      </c>
      <c r="E3366" s="67">
        <f t="shared" si="11"/>
        <v>1250</v>
      </c>
      <c r="F3366" s="67" t="str">
        <f t="shared" si="12"/>
        <v>5 LeadGen Set Appointments</v>
      </c>
    </row>
    <row r="3367" hidden="1">
      <c r="A3367" s="6" t="s">
        <v>48</v>
      </c>
      <c r="B3367" s="8" t="s">
        <v>546</v>
      </c>
      <c r="C3367" s="8" t="s">
        <v>547</v>
      </c>
      <c r="D3367" s="9">
        <v>5.0</v>
      </c>
      <c r="E3367" s="67">
        <f t="shared" si="11"/>
        <v>1250</v>
      </c>
      <c r="F3367" s="67" t="str">
        <f t="shared" si="12"/>
        <v>5 LeadGen Set Appointments</v>
      </c>
    </row>
    <row r="3368" hidden="1">
      <c r="A3368" s="6" t="s">
        <v>48</v>
      </c>
      <c r="B3368" s="8" t="s">
        <v>1606</v>
      </c>
      <c r="C3368" s="8" t="s">
        <v>1607</v>
      </c>
      <c r="D3368" s="9">
        <v>5.0</v>
      </c>
      <c r="E3368" s="67">
        <f t="shared" si="11"/>
        <v>1250</v>
      </c>
      <c r="F3368" s="67" t="str">
        <f t="shared" si="12"/>
        <v>5 LeadGen Set Appointments</v>
      </c>
    </row>
    <row r="3369" hidden="1">
      <c r="A3369" s="6" t="s">
        <v>48</v>
      </c>
      <c r="B3369" s="8" t="s">
        <v>752</v>
      </c>
      <c r="C3369" s="8" t="s">
        <v>753</v>
      </c>
      <c r="D3369" s="9">
        <v>5.0</v>
      </c>
      <c r="E3369" s="67">
        <f t="shared" si="11"/>
        <v>1250</v>
      </c>
      <c r="F3369" s="67" t="str">
        <f t="shared" si="12"/>
        <v>5 LeadGen Set Appointments</v>
      </c>
    </row>
    <row r="3370" hidden="1">
      <c r="A3370" s="6" t="s">
        <v>48</v>
      </c>
      <c r="B3370" s="8" t="s">
        <v>1688</v>
      </c>
      <c r="C3370" s="8" t="s">
        <v>1689</v>
      </c>
      <c r="D3370" s="9">
        <v>5.0</v>
      </c>
      <c r="E3370" s="67">
        <f t="shared" si="11"/>
        <v>1250</v>
      </c>
      <c r="F3370" s="67" t="str">
        <f t="shared" si="12"/>
        <v>5 LeadGen Set Appointments</v>
      </c>
    </row>
    <row r="3371" hidden="1">
      <c r="A3371" s="6" t="s">
        <v>48</v>
      </c>
      <c r="B3371" s="8" t="s">
        <v>238</v>
      </c>
      <c r="C3371" s="8" t="s">
        <v>1890</v>
      </c>
      <c r="D3371" s="9">
        <v>5.0</v>
      </c>
      <c r="E3371" s="67">
        <f t="shared" si="11"/>
        <v>1250</v>
      </c>
      <c r="F3371" s="67" t="str">
        <f t="shared" si="12"/>
        <v>5 LeadGen Set Appointments</v>
      </c>
    </row>
    <row r="3372" hidden="1">
      <c r="A3372" s="6" t="s">
        <v>48</v>
      </c>
      <c r="B3372" s="8" t="s">
        <v>582</v>
      </c>
      <c r="C3372" s="8" t="s">
        <v>583</v>
      </c>
      <c r="D3372" s="9">
        <v>5.0</v>
      </c>
      <c r="E3372" s="67">
        <f t="shared" si="11"/>
        <v>1250</v>
      </c>
      <c r="F3372" s="67" t="str">
        <f t="shared" si="12"/>
        <v>5 LeadGen Set Appointments</v>
      </c>
    </row>
    <row r="3373" hidden="1">
      <c r="A3373" s="6" t="s">
        <v>48</v>
      </c>
      <c r="B3373" s="8" t="s">
        <v>572</v>
      </c>
      <c r="C3373" s="8" t="s">
        <v>573</v>
      </c>
      <c r="D3373" s="9">
        <v>5.0</v>
      </c>
      <c r="E3373" s="67">
        <f t="shared" si="11"/>
        <v>1250</v>
      </c>
      <c r="F3373" s="67" t="str">
        <f t="shared" si="12"/>
        <v>5 LeadGen Set Appointments</v>
      </c>
    </row>
    <row r="3374" hidden="1">
      <c r="A3374" s="6" t="s">
        <v>48</v>
      </c>
      <c r="B3374" s="8" t="s">
        <v>1491</v>
      </c>
      <c r="C3374" s="8" t="s">
        <v>1492</v>
      </c>
      <c r="D3374" s="9">
        <v>5.0</v>
      </c>
      <c r="E3374" s="67">
        <f t="shared" si="11"/>
        <v>1250</v>
      </c>
      <c r="F3374" s="67" t="str">
        <f t="shared" si="12"/>
        <v>5 LeadGen Set Appointments</v>
      </c>
    </row>
    <row r="3375" hidden="1">
      <c r="A3375" s="6" t="s">
        <v>48</v>
      </c>
      <c r="B3375" s="8" t="s">
        <v>1784</v>
      </c>
      <c r="C3375" s="8" t="s">
        <v>1785</v>
      </c>
      <c r="D3375" s="9">
        <v>5.0</v>
      </c>
      <c r="E3375" s="67">
        <f t="shared" si="11"/>
        <v>1250</v>
      </c>
      <c r="F3375" s="67" t="str">
        <f t="shared" si="12"/>
        <v>5 LeadGen Set Appointments</v>
      </c>
    </row>
    <row r="3376" hidden="1">
      <c r="A3376" s="6" t="s">
        <v>48</v>
      </c>
      <c r="B3376" s="8" t="s">
        <v>1567</v>
      </c>
      <c r="C3376" s="8" t="s">
        <v>1568</v>
      </c>
      <c r="D3376" s="9">
        <v>5.0</v>
      </c>
      <c r="E3376" s="67">
        <f t="shared" si="11"/>
        <v>1250</v>
      </c>
      <c r="F3376" s="67" t="str">
        <f t="shared" si="12"/>
        <v>5 LeadGen Set Appointments</v>
      </c>
    </row>
    <row r="3377" hidden="1">
      <c r="A3377" s="6" t="s">
        <v>48</v>
      </c>
      <c r="B3377" s="8" t="s">
        <v>1674</v>
      </c>
      <c r="C3377" s="8" t="s">
        <v>1675</v>
      </c>
      <c r="D3377" s="9">
        <v>5.0</v>
      </c>
      <c r="E3377" s="67">
        <f t="shared" si="11"/>
        <v>1250</v>
      </c>
      <c r="F3377" s="67" t="str">
        <f t="shared" si="12"/>
        <v>5 LeadGen Set Appointments</v>
      </c>
    </row>
    <row r="3378" hidden="1">
      <c r="A3378" s="6" t="s">
        <v>48</v>
      </c>
      <c r="B3378" s="8" t="s">
        <v>1481</v>
      </c>
      <c r="C3378" s="8" t="s">
        <v>1482</v>
      </c>
      <c r="D3378" s="9">
        <v>5.0</v>
      </c>
      <c r="E3378" s="67">
        <f t="shared" si="11"/>
        <v>1250</v>
      </c>
      <c r="F3378" s="67" t="str">
        <f t="shared" si="12"/>
        <v>5 LeadGen Set Appointments</v>
      </c>
    </row>
    <row r="3379" hidden="1">
      <c r="A3379" s="6" t="s">
        <v>48</v>
      </c>
      <c r="B3379" s="8" t="s">
        <v>1465</v>
      </c>
      <c r="C3379" s="8" t="s">
        <v>1466</v>
      </c>
      <c r="D3379" s="9">
        <v>4.0</v>
      </c>
      <c r="E3379" s="67">
        <f t="shared" si="11"/>
        <v>1000</v>
      </c>
      <c r="F3379" s="67" t="str">
        <f t="shared" si="12"/>
        <v>4 LeadGen Set Appointments</v>
      </c>
    </row>
    <row r="3380" hidden="1">
      <c r="A3380" s="6" t="s">
        <v>48</v>
      </c>
      <c r="B3380" s="8" t="s">
        <v>462</v>
      </c>
      <c r="C3380" s="8" t="s">
        <v>463</v>
      </c>
      <c r="D3380" s="9">
        <v>4.0</v>
      </c>
      <c r="E3380" s="67">
        <f t="shared" si="11"/>
        <v>1000</v>
      </c>
      <c r="F3380" s="67" t="str">
        <f t="shared" si="12"/>
        <v>4 LeadGen Set Appointments</v>
      </c>
    </row>
    <row r="3381" hidden="1">
      <c r="A3381" s="6" t="s">
        <v>48</v>
      </c>
      <c r="B3381" s="8" t="s">
        <v>1774</v>
      </c>
      <c r="C3381" s="8" t="s">
        <v>1775</v>
      </c>
      <c r="D3381" s="9">
        <v>4.0</v>
      </c>
      <c r="E3381" s="67">
        <f t="shared" si="11"/>
        <v>1000</v>
      </c>
      <c r="F3381" s="67" t="str">
        <f t="shared" si="12"/>
        <v>4 LeadGen Set Appointments</v>
      </c>
    </row>
    <row r="3382" hidden="1">
      <c r="A3382" s="6" t="s">
        <v>48</v>
      </c>
      <c r="B3382" s="8" t="s">
        <v>1448</v>
      </c>
      <c r="C3382" s="8" t="s">
        <v>1449</v>
      </c>
      <c r="D3382" s="9">
        <v>4.0</v>
      </c>
      <c r="E3382" s="67">
        <f t="shared" si="11"/>
        <v>1000</v>
      </c>
      <c r="F3382" s="67" t="str">
        <f t="shared" si="12"/>
        <v>4 LeadGen Set Appointments</v>
      </c>
    </row>
    <row r="3383" hidden="1">
      <c r="A3383" s="6" t="s">
        <v>48</v>
      </c>
      <c r="B3383" s="8" t="s">
        <v>1543</v>
      </c>
      <c r="C3383" s="8" t="s">
        <v>1544</v>
      </c>
      <c r="D3383" s="9">
        <v>4.0</v>
      </c>
      <c r="E3383" s="67">
        <f t="shared" si="11"/>
        <v>1000</v>
      </c>
      <c r="F3383" s="67" t="str">
        <f t="shared" si="12"/>
        <v>4 LeadGen Set Appointments</v>
      </c>
    </row>
    <row r="3384" hidden="1">
      <c r="A3384" s="6" t="s">
        <v>48</v>
      </c>
      <c r="B3384" s="8" t="s">
        <v>240</v>
      </c>
      <c r="C3384" s="8" t="s">
        <v>241</v>
      </c>
      <c r="D3384" s="9">
        <v>4.0</v>
      </c>
      <c r="E3384" s="67">
        <f t="shared" si="11"/>
        <v>1000</v>
      </c>
      <c r="F3384" s="67" t="str">
        <f t="shared" si="12"/>
        <v>4 LeadGen Set Appointments</v>
      </c>
    </row>
    <row r="3385" hidden="1">
      <c r="A3385" s="6" t="s">
        <v>48</v>
      </c>
      <c r="B3385" s="8" t="s">
        <v>502</v>
      </c>
      <c r="C3385" s="8" t="s">
        <v>503</v>
      </c>
      <c r="D3385" s="9">
        <v>4.0</v>
      </c>
      <c r="E3385" s="67">
        <f t="shared" si="11"/>
        <v>1000</v>
      </c>
      <c r="F3385" s="67" t="str">
        <f t="shared" si="12"/>
        <v>4 LeadGen Set Appointments</v>
      </c>
    </row>
    <row r="3386" hidden="1">
      <c r="A3386" s="6" t="s">
        <v>48</v>
      </c>
      <c r="B3386" s="8" t="s">
        <v>1931</v>
      </c>
      <c r="C3386" s="8" t="s">
        <v>1932</v>
      </c>
      <c r="D3386" s="9">
        <v>4.0</v>
      </c>
      <c r="E3386" s="67">
        <f t="shared" si="11"/>
        <v>1000</v>
      </c>
      <c r="F3386" s="67" t="str">
        <f t="shared" si="12"/>
        <v>4 LeadGen Set Appointments</v>
      </c>
    </row>
    <row r="3387" hidden="1">
      <c r="A3387" s="6" t="s">
        <v>48</v>
      </c>
      <c r="B3387" s="8" t="s">
        <v>1421</v>
      </c>
      <c r="C3387" s="8" t="s">
        <v>712</v>
      </c>
      <c r="D3387" s="9">
        <v>4.0</v>
      </c>
      <c r="E3387" s="67">
        <f t="shared" si="11"/>
        <v>1000</v>
      </c>
      <c r="F3387" s="67" t="str">
        <f t="shared" si="12"/>
        <v>4 LeadGen Set Appointments</v>
      </c>
    </row>
    <row r="3388" hidden="1">
      <c r="A3388" s="6" t="s">
        <v>48</v>
      </c>
      <c r="B3388" s="8" t="s">
        <v>1657</v>
      </c>
      <c r="C3388" s="8" t="s">
        <v>1658</v>
      </c>
      <c r="D3388" s="9">
        <v>4.0</v>
      </c>
      <c r="E3388" s="67">
        <f t="shared" si="11"/>
        <v>1000</v>
      </c>
      <c r="F3388" s="67" t="str">
        <f t="shared" si="12"/>
        <v>4 LeadGen Set Appointments</v>
      </c>
    </row>
    <row r="3389" hidden="1">
      <c r="A3389" s="6" t="s">
        <v>48</v>
      </c>
      <c r="B3389" s="8" t="s">
        <v>1666</v>
      </c>
      <c r="C3389" s="8" t="s">
        <v>1667</v>
      </c>
      <c r="D3389" s="9">
        <v>4.0</v>
      </c>
      <c r="E3389" s="67">
        <f t="shared" si="11"/>
        <v>1000</v>
      </c>
      <c r="F3389" s="67" t="str">
        <f t="shared" si="12"/>
        <v>4 LeadGen Set Appointments</v>
      </c>
    </row>
    <row r="3390" hidden="1">
      <c r="A3390" s="6" t="s">
        <v>48</v>
      </c>
      <c r="B3390" s="8" t="s">
        <v>532</v>
      </c>
      <c r="C3390" s="8" t="s">
        <v>533</v>
      </c>
      <c r="D3390" s="9">
        <v>4.0</v>
      </c>
      <c r="E3390" s="67">
        <f t="shared" si="11"/>
        <v>1000</v>
      </c>
      <c r="F3390" s="67" t="str">
        <f t="shared" si="12"/>
        <v>4 LeadGen Set Appointments</v>
      </c>
    </row>
    <row r="3391" hidden="1">
      <c r="A3391" s="6" t="s">
        <v>48</v>
      </c>
      <c r="B3391" s="8" t="s">
        <v>1716</v>
      </c>
      <c r="C3391" s="8" t="s">
        <v>30</v>
      </c>
      <c r="D3391" s="9">
        <v>4.0</v>
      </c>
      <c r="E3391" s="67">
        <f t="shared" si="11"/>
        <v>1000</v>
      </c>
      <c r="F3391" s="67" t="str">
        <f t="shared" si="12"/>
        <v>4 LeadGen Set Appointments</v>
      </c>
    </row>
    <row r="3392" hidden="1">
      <c r="A3392" s="6" t="s">
        <v>48</v>
      </c>
      <c r="B3392" s="8" t="s">
        <v>622</v>
      </c>
      <c r="C3392" s="8" t="s">
        <v>623</v>
      </c>
      <c r="D3392" s="9">
        <v>4.0</v>
      </c>
      <c r="E3392" s="67">
        <f t="shared" si="11"/>
        <v>1000</v>
      </c>
      <c r="F3392" s="67" t="str">
        <f t="shared" si="12"/>
        <v>4 LeadGen Set Appointments</v>
      </c>
    </row>
    <row r="3393" hidden="1">
      <c r="A3393" s="6" t="s">
        <v>48</v>
      </c>
      <c r="B3393" s="8" t="s">
        <v>1933</v>
      </c>
      <c r="C3393" s="8" t="s">
        <v>1934</v>
      </c>
      <c r="D3393" s="9">
        <v>4.0</v>
      </c>
      <c r="E3393" s="67">
        <f t="shared" si="11"/>
        <v>1000</v>
      </c>
      <c r="F3393" s="67" t="str">
        <f t="shared" si="12"/>
        <v>4 LeadGen Set Appointments</v>
      </c>
    </row>
    <row r="3394" hidden="1">
      <c r="A3394" s="6" t="s">
        <v>48</v>
      </c>
      <c r="B3394" s="8" t="s">
        <v>435</v>
      </c>
      <c r="C3394" s="8" t="s">
        <v>436</v>
      </c>
      <c r="D3394" s="9">
        <v>4.0</v>
      </c>
      <c r="E3394" s="67">
        <f t="shared" si="11"/>
        <v>1000</v>
      </c>
      <c r="F3394" s="67" t="str">
        <f t="shared" si="12"/>
        <v>4 LeadGen Set Appointments</v>
      </c>
    </row>
    <row r="3395" hidden="1">
      <c r="A3395" s="6" t="s">
        <v>48</v>
      </c>
      <c r="B3395" s="8" t="s">
        <v>1682</v>
      </c>
      <c r="C3395" s="8" t="s">
        <v>1683</v>
      </c>
      <c r="D3395" s="9">
        <v>4.0</v>
      </c>
      <c r="E3395" s="67">
        <f t="shared" si="11"/>
        <v>1000</v>
      </c>
      <c r="F3395" s="67" t="str">
        <f t="shared" si="12"/>
        <v>4 LeadGen Set Appointments</v>
      </c>
    </row>
    <row r="3396" hidden="1">
      <c r="A3396" s="6" t="s">
        <v>48</v>
      </c>
      <c r="B3396" s="8" t="s">
        <v>1895</v>
      </c>
      <c r="C3396" s="8" t="s">
        <v>1896</v>
      </c>
      <c r="D3396" s="9">
        <v>3.0</v>
      </c>
      <c r="E3396" s="67">
        <f t="shared" si="11"/>
        <v>750</v>
      </c>
      <c r="F3396" s="67" t="str">
        <f t="shared" si="12"/>
        <v>3 LeadGen Set Appointments</v>
      </c>
    </row>
    <row r="3397" hidden="1">
      <c r="A3397" s="6" t="s">
        <v>48</v>
      </c>
      <c r="B3397" s="8" t="s">
        <v>1577</v>
      </c>
      <c r="C3397" s="8" t="s">
        <v>1578</v>
      </c>
      <c r="D3397" s="9">
        <v>3.0</v>
      </c>
      <c r="E3397" s="67">
        <f t="shared" si="11"/>
        <v>750</v>
      </c>
      <c r="F3397" s="67" t="str">
        <f t="shared" si="12"/>
        <v>3 LeadGen Set Appointments</v>
      </c>
    </row>
    <row r="3398" hidden="1">
      <c r="A3398" s="6" t="s">
        <v>48</v>
      </c>
      <c r="B3398" s="8" t="s">
        <v>1726</v>
      </c>
      <c r="C3398" s="8" t="s">
        <v>1727</v>
      </c>
      <c r="D3398" s="9">
        <v>3.0</v>
      </c>
      <c r="E3398" s="67">
        <f t="shared" si="11"/>
        <v>750</v>
      </c>
      <c r="F3398" s="67" t="str">
        <f t="shared" si="12"/>
        <v>3 LeadGen Set Appointments</v>
      </c>
    </row>
    <row r="3399" hidden="1">
      <c r="A3399" s="6" t="s">
        <v>48</v>
      </c>
      <c r="B3399" s="8" t="s">
        <v>1459</v>
      </c>
      <c r="C3399" s="8" t="s">
        <v>1460</v>
      </c>
      <c r="D3399" s="9">
        <v>3.0</v>
      </c>
      <c r="E3399" s="67">
        <f t="shared" si="11"/>
        <v>750</v>
      </c>
      <c r="F3399" s="67" t="str">
        <f t="shared" si="12"/>
        <v>3 LeadGen Set Appointments</v>
      </c>
    </row>
    <row r="3400" hidden="1">
      <c r="A3400" s="6" t="s">
        <v>48</v>
      </c>
      <c r="B3400" s="8" t="s">
        <v>1600</v>
      </c>
      <c r="C3400" s="8" t="s">
        <v>1601</v>
      </c>
      <c r="D3400" s="9">
        <v>3.0</v>
      </c>
      <c r="E3400" s="67">
        <f t="shared" si="11"/>
        <v>750</v>
      </c>
      <c r="F3400" s="67" t="str">
        <f t="shared" si="12"/>
        <v>3 LeadGen Set Appointments</v>
      </c>
    </row>
    <row r="3401" hidden="1">
      <c r="A3401" s="6" t="s">
        <v>48</v>
      </c>
      <c r="B3401" s="8" t="s">
        <v>1608</v>
      </c>
      <c r="C3401" s="8" t="s">
        <v>1609</v>
      </c>
      <c r="D3401" s="9">
        <v>3.0</v>
      </c>
      <c r="E3401" s="67">
        <f t="shared" si="11"/>
        <v>750</v>
      </c>
      <c r="F3401" s="67" t="str">
        <f t="shared" si="12"/>
        <v>3 LeadGen Set Appointments</v>
      </c>
    </row>
    <row r="3402" hidden="1">
      <c r="A3402" s="6" t="s">
        <v>48</v>
      </c>
      <c r="B3402" s="8" t="s">
        <v>1838</v>
      </c>
      <c r="C3402" s="8" t="s">
        <v>1839</v>
      </c>
      <c r="D3402" s="9">
        <v>3.0</v>
      </c>
      <c r="E3402" s="67">
        <f t="shared" si="11"/>
        <v>750</v>
      </c>
      <c r="F3402" s="67" t="str">
        <f t="shared" si="12"/>
        <v>3 LeadGen Set Appointments</v>
      </c>
    </row>
    <row r="3403" hidden="1">
      <c r="A3403" s="6" t="s">
        <v>48</v>
      </c>
      <c r="B3403" s="8" t="s">
        <v>1873</v>
      </c>
      <c r="C3403" s="8" t="s">
        <v>1874</v>
      </c>
      <c r="D3403" s="9">
        <v>3.0</v>
      </c>
      <c r="E3403" s="67">
        <f t="shared" si="11"/>
        <v>750</v>
      </c>
      <c r="F3403" s="67" t="str">
        <f t="shared" si="12"/>
        <v>3 LeadGen Set Appointments</v>
      </c>
    </row>
    <row r="3404" hidden="1">
      <c r="A3404" s="6" t="s">
        <v>48</v>
      </c>
      <c r="B3404" s="8" t="s">
        <v>1885</v>
      </c>
      <c r="C3404" s="8" t="s">
        <v>1886</v>
      </c>
      <c r="D3404" s="9">
        <v>3.0</v>
      </c>
      <c r="E3404" s="67">
        <f t="shared" si="11"/>
        <v>750</v>
      </c>
      <c r="F3404" s="67" t="str">
        <f t="shared" si="12"/>
        <v>3 LeadGen Set Appointments</v>
      </c>
    </row>
    <row r="3405" hidden="1">
      <c r="A3405" s="6" t="s">
        <v>48</v>
      </c>
      <c r="B3405" s="8" t="s">
        <v>1508</v>
      </c>
      <c r="C3405" s="8" t="s">
        <v>1509</v>
      </c>
      <c r="D3405" s="9">
        <v>3.0</v>
      </c>
      <c r="E3405" s="67">
        <f t="shared" si="11"/>
        <v>750</v>
      </c>
      <c r="F3405" s="67" t="str">
        <f t="shared" si="12"/>
        <v>3 LeadGen Set Appointments</v>
      </c>
    </row>
    <row r="3406" hidden="1">
      <c r="A3406" s="6" t="s">
        <v>48</v>
      </c>
      <c r="B3406" s="8" t="s">
        <v>1612</v>
      </c>
      <c r="C3406" s="8" t="s">
        <v>1613</v>
      </c>
      <c r="D3406" s="9">
        <v>3.0</v>
      </c>
      <c r="E3406" s="67">
        <f t="shared" si="11"/>
        <v>750</v>
      </c>
      <c r="F3406" s="67" t="str">
        <f t="shared" si="12"/>
        <v>3 LeadGen Set Appointments</v>
      </c>
    </row>
    <row r="3407" hidden="1">
      <c r="A3407" s="6" t="s">
        <v>48</v>
      </c>
      <c r="B3407" s="8" t="s">
        <v>1551</v>
      </c>
      <c r="C3407" s="8" t="s">
        <v>1552</v>
      </c>
      <c r="D3407" s="9">
        <v>3.0</v>
      </c>
      <c r="E3407" s="67">
        <f t="shared" si="11"/>
        <v>750</v>
      </c>
      <c r="F3407" s="67" t="str">
        <f t="shared" si="12"/>
        <v>3 LeadGen Set Appointments</v>
      </c>
    </row>
    <row r="3408" hidden="1">
      <c r="A3408" s="6" t="s">
        <v>48</v>
      </c>
      <c r="B3408" s="8" t="s">
        <v>1477</v>
      </c>
      <c r="C3408" s="8" t="s">
        <v>1478</v>
      </c>
      <c r="D3408" s="9">
        <v>3.0</v>
      </c>
      <c r="E3408" s="67">
        <f t="shared" si="11"/>
        <v>750</v>
      </c>
      <c r="F3408" s="67" t="str">
        <f t="shared" si="12"/>
        <v>3 LeadGen Set Appointments</v>
      </c>
    </row>
    <row r="3409" hidden="1">
      <c r="A3409" s="6" t="s">
        <v>48</v>
      </c>
      <c r="B3409" s="8" t="s">
        <v>1719</v>
      </c>
      <c r="C3409" s="8" t="s">
        <v>1720</v>
      </c>
      <c r="D3409" s="9">
        <v>3.0</v>
      </c>
      <c r="E3409" s="67">
        <f t="shared" si="11"/>
        <v>750</v>
      </c>
      <c r="F3409" s="67" t="str">
        <f t="shared" si="12"/>
        <v>3 LeadGen Set Appointments</v>
      </c>
    </row>
    <row r="3410" hidden="1">
      <c r="A3410" s="6" t="s">
        <v>48</v>
      </c>
      <c r="B3410" s="8" t="s">
        <v>1842</v>
      </c>
      <c r="C3410" s="8" t="s">
        <v>1843</v>
      </c>
      <c r="D3410" s="9">
        <v>3.0</v>
      </c>
      <c r="E3410" s="67">
        <f t="shared" si="11"/>
        <v>750</v>
      </c>
      <c r="F3410" s="67" t="str">
        <f t="shared" si="12"/>
        <v>3 LeadGen Set Appointments</v>
      </c>
    </row>
    <row r="3411" hidden="1">
      <c r="A3411" s="6" t="s">
        <v>48</v>
      </c>
      <c r="B3411" s="8" t="s">
        <v>1724</v>
      </c>
      <c r="C3411" s="8" t="s">
        <v>1725</v>
      </c>
      <c r="D3411" s="9">
        <v>3.0</v>
      </c>
      <c r="E3411" s="67">
        <f t="shared" si="11"/>
        <v>750</v>
      </c>
      <c r="F3411" s="67" t="str">
        <f t="shared" si="12"/>
        <v>3 LeadGen Set Appointments</v>
      </c>
    </row>
    <row r="3412" hidden="1">
      <c r="A3412" s="6" t="s">
        <v>48</v>
      </c>
      <c r="B3412" s="8" t="s">
        <v>1563</v>
      </c>
      <c r="C3412" s="8" t="s">
        <v>1564</v>
      </c>
      <c r="D3412" s="9">
        <v>3.0</v>
      </c>
      <c r="E3412" s="67">
        <f t="shared" si="11"/>
        <v>750</v>
      </c>
      <c r="F3412" s="67" t="str">
        <f t="shared" si="12"/>
        <v>3 LeadGen Set Appointments</v>
      </c>
    </row>
    <row r="3413" hidden="1">
      <c r="A3413" s="6" t="s">
        <v>48</v>
      </c>
      <c r="B3413" s="8" t="s">
        <v>1668</v>
      </c>
      <c r="C3413" s="8" t="s">
        <v>1669</v>
      </c>
      <c r="D3413" s="9">
        <v>3.0</v>
      </c>
      <c r="E3413" s="67">
        <f t="shared" si="11"/>
        <v>750</v>
      </c>
      <c r="F3413" s="67" t="str">
        <f t="shared" si="12"/>
        <v>3 LeadGen Set Appointments</v>
      </c>
    </row>
    <row r="3414" hidden="1">
      <c r="A3414" s="6" t="s">
        <v>48</v>
      </c>
      <c r="B3414" s="8" t="s">
        <v>518</v>
      </c>
      <c r="C3414" s="8" t="s">
        <v>519</v>
      </c>
      <c r="D3414" s="9">
        <v>3.0</v>
      </c>
      <c r="E3414" s="67">
        <f t="shared" si="11"/>
        <v>750</v>
      </c>
      <c r="F3414" s="67" t="str">
        <f t="shared" si="12"/>
        <v>3 LeadGen Set Appointments</v>
      </c>
    </row>
    <row r="3415" hidden="1">
      <c r="A3415" s="6" t="s">
        <v>48</v>
      </c>
      <c r="B3415" s="8" t="s">
        <v>1909</v>
      </c>
      <c r="C3415" s="8" t="s">
        <v>1910</v>
      </c>
      <c r="D3415" s="9">
        <v>3.0</v>
      </c>
      <c r="E3415" s="67">
        <f t="shared" si="11"/>
        <v>750</v>
      </c>
      <c r="F3415" s="67" t="str">
        <f t="shared" si="12"/>
        <v>3 LeadGen Set Appointments</v>
      </c>
    </row>
    <row r="3416" hidden="1">
      <c r="A3416" s="6" t="s">
        <v>48</v>
      </c>
      <c r="B3416" s="8" t="s">
        <v>1935</v>
      </c>
      <c r="C3416" s="8" t="s">
        <v>1936</v>
      </c>
      <c r="D3416" s="9">
        <v>3.0</v>
      </c>
      <c r="E3416" s="67">
        <f t="shared" si="11"/>
        <v>750</v>
      </c>
      <c r="F3416" s="67" t="str">
        <f t="shared" si="12"/>
        <v>3 LeadGen Set Appointments</v>
      </c>
    </row>
    <row r="3417" hidden="1">
      <c r="A3417" s="6" t="s">
        <v>48</v>
      </c>
      <c r="B3417" s="8" t="s">
        <v>1684</v>
      </c>
      <c r="C3417" s="8" t="s">
        <v>1685</v>
      </c>
      <c r="D3417" s="9">
        <v>3.0</v>
      </c>
      <c r="E3417" s="67">
        <f t="shared" si="11"/>
        <v>750</v>
      </c>
      <c r="F3417" s="67" t="str">
        <f t="shared" si="12"/>
        <v>3 LeadGen Set Appointments</v>
      </c>
    </row>
    <row r="3418" hidden="1">
      <c r="A3418" s="6" t="s">
        <v>48</v>
      </c>
      <c r="B3418" s="8" t="s">
        <v>1704</v>
      </c>
      <c r="C3418" s="8" t="s">
        <v>1705</v>
      </c>
      <c r="D3418" s="9">
        <v>2.0</v>
      </c>
      <c r="E3418" s="67">
        <f t="shared" si="11"/>
        <v>500</v>
      </c>
      <c r="F3418" s="67" t="str">
        <f t="shared" si="12"/>
        <v>2 LeadGen Set Appointments</v>
      </c>
    </row>
    <row r="3419" hidden="1">
      <c r="A3419" s="6" t="s">
        <v>48</v>
      </c>
      <c r="B3419" s="8" t="s">
        <v>1728</v>
      </c>
      <c r="C3419" s="8" t="s">
        <v>1729</v>
      </c>
      <c r="D3419" s="9">
        <v>2.0</v>
      </c>
      <c r="E3419" s="67">
        <f t="shared" si="11"/>
        <v>500</v>
      </c>
      <c r="F3419" s="67" t="str">
        <f t="shared" si="12"/>
        <v>2 LeadGen Set Appointments</v>
      </c>
    </row>
    <row r="3420" hidden="1">
      <c r="A3420" s="6" t="s">
        <v>48</v>
      </c>
      <c r="B3420" s="8" t="s">
        <v>1732</v>
      </c>
      <c r="C3420" s="8" t="s">
        <v>1733</v>
      </c>
      <c r="D3420" s="9">
        <v>2.0</v>
      </c>
      <c r="E3420" s="67">
        <f t="shared" si="11"/>
        <v>500</v>
      </c>
      <c r="F3420" s="67" t="str">
        <f t="shared" si="12"/>
        <v>2 LeadGen Set Appointments</v>
      </c>
    </row>
    <row r="3421" hidden="1">
      <c r="A3421" s="6" t="s">
        <v>48</v>
      </c>
      <c r="B3421" s="8" t="s">
        <v>684</v>
      </c>
      <c r="C3421" s="8" t="s">
        <v>685</v>
      </c>
      <c r="D3421" s="9">
        <v>2.0</v>
      </c>
      <c r="E3421" s="67">
        <f t="shared" si="11"/>
        <v>500</v>
      </c>
      <c r="F3421" s="67" t="str">
        <f t="shared" si="12"/>
        <v>2 LeadGen Set Appointments</v>
      </c>
    </row>
    <row r="3422" hidden="1">
      <c r="A3422" s="6" t="s">
        <v>48</v>
      </c>
      <c r="B3422" s="8" t="s">
        <v>431</v>
      </c>
      <c r="C3422" s="8" t="s">
        <v>432</v>
      </c>
      <c r="D3422" s="9">
        <v>2.0</v>
      </c>
      <c r="E3422" s="67">
        <f t="shared" si="11"/>
        <v>500</v>
      </c>
      <c r="F3422" s="67" t="str">
        <f t="shared" si="12"/>
        <v>2 LeadGen Set Appointments</v>
      </c>
    </row>
    <row r="3423" hidden="1">
      <c r="A3423" s="6" t="s">
        <v>48</v>
      </c>
      <c r="B3423" s="8" t="s">
        <v>1653</v>
      </c>
      <c r="C3423" s="8" t="s">
        <v>1654</v>
      </c>
      <c r="D3423" s="9">
        <v>2.0</v>
      </c>
      <c r="E3423" s="67">
        <f t="shared" si="11"/>
        <v>500</v>
      </c>
      <c r="F3423" s="67" t="str">
        <f t="shared" si="12"/>
        <v>2 LeadGen Set Appointments</v>
      </c>
    </row>
    <row r="3424" hidden="1">
      <c r="A3424" s="6" t="s">
        <v>48</v>
      </c>
      <c r="B3424" s="8" t="s">
        <v>682</v>
      </c>
      <c r="C3424" s="8" t="s">
        <v>683</v>
      </c>
      <c r="D3424" s="9">
        <v>2.0</v>
      </c>
      <c r="E3424" s="67">
        <f t="shared" si="11"/>
        <v>500</v>
      </c>
      <c r="F3424" s="67" t="str">
        <f t="shared" si="12"/>
        <v>2 LeadGen Set Appointments</v>
      </c>
    </row>
    <row r="3425" hidden="1">
      <c r="A3425" s="6" t="s">
        <v>48</v>
      </c>
      <c r="B3425" s="8" t="s">
        <v>468</v>
      </c>
      <c r="C3425" s="8" t="s">
        <v>469</v>
      </c>
      <c r="D3425" s="9">
        <v>2.0</v>
      </c>
      <c r="E3425" s="67">
        <f t="shared" si="11"/>
        <v>500</v>
      </c>
      <c r="F3425" s="67" t="str">
        <f t="shared" si="12"/>
        <v>2 LeadGen Set Appointments</v>
      </c>
    </row>
    <row r="3426" hidden="1">
      <c r="A3426" s="6" t="s">
        <v>48</v>
      </c>
      <c r="B3426" s="8" t="s">
        <v>1325</v>
      </c>
      <c r="C3426" s="8" t="s">
        <v>1326</v>
      </c>
      <c r="D3426" s="9">
        <v>2.0</v>
      </c>
      <c r="E3426" s="67">
        <f t="shared" si="11"/>
        <v>500</v>
      </c>
      <c r="F3426" s="67" t="str">
        <f t="shared" si="12"/>
        <v>2 LeadGen Set Appointments</v>
      </c>
    </row>
    <row r="3427" hidden="1">
      <c r="A3427" s="6" t="s">
        <v>48</v>
      </c>
      <c r="B3427" s="8" t="s">
        <v>1227</v>
      </c>
      <c r="C3427" s="8" t="s">
        <v>1228</v>
      </c>
      <c r="D3427" s="9">
        <v>2.0</v>
      </c>
      <c r="E3427" s="67">
        <f t="shared" si="11"/>
        <v>500</v>
      </c>
      <c r="F3427" s="67" t="str">
        <f t="shared" si="12"/>
        <v>2 LeadGen Set Appointments</v>
      </c>
    </row>
    <row r="3428" hidden="1">
      <c r="A3428" s="6" t="s">
        <v>48</v>
      </c>
      <c r="B3428" s="8" t="s">
        <v>1891</v>
      </c>
      <c r="C3428" s="8" t="s">
        <v>1892</v>
      </c>
      <c r="D3428" s="9">
        <v>2.0</v>
      </c>
      <c r="E3428" s="67">
        <f t="shared" si="11"/>
        <v>500</v>
      </c>
      <c r="F3428" s="67" t="str">
        <f t="shared" si="12"/>
        <v>2 LeadGen Set Appointments</v>
      </c>
    </row>
    <row r="3429" hidden="1">
      <c r="A3429" s="6" t="s">
        <v>48</v>
      </c>
      <c r="B3429" s="8" t="s">
        <v>1708</v>
      </c>
      <c r="C3429" s="8" t="s">
        <v>1709</v>
      </c>
      <c r="D3429" s="9">
        <v>2.0</v>
      </c>
      <c r="E3429" s="67">
        <f t="shared" si="11"/>
        <v>500</v>
      </c>
      <c r="F3429" s="67" t="str">
        <f t="shared" si="12"/>
        <v>2 LeadGen Set Appointments</v>
      </c>
    </row>
    <row r="3430" hidden="1">
      <c r="A3430" s="6" t="s">
        <v>48</v>
      </c>
      <c r="B3430" s="8" t="s">
        <v>1093</v>
      </c>
      <c r="C3430" s="8" t="s">
        <v>1760</v>
      </c>
      <c r="D3430" s="9">
        <v>2.0</v>
      </c>
      <c r="E3430" s="67">
        <f t="shared" si="11"/>
        <v>500</v>
      </c>
      <c r="F3430" s="67" t="str">
        <f t="shared" si="12"/>
        <v>2 LeadGen Set Appointments</v>
      </c>
    </row>
    <row r="3431" hidden="1">
      <c r="A3431" s="6" t="s">
        <v>48</v>
      </c>
      <c r="B3431" s="8" t="s">
        <v>701</v>
      </c>
      <c r="C3431" s="8" t="s">
        <v>702</v>
      </c>
      <c r="D3431" s="9">
        <v>2.0</v>
      </c>
      <c r="E3431" s="67">
        <f t="shared" si="11"/>
        <v>500</v>
      </c>
      <c r="F3431" s="67" t="str">
        <f t="shared" si="12"/>
        <v>2 LeadGen Set Appointments</v>
      </c>
    </row>
    <row r="3432" hidden="1">
      <c r="A3432" s="6" t="s">
        <v>48</v>
      </c>
      <c r="B3432" s="8" t="s">
        <v>1573</v>
      </c>
      <c r="C3432" s="8" t="s">
        <v>1574</v>
      </c>
      <c r="D3432" s="9">
        <v>2.0</v>
      </c>
      <c r="E3432" s="67">
        <f t="shared" si="11"/>
        <v>500</v>
      </c>
      <c r="F3432" s="67" t="str">
        <f t="shared" si="12"/>
        <v>2 LeadGen Set Appointments</v>
      </c>
    </row>
    <row r="3433" hidden="1">
      <c r="A3433" s="6" t="s">
        <v>48</v>
      </c>
      <c r="B3433" s="8" t="s">
        <v>1291</v>
      </c>
      <c r="C3433" s="8" t="s">
        <v>422</v>
      </c>
      <c r="D3433" s="9">
        <v>1.0</v>
      </c>
      <c r="E3433" s="67">
        <f t="shared" si="11"/>
        <v>250</v>
      </c>
      <c r="F3433" s="67" t="str">
        <f t="shared" si="12"/>
        <v>1 LeadGen Set Appointments</v>
      </c>
    </row>
    <row r="3434" hidden="1">
      <c r="A3434" s="6" t="s">
        <v>48</v>
      </c>
      <c r="B3434" s="8" t="s">
        <v>1435</v>
      </c>
      <c r="C3434" s="8" t="s">
        <v>741</v>
      </c>
      <c r="D3434" s="9">
        <v>1.0</v>
      </c>
      <c r="E3434" s="67">
        <f t="shared" si="11"/>
        <v>250</v>
      </c>
      <c r="F3434" s="67" t="str">
        <f t="shared" si="12"/>
        <v>1 LeadGen Set Appointments</v>
      </c>
    </row>
    <row r="3435" hidden="1">
      <c r="A3435" s="6" t="s">
        <v>48</v>
      </c>
      <c r="B3435" s="8" t="s">
        <v>1547</v>
      </c>
      <c r="C3435" s="8" t="s">
        <v>1548</v>
      </c>
      <c r="D3435" s="9">
        <v>1.0</v>
      </c>
      <c r="E3435" s="67">
        <f t="shared" si="11"/>
        <v>250</v>
      </c>
      <c r="F3435" s="67" t="str">
        <f t="shared" si="12"/>
        <v>1 LeadGen Set Appointments</v>
      </c>
    </row>
    <row r="3436" hidden="1">
      <c r="A3436" s="6" t="s">
        <v>48</v>
      </c>
      <c r="B3436" s="8" t="s">
        <v>560</v>
      </c>
      <c r="C3436" s="8" t="s">
        <v>561</v>
      </c>
      <c r="D3436" s="9">
        <v>1.0</v>
      </c>
      <c r="E3436" s="67">
        <f t="shared" si="11"/>
        <v>250</v>
      </c>
      <c r="F3436" s="67" t="str">
        <f t="shared" si="12"/>
        <v>1 LeadGen Set Appointments</v>
      </c>
    </row>
    <row r="3437" hidden="1">
      <c r="A3437" s="6" t="s">
        <v>48</v>
      </c>
      <c r="B3437" s="8" t="s">
        <v>1937</v>
      </c>
      <c r="C3437" s="8" t="s">
        <v>1938</v>
      </c>
      <c r="D3437" s="9">
        <v>1.0</v>
      </c>
      <c r="E3437" s="67">
        <f t="shared" si="11"/>
        <v>250</v>
      </c>
      <c r="F3437" s="67" t="str">
        <f t="shared" si="12"/>
        <v>1 LeadGen Set Appointments</v>
      </c>
    </row>
    <row r="3438" hidden="1">
      <c r="A3438" s="6" t="s">
        <v>48</v>
      </c>
      <c r="B3438" s="8" t="s">
        <v>1393</v>
      </c>
      <c r="C3438" s="8" t="s">
        <v>1394</v>
      </c>
      <c r="D3438" s="9">
        <v>1.0</v>
      </c>
      <c r="E3438" s="67">
        <f t="shared" si="11"/>
        <v>250</v>
      </c>
      <c r="F3438" s="67" t="str">
        <f t="shared" si="12"/>
        <v>1 LeadGen Set Appointments</v>
      </c>
    </row>
    <row r="3439" hidden="1">
      <c r="A3439" s="6" t="s">
        <v>48</v>
      </c>
      <c r="B3439" s="8" t="s">
        <v>1736</v>
      </c>
      <c r="C3439" s="8" t="s">
        <v>1737</v>
      </c>
      <c r="D3439" s="9">
        <v>1.0</v>
      </c>
      <c r="E3439" s="67">
        <f t="shared" si="11"/>
        <v>250</v>
      </c>
      <c r="F3439" s="67" t="str">
        <f t="shared" si="12"/>
        <v>1 LeadGen Set Appointments</v>
      </c>
    </row>
    <row r="3440" hidden="1">
      <c r="A3440" s="6" t="s">
        <v>48</v>
      </c>
      <c r="B3440" s="8" t="s">
        <v>1424</v>
      </c>
      <c r="C3440" s="8" t="s">
        <v>1425</v>
      </c>
      <c r="D3440" s="9">
        <v>1.0</v>
      </c>
      <c r="E3440" s="67">
        <f t="shared" si="11"/>
        <v>250</v>
      </c>
      <c r="F3440" s="67" t="str">
        <f t="shared" si="12"/>
        <v>1 LeadGen Set Appointments</v>
      </c>
    </row>
    <row r="3441" hidden="1">
      <c r="A3441" s="6" t="s">
        <v>48</v>
      </c>
      <c r="B3441" s="8" t="s">
        <v>1939</v>
      </c>
      <c r="C3441" s="8" t="s">
        <v>1940</v>
      </c>
      <c r="D3441" s="9">
        <v>1.0</v>
      </c>
      <c r="E3441" s="67">
        <f t="shared" si="11"/>
        <v>250</v>
      </c>
      <c r="F3441" s="67" t="str">
        <f t="shared" si="12"/>
        <v>1 LeadGen Set Appointments</v>
      </c>
    </row>
    <row r="3442" hidden="1">
      <c r="A3442" s="6" t="s">
        <v>48</v>
      </c>
      <c r="B3442" s="8" t="s">
        <v>1941</v>
      </c>
      <c r="C3442" s="8" t="s">
        <v>1942</v>
      </c>
      <c r="D3442" s="9">
        <v>1.0</v>
      </c>
      <c r="E3442" s="67">
        <f t="shared" si="11"/>
        <v>250</v>
      </c>
      <c r="F3442" s="67" t="str">
        <f t="shared" si="12"/>
        <v>1 LeadGen Set Appointments</v>
      </c>
    </row>
    <row r="3443" hidden="1">
      <c r="A3443" s="6" t="s">
        <v>48</v>
      </c>
      <c r="B3443" s="8" t="s">
        <v>1943</v>
      </c>
      <c r="C3443" s="8" t="s">
        <v>1944</v>
      </c>
      <c r="D3443" s="9">
        <v>1.0</v>
      </c>
      <c r="E3443" s="67">
        <f t="shared" si="11"/>
        <v>250</v>
      </c>
      <c r="F3443" s="67" t="str">
        <f t="shared" si="12"/>
        <v>1 LeadGen Set Appointments</v>
      </c>
    </row>
    <row r="3444" hidden="1">
      <c r="A3444" s="6" t="s">
        <v>48</v>
      </c>
      <c r="B3444" s="8" t="s">
        <v>1945</v>
      </c>
      <c r="C3444" s="8" t="s">
        <v>1946</v>
      </c>
      <c r="D3444" s="9">
        <v>1.0</v>
      </c>
      <c r="E3444" s="67">
        <f t="shared" si="11"/>
        <v>250</v>
      </c>
      <c r="F3444" s="67" t="str">
        <f t="shared" si="12"/>
        <v>1 LeadGen Set Appointments</v>
      </c>
    </row>
    <row r="3445" hidden="1">
      <c r="A3445" s="6" t="s">
        <v>48</v>
      </c>
      <c r="B3445" s="8" t="s">
        <v>618</v>
      </c>
      <c r="C3445" s="8" t="s">
        <v>619</v>
      </c>
      <c r="D3445" s="9">
        <v>8.0</v>
      </c>
      <c r="E3445" s="67">
        <f t="shared" si="11"/>
        <v>2000</v>
      </c>
      <c r="F3445" s="67" t="str">
        <f t="shared" si="12"/>
        <v>8 LeadGen Set Appointments</v>
      </c>
    </row>
    <row r="3446" hidden="1">
      <c r="A3446" s="6" t="s">
        <v>48</v>
      </c>
      <c r="B3446" s="8" t="s">
        <v>1457</v>
      </c>
      <c r="C3446" s="8" t="s">
        <v>1458</v>
      </c>
      <c r="D3446" s="9">
        <v>8.0</v>
      </c>
      <c r="E3446" s="67">
        <f t="shared" si="11"/>
        <v>2000</v>
      </c>
      <c r="F3446" s="67" t="str">
        <f t="shared" si="12"/>
        <v>8 LeadGen Set Appointments</v>
      </c>
    </row>
    <row r="3447" hidden="1">
      <c r="A3447" s="6" t="s">
        <v>48</v>
      </c>
      <c r="B3447" s="8" t="s">
        <v>1763</v>
      </c>
      <c r="C3447" s="8" t="s">
        <v>653</v>
      </c>
      <c r="D3447" s="9">
        <v>7.0</v>
      </c>
      <c r="E3447" s="67">
        <f t="shared" si="11"/>
        <v>1750</v>
      </c>
      <c r="F3447" s="67" t="str">
        <f t="shared" si="12"/>
        <v>7 LeadGen Set Appointments</v>
      </c>
    </row>
    <row r="3448" hidden="1">
      <c r="A3448" s="6" t="s">
        <v>48</v>
      </c>
      <c r="B3448" s="8" t="s">
        <v>1881</v>
      </c>
      <c r="C3448" s="8" t="s">
        <v>1882</v>
      </c>
      <c r="D3448" s="9">
        <v>7.0</v>
      </c>
      <c r="E3448" s="67">
        <f t="shared" si="11"/>
        <v>1750</v>
      </c>
      <c r="F3448" s="67" t="str">
        <f t="shared" si="12"/>
        <v>7 LeadGen Set Appointments</v>
      </c>
    </row>
    <row r="3449" hidden="1">
      <c r="A3449" s="6" t="s">
        <v>48</v>
      </c>
      <c r="B3449" s="8" t="s">
        <v>1761</v>
      </c>
      <c r="C3449" s="8" t="s">
        <v>1762</v>
      </c>
      <c r="D3449" s="9">
        <v>6.0</v>
      </c>
      <c r="E3449" s="67">
        <f t="shared" si="11"/>
        <v>1500</v>
      </c>
      <c r="F3449" s="67" t="str">
        <f t="shared" si="12"/>
        <v>6 LeadGen Set Appointments</v>
      </c>
    </row>
    <row r="3450" hidden="1">
      <c r="A3450" s="6" t="s">
        <v>48</v>
      </c>
      <c r="B3450" s="8" t="s">
        <v>1700</v>
      </c>
      <c r="C3450" s="8" t="s">
        <v>1701</v>
      </c>
      <c r="D3450" s="9">
        <v>6.0</v>
      </c>
      <c r="E3450" s="67">
        <f t="shared" si="11"/>
        <v>1500</v>
      </c>
      <c r="F3450" s="67" t="str">
        <f t="shared" si="12"/>
        <v>6 LeadGen Set Appointments</v>
      </c>
    </row>
    <row r="3451" hidden="1">
      <c r="A3451" s="6" t="s">
        <v>48</v>
      </c>
      <c r="B3451" s="8" t="s">
        <v>1585</v>
      </c>
      <c r="C3451" s="8" t="s">
        <v>1586</v>
      </c>
      <c r="D3451" s="9">
        <v>6.0</v>
      </c>
      <c r="E3451" s="67">
        <f t="shared" si="11"/>
        <v>1500</v>
      </c>
      <c r="F3451" s="67" t="str">
        <f t="shared" si="12"/>
        <v>6 LeadGen Set Appointments</v>
      </c>
    </row>
    <row r="3452" hidden="1">
      <c r="A3452" s="6" t="s">
        <v>48</v>
      </c>
      <c r="B3452" s="8" t="s">
        <v>1479</v>
      </c>
      <c r="C3452" s="8" t="s">
        <v>1480</v>
      </c>
      <c r="D3452" s="9">
        <v>6.0</v>
      </c>
      <c r="E3452" s="67">
        <f t="shared" si="11"/>
        <v>1500</v>
      </c>
      <c r="F3452" s="67" t="str">
        <f t="shared" si="12"/>
        <v>6 LeadGen Set Appointments</v>
      </c>
    </row>
    <row r="3453" hidden="1">
      <c r="A3453" s="6" t="s">
        <v>48</v>
      </c>
      <c r="B3453" s="8" t="s">
        <v>1863</v>
      </c>
      <c r="C3453" s="8" t="s">
        <v>1864</v>
      </c>
      <c r="D3453" s="9">
        <v>5.0</v>
      </c>
      <c r="E3453" s="67">
        <f t="shared" si="11"/>
        <v>1250</v>
      </c>
      <c r="F3453" s="67" t="str">
        <f t="shared" si="12"/>
        <v>5 LeadGen Set Appointments</v>
      </c>
    </row>
    <row r="3454" hidden="1">
      <c r="A3454" s="6" t="s">
        <v>48</v>
      </c>
      <c r="B3454" s="8" t="s">
        <v>1591</v>
      </c>
      <c r="C3454" s="8" t="s">
        <v>836</v>
      </c>
      <c r="D3454" s="9">
        <v>5.0</v>
      </c>
      <c r="E3454" s="67">
        <f t="shared" si="11"/>
        <v>1250</v>
      </c>
      <c r="F3454" s="67" t="str">
        <f t="shared" si="12"/>
        <v>5 LeadGen Set Appointments</v>
      </c>
    </row>
    <row r="3455" hidden="1">
      <c r="A3455" s="6" t="s">
        <v>48</v>
      </c>
      <c r="B3455" s="8" t="s">
        <v>1926</v>
      </c>
      <c r="C3455" s="8" t="s">
        <v>34</v>
      </c>
      <c r="D3455" s="9">
        <v>5.0</v>
      </c>
      <c r="E3455" s="67">
        <f t="shared" si="11"/>
        <v>1250</v>
      </c>
      <c r="F3455" s="67" t="str">
        <f t="shared" si="12"/>
        <v>5 LeadGen Set Appointments</v>
      </c>
    </row>
    <row r="3456" hidden="1">
      <c r="A3456" s="6" t="s">
        <v>48</v>
      </c>
      <c r="B3456" s="8" t="s">
        <v>1506</v>
      </c>
      <c r="C3456" s="8" t="s">
        <v>1507</v>
      </c>
      <c r="D3456" s="9">
        <v>4.0</v>
      </c>
      <c r="E3456" s="67">
        <f t="shared" si="11"/>
        <v>1000</v>
      </c>
      <c r="F3456" s="67" t="str">
        <f t="shared" si="12"/>
        <v>4 LeadGen Set Appointments</v>
      </c>
    </row>
    <row r="3457" hidden="1">
      <c r="A3457" s="6" t="s">
        <v>48</v>
      </c>
      <c r="B3457" s="8" t="s">
        <v>825</v>
      </c>
      <c r="C3457" s="8" t="s">
        <v>1766</v>
      </c>
      <c r="D3457" s="9">
        <v>4.0</v>
      </c>
      <c r="E3457" s="67">
        <f t="shared" si="11"/>
        <v>1000</v>
      </c>
      <c r="F3457" s="67" t="str">
        <f t="shared" si="12"/>
        <v>4 LeadGen Set Appointments</v>
      </c>
    </row>
    <row r="3458" hidden="1">
      <c r="A3458" s="6" t="s">
        <v>48</v>
      </c>
      <c r="B3458" s="8" t="s">
        <v>1526</v>
      </c>
      <c r="C3458" s="8" t="s">
        <v>1527</v>
      </c>
      <c r="D3458" s="9">
        <v>4.0</v>
      </c>
      <c r="E3458" s="67">
        <f t="shared" si="11"/>
        <v>1000</v>
      </c>
      <c r="F3458" s="67" t="str">
        <f t="shared" si="12"/>
        <v>4 LeadGen Set Appointments</v>
      </c>
    </row>
    <row r="3459" hidden="1">
      <c r="A3459" s="6" t="s">
        <v>48</v>
      </c>
      <c r="B3459" s="8" t="s">
        <v>1499</v>
      </c>
      <c r="C3459" s="8" t="s">
        <v>1500</v>
      </c>
      <c r="D3459" s="9">
        <v>4.0</v>
      </c>
      <c r="E3459" s="67">
        <f t="shared" si="11"/>
        <v>1000</v>
      </c>
      <c r="F3459" s="67" t="str">
        <f t="shared" si="12"/>
        <v>4 LeadGen Set Appointments</v>
      </c>
    </row>
    <row r="3460" hidden="1">
      <c r="A3460" s="6" t="s">
        <v>48</v>
      </c>
      <c r="B3460" s="8" t="s">
        <v>246</v>
      </c>
      <c r="C3460" s="8" t="s">
        <v>1889</v>
      </c>
      <c r="D3460" s="9">
        <v>3.0</v>
      </c>
      <c r="E3460" s="67">
        <f t="shared" si="11"/>
        <v>750</v>
      </c>
      <c r="F3460" s="67" t="str">
        <f t="shared" si="12"/>
        <v>3 LeadGen Set Appointments</v>
      </c>
    </row>
    <row r="3461" hidden="1">
      <c r="A3461" s="6" t="s">
        <v>48</v>
      </c>
      <c r="B3461" s="8" t="s">
        <v>234</v>
      </c>
      <c r="C3461" s="8" t="s">
        <v>1922</v>
      </c>
      <c r="D3461" s="9">
        <v>3.0</v>
      </c>
      <c r="E3461" s="67">
        <f t="shared" si="11"/>
        <v>750</v>
      </c>
      <c r="F3461" s="67" t="str">
        <f t="shared" si="12"/>
        <v>3 LeadGen Set Appointments</v>
      </c>
    </row>
    <row r="3462" hidden="1">
      <c r="A3462" s="6" t="s">
        <v>48</v>
      </c>
      <c r="B3462" s="8" t="s">
        <v>1237</v>
      </c>
      <c r="C3462" s="8" t="s">
        <v>1238</v>
      </c>
      <c r="D3462" s="9">
        <v>3.0</v>
      </c>
      <c r="E3462" s="67">
        <f t="shared" si="11"/>
        <v>750</v>
      </c>
      <c r="F3462" s="67" t="str">
        <f t="shared" si="12"/>
        <v>3 LeadGen Set Appointments</v>
      </c>
    </row>
    <row r="3463" hidden="1">
      <c r="A3463" s="6" t="s">
        <v>48</v>
      </c>
      <c r="B3463" s="8" t="s">
        <v>1793</v>
      </c>
      <c r="C3463" s="8" t="s">
        <v>1794</v>
      </c>
      <c r="D3463" s="9">
        <v>3.0</v>
      </c>
      <c r="E3463" s="67">
        <f t="shared" si="11"/>
        <v>750</v>
      </c>
      <c r="F3463" s="67" t="str">
        <f t="shared" si="12"/>
        <v>3 LeadGen Set Appointments</v>
      </c>
    </row>
    <row r="3464" hidden="1">
      <c r="A3464" s="6" t="s">
        <v>48</v>
      </c>
      <c r="B3464" s="8" t="s">
        <v>1947</v>
      </c>
      <c r="C3464" s="8" t="s">
        <v>1948</v>
      </c>
      <c r="D3464" s="9">
        <v>3.0</v>
      </c>
      <c r="E3464" s="67">
        <f t="shared" si="11"/>
        <v>750</v>
      </c>
      <c r="F3464" s="67" t="str">
        <f t="shared" si="12"/>
        <v>3 LeadGen Set Appointments</v>
      </c>
    </row>
    <row r="3465" hidden="1">
      <c r="A3465" s="6" t="s">
        <v>48</v>
      </c>
      <c r="B3465" s="8" t="s">
        <v>1686</v>
      </c>
      <c r="C3465" s="8" t="s">
        <v>1687</v>
      </c>
      <c r="D3465" s="9">
        <v>3.0</v>
      </c>
      <c r="E3465" s="67">
        <f t="shared" si="11"/>
        <v>750</v>
      </c>
      <c r="F3465" s="67" t="str">
        <f t="shared" si="12"/>
        <v>3 LeadGen Set Appointments</v>
      </c>
    </row>
    <row r="3466" hidden="1">
      <c r="A3466" s="6" t="s">
        <v>48</v>
      </c>
      <c r="B3466" s="8" t="s">
        <v>1672</v>
      </c>
      <c r="C3466" s="8" t="s">
        <v>1673</v>
      </c>
      <c r="D3466" s="9">
        <v>3.0</v>
      </c>
      <c r="E3466" s="67">
        <f t="shared" si="11"/>
        <v>750</v>
      </c>
      <c r="F3466" s="67" t="str">
        <f t="shared" si="12"/>
        <v>3 LeadGen Set Appointments</v>
      </c>
    </row>
    <row r="3467" hidden="1">
      <c r="A3467" s="6" t="s">
        <v>48</v>
      </c>
      <c r="B3467" s="8" t="s">
        <v>1712</v>
      </c>
      <c r="C3467" s="8" t="s">
        <v>1713</v>
      </c>
      <c r="D3467" s="9">
        <v>3.0</v>
      </c>
      <c r="E3467" s="67">
        <f t="shared" si="11"/>
        <v>750</v>
      </c>
      <c r="F3467" s="67" t="str">
        <f t="shared" si="12"/>
        <v>3 LeadGen Set Appointments</v>
      </c>
    </row>
    <row r="3468" hidden="1">
      <c r="A3468" s="6" t="s">
        <v>48</v>
      </c>
      <c r="B3468" s="8" t="s">
        <v>650</v>
      </c>
      <c r="C3468" s="8" t="s">
        <v>651</v>
      </c>
      <c r="D3468" s="9">
        <v>2.0</v>
      </c>
      <c r="E3468" s="67">
        <f t="shared" si="11"/>
        <v>500</v>
      </c>
      <c r="F3468" s="67" t="str">
        <f t="shared" si="12"/>
        <v>2 LeadGen Set Appointments</v>
      </c>
    </row>
    <row r="3469" hidden="1">
      <c r="A3469" s="6" t="s">
        <v>48</v>
      </c>
      <c r="B3469" s="8" t="s">
        <v>1819</v>
      </c>
      <c r="C3469" s="8" t="s">
        <v>1820</v>
      </c>
      <c r="D3469" s="9">
        <v>2.0</v>
      </c>
      <c r="E3469" s="67">
        <f t="shared" si="11"/>
        <v>500</v>
      </c>
      <c r="F3469" s="67" t="str">
        <f t="shared" si="12"/>
        <v>2 LeadGen Set Appointments</v>
      </c>
    </row>
    <row r="3470" hidden="1">
      <c r="A3470" s="6" t="s">
        <v>48</v>
      </c>
      <c r="B3470" s="8" t="s">
        <v>1692</v>
      </c>
      <c r="C3470" s="8" t="s">
        <v>1693</v>
      </c>
      <c r="D3470" s="9">
        <v>2.0</v>
      </c>
      <c r="E3470" s="67">
        <f t="shared" si="11"/>
        <v>500</v>
      </c>
      <c r="F3470" s="67" t="str">
        <f t="shared" si="12"/>
        <v>2 LeadGen Set Appointments</v>
      </c>
    </row>
    <row r="3471" hidden="1">
      <c r="A3471" s="6" t="s">
        <v>48</v>
      </c>
      <c r="B3471" s="8" t="s">
        <v>1702</v>
      </c>
      <c r="C3471" s="8" t="s">
        <v>1703</v>
      </c>
      <c r="D3471" s="9">
        <v>2.0</v>
      </c>
      <c r="E3471" s="67">
        <f t="shared" si="11"/>
        <v>500</v>
      </c>
      <c r="F3471" s="67" t="str">
        <f t="shared" si="12"/>
        <v>2 LeadGen Set Appointments</v>
      </c>
    </row>
    <row r="3472" hidden="1">
      <c r="A3472" s="6" t="s">
        <v>48</v>
      </c>
      <c r="B3472" s="8" t="s">
        <v>1768</v>
      </c>
      <c r="C3472" s="8" t="s">
        <v>1769</v>
      </c>
      <c r="D3472" s="9">
        <v>2.0</v>
      </c>
      <c r="E3472" s="67">
        <f t="shared" si="11"/>
        <v>500</v>
      </c>
      <c r="F3472" s="67" t="str">
        <f t="shared" si="12"/>
        <v>2 LeadGen Set Appointments</v>
      </c>
    </row>
    <row r="3473" hidden="1">
      <c r="A3473" s="6" t="s">
        <v>48</v>
      </c>
      <c r="B3473" s="8" t="s">
        <v>1764</v>
      </c>
      <c r="C3473" s="8" t="s">
        <v>1765</v>
      </c>
      <c r="D3473" s="9">
        <v>2.0</v>
      </c>
      <c r="E3473" s="67">
        <f t="shared" si="11"/>
        <v>500</v>
      </c>
      <c r="F3473" s="67" t="str">
        <f t="shared" si="12"/>
        <v>2 LeadGen Set Appointments</v>
      </c>
    </row>
    <row r="3474" hidden="1">
      <c r="A3474" s="6" t="s">
        <v>48</v>
      </c>
      <c r="B3474" s="8" t="s">
        <v>974</v>
      </c>
      <c r="C3474" s="8" t="s">
        <v>975</v>
      </c>
      <c r="D3474" s="9">
        <v>2.0</v>
      </c>
      <c r="E3474" s="67">
        <f t="shared" si="11"/>
        <v>500</v>
      </c>
      <c r="F3474" s="67" t="str">
        <f t="shared" si="12"/>
        <v>2 LeadGen Set Appointments</v>
      </c>
    </row>
    <row r="3475" hidden="1">
      <c r="A3475" s="6" t="s">
        <v>48</v>
      </c>
      <c r="B3475" s="8" t="s">
        <v>1690</v>
      </c>
      <c r="C3475" s="8" t="s">
        <v>1691</v>
      </c>
      <c r="D3475" s="9">
        <v>2.0</v>
      </c>
      <c r="E3475" s="67">
        <f t="shared" si="11"/>
        <v>500</v>
      </c>
      <c r="F3475" s="67" t="str">
        <f t="shared" si="12"/>
        <v>2 LeadGen Set Appointments</v>
      </c>
    </row>
    <row r="3476" hidden="1">
      <c r="A3476" s="6" t="s">
        <v>48</v>
      </c>
      <c r="B3476" s="8" t="s">
        <v>1698</v>
      </c>
      <c r="C3476" s="8" t="s">
        <v>1699</v>
      </c>
      <c r="D3476" s="9">
        <v>1.0</v>
      </c>
      <c r="E3476" s="67">
        <f t="shared" si="11"/>
        <v>250</v>
      </c>
      <c r="F3476" s="67" t="str">
        <f t="shared" si="12"/>
        <v>1 LeadGen Set Appointments</v>
      </c>
    </row>
    <row r="3477" hidden="1">
      <c r="A3477" s="6" t="s">
        <v>48</v>
      </c>
      <c r="B3477" s="8" t="s">
        <v>1917</v>
      </c>
      <c r="C3477" s="8" t="s">
        <v>1918</v>
      </c>
      <c r="D3477" s="9">
        <v>1.0</v>
      </c>
      <c r="E3477" s="67">
        <f t="shared" si="11"/>
        <v>250</v>
      </c>
      <c r="F3477" s="67" t="str">
        <f t="shared" si="12"/>
        <v>1 LeadGen Set Appointments</v>
      </c>
    </row>
    <row r="3478" hidden="1">
      <c r="A3478" s="6" t="s">
        <v>48</v>
      </c>
      <c r="B3478" s="8" t="s">
        <v>1694</v>
      </c>
      <c r="C3478" s="8" t="s">
        <v>1695</v>
      </c>
      <c r="D3478" s="9">
        <v>1.0</v>
      </c>
      <c r="E3478" s="67">
        <f t="shared" si="11"/>
        <v>250</v>
      </c>
      <c r="F3478" s="67" t="str">
        <f t="shared" si="12"/>
        <v>1 LeadGen Set Appointments</v>
      </c>
    </row>
    <row r="3479" hidden="1">
      <c r="A3479" s="6" t="s">
        <v>48</v>
      </c>
      <c r="B3479" s="8" t="s">
        <v>1767</v>
      </c>
      <c r="C3479" s="8" t="s">
        <v>521</v>
      </c>
      <c r="D3479" s="9">
        <v>1.0</v>
      </c>
      <c r="E3479" s="67">
        <f t="shared" si="11"/>
        <v>250</v>
      </c>
      <c r="F3479" s="67" t="str">
        <f t="shared" si="12"/>
        <v>1 LeadGen Set Appointments</v>
      </c>
    </row>
    <row r="3480" hidden="1">
      <c r="A3480" s="6" t="s">
        <v>48</v>
      </c>
      <c r="B3480" s="8" t="s">
        <v>1923</v>
      </c>
      <c r="C3480" s="8" t="s">
        <v>1924</v>
      </c>
      <c r="D3480" s="9">
        <v>1.0</v>
      </c>
      <c r="E3480" s="67">
        <f t="shared" si="11"/>
        <v>250</v>
      </c>
      <c r="F3480" s="67" t="str">
        <f t="shared" si="12"/>
        <v>1 LeadGen Set Appointments</v>
      </c>
    </row>
    <row r="3481" hidden="1">
      <c r="A3481" s="6" t="s">
        <v>48</v>
      </c>
      <c r="B3481" s="8" t="s">
        <v>1883</v>
      </c>
      <c r="C3481" s="8" t="s">
        <v>1884</v>
      </c>
      <c r="D3481" s="9">
        <v>1.0</v>
      </c>
      <c r="E3481" s="67">
        <f t="shared" si="11"/>
        <v>250</v>
      </c>
      <c r="F3481" s="67" t="str">
        <f t="shared" si="12"/>
        <v>1 LeadGen Set Appointments</v>
      </c>
    </row>
    <row r="3482" hidden="1">
      <c r="A3482" s="6" t="s">
        <v>48</v>
      </c>
      <c r="B3482" s="8" t="s">
        <v>1925</v>
      </c>
      <c r="C3482" s="8" t="s">
        <v>35</v>
      </c>
      <c r="D3482" s="9">
        <v>1.0</v>
      </c>
      <c r="E3482" s="67">
        <f t="shared" si="11"/>
        <v>250</v>
      </c>
      <c r="F3482" s="67" t="str">
        <f t="shared" si="12"/>
        <v>1 LeadGen Set Appointments</v>
      </c>
    </row>
    <row r="3483" hidden="1">
      <c r="A3483" s="6" t="s">
        <v>48</v>
      </c>
      <c r="B3483" s="8" t="s">
        <v>1821</v>
      </c>
      <c r="C3483" s="8" t="s">
        <v>1822</v>
      </c>
      <c r="D3483" s="9">
        <v>1.0</v>
      </c>
      <c r="E3483" s="67">
        <f t="shared" si="11"/>
        <v>250</v>
      </c>
      <c r="F3483" s="67" t="str">
        <f t="shared" si="12"/>
        <v>1 LeadGen Set Appointments</v>
      </c>
    </row>
    <row r="3484" hidden="1">
      <c r="A3484" s="6" t="s">
        <v>48</v>
      </c>
      <c r="B3484" s="8" t="s">
        <v>564</v>
      </c>
      <c r="C3484" s="8" t="s">
        <v>565</v>
      </c>
      <c r="D3484" s="9">
        <v>1.0</v>
      </c>
      <c r="E3484" s="67">
        <f t="shared" si="11"/>
        <v>250</v>
      </c>
      <c r="F3484" s="67" t="str">
        <f t="shared" si="12"/>
        <v>1 LeadGen Set Appointments</v>
      </c>
    </row>
    <row r="3485" hidden="1">
      <c r="A3485" s="6" t="s">
        <v>48</v>
      </c>
      <c r="B3485" s="8" t="s">
        <v>1949</v>
      </c>
      <c r="C3485" s="8" t="s">
        <v>1950</v>
      </c>
      <c r="D3485" s="9">
        <v>1.0</v>
      </c>
      <c r="E3485" s="67">
        <f t="shared" si="11"/>
        <v>250</v>
      </c>
      <c r="F3485" s="67" t="str">
        <f t="shared" si="12"/>
        <v>1 LeadGen Set Appointments</v>
      </c>
    </row>
    <row r="3486" hidden="1">
      <c r="A3486" s="6" t="s">
        <v>48</v>
      </c>
      <c r="B3486" s="8" t="s">
        <v>1951</v>
      </c>
      <c r="C3486" s="8" t="s">
        <v>1952</v>
      </c>
      <c r="D3486" s="9">
        <v>1.0</v>
      </c>
      <c r="E3486" s="67">
        <f t="shared" si="11"/>
        <v>250</v>
      </c>
      <c r="F3486" s="67" t="str">
        <f t="shared" si="12"/>
        <v>1 LeadGen Set Appointments</v>
      </c>
    </row>
    <row r="3487" hidden="1">
      <c r="A3487" s="6" t="s">
        <v>48</v>
      </c>
      <c r="B3487" s="8" t="s">
        <v>1953</v>
      </c>
      <c r="C3487" s="8" t="s">
        <v>1954</v>
      </c>
      <c r="D3487" s="9">
        <v>9.0</v>
      </c>
      <c r="E3487" s="67">
        <f t="shared" si="11"/>
        <v>2250</v>
      </c>
      <c r="F3487" s="67" t="str">
        <f t="shared" si="12"/>
        <v>9 LeadGen Set Appointments</v>
      </c>
    </row>
    <row r="3488" hidden="1">
      <c r="A3488" s="6" t="s">
        <v>48</v>
      </c>
      <c r="B3488" s="8" t="s">
        <v>1067</v>
      </c>
      <c r="C3488" s="8" t="s">
        <v>1068</v>
      </c>
      <c r="D3488" s="9">
        <v>1.0</v>
      </c>
      <c r="E3488" s="67">
        <f t="shared" si="11"/>
        <v>250</v>
      </c>
      <c r="F3488" s="67" t="str">
        <f t="shared" si="12"/>
        <v>1 LeadGen Set Appointments</v>
      </c>
    </row>
    <row r="3489" hidden="1">
      <c r="A3489" s="6" t="s">
        <v>50</v>
      </c>
      <c r="B3489" s="13" t="s">
        <v>476</v>
      </c>
      <c r="C3489" s="13" t="s">
        <v>477</v>
      </c>
      <c r="D3489" s="15">
        <v>28.0</v>
      </c>
      <c r="E3489" s="67">
        <f t="shared" si="11"/>
        <v>14000</v>
      </c>
      <c r="F3489" s="62" t="str">
        <f t="shared" si="12"/>
        <v>28 LeadGen Set Appointments</v>
      </c>
    </row>
    <row r="3490" hidden="1">
      <c r="A3490" s="6" t="s">
        <v>50</v>
      </c>
      <c r="B3490" s="13" t="s">
        <v>540</v>
      </c>
      <c r="C3490" s="13" t="s">
        <v>1454</v>
      </c>
      <c r="D3490" s="15">
        <v>19.0</v>
      </c>
      <c r="E3490" s="67">
        <f t="shared" si="11"/>
        <v>9500</v>
      </c>
      <c r="F3490" s="62" t="str">
        <f t="shared" si="12"/>
        <v>19 LeadGen Set Appointments</v>
      </c>
    </row>
    <row r="3491" hidden="1">
      <c r="A3491" s="6" t="s">
        <v>50</v>
      </c>
      <c r="B3491" s="13" t="s">
        <v>644</v>
      </c>
      <c r="C3491" s="13" t="s">
        <v>645</v>
      </c>
      <c r="D3491" s="15">
        <v>17.0</v>
      </c>
      <c r="E3491" s="67">
        <f t="shared" si="11"/>
        <v>8500</v>
      </c>
      <c r="F3491" s="62" t="str">
        <f t="shared" si="12"/>
        <v>17 LeadGen Set Appointments</v>
      </c>
    </row>
    <row r="3492" hidden="1">
      <c r="A3492" s="6" t="s">
        <v>50</v>
      </c>
      <c r="B3492" s="13" t="s">
        <v>1491</v>
      </c>
      <c r="C3492" s="13" t="s">
        <v>1492</v>
      </c>
      <c r="D3492" s="15">
        <v>14.0</v>
      </c>
      <c r="E3492" s="67">
        <f t="shared" si="11"/>
        <v>7000</v>
      </c>
      <c r="F3492" s="62" t="str">
        <f t="shared" si="12"/>
        <v>14 LeadGen Set Appointments</v>
      </c>
    </row>
    <row r="3493" hidden="1">
      <c r="A3493" s="6" t="s">
        <v>50</v>
      </c>
      <c r="B3493" s="13" t="s">
        <v>640</v>
      </c>
      <c r="C3493" s="13" t="s">
        <v>641</v>
      </c>
      <c r="D3493" s="15">
        <v>13.0</v>
      </c>
      <c r="E3493" s="67">
        <f t="shared" si="11"/>
        <v>6500</v>
      </c>
      <c r="F3493" s="62" t="str">
        <f t="shared" si="12"/>
        <v>13 LeadGen Set Appointments</v>
      </c>
    </row>
    <row r="3494" hidden="1">
      <c r="A3494" s="6" t="s">
        <v>50</v>
      </c>
      <c r="B3494" s="13" t="s">
        <v>736</v>
      </c>
      <c r="C3494" s="13" t="s">
        <v>737</v>
      </c>
      <c r="D3494" s="15">
        <v>12.0</v>
      </c>
      <c r="E3494" s="67">
        <f t="shared" si="11"/>
        <v>6000</v>
      </c>
      <c r="F3494" s="62" t="str">
        <f t="shared" si="12"/>
        <v>12 LeadGen Set Appointments</v>
      </c>
    </row>
    <row r="3495" hidden="1">
      <c r="A3495" s="6" t="s">
        <v>50</v>
      </c>
      <c r="B3495" s="13" t="s">
        <v>1927</v>
      </c>
      <c r="C3495" s="13" t="s">
        <v>1928</v>
      </c>
      <c r="D3495" s="15">
        <v>12.0</v>
      </c>
      <c r="E3495" s="67">
        <f t="shared" si="11"/>
        <v>6000</v>
      </c>
      <c r="F3495" s="62" t="str">
        <f t="shared" si="12"/>
        <v>12 LeadGen Set Appointments</v>
      </c>
    </row>
    <row r="3496" hidden="1">
      <c r="A3496" s="6" t="s">
        <v>50</v>
      </c>
      <c r="B3496" s="13" t="s">
        <v>1489</v>
      </c>
      <c r="C3496" s="13" t="s">
        <v>1490</v>
      </c>
      <c r="D3496" s="15">
        <v>12.0</v>
      </c>
      <c r="E3496" s="67">
        <f t="shared" si="11"/>
        <v>6000</v>
      </c>
      <c r="F3496" s="62" t="str">
        <f t="shared" si="12"/>
        <v>12 LeadGen Set Appointments</v>
      </c>
    </row>
    <row r="3497" hidden="1">
      <c r="A3497" s="6" t="s">
        <v>50</v>
      </c>
      <c r="B3497" s="13" t="s">
        <v>516</v>
      </c>
      <c r="C3497" s="13" t="s">
        <v>517</v>
      </c>
      <c r="D3497" s="15">
        <v>12.0</v>
      </c>
      <c r="E3497" s="67">
        <f t="shared" si="11"/>
        <v>6000</v>
      </c>
      <c r="F3497" s="62" t="str">
        <f t="shared" si="12"/>
        <v>12 LeadGen Set Appointments</v>
      </c>
    </row>
    <row r="3498" hidden="1">
      <c r="A3498" s="6" t="s">
        <v>50</v>
      </c>
      <c r="B3498" s="8" t="s">
        <v>1784</v>
      </c>
      <c r="C3498" s="8" t="s">
        <v>1785</v>
      </c>
      <c r="D3498" s="9">
        <v>11.0</v>
      </c>
      <c r="E3498" s="67">
        <f t="shared" si="11"/>
        <v>5500</v>
      </c>
      <c r="F3498" s="67" t="str">
        <f t="shared" si="12"/>
        <v>11 LeadGen Set Appointments</v>
      </c>
    </row>
    <row r="3499" hidden="1">
      <c r="A3499" s="6" t="s">
        <v>50</v>
      </c>
      <c r="B3499" s="13" t="s">
        <v>699</v>
      </c>
      <c r="C3499" s="13" t="s">
        <v>700</v>
      </c>
      <c r="D3499" s="15">
        <v>11.0</v>
      </c>
      <c r="E3499" s="67">
        <f t="shared" si="11"/>
        <v>5500</v>
      </c>
      <c r="F3499" s="62" t="str">
        <f t="shared" si="12"/>
        <v>11 LeadGen Set Appointments</v>
      </c>
    </row>
    <row r="3500" hidden="1">
      <c r="A3500" s="6" t="s">
        <v>50</v>
      </c>
      <c r="B3500" s="13" t="s">
        <v>510</v>
      </c>
      <c r="C3500" s="13" t="s">
        <v>511</v>
      </c>
      <c r="D3500" s="15">
        <v>11.0</v>
      </c>
      <c r="E3500" s="67">
        <f t="shared" si="11"/>
        <v>5500</v>
      </c>
      <c r="F3500" s="62" t="str">
        <f t="shared" si="12"/>
        <v>11 LeadGen Set Appointments</v>
      </c>
    </row>
    <row r="3501" hidden="1">
      <c r="A3501" s="6" t="s">
        <v>50</v>
      </c>
      <c r="B3501" s="13" t="s">
        <v>411</v>
      </c>
      <c r="C3501" s="13" t="s">
        <v>412</v>
      </c>
      <c r="D3501" s="15">
        <v>11.0</v>
      </c>
      <c r="E3501" s="67">
        <f t="shared" si="11"/>
        <v>5500</v>
      </c>
      <c r="F3501" s="62" t="str">
        <f t="shared" si="12"/>
        <v>11 LeadGen Set Appointments</v>
      </c>
    </row>
    <row r="3502" hidden="1">
      <c r="A3502" s="6" t="s">
        <v>50</v>
      </c>
      <c r="B3502" s="13" t="s">
        <v>1471</v>
      </c>
      <c r="C3502" s="13" t="s">
        <v>1472</v>
      </c>
      <c r="D3502" s="15">
        <v>11.0</v>
      </c>
      <c r="E3502" s="67">
        <f t="shared" si="11"/>
        <v>5500</v>
      </c>
      <c r="F3502" s="62" t="str">
        <f t="shared" si="12"/>
        <v>11 LeadGen Set Appointments</v>
      </c>
    </row>
    <row r="3503" hidden="1">
      <c r="A3503" s="6" t="s">
        <v>50</v>
      </c>
      <c r="B3503" s="13" t="s">
        <v>1455</v>
      </c>
      <c r="C3503" s="13" t="s">
        <v>1456</v>
      </c>
      <c r="D3503" s="15">
        <v>10.0</v>
      </c>
      <c r="E3503" s="67">
        <f t="shared" si="11"/>
        <v>5000</v>
      </c>
      <c r="F3503" s="62" t="str">
        <f t="shared" si="12"/>
        <v>10 LeadGen Set Appointments</v>
      </c>
    </row>
    <row r="3504" hidden="1">
      <c r="A3504" s="6" t="s">
        <v>50</v>
      </c>
      <c r="B3504" s="13" t="s">
        <v>1861</v>
      </c>
      <c r="C3504" s="13" t="s">
        <v>1862</v>
      </c>
      <c r="D3504" s="15">
        <v>10.0</v>
      </c>
      <c r="E3504" s="67">
        <f t="shared" si="11"/>
        <v>5000</v>
      </c>
      <c r="F3504" s="62" t="str">
        <f t="shared" si="12"/>
        <v>10 LeadGen Set Appointments</v>
      </c>
    </row>
    <row r="3505" hidden="1">
      <c r="A3505" s="6" t="s">
        <v>50</v>
      </c>
      <c r="B3505" s="13" t="s">
        <v>1657</v>
      </c>
      <c r="C3505" s="13" t="s">
        <v>1658</v>
      </c>
      <c r="D3505" s="15">
        <v>10.0</v>
      </c>
      <c r="E3505" s="67">
        <f t="shared" si="11"/>
        <v>5000</v>
      </c>
      <c r="F3505" s="62" t="str">
        <f t="shared" si="12"/>
        <v>10 LeadGen Set Appointments</v>
      </c>
    </row>
    <row r="3506" hidden="1">
      <c r="A3506" s="6" t="s">
        <v>50</v>
      </c>
      <c r="B3506" s="8" t="s">
        <v>766</v>
      </c>
      <c r="C3506" s="8" t="s">
        <v>767</v>
      </c>
      <c r="D3506" s="9">
        <v>10.0</v>
      </c>
      <c r="E3506" s="67">
        <f t="shared" si="11"/>
        <v>5000</v>
      </c>
      <c r="F3506" s="67" t="str">
        <f t="shared" si="12"/>
        <v>10 LeadGen Set Appointments</v>
      </c>
    </row>
    <row r="3507" hidden="1">
      <c r="A3507" s="6" t="s">
        <v>50</v>
      </c>
      <c r="B3507" s="8" t="s">
        <v>746</v>
      </c>
      <c r="C3507" s="8" t="s">
        <v>747</v>
      </c>
      <c r="D3507" s="9">
        <v>10.0</v>
      </c>
      <c r="E3507" s="67">
        <f t="shared" si="11"/>
        <v>5000</v>
      </c>
      <c r="F3507" s="67" t="str">
        <f t="shared" si="12"/>
        <v>10 LeadGen Set Appointments</v>
      </c>
    </row>
    <row r="3508" hidden="1">
      <c r="A3508" s="6" t="s">
        <v>50</v>
      </c>
      <c r="B3508" s="8" t="s">
        <v>1672</v>
      </c>
      <c r="C3508" s="8" t="s">
        <v>1673</v>
      </c>
      <c r="D3508" s="9">
        <v>14.0</v>
      </c>
      <c r="E3508" s="67">
        <f t="shared" si="11"/>
        <v>7000</v>
      </c>
      <c r="F3508" s="67" t="str">
        <f t="shared" si="12"/>
        <v>14 LeadGen Set Appointments</v>
      </c>
    </row>
    <row r="3509" hidden="1">
      <c r="A3509" s="6" t="s">
        <v>50</v>
      </c>
      <c r="B3509" s="13" t="s">
        <v>1025</v>
      </c>
      <c r="C3509" s="13" t="s">
        <v>1026</v>
      </c>
      <c r="D3509" s="15">
        <v>14.0</v>
      </c>
      <c r="E3509" s="67">
        <f t="shared" si="11"/>
        <v>7000</v>
      </c>
      <c r="F3509" s="62" t="str">
        <f t="shared" si="12"/>
        <v>14 LeadGen Set Appointments</v>
      </c>
    </row>
    <row r="3510" hidden="1">
      <c r="A3510" s="6" t="s">
        <v>50</v>
      </c>
      <c r="B3510" s="13" t="s">
        <v>1700</v>
      </c>
      <c r="C3510" s="13" t="s">
        <v>1701</v>
      </c>
      <c r="D3510" s="15">
        <v>10.0</v>
      </c>
      <c r="E3510" s="67">
        <f t="shared" si="11"/>
        <v>5000</v>
      </c>
      <c r="F3510" s="62" t="str">
        <f t="shared" si="12"/>
        <v>10 LeadGen Set Appointments</v>
      </c>
    </row>
    <row r="3511" hidden="1">
      <c r="A3511" s="6" t="s">
        <v>50</v>
      </c>
      <c r="B3511" s="13" t="s">
        <v>1467</v>
      </c>
      <c r="C3511" s="13" t="s">
        <v>1468</v>
      </c>
      <c r="D3511" s="15">
        <v>9.0</v>
      </c>
      <c r="E3511" s="67">
        <f t="shared" si="11"/>
        <v>2250</v>
      </c>
      <c r="F3511" s="62" t="str">
        <f t="shared" si="12"/>
        <v>9 LeadGen Set Appointments</v>
      </c>
    </row>
    <row r="3512" hidden="1">
      <c r="A3512" s="6" t="s">
        <v>50</v>
      </c>
      <c r="B3512" s="13" t="s">
        <v>566</v>
      </c>
      <c r="C3512" s="13" t="s">
        <v>567</v>
      </c>
      <c r="D3512" s="15">
        <v>9.0</v>
      </c>
      <c r="E3512" s="67">
        <f t="shared" si="11"/>
        <v>2250</v>
      </c>
      <c r="F3512" s="62" t="str">
        <f t="shared" si="12"/>
        <v>9 LeadGen Set Appointments</v>
      </c>
    </row>
    <row r="3513" hidden="1">
      <c r="A3513" s="6" t="s">
        <v>50</v>
      </c>
      <c r="B3513" s="13" t="s">
        <v>1545</v>
      </c>
      <c r="C3513" s="13" t="s">
        <v>1546</v>
      </c>
      <c r="D3513" s="15">
        <v>8.0</v>
      </c>
      <c r="E3513" s="67">
        <f t="shared" si="11"/>
        <v>2000</v>
      </c>
      <c r="F3513" s="62" t="str">
        <f t="shared" si="12"/>
        <v>8 LeadGen Set Appointments</v>
      </c>
    </row>
    <row r="3514" hidden="1">
      <c r="A3514" s="6" t="s">
        <v>50</v>
      </c>
      <c r="B3514" s="13" t="s">
        <v>1551</v>
      </c>
      <c r="C3514" s="13" t="s">
        <v>1552</v>
      </c>
      <c r="D3514" s="15">
        <v>8.0</v>
      </c>
      <c r="E3514" s="67">
        <f t="shared" si="11"/>
        <v>2000</v>
      </c>
      <c r="F3514" s="62" t="str">
        <f t="shared" si="12"/>
        <v>8 LeadGen Set Appointments</v>
      </c>
    </row>
    <row r="3515" hidden="1">
      <c r="A3515" s="6" t="s">
        <v>50</v>
      </c>
      <c r="B3515" s="8" t="s">
        <v>486</v>
      </c>
      <c r="C3515" s="8" t="s">
        <v>487</v>
      </c>
      <c r="D3515" s="9">
        <v>8.0</v>
      </c>
      <c r="E3515" s="67">
        <f t="shared" si="11"/>
        <v>2000</v>
      </c>
      <c r="F3515" s="67" t="str">
        <f t="shared" si="12"/>
        <v>8 LeadGen Set Appointments</v>
      </c>
    </row>
    <row r="3516" hidden="1">
      <c r="A3516" s="6" t="s">
        <v>50</v>
      </c>
      <c r="B3516" s="8" t="s">
        <v>1825</v>
      </c>
      <c r="C3516" s="8" t="s">
        <v>1826</v>
      </c>
      <c r="D3516" s="9">
        <v>8.0</v>
      </c>
      <c r="E3516" s="67">
        <f t="shared" si="11"/>
        <v>2000</v>
      </c>
      <c r="F3516" s="67" t="str">
        <f t="shared" si="12"/>
        <v>8 LeadGen Set Appointments</v>
      </c>
    </row>
    <row r="3517" hidden="1">
      <c r="A3517" s="6" t="s">
        <v>50</v>
      </c>
      <c r="B3517" s="8" t="s">
        <v>723</v>
      </c>
      <c r="C3517" s="8" t="s">
        <v>724</v>
      </c>
      <c r="D3517" s="9">
        <v>8.0</v>
      </c>
      <c r="E3517" s="67">
        <f t="shared" si="11"/>
        <v>2000</v>
      </c>
      <c r="F3517" s="67" t="str">
        <f t="shared" si="12"/>
        <v>8 LeadGen Set Appointments</v>
      </c>
    </row>
    <row r="3518" hidden="1">
      <c r="A3518" s="6" t="s">
        <v>50</v>
      </c>
      <c r="B3518" s="8" t="s">
        <v>1473</v>
      </c>
      <c r="C3518" s="8" t="s">
        <v>1474</v>
      </c>
      <c r="D3518" s="9">
        <v>7.0</v>
      </c>
      <c r="E3518" s="67">
        <f t="shared" si="11"/>
        <v>1750</v>
      </c>
      <c r="F3518" s="67" t="str">
        <f t="shared" si="12"/>
        <v>7 LeadGen Set Appointments</v>
      </c>
    </row>
    <row r="3519" hidden="1">
      <c r="A3519" s="6" t="s">
        <v>50</v>
      </c>
      <c r="B3519" s="13" t="s">
        <v>546</v>
      </c>
      <c r="C3519" s="13" t="s">
        <v>547</v>
      </c>
      <c r="D3519" s="15">
        <v>7.0</v>
      </c>
      <c r="E3519" s="67">
        <f t="shared" si="11"/>
        <v>1750</v>
      </c>
      <c r="F3519" s="62" t="str">
        <f t="shared" si="12"/>
        <v>7 LeadGen Set Appointments</v>
      </c>
    </row>
    <row r="3520" hidden="1">
      <c r="A3520" s="6" t="s">
        <v>50</v>
      </c>
      <c r="B3520" s="13" t="s">
        <v>1606</v>
      </c>
      <c r="C3520" s="13" t="s">
        <v>1607</v>
      </c>
      <c r="D3520" s="15">
        <v>7.0</v>
      </c>
      <c r="E3520" s="67">
        <f t="shared" si="11"/>
        <v>1750</v>
      </c>
      <c r="F3520" s="62" t="str">
        <f t="shared" si="12"/>
        <v>7 LeadGen Set Appointments</v>
      </c>
    </row>
    <row r="3521" hidden="1">
      <c r="A3521" s="6" t="s">
        <v>50</v>
      </c>
      <c r="B3521" s="13" t="s">
        <v>240</v>
      </c>
      <c r="C3521" s="13" t="s">
        <v>241</v>
      </c>
      <c r="D3521" s="15">
        <v>7.0</v>
      </c>
      <c r="E3521" s="67">
        <f t="shared" si="11"/>
        <v>1750</v>
      </c>
      <c r="F3521" s="62" t="str">
        <f t="shared" si="12"/>
        <v>7 LeadGen Set Appointments</v>
      </c>
    </row>
    <row r="3522" hidden="1">
      <c r="A3522" s="6" t="s">
        <v>50</v>
      </c>
      <c r="B3522" s="13" t="s">
        <v>1415</v>
      </c>
      <c r="C3522" s="13" t="s">
        <v>1416</v>
      </c>
      <c r="D3522" s="15">
        <v>7.0</v>
      </c>
      <c r="E3522" s="67">
        <f t="shared" si="11"/>
        <v>1750</v>
      </c>
      <c r="F3522" s="62" t="str">
        <f t="shared" si="12"/>
        <v>7 LeadGen Set Appointments</v>
      </c>
    </row>
    <row r="3523" hidden="1">
      <c r="A3523" s="6" t="s">
        <v>50</v>
      </c>
      <c r="B3523" s="13" t="s">
        <v>1891</v>
      </c>
      <c r="C3523" s="13" t="s">
        <v>1892</v>
      </c>
      <c r="D3523" s="15">
        <v>7.0</v>
      </c>
      <c r="E3523" s="67">
        <f t="shared" si="11"/>
        <v>1750</v>
      </c>
      <c r="F3523" s="62" t="str">
        <f t="shared" si="12"/>
        <v>7 LeadGen Set Appointments</v>
      </c>
    </row>
    <row r="3524" hidden="1">
      <c r="A3524" s="6" t="s">
        <v>50</v>
      </c>
      <c r="B3524" s="13" t="s">
        <v>1573</v>
      </c>
      <c r="C3524" s="13" t="s">
        <v>1574</v>
      </c>
      <c r="D3524" s="15">
        <v>7.0</v>
      </c>
      <c r="E3524" s="67">
        <f t="shared" si="11"/>
        <v>1750</v>
      </c>
      <c r="F3524" s="62" t="str">
        <f t="shared" si="12"/>
        <v>7 LeadGen Set Appointments</v>
      </c>
    </row>
    <row r="3525" hidden="1">
      <c r="A3525" s="6" t="s">
        <v>50</v>
      </c>
      <c r="B3525" s="13" t="s">
        <v>1776</v>
      </c>
      <c r="C3525" s="13" t="s">
        <v>1777</v>
      </c>
      <c r="D3525" s="15">
        <v>7.0</v>
      </c>
      <c r="E3525" s="67">
        <f t="shared" si="11"/>
        <v>1750</v>
      </c>
      <c r="F3525" s="62" t="str">
        <f t="shared" si="12"/>
        <v>7 LeadGen Set Appointments</v>
      </c>
    </row>
    <row r="3526" hidden="1">
      <c r="A3526" s="6" t="s">
        <v>50</v>
      </c>
      <c r="B3526" s="13" t="s">
        <v>628</v>
      </c>
      <c r="C3526" s="13" t="s">
        <v>629</v>
      </c>
      <c r="D3526" s="15">
        <v>6.0</v>
      </c>
      <c r="E3526" s="67">
        <f t="shared" si="11"/>
        <v>1500</v>
      </c>
      <c r="F3526" s="62" t="str">
        <f t="shared" si="12"/>
        <v>6 LeadGen Set Appointments</v>
      </c>
    </row>
    <row r="3527" hidden="1">
      <c r="A3527" s="6" t="s">
        <v>50</v>
      </c>
      <c r="B3527" s="8" t="s">
        <v>431</v>
      </c>
      <c r="C3527" s="8" t="s">
        <v>432</v>
      </c>
      <c r="D3527" s="9">
        <v>6.0</v>
      </c>
      <c r="E3527" s="67">
        <f t="shared" si="11"/>
        <v>1500</v>
      </c>
      <c r="F3527" s="67" t="str">
        <f t="shared" si="12"/>
        <v>6 LeadGen Set Appointments</v>
      </c>
    </row>
    <row r="3528" hidden="1">
      <c r="A3528" s="6" t="s">
        <v>50</v>
      </c>
      <c r="B3528" s="8" t="s">
        <v>1608</v>
      </c>
      <c r="C3528" s="8" t="s">
        <v>1609</v>
      </c>
      <c r="D3528" s="9">
        <v>6.0</v>
      </c>
      <c r="E3528" s="67">
        <f t="shared" si="11"/>
        <v>1500</v>
      </c>
      <c r="F3528" s="67" t="str">
        <f t="shared" si="12"/>
        <v>6 LeadGen Set Appointments</v>
      </c>
    </row>
    <row r="3529" hidden="1">
      <c r="A3529" s="6" t="s">
        <v>50</v>
      </c>
      <c r="B3529" s="8" t="s">
        <v>1334</v>
      </c>
      <c r="C3529" s="8" t="s">
        <v>553</v>
      </c>
      <c r="D3529" s="9">
        <v>6.0</v>
      </c>
      <c r="E3529" s="67">
        <f t="shared" si="11"/>
        <v>1500</v>
      </c>
      <c r="F3529" s="67" t="str">
        <f t="shared" si="12"/>
        <v>6 LeadGen Set Appointments</v>
      </c>
    </row>
    <row r="3530" hidden="1">
      <c r="A3530" s="6" t="s">
        <v>50</v>
      </c>
      <c r="B3530" s="8" t="s">
        <v>1859</v>
      </c>
      <c r="C3530" s="8" t="s">
        <v>1860</v>
      </c>
      <c r="D3530" s="9">
        <v>6.0</v>
      </c>
      <c r="E3530" s="67">
        <f t="shared" si="11"/>
        <v>1500</v>
      </c>
      <c r="F3530" s="67" t="str">
        <f t="shared" si="12"/>
        <v>6 LeadGen Set Appointments</v>
      </c>
    </row>
    <row r="3531" hidden="1">
      <c r="A3531" s="6" t="s">
        <v>50</v>
      </c>
      <c r="B3531" s="8" t="s">
        <v>1477</v>
      </c>
      <c r="C3531" s="8" t="s">
        <v>1478</v>
      </c>
      <c r="D3531" s="9">
        <v>6.0</v>
      </c>
      <c r="E3531" s="67">
        <f t="shared" si="11"/>
        <v>1500</v>
      </c>
      <c r="F3531" s="67" t="str">
        <f t="shared" si="12"/>
        <v>6 LeadGen Set Appointments</v>
      </c>
    </row>
    <row r="3532" hidden="1">
      <c r="A3532" s="6" t="s">
        <v>50</v>
      </c>
      <c r="B3532" s="8" t="s">
        <v>1723</v>
      </c>
      <c r="C3532" s="8" t="s">
        <v>32</v>
      </c>
      <c r="D3532" s="9">
        <v>6.0</v>
      </c>
      <c r="E3532" s="67">
        <f t="shared" si="11"/>
        <v>1500</v>
      </c>
      <c r="F3532" s="67" t="str">
        <f t="shared" si="12"/>
        <v>6 LeadGen Set Appointments</v>
      </c>
    </row>
    <row r="3533" hidden="1">
      <c r="A3533" s="6" t="s">
        <v>50</v>
      </c>
      <c r="B3533" s="13" t="s">
        <v>572</v>
      </c>
      <c r="C3533" s="13" t="s">
        <v>573</v>
      </c>
      <c r="D3533" s="15">
        <v>6.0</v>
      </c>
      <c r="E3533" s="67">
        <f t="shared" si="11"/>
        <v>1500</v>
      </c>
      <c r="F3533" s="62" t="str">
        <f t="shared" si="12"/>
        <v>6 LeadGen Set Appointments</v>
      </c>
    </row>
    <row r="3534" hidden="1">
      <c r="A3534" s="6" t="s">
        <v>50</v>
      </c>
      <c r="B3534" s="13" t="s">
        <v>1093</v>
      </c>
      <c r="C3534" s="13" t="s">
        <v>1760</v>
      </c>
      <c r="D3534" s="15">
        <v>6.0</v>
      </c>
      <c r="E3534" s="67">
        <f t="shared" si="11"/>
        <v>1500</v>
      </c>
      <c r="F3534" s="62" t="str">
        <f t="shared" si="12"/>
        <v>6 LeadGen Set Appointments</v>
      </c>
    </row>
    <row r="3535" hidden="1">
      <c r="A3535" s="6" t="s">
        <v>50</v>
      </c>
      <c r="B3535" s="13" t="s">
        <v>1463</v>
      </c>
      <c r="C3535" s="13" t="s">
        <v>1464</v>
      </c>
      <c r="D3535" s="15">
        <v>5.0</v>
      </c>
      <c r="E3535" s="67">
        <f t="shared" si="11"/>
        <v>1250</v>
      </c>
      <c r="F3535" s="62" t="str">
        <f t="shared" si="12"/>
        <v>5 LeadGen Set Appointments</v>
      </c>
    </row>
    <row r="3536" hidden="1">
      <c r="A3536" s="6" t="s">
        <v>50</v>
      </c>
      <c r="B3536" s="13" t="s">
        <v>500</v>
      </c>
      <c r="C3536" s="13" t="s">
        <v>501</v>
      </c>
      <c r="D3536" s="15">
        <v>5.0</v>
      </c>
      <c r="E3536" s="67">
        <f t="shared" si="11"/>
        <v>1250</v>
      </c>
      <c r="F3536" s="62" t="str">
        <f t="shared" si="12"/>
        <v>5 LeadGen Set Appointments</v>
      </c>
    </row>
    <row r="3537" hidden="1">
      <c r="A3537" s="6" t="s">
        <v>50</v>
      </c>
      <c r="B3537" s="13" t="s">
        <v>244</v>
      </c>
      <c r="C3537" s="13" t="s">
        <v>1888</v>
      </c>
      <c r="D3537" s="15">
        <v>5.0</v>
      </c>
      <c r="E3537" s="67">
        <f t="shared" si="11"/>
        <v>1250</v>
      </c>
      <c r="F3537" s="62" t="str">
        <f t="shared" si="12"/>
        <v>5 LeadGen Set Appointments</v>
      </c>
    </row>
    <row r="3538" hidden="1">
      <c r="A3538" s="6" t="s">
        <v>50</v>
      </c>
      <c r="B3538" s="13" t="s">
        <v>1543</v>
      </c>
      <c r="C3538" s="13" t="s">
        <v>1544</v>
      </c>
      <c r="D3538" s="15">
        <v>5.0</v>
      </c>
      <c r="E3538" s="67">
        <f t="shared" si="11"/>
        <v>1250</v>
      </c>
      <c r="F3538" s="62" t="str">
        <f t="shared" si="12"/>
        <v>5 LeadGen Set Appointments</v>
      </c>
    </row>
    <row r="3539" hidden="1">
      <c r="A3539" s="6" t="s">
        <v>50</v>
      </c>
      <c r="B3539" s="8" t="s">
        <v>1461</v>
      </c>
      <c r="C3539" s="8" t="s">
        <v>1462</v>
      </c>
      <c r="D3539" s="9">
        <v>5.0</v>
      </c>
      <c r="E3539" s="67">
        <f t="shared" si="11"/>
        <v>1250</v>
      </c>
      <c r="F3539" s="67" t="str">
        <f t="shared" si="12"/>
        <v>5 LeadGen Set Appointments</v>
      </c>
    </row>
    <row r="3540" hidden="1">
      <c r="A3540" s="6" t="s">
        <v>50</v>
      </c>
      <c r="B3540" s="8" t="s">
        <v>1885</v>
      </c>
      <c r="C3540" s="8" t="s">
        <v>1886</v>
      </c>
      <c r="D3540" s="9">
        <v>5.0</v>
      </c>
      <c r="E3540" s="67">
        <f t="shared" si="11"/>
        <v>1250</v>
      </c>
      <c r="F3540" s="67" t="str">
        <f t="shared" si="12"/>
        <v>5 LeadGen Set Appointments</v>
      </c>
    </row>
    <row r="3541" hidden="1">
      <c r="A3541" s="6" t="s">
        <v>50</v>
      </c>
      <c r="B3541" s="8" t="s">
        <v>1510</v>
      </c>
      <c r="C3541" s="8" t="s">
        <v>1511</v>
      </c>
      <c r="D3541" s="9">
        <v>5.0</v>
      </c>
      <c r="E3541" s="67">
        <f t="shared" si="11"/>
        <v>1250</v>
      </c>
      <c r="F3541" s="67" t="str">
        <f t="shared" si="12"/>
        <v>5 LeadGen Set Appointments</v>
      </c>
    </row>
    <row r="3542" hidden="1">
      <c r="A3542" s="6" t="s">
        <v>50</v>
      </c>
      <c r="B3542" s="8" t="s">
        <v>1688</v>
      </c>
      <c r="C3542" s="8" t="s">
        <v>1689</v>
      </c>
      <c r="D3542" s="9">
        <v>5.0</v>
      </c>
      <c r="E3542" s="67">
        <f t="shared" si="11"/>
        <v>1250</v>
      </c>
      <c r="F3542" s="67" t="str">
        <f t="shared" si="12"/>
        <v>5 LeadGen Set Appointments</v>
      </c>
    </row>
    <row r="3543" hidden="1">
      <c r="A3543" s="6" t="s">
        <v>50</v>
      </c>
      <c r="B3543" s="8" t="s">
        <v>1426</v>
      </c>
      <c r="C3543" s="8" t="s">
        <v>1427</v>
      </c>
      <c r="D3543" s="9">
        <v>5.0</v>
      </c>
      <c r="E3543" s="67">
        <f t="shared" si="11"/>
        <v>1250</v>
      </c>
      <c r="F3543" s="67" t="str">
        <f t="shared" si="12"/>
        <v>5 LeadGen Set Appointments</v>
      </c>
    </row>
    <row r="3544" hidden="1">
      <c r="A3544" s="6" t="s">
        <v>50</v>
      </c>
      <c r="B3544" s="8" t="s">
        <v>502</v>
      </c>
      <c r="C3544" s="8" t="s">
        <v>503</v>
      </c>
      <c r="D3544" s="9">
        <v>5.0</v>
      </c>
      <c r="E3544" s="67">
        <f t="shared" si="11"/>
        <v>1250</v>
      </c>
      <c r="F3544" s="67" t="str">
        <f t="shared" si="12"/>
        <v>5 LeadGen Set Appointments</v>
      </c>
    </row>
    <row r="3545" hidden="1">
      <c r="A3545" s="6" t="s">
        <v>50</v>
      </c>
      <c r="B3545" s="8" t="s">
        <v>1867</v>
      </c>
      <c r="C3545" s="8" t="s">
        <v>1868</v>
      </c>
      <c r="D3545" s="9">
        <v>5.0</v>
      </c>
      <c r="E3545" s="67">
        <f t="shared" si="11"/>
        <v>1250</v>
      </c>
      <c r="F3545" s="67" t="str">
        <f t="shared" si="12"/>
        <v>5 LeadGen Set Appointments</v>
      </c>
    </row>
    <row r="3546" hidden="1">
      <c r="A3546" s="6" t="s">
        <v>50</v>
      </c>
      <c r="B3546" s="8" t="s">
        <v>1421</v>
      </c>
      <c r="C3546" s="8" t="s">
        <v>712</v>
      </c>
      <c r="D3546" s="9">
        <v>5.0</v>
      </c>
      <c r="E3546" s="67">
        <f t="shared" si="11"/>
        <v>1250</v>
      </c>
      <c r="F3546" s="67" t="str">
        <f t="shared" si="12"/>
        <v>5 LeadGen Set Appointments</v>
      </c>
    </row>
    <row r="3547" hidden="1">
      <c r="A3547" s="6" t="s">
        <v>50</v>
      </c>
      <c r="B3547" s="8" t="s">
        <v>626</v>
      </c>
      <c r="C3547" s="8" t="s">
        <v>627</v>
      </c>
      <c r="D3547" s="9">
        <v>5.0</v>
      </c>
      <c r="E3547" s="67">
        <f t="shared" si="11"/>
        <v>1250</v>
      </c>
      <c r="F3547" s="67" t="str">
        <f t="shared" si="12"/>
        <v>5 LeadGen Set Appointments</v>
      </c>
    </row>
    <row r="3548" hidden="1">
      <c r="A3548" s="6" t="s">
        <v>50</v>
      </c>
      <c r="B3548" s="8" t="s">
        <v>1664</v>
      </c>
      <c r="C3548" s="8" t="s">
        <v>1665</v>
      </c>
      <c r="D3548" s="9">
        <v>5.0</v>
      </c>
      <c r="E3548" s="67">
        <f t="shared" si="11"/>
        <v>1250</v>
      </c>
      <c r="F3548" s="67" t="str">
        <f t="shared" si="12"/>
        <v>5 LeadGen Set Appointments</v>
      </c>
    </row>
    <row r="3549" hidden="1">
      <c r="A3549" s="6" t="s">
        <v>50</v>
      </c>
      <c r="B3549" s="8" t="s">
        <v>1666</v>
      </c>
      <c r="C3549" s="8" t="s">
        <v>1667</v>
      </c>
      <c r="D3549" s="9">
        <v>5.0</v>
      </c>
      <c r="E3549" s="67">
        <f t="shared" si="11"/>
        <v>1250</v>
      </c>
      <c r="F3549" s="67" t="str">
        <f t="shared" si="12"/>
        <v>5 LeadGen Set Appointments</v>
      </c>
    </row>
    <row r="3550" hidden="1">
      <c r="A3550" s="6" t="s">
        <v>50</v>
      </c>
      <c r="B3550" s="8" t="s">
        <v>1865</v>
      </c>
      <c r="C3550" s="8" t="s">
        <v>1866</v>
      </c>
      <c r="D3550" s="9">
        <v>5.0</v>
      </c>
      <c r="E3550" s="67">
        <f t="shared" si="11"/>
        <v>1250</v>
      </c>
      <c r="F3550" s="67" t="str">
        <f t="shared" si="12"/>
        <v>5 LeadGen Set Appointments</v>
      </c>
    </row>
    <row r="3551" hidden="1">
      <c r="A3551" s="6" t="s">
        <v>50</v>
      </c>
      <c r="B3551" s="8" t="s">
        <v>1786</v>
      </c>
      <c r="C3551" s="8" t="s">
        <v>1787</v>
      </c>
      <c r="D3551" s="9">
        <v>5.0</v>
      </c>
      <c r="E3551" s="67">
        <f t="shared" si="11"/>
        <v>1250</v>
      </c>
      <c r="F3551" s="67" t="str">
        <f t="shared" si="12"/>
        <v>5 LeadGen Set Appointments</v>
      </c>
    </row>
    <row r="3552" hidden="1">
      <c r="A3552" s="6" t="s">
        <v>50</v>
      </c>
      <c r="B3552" s="8" t="s">
        <v>1483</v>
      </c>
      <c r="C3552" s="8" t="s">
        <v>1484</v>
      </c>
      <c r="D3552" s="9">
        <v>5.0</v>
      </c>
      <c r="E3552" s="67">
        <f t="shared" si="11"/>
        <v>1250</v>
      </c>
      <c r="F3552" s="67" t="str">
        <f t="shared" si="12"/>
        <v>5 LeadGen Set Appointments</v>
      </c>
    </row>
    <row r="3553" hidden="1">
      <c r="A3553" s="6" t="s">
        <v>50</v>
      </c>
      <c r="B3553" s="8" t="s">
        <v>1577</v>
      </c>
      <c r="C3553" s="8" t="s">
        <v>1578</v>
      </c>
      <c r="D3553" s="9">
        <v>4.0</v>
      </c>
      <c r="E3553" s="67">
        <f t="shared" si="11"/>
        <v>1000</v>
      </c>
      <c r="F3553" s="67" t="str">
        <f t="shared" si="12"/>
        <v>4 LeadGen Set Appointments</v>
      </c>
    </row>
    <row r="3554" hidden="1">
      <c r="A3554" s="6" t="s">
        <v>50</v>
      </c>
      <c r="B3554" s="8" t="s">
        <v>1448</v>
      </c>
      <c r="C3554" s="8" t="s">
        <v>1449</v>
      </c>
      <c r="D3554" s="9">
        <v>4.0</v>
      </c>
      <c r="E3554" s="67">
        <f t="shared" si="11"/>
        <v>1000</v>
      </c>
      <c r="F3554" s="67" t="str">
        <f t="shared" si="12"/>
        <v>4 LeadGen Set Appointments</v>
      </c>
    </row>
    <row r="3555" hidden="1">
      <c r="A3555" s="6" t="s">
        <v>50</v>
      </c>
      <c r="B3555" s="8" t="s">
        <v>1732</v>
      </c>
      <c r="C3555" s="8" t="s">
        <v>1733</v>
      </c>
      <c r="D3555" s="9">
        <v>4.0</v>
      </c>
      <c r="E3555" s="67">
        <f t="shared" si="11"/>
        <v>1000</v>
      </c>
      <c r="F3555" s="67" t="str">
        <f t="shared" si="12"/>
        <v>4 LeadGen Set Appointments</v>
      </c>
    </row>
    <row r="3556" hidden="1">
      <c r="A3556" s="6" t="s">
        <v>50</v>
      </c>
      <c r="B3556" s="8" t="s">
        <v>1547</v>
      </c>
      <c r="C3556" s="8" t="s">
        <v>1548</v>
      </c>
      <c r="D3556" s="9">
        <v>4.0</v>
      </c>
      <c r="E3556" s="67">
        <f t="shared" si="11"/>
        <v>1000</v>
      </c>
      <c r="F3556" s="67" t="str">
        <f t="shared" si="12"/>
        <v>4 LeadGen Set Appointments</v>
      </c>
    </row>
    <row r="3557" hidden="1">
      <c r="A3557" s="6" t="s">
        <v>50</v>
      </c>
      <c r="B3557" s="8" t="s">
        <v>1871</v>
      </c>
      <c r="C3557" s="8" t="s">
        <v>1872</v>
      </c>
      <c r="D3557" s="9">
        <v>4.0</v>
      </c>
      <c r="E3557" s="67">
        <f t="shared" si="11"/>
        <v>1000</v>
      </c>
      <c r="F3557" s="67" t="str">
        <f t="shared" si="12"/>
        <v>4 LeadGen Set Appointments</v>
      </c>
    </row>
    <row r="3558" hidden="1">
      <c r="A3558" s="6" t="s">
        <v>50</v>
      </c>
      <c r="B3558" s="8" t="s">
        <v>1583</v>
      </c>
      <c r="C3558" s="8" t="s">
        <v>1584</v>
      </c>
      <c r="D3558" s="9">
        <v>4.0</v>
      </c>
      <c r="E3558" s="67">
        <f t="shared" si="11"/>
        <v>1000</v>
      </c>
      <c r="F3558" s="67" t="str">
        <f t="shared" si="12"/>
        <v>4 LeadGen Set Appointments</v>
      </c>
    </row>
    <row r="3559" hidden="1">
      <c r="A3559" s="6" t="s">
        <v>50</v>
      </c>
      <c r="B3559" s="8" t="s">
        <v>1838</v>
      </c>
      <c r="C3559" s="8" t="s">
        <v>1839</v>
      </c>
      <c r="D3559" s="9">
        <v>4.0</v>
      </c>
      <c r="E3559" s="67">
        <f t="shared" si="11"/>
        <v>1000</v>
      </c>
      <c r="F3559" s="67" t="str">
        <f t="shared" si="12"/>
        <v>4 LeadGen Set Appointments</v>
      </c>
    </row>
    <row r="3560" hidden="1">
      <c r="A3560" s="6" t="s">
        <v>50</v>
      </c>
      <c r="B3560" s="8" t="s">
        <v>1612</v>
      </c>
      <c r="C3560" s="8" t="s">
        <v>1613</v>
      </c>
      <c r="D3560" s="9">
        <v>4.0</v>
      </c>
      <c r="E3560" s="67">
        <f t="shared" si="11"/>
        <v>1000</v>
      </c>
      <c r="F3560" s="67" t="str">
        <f t="shared" si="12"/>
        <v>4 LeadGen Set Appointments</v>
      </c>
    </row>
    <row r="3561" hidden="1">
      <c r="A3561" s="6" t="s">
        <v>50</v>
      </c>
      <c r="B3561" s="8" t="s">
        <v>1778</v>
      </c>
      <c r="C3561" s="8" t="s">
        <v>1779</v>
      </c>
      <c r="D3561" s="9">
        <v>4.0</v>
      </c>
      <c r="E3561" s="67">
        <f t="shared" si="11"/>
        <v>1000</v>
      </c>
      <c r="F3561" s="67" t="str">
        <f t="shared" si="12"/>
        <v>4 LeadGen Set Appointments</v>
      </c>
    </row>
    <row r="3562" hidden="1">
      <c r="A3562" s="6" t="s">
        <v>50</v>
      </c>
      <c r="B3562" s="8" t="s">
        <v>238</v>
      </c>
      <c r="C3562" s="8" t="s">
        <v>1890</v>
      </c>
      <c r="D3562" s="9">
        <v>4.0</v>
      </c>
      <c r="E3562" s="67">
        <f t="shared" si="11"/>
        <v>1000</v>
      </c>
      <c r="F3562" s="67" t="str">
        <f t="shared" si="12"/>
        <v>4 LeadGen Set Appointments</v>
      </c>
    </row>
    <row r="3563" hidden="1">
      <c r="A3563" s="6" t="s">
        <v>50</v>
      </c>
      <c r="B3563" s="8" t="s">
        <v>1514</v>
      </c>
      <c r="C3563" s="8" t="s">
        <v>1515</v>
      </c>
      <c r="D3563" s="9">
        <v>4.0</v>
      </c>
      <c r="E3563" s="67">
        <f t="shared" si="11"/>
        <v>1000</v>
      </c>
      <c r="F3563" s="67" t="str">
        <f t="shared" si="12"/>
        <v>4 LeadGen Set Appointments</v>
      </c>
    </row>
    <row r="3564" hidden="1">
      <c r="A3564" s="6" t="s">
        <v>50</v>
      </c>
      <c r="B3564" s="8" t="s">
        <v>242</v>
      </c>
      <c r="C3564" s="8" t="s">
        <v>1887</v>
      </c>
      <c r="D3564" s="9">
        <v>4.0</v>
      </c>
      <c r="E3564" s="67">
        <f t="shared" si="11"/>
        <v>1000</v>
      </c>
      <c r="F3564" s="67" t="str">
        <f t="shared" si="12"/>
        <v>4 LeadGen Set Appointments</v>
      </c>
    </row>
    <row r="3565" hidden="1">
      <c r="A3565" s="6" t="s">
        <v>50</v>
      </c>
      <c r="B3565" s="8" t="s">
        <v>1708</v>
      </c>
      <c r="C3565" s="8" t="s">
        <v>1709</v>
      </c>
      <c r="D3565" s="9">
        <v>4.0</v>
      </c>
      <c r="E3565" s="67">
        <f t="shared" si="11"/>
        <v>1000</v>
      </c>
      <c r="F3565" s="67" t="str">
        <f t="shared" si="12"/>
        <v>4 LeadGen Set Appointments</v>
      </c>
    </row>
    <row r="3566" hidden="1">
      <c r="A3566" s="6" t="s">
        <v>50</v>
      </c>
      <c r="B3566" s="8" t="s">
        <v>1935</v>
      </c>
      <c r="C3566" s="8" t="s">
        <v>1936</v>
      </c>
      <c r="D3566" s="9">
        <v>4.0</v>
      </c>
      <c r="E3566" s="67">
        <f t="shared" si="11"/>
        <v>1000</v>
      </c>
      <c r="F3566" s="67" t="str">
        <f t="shared" si="12"/>
        <v>4 LeadGen Set Appointments</v>
      </c>
    </row>
    <row r="3567" hidden="1">
      <c r="A3567" s="6" t="s">
        <v>50</v>
      </c>
      <c r="B3567" s="8" t="s">
        <v>1674</v>
      </c>
      <c r="C3567" s="8" t="s">
        <v>1675</v>
      </c>
      <c r="D3567" s="9">
        <v>4.0</v>
      </c>
      <c r="E3567" s="67">
        <f t="shared" si="11"/>
        <v>1000</v>
      </c>
      <c r="F3567" s="67" t="str">
        <f t="shared" si="12"/>
        <v>4 LeadGen Set Appointments</v>
      </c>
    </row>
    <row r="3568" hidden="1">
      <c r="A3568" s="6" t="s">
        <v>50</v>
      </c>
      <c r="B3568" s="8" t="s">
        <v>624</v>
      </c>
      <c r="C3568" s="8" t="s">
        <v>625</v>
      </c>
      <c r="D3568" s="9">
        <v>4.0</v>
      </c>
      <c r="E3568" s="67">
        <f t="shared" si="11"/>
        <v>1000</v>
      </c>
      <c r="F3568" s="67" t="str">
        <f t="shared" si="12"/>
        <v>4 LeadGen Set Appointments</v>
      </c>
    </row>
    <row r="3569" hidden="1">
      <c r="A3569" s="6" t="s">
        <v>50</v>
      </c>
      <c r="B3569" s="8" t="s">
        <v>701</v>
      </c>
      <c r="C3569" s="8" t="s">
        <v>702</v>
      </c>
      <c r="D3569" s="9">
        <v>4.0</v>
      </c>
      <c r="E3569" s="67">
        <f t="shared" si="11"/>
        <v>1000</v>
      </c>
      <c r="F3569" s="67" t="str">
        <f t="shared" si="12"/>
        <v>4 LeadGen Set Appointments</v>
      </c>
    </row>
    <row r="3570" hidden="1">
      <c r="A3570" s="6" t="s">
        <v>50</v>
      </c>
      <c r="B3570" s="8" t="s">
        <v>1481</v>
      </c>
      <c r="C3570" s="8" t="s">
        <v>1482</v>
      </c>
      <c r="D3570" s="9">
        <v>4.0</v>
      </c>
      <c r="E3570" s="67">
        <f t="shared" si="11"/>
        <v>1000</v>
      </c>
      <c r="F3570" s="67" t="str">
        <f t="shared" si="12"/>
        <v>4 LeadGen Set Appointments</v>
      </c>
    </row>
    <row r="3571" hidden="1">
      <c r="A3571" s="6" t="s">
        <v>50</v>
      </c>
      <c r="B3571" s="8" t="s">
        <v>622</v>
      </c>
      <c r="C3571" s="8" t="s">
        <v>623</v>
      </c>
      <c r="D3571" s="9">
        <v>4.0</v>
      </c>
      <c r="E3571" s="67">
        <f t="shared" si="11"/>
        <v>1000</v>
      </c>
      <c r="F3571" s="67" t="str">
        <f t="shared" si="12"/>
        <v>4 LeadGen Set Appointments</v>
      </c>
    </row>
    <row r="3572" hidden="1">
      <c r="A3572" s="6" t="s">
        <v>50</v>
      </c>
      <c r="B3572" s="8" t="s">
        <v>1929</v>
      </c>
      <c r="C3572" s="8" t="s">
        <v>1930</v>
      </c>
      <c r="D3572" s="9">
        <v>4.0</v>
      </c>
      <c r="E3572" s="67">
        <f t="shared" si="11"/>
        <v>1000</v>
      </c>
      <c r="F3572" s="67" t="str">
        <f t="shared" si="12"/>
        <v>4 LeadGen Set Appointments</v>
      </c>
    </row>
    <row r="3573" hidden="1">
      <c r="A3573" s="6" t="s">
        <v>50</v>
      </c>
      <c r="B3573" s="8" t="s">
        <v>1933</v>
      </c>
      <c r="C3573" s="8" t="s">
        <v>1934</v>
      </c>
      <c r="D3573" s="9">
        <v>4.0</v>
      </c>
      <c r="E3573" s="67">
        <f t="shared" si="11"/>
        <v>1000</v>
      </c>
      <c r="F3573" s="67" t="str">
        <f t="shared" si="12"/>
        <v>4 LeadGen Set Appointments</v>
      </c>
    </row>
    <row r="3574" hidden="1">
      <c r="A3574" s="6" t="s">
        <v>50</v>
      </c>
      <c r="B3574" s="8" t="s">
        <v>1283</v>
      </c>
      <c r="C3574" s="8" t="s">
        <v>404</v>
      </c>
      <c r="D3574" s="9">
        <v>4.0</v>
      </c>
      <c r="E3574" s="67">
        <f t="shared" si="11"/>
        <v>1000</v>
      </c>
      <c r="F3574" s="67" t="str">
        <f t="shared" si="12"/>
        <v>4 LeadGen Set Appointments</v>
      </c>
    </row>
    <row r="3575" hidden="1">
      <c r="A3575" s="6" t="s">
        <v>50</v>
      </c>
      <c r="B3575" s="8" t="s">
        <v>435</v>
      </c>
      <c r="C3575" s="8" t="s">
        <v>436</v>
      </c>
      <c r="D3575" s="9">
        <v>4.0</v>
      </c>
      <c r="E3575" s="67">
        <f t="shared" si="11"/>
        <v>1000</v>
      </c>
      <c r="F3575" s="67" t="str">
        <f t="shared" si="12"/>
        <v>4 LeadGen Set Appointments</v>
      </c>
    </row>
    <row r="3576" hidden="1">
      <c r="A3576" s="6" t="s">
        <v>50</v>
      </c>
      <c r="B3576" s="8" t="s">
        <v>1684</v>
      </c>
      <c r="C3576" s="8" t="s">
        <v>1685</v>
      </c>
      <c r="D3576" s="9">
        <v>4.0</v>
      </c>
      <c r="E3576" s="67">
        <f t="shared" si="11"/>
        <v>1000</v>
      </c>
      <c r="F3576" s="67" t="str">
        <f t="shared" si="12"/>
        <v>4 LeadGen Set Appointments</v>
      </c>
    </row>
    <row r="3577" hidden="1">
      <c r="A3577" s="6" t="s">
        <v>50</v>
      </c>
      <c r="B3577" s="8" t="s">
        <v>1682</v>
      </c>
      <c r="C3577" s="8" t="s">
        <v>1683</v>
      </c>
      <c r="D3577" s="9">
        <v>4.0</v>
      </c>
      <c r="E3577" s="67">
        <f t="shared" si="11"/>
        <v>1000</v>
      </c>
      <c r="F3577" s="67" t="str">
        <f t="shared" si="12"/>
        <v>4 LeadGen Set Appointments</v>
      </c>
    </row>
    <row r="3578" hidden="1">
      <c r="A3578" s="6" t="s">
        <v>50</v>
      </c>
      <c r="B3578" s="8" t="s">
        <v>1704</v>
      </c>
      <c r="C3578" s="8" t="s">
        <v>1705</v>
      </c>
      <c r="D3578" s="9">
        <v>3.0</v>
      </c>
      <c r="E3578" s="67">
        <f t="shared" si="11"/>
        <v>750</v>
      </c>
      <c r="F3578" s="67" t="str">
        <f t="shared" si="12"/>
        <v>3 LeadGen Set Appointments</v>
      </c>
    </row>
    <row r="3579" hidden="1">
      <c r="A3579" s="6" t="s">
        <v>50</v>
      </c>
      <c r="B3579" s="8" t="s">
        <v>1774</v>
      </c>
      <c r="C3579" s="8" t="s">
        <v>1775</v>
      </c>
      <c r="D3579" s="9">
        <v>3.0</v>
      </c>
      <c r="E3579" s="67">
        <f t="shared" si="11"/>
        <v>750</v>
      </c>
      <c r="F3579" s="67" t="str">
        <f t="shared" si="12"/>
        <v>3 LeadGen Set Appointments</v>
      </c>
    </row>
    <row r="3580" hidden="1">
      <c r="A3580" s="6" t="s">
        <v>50</v>
      </c>
      <c r="B3580" s="8" t="s">
        <v>1728</v>
      </c>
      <c r="C3580" s="8" t="s">
        <v>1729</v>
      </c>
      <c r="D3580" s="9">
        <v>3.0</v>
      </c>
      <c r="E3580" s="67">
        <f t="shared" si="11"/>
        <v>750</v>
      </c>
      <c r="F3580" s="67" t="str">
        <f t="shared" si="12"/>
        <v>3 LeadGen Set Appointments</v>
      </c>
    </row>
    <row r="3581" hidden="1">
      <c r="A3581" s="6" t="s">
        <v>50</v>
      </c>
      <c r="B3581" s="8" t="s">
        <v>1646</v>
      </c>
      <c r="C3581" s="8" t="s">
        <v>1647</v>
      </c>
      <c r="D3581" s="9">
        <v>3.0</v>
      </c>
      <c r="E3581" s="67">
        <f t="shared" si="11"/>
        <v>750</v>
      </c>
      <c r="F3581" s="67" t="str">
        <f t="shared" si="12"/>
        <v>3 LeadGen Set Appointments</v>
      </c>
    </row>
    <row r="3582" hidden="1">
      <c r="A3582" s="6" t="s">
        <v>50</v>
      </c>
      <c r="B3582" s="8" t="s">
        <v>684</v>
      </c>
      <c r="C3582" s="8" t="s">
        <v>685</v>
      </c>
      <c r="D3582" s="9">
        <v>3.0</v>
      </c>
      <c r="E3582" s="67">
        <f t="shared" si="11"/>
        <v>750</v>
      </c>
      <c r="F3582" s="67" t="str">
        <f t="shared" si="12"/>
        <v>3 LeadGen Set Appointments</v>
      </c>
    </row>
    <row r="3583" hidden="1">
      <c r="A3583" s="6" t="s">
        <v>50</v>
      </c>
      <c r="B3583" s="8" t="s">
        <v>752</v>
      </c>
      <c r="C3583" s="8" t="s">
        <v>753</v>
      </c>
      <c r="D3583" s="9">
        <v>3.0</v>
      </c>
      <c r="E3583" s="67">
        <f t="shared" si="11"/>
        <v>750</v>
      </c>
      <c r="F3583" s="67" t="str">
        <f t="shared" si="12"/>
        <v>3 LeadGen Set Appointments</v>
      </c>
    </row>
    <row r="3584" hidden="1">
      <c r="A3584" s="6" t="s">
        <v>50</v>
      </c>
      <c r="B3584" s="8" t="s">
        <v>1873</v>
      </c>
      <c r="C3584" s="8" t="s">
        <v>1874</v>
      </c>
      <c r="D3584" s="9">
        <v>3.0</v>
      </c>
      <c r="E3584" s="67">
        <f t="shared" si="11"/>
        <v>750</v>
      </c>
      <c r="F3584" s="67" t="str">
        <f t="shared" si="12"/>
        <v>3 LeadGen Set Appointments</v>
      </c>
    </row>
    <row r="3585" hidden="1">
      <c r="A3585" s="6" t="s">
        <v>50</v>
      </c>
      <c r="B3585" s="8" t="s">
        <v>1512</v>
      </c>
      <c r="C3585" s="8" t="s">
        <v>1513</v>
      </c>
      <c r="D3585" s="9">
        <v>3.0</v>
      </c>
      <c r="E3585" s="67">
        <f t="shared" si="11"/>
        <v>750</v>
      </c>
      <c r="F3585" s="67" t="str">
        <f t="shared" si="12"/>
        <v>3 LeadGen Set Appointments</v>
      </c>
    </row>
    <row r="3586" hidden="1">
      <c r="A3586" s="6" t="s">
        <v>50</v>
      </c>
      <c r="B3586" s="8" t="s">
        <v>1653</v>
      </c>
      <c r="C3586" s="8" t="s">
        <v>1654</v>
      </c>
      <c r="D3586" s="9">
        <v>3.0</v>
      </c>
      <c r="E3586" s="67">
        <f t="shared" si="11"/>
        <v>750</v>
      </c>
      <c r="F3586" s="67" t="str">
        <f t="shared" si="12"/>
        <v>3 LeadGen Set Appointments</v>
      </c>
    </row>
    <row r="3587" hidden="1">
      <c r="A3587" s="6" t="s">
        <v>50</v>
      </c>
      <c r="B3587" s="8" t="s">
        <v>693</v>
      </c>
      <c r="C3587" s="8" t="s">
        <v>694</v>
      </c>
      <c r="D3587" s="9">
        <v>3.0</v>
      </c>
      <c r="E3587" s="67">
        <f t="shared" si="11"/>
        <v>750</v>
      </c>
      <c r="F3587" s="67" t="str">
        <f t="shared" si="12"/>
        <v>3 LeadGen Set Appointments</v>
      </c>
    </row>
    <row r="3588" hidden="1">
      <c r="A3588" s="6" t="s">
        <v>50</v>
      </c>
      <c r="B3588" s="8" t="s">
        <v>1931</v>
      </c>
      <c r="C3588" s="8" t="s">
        <v>1932</v>
      </c>
      <c r="D3588" s="9">
        <v>3.0</v>
      </c>
      <c r="E3588" s="67">
        <f t="shared" si="11"/>
        <v>750</v>
      </c>
      <c r="F3588" s="67" t="str">
        <f t="shared" si="12"/>
        <v>3 LeadGen Set Appointments</v>
      </c>
    </row>
    <row r="3589" hidden="1">
      <c r="A3589" s="6" t="s">
        <v>50</v>
      </c>
      <c r="B3589" s="8" t="s">
        <v>1736</v>
      </c>
      <c r="C3589" s="8" t="s">
        <v>1737</v>
      </c>
      <c r="D3589" s="9">
        <v>3.0</v>
      </c>
      <c r="E3589" s="67">
        <f t="shared" si="11"/>
        <v>750</v>
      </c>
      <c r="F3589" s="67" t="str">
        <f t="shared" si="12"/>
        <v>3 LeadGen Set Appointments</v>
      </c>
    </row>
    <row r="3590" hidden="1">
      <c r="A3590" s="6" t="s">
        <v>50</v>
      </c>
      <c r="B3590" s="8" t="s">
        <v>532</v>
      </c>
      <c r="C3590" s="8" t="s">
        <v>533</v>
      </c>
      <c r="D3590" s="9">
        <v>3.0</v>
      </c>
      <c r="E3590" s="67">
        <f t="shared" si="11"/>
        <v>750</v>
      </c>
      <c r="F3590" s="67" t="str">
        <f t="shared" si="12"/>
        <v>3 LeadGen Set Appointments</v>
      </c>
    </row>
    <row r="3591" hidden="1">
      <c r="A3591" s="6" t="s">
        <v>50</v>
      </c>
      <c r="B3591" s="8" t="s">
        <v>1493</v>
      </c>
      <c r="C3591" s="8" t="s">
        <v>1494</v>
      </c>
      <c r="D3591" s="9">
        <v>3.0</v>
      </c>
      <c r="E3591" s="67">
        <f t="shared" si="11"/>
        <v>750</v>
      </c>
      <c r="F3591" s="67" t="str">
        <f t="shared" si="12"/>
        <v>3 LeadGen Set Appointments</v>
      </c>
    </row>
    <row r="3592" hidden="1">
      <c r="A3592" s="6" t="s">
        <v>50</v>
      </c>
      <c r="B3592" s="8" t="s">
        <v>1625</v>
      </c>
      <c r="C3592" s="8" t="s">
        <v>1626</v>
      </c>
      <c r="D3592" s="9">
        <v>3.0</v>
      </c>
      <c r="E3592" s="67">
        <f t="shared" si="11"/>
        <v>750</v>
      </c>
      <c r="F3592" s="67" t="str">
        <f t="shared" si="12"/>
        <v>3 LeadGen Set Appointments</v>
      </c>
    </row>
    <row r="3593" hidden="1">
      <c r="A3593" s="6" t="s">
        <v>50</v>
      </c>
      <c r="B3593" s="8" t="s">
        <v>1716</v>
      </c>
      <c r="C3593" s="8" t="s">
        <v>30</v>
      </c>
      <c r="D3593" s="9">
        <v>3.0</v>
      </c>
      <c r="E3593" s="67">
        <f t="shared" si="11"/>
        <v>750</v>
      </c>
      <c r="F3593" s="67" t="str">
        <f t="shared" si="12"/>
        <v>3 LeadGen Set Appointments</v>
      </c>
    </row>
    <row r="3594" hidden="1">
      <c r="A3594" s="6" t="s">
        <v>50</v>
      </c>
      <c r="B3594" s="8" t="s">
        <v>1569</v>
      </c>
      <c r="C3594" s="8" t="s">
        <v>1570</v>
      </c>
      <c r="D3594" s="9">
        <v>3.0</v>
      </c>
      <c r="E3594" s="67">
        <f t="shared" si="11"/>
        <v>750</v>
      </c>
      <c r="F3594" s="67" t="str">
        <f t="shared" si="12"/>
        <v>3 LeadGen Set Appointments</v>
      </c>
    </row>
    <row r="3595" hidden="1">
      <c r="A3595" s="6" t="s">
        <v>50</v>
      </c>
      <c r="B3595" s="8" t="s">
        <v>1424</v>
      </c>
      <c r="C3595" s="8" t="s">
        <v>1425</v>
      </c>
      <c r="D3595" s="9">
        <v>3.0</v>
      </c>
      <c r="E3595" s="67">
        <f t="shared" si="11"/>
        <v>750</v>
      </c>
      <c r="F3595" s="67" t="str">
        <f t="shared" si="12"/>
        <v>3 LeadGen Set Appointments</v>
      </c>
    </row>
    <row r="3596" hidden="1">
      <c r="A3596" s="6" t="s">
        <v>50</v>
      </c>
      <c r="B3596" s="8" t="s">
        <v>1939</v>
      </c>
      <c r="C3596" s="8" t="s">
        <v>1940</v>
      </c>
      <c r="D3596" s="9">
        <v>3.0</v>
      </c>
      <c r="E3596" s="67">
        <f t="shared" si="11"/>
        <v>750</v>
      </c>
      <c r="F3596" s="67" t="str">
        <f t="shared" si="12"/>
        <v>3 LeadGen Set Appointments</v>
      </c>
    </row>
    <row r="3597" hidden="1">
      <c r="A3597" s="6" t="s">
        <v>50</v>
      </c>
      <c r="B3597" s="8" t="s">
        <v>1465</v>
      </c>
      <c r="C3597" s="8" t="s">
        <v>1466</v>
      </c>
      <c r="D3597" s="9">
        <v>2.0</v>
      </c>
      <c r="E3597" s="67">
        <f t="shared" si="11"/>
        <v>500</v>
      </c>
      <c r="F3597" s="67" t="str">
        <f t="shared" si="12"/>
        <v>2 LeadGen Set Appointments</v>
      </c>
    </row>
    <row r="3598" hidden="1">
      <c r="A3598" s="6" t="s">
        <v>50</v>
      </c>
      <c r="B3598" s="8" t="s">
        <v>1459</v>
      </c>
      <c r="C3598" s="8" t="s">
        <v>1460</v>
      </c>
      <c r="D3598" s="9">
        <v>2.0</v>
      </c>
      <c r="E3598" s="67">
        <f t="shared" si="11"/>
        <v>500</v>
      </c>
      <c r="F3598" s="67" t="str">
        <f t="shared" si="12"/>
        <v>2 LeadGen Set Appointments</v>
      </c>
    </row>
    <row r="3599" hidden="1">
      <c r="A3599" s="6" t="s">
        <v>50</v>
      </c>
      <c r="B3599" s="8" t="s">
        <v>1600</v>
      </c>
      <c r="C3599" s="8" t="s">
        <v>1601</v>
      </c>
      <c r="D3599" s="9">
        <v>2.0</v>
      </c>
      <c r="E3599" s="67">
        <f t="shared" si="11"/>
        <v>500</v>
      </c>
      <c r="F3599" s="67" t="str">
        <f t="shared" si="12"/>
        <v>2 LeadGen Set Appointments</v>
      </c>
    </row>
    <row r="3600" hidden="1">
      <c r="A3600" s="6" t="s">
        <v>50</v>
      </c>
      <c r="B3600" s="8" t="s">
        <v>1579</v>
      </c>
      <c r="C3600" s="8" t="s">
        <v>1580</v>
      </c>
      <c r="D3600" s="9">
        <v>2.0</v>
      </c>
      <c r="E3600" s="67">
        <f t="shared" si="11"/>
        <v>500</v>
      </c>
      <c r="F3600" s="67" t="str">
        <f t="shared" si="12"/>
        <v>2 LeadGen Set Appointments</v>
      </c>
    </row>
    <row r="3601" hidden="1">
      <c r="A3601" s="6" t="s">
        <v>50</v>
      </c>
      <c r="B3601" s="8" t="s">
        <v>560</v>
      </c>
      <c r="C3601" s="8" t="s">
        <v>561</v>
      </c>
      <c r="D3601" s="9">
        <v>2.0</v>
      </c>
      <c r="E3601" s="67">
        <f t="shared" si="11"/>
        <v>500</v>
      </c>
      <c r="F3601" s="67" t="str">
        <f t="shared" si="12"/>
        <v>2 LeadGen Set Appointments</v>
      </c>
    </row>
    <row r="3602" hidden="1">
      <c r="A3602" s="6" t="s">
        <v>50</v>
      </c>
      <c r="B3602" s="8" t="s">
        <v>1475</v>
      </c>
      <c r="C3602" s="8" t="s">
        <v>1476</v>
      </c>
      <c r="D3602" s="9">
        <v>2.0</v>
      </c>
      <c r="E3602" s="67">
        <f t="shared" si="11"/>
        <v>500</v>
      </c>
      <c r="F3602" s="67" t="str">
        <f t="shared" si="12"/>
        <v>2 LeadGen Set Appointments</v>
      </c>
    </row>
    <row r="3603" hidden="1">
      <c r="A3603" s="6" t="s">
        <v>50</v>
      </c>
      <c r="B3603" s="8" t="s">
        <v>1508</v>
      </c>
      <c r="C3603" s="8" t="s">
        <v>1509</v>
      </c>
      <c r="D3603" s="9">
        <v>2.0</v>
      </c>
      <c r="E3603" s="67">
        <f t="shared" si="11"/>
        <v>500</v>
      </c>
      <c r="F3603" s="67" t="str">
        <f t="shared" si="12"/>
        <v>2 LeadGen Set Appointments</v>
      </c>
    </row>
    <row r="3604" hidden="1">
      <c r="A3604" s="6" t="s">
        <v>50</v>
      </c>
      <c r="B3604" s="8" t="s">
        <v>1719</v>
      </c>
      <c r="C3604" s="8" t="s">
        <v>1720</v>
      </c>
      <c r="D3604" s="9">
        <v>2.0</v>
      </c>
      <c r="E3604" s="67">
        <f t="shared" si="11"/>
        <v>500</v>
      </c>
      <c r="F3604" s="67" t="str">
        <f t="shared" si="12"/>
        <v>2 LeadGen Set Appointments</v>
      </c>
    </row>
    <row r="3605" hidden="1">
      <c r="A3605" s="6" t="s">
        <v>50</v>
      </c>
      <c r="B3605" s="8" t="s">
        <v>1937</v>
      </c>
      <c r="C3605" s="8" t="s">
        <v>1938</v>
      </c>
      <c r="D3605" s="9">
        <v>2.0</v>
      </c>
      <c r="E3605" s="67">
        <f t="shared" si="11"/>
        <v>500</v>
      </c>
      <c r="F3605" s="67" t="str">
        <f t="shared" si="12"/>
        <v>2 LeadGen Set Appointments</v>
      </c>
    </row>
    <row r="3606" hidden="1">
      <c r="A3606" s="6" t="s">
        <v>50</v>
      </c>
      <c r="B3606" s="8" t="s">
        <v>1724</v>
      </c>
      <c r="C3606" s="8" t="s">
        <v>1725</v>
      </c>
      <c r="D3606" s="9">
        <v>2.0</v>
      </c>
      <c r="E3606" s="67">
        <f t="shared" si="11"/>
        <v>500</v>
      </c>
      <c r="F3606" s="67" t="str">
        <f t="shared" si="12"/>
        <v>2 LeadGen Set Appointments</v>
      </c>
    </row>
    <row r="3607" hidden="1">
      <c r="A3607" s="6" t="s">
        <v>50</v>
      </c>
      <c r="B3607" s="8" t="s">
        <v>1325</v>
      </c>
      <c r="C3607" s="8" t="s">
        <v>1326</v>
      </c>
      <c r="D3607" s="9">
        <v>2.0</v>
      </c>
      <c r="E3607" s="67">
        <f t="shared" si="11"/>
        <v>500</v>
      </c>
      <c r="F3607" s="67" t="str">
        <f t="shared" si="12"/>
        <v>2 LeadGen Set Appointments</v>
      </c>
    </row>
    <row r="3608" hidden="1">
      <c r="A3608" s="6" t="s">
        <v>50</v>
      </c>
      <c r="B3608" s="8" t="s">
        <v>1563</v>
      </c>
      <c r="C3608" s="8" t="s">
        <v>1564</v>
      </c>
      <c r="D3608" s="9">
        <v>2.0</v>
      </c>
      <c r="E3608" s="67">
        <f t="shared" si="11"/>
        <v>500</v>
      </c>
      <c r="F3608" s="67" t="str">
        <f t="shared" si="12"/>
        <v>2 LeadGen Set Appointments</v>
      </c>
    </row>
    <row r="3609" hidden="1">
      <c r="A3609" s="6" t="s">
        <v>50</v>
      </c>
      <c r="B3609" s="8" t="s">
        <v>518</v>
      </c>
      <c r="C3609" s="8" t="s">
        <v>519</v>
      </c>
      <c r="D3609" s="9">
        <v>2.0</v>
      </c>
      <c r="E3609" s="67">
        <f t="shared" si="11"/>
        <v>500</v>
      </c>
      <c r="F3609" s="67" t="str">
        <f t="shared" si="12"/>
        <v>2 LeadGen Set Appointments</v>
      </c>
    </row>
    <row r="3610" hidden="1">
      <c r="A3610" s="6" t="s">
        <v>50</v>
      </c>
      <c r="B3610" s="8" t="s">
        <v>1955</v>
      </c>
      <c r="C3610" s="8" t="s">
        <v>1956</v>
      </c>
      <c r="D3610" s="9">
        <v>2.0</v>
      </c>
      <c r="E3610" s="67">
        <f t="shared" si="11"/>
        <v>500</v>
      </c>
      <c r="F3610" s="67" t="str">
        <f t="shared" si="12"/>
        <v>2 LeadGen Set Appointments</v>
      </c>
    </row>
    <row r="3611" hidden="1">
      <c r="A3611" s="6" t="s">
        <v>50</v>
      </c>
      <c r="B3611" s="8" t="s">
        <v>596</v>
      </c>
      <c r="C3611" s="8" t="s">
        <v>597</v>
      </c>
      <c r="D3611" s="9">
        <v>1.0</v>
      </c>
      <c r="E3611" s="67">
        <f t="shared" si="11"/>
        <v>250</v>
      </c>
      <c r="F3611" s="67" t="str">
        <f t="shared" si="12"/>
        <v>1 LeadGen Set Appointments</v>
      </c>
    </row>
    <row r="3612" hidden="1">
      <c r="A3612" s="6" t="s">
        <v>50</v>
      </c>
      <c r="B3612" s="8" t="s">
        <v>1895</v>
      </c>
      <c r="C3612" s="8" t="s">
        <v>1896</v>
      </c>
      <c r="D3612" s="9">
        <v>1.0</v>
      </c>
      <c r="E3612" s="67">
        <f t="shared" si="11"/>
        <v>250</v>
      </c>
      <c r="F3612" s="67" t="str">
        <f t="shared" si="12"/>
        <v>1 LeadGen Set Appointments</v>
      </c>
    </row>
    <row r="3613" hidden="1">
      <c r="A3613" s="6" t="s">
        <v>50</v>
      </c>
      <c r="B3613" s="8" t="s">
        <v>1726</v>
      </c>
      <c r="C3613" s="8" t="s">
        <v>1727</v>
      </c>
      <c r="D3613" s="9">
        <v>1.0</v>
      </c>
      <c r="E3613" s="67">
        <f t="shared" si="11"/>
        <v>250</v>
      </c>
      <c r="F3613" s="67" t="str">
        <f t="shared" si="12"/>
        <v>1 LeadGen Set Appointments</v>
      </c>
    </row>
    <row r="3614" hidden="1">
      <c r="A3614" s="6" t="s">
        <v>50</v>
      </c>
      <c r="B3614" s="8" t="s">
        <v>462</v>
      </c>
      <c r="C3614" s="8" t="s">
        <v>463</v>
      </c>
      <c r="D3614" s="9">
        <v>1.0</v>
      </c>
      <c r="E3614" s="67">
        <f t="shared" si="11"/>
        <v>250</v>
      </c>
      <c r="F3614" s="67" t="str">
        <f t="shared" si="12"/>
        <v>1 LeadGen Set Appointments</v>
      </c>
    </row>
    <row r="3615" hidden="1">
      <c r="A3615" s="6" t="s">
        <v>50</v>
      </c>
      <c r="B3615" s="8" t="s">
        <v>1951</v>
      </c>
      <c r="C3615" s="8" t="s">
        <v>1952</v>
      </c>
      <c r="D3615" s="9">
        <v>1.0</v>
      </c>
      <c r="E3615" s="67">
        <f t="shared" si="11"/>
        <v>250</v>
      </c>
      <c r="F3615" s="67" t="str">
        <f t="shared" si="12"/>
        <v>1 LeadGen Set Appointments</v>
      </c>
    </row>
    <row r="3616" hidden="1">
      <c r="A3616" s="6" t="s">
        <v>50</v>
      </c>
      <c r="B3616" s="8" t="s">
        <v>1291</v>
      </c>
      <c r="C3616" s="8" t="s">
        <v>422</v>
      </c>
      <c r="D3616" s="9">
        <v>1.0</v>
      </c>
      <c r="E3616" s="67">
        <f t="shared" si="11"/>
        <v>250</v>
      </c>
      <c r="F3616" s="67" t="str">
        <f t="shared" si="12"/>
        <v>1 LeadGen Set Appointments</v>
      </c>
    </row>
    <row r="3617" hidden="1">
      <c r="A3617" s="6" t="s">
        <v>50</v>
      </c>
      <c r="B3617" s="8" t="s">
        <v>1957</v>
      </c>
      <c r="C3617" s="8" t="s">
        <v>1958</v>
      </c>
      <c r="D3617" s="9">
        <v>1.0</v>
      </c>
      <c r="E3617" s="67">
        <f t="shared" si="11"/>
        <v>250</v>
      </c>
      <c r="F3617" s="67" t="str">
        <f t="shared" si="12"/>
        <v>1 LeadGen Set Appointments</v>
      </c>
    </row>
    <row r="3618" hidden="1">
      <c r="A3618" s="6" t="s">
        <v>50</v>
      </c>
      <c r="B3618" s="8" t="s">
        <v>1213</v>
      </c>
      <c r="C3618" s="8" t="s">
        <v>1959</v>
      </c>
      <c r="D3618" s="9">
        <v>1.0</v>
      </c>
      <c r="E3618" s="67">
        <f t="shared" si="11"/>
        <v>250</v>
      </c>
      <c r="F3618" s="67" t="str">
        <f t="shared" si="12"/>
        <v>1 LeadGen Set Appointments</v>
      </c>
    </row>
    <row r="3619" hidden="1">
      <c r="A3619" s="6" t="s">
        <v>50</v>
      </c>
      <c r="B3619" s="8" t="s">
        <v>1842</v>
      </c>
      <c r="C3619" s="8" t="s">
        <v>1843</v>
      </c>
      <c r="D3619" s="9">
        <v>1.0</v>
      </c>
      <c r="E3619" s="67">
        <f t="shared" si="11"/>
        <v>250</v>
      </c>
      <c r="F3619" s="67" t="str">
        <f t="shared" si="12"/>
        <v>1 LeadGen Set Appointments</v>
      </c>
    </row>
    <row r="3620" hidden="1">
      <c r="A3620" s="6" t="s">
        <v>50</v>
      </c>
      <c r="B3620" s="8" t="s">
        <v>582</v>
      </c>
      <c r="C3620" s="8" t="s">
        <v>583</v>
      </c>
      <c r="D3620" s="9">
        <v>1.0</v>
      </c>
      <c r="E3620" s="67">
        <f t="shared" si="11"/>
        <v>250</v>
      </c>
      <c r="F3620" s="67" t="str">
        <f t="shared" si="12"/>
        <v>1 LeadGen Set Appointments</v>
      </c>
    </row>
    <row r="3621" hidden="1">
      <c r="A3621" s="6" t="s">
        <v>50</v>
      </c>
      <c r="B3621" s="8" t="s">
        <v>1227</v>
      </c>
      <c r="C3621" s="8" t="s">
        <v>1228</v>
      </c>
      <c r="D3621" s="9">
        <v>1.0</v>
      </c>
      <c r="E3621" s="67">
        <f t="shared" si="11"/>
        <v>250</v>
      </c>
      <c r="F3621" s="67" t="str">
        <f t="shared" si="12"/>
        <v>1 LeadGen Set Appointments</v>
      </c>
    </row>
    <row r="3622" hidden="1">
      <c r="A3622" s="6" t="s">
        <v>50</v>
      </c>
      <c r="B3622" s="8" t="s">
        <v>1557</v>
      </c>
      <c r="C3622" s="8" t="s">
        <v>1558</v>
      </c>
      <c r="D3622" s="9">
        <v>1.0</v>
      </c>
      <c r="E3622" s="67">
        <f t="shared" si="11"/>
        <v>250</v>
      </c>
      <c r="F3622" s="67" t="str">
        <f t="shared" si="12"/>
        <v>1 LeadGen Set Appointments</v>
      </c>
    </row>
    <row r="3623" hidden="1">
      <c r="A3623" s="6" t="s">
        <v>50</v>
      </c>
      <c r="B3623" s="8" t="s">
        <v>1960</v>
      </c>
      <c r="C3623" s="8" t="s">
        <v>1961</v>
      </c>
      <c r="D3623" s="9">
        <v>1.0</v>
      </c>
      <c r="E3623" s="67">
        <f t="shared" si="11"/>
        <v>250</v>
      </c>
      <c r="F3623" s="67" t="str">
        <f t="shared" si="12"/>
        <v>1 LeadGen Set Appointments</v>
      </c>
    </row>
    <row r="3624" hidden="1">
      <c r="A3624" s="6" t="s">
        <v>50</v>
      </c>
      <c r="B3624" s="8" t="s">
        <v>1567</v>
      </c>
      <c r="C3624" s="8" t="s">
        <v>1568</v>
      </c>
      <c r="D3624" s="9">
        <v>1.0</v>
      </c>
      <c r="E3624" s="67">
        <f t="shared" si="11"/>
        <v>250</v>
      </c>
      <c r="F3624" s="67" t="str">
        <f t="shared" si="12"/>
        <v>1 LeadGen Set Appointments</v>
      </c>
    </row>
    <row r="3625" hidden="1">
      <c r="A3625" s="6" t="s">
        <v>50</v>
      </c>
      <c r="B3625" s="8" t="s">
        <v>1909</v>
      </c>
      <c r="C3625" s="8" t="s">
        <v>1910</v>
      </c>
      <c r="D3625" s="9">
        <v>1.0</v>
      </c>
      <c r="E3625" s="67">
        <f t="shared" si="11"/>
        <v>250</v>
      </c>
      <c r="F3625" s="67" t="str">
        <f t="shared" si="12"/>
        <v>1 LeadGen Set Appointments</v>
      </c>
    </row>
    <row r="3626" hidden="1">
      <c r="A3626" s="6" t="s">
        <v>50</v>
      </c>
      <c r="B3626" s="8" t="s">
        <v>1962</v>
      </c>
      <c r="C3626" s="8" t="s">
        <v>1963</v>
      </c>
      <c r="D3626" s="9">
        <v>1.0</v>
      </c>
      <c r="E3626" s="67">
        <f t="shared" si="11"/>
        <v>250</v>
      </c>
      <c r="F3626" s="67" t="str">
        <f t="shared" si="12"/>
        <v>1 LeadGen Set Appointments</v>
      </c>
    </row>
    <row r="3627" hidden="1">
      <c r="A3627" s="6" t="s">
        <v>50</v>
      </c>
      <c r="B3627" s="8" t="s">
        <v>1964</v>
      </c>
      <c r="C3627" s="8" t="s">
        <v>1965</v>
      </c>
      <c r="D3627" s="9">
        <v>1.0</v>
      </c>
      <c r="E3627" s="67">
        <f t="shared" si="11"/>
        <v>250</v>
      </c>
      <c r="F3627" s="67" t="str">
        <f t="shared" si="12"/>
        <v>1 LeadGen Set Appointments</v>
      </c>
    </row>
    <row r="3628" hidden="1">
      <c r="A3628" s="6" t="s">
        <v>50</v>
      </c>
      <c r="B3628" s="8" t="s">
        <v>1941</v>
      </c>
      <c r="C3628" s="8" t="s">
        <v>1942</v>
      </c>
      <c r="D3628" s="9">
        <v>1.0</v>
      </c>
      <c r="E3628" s="67">
        <f t="shared" si="11"/>
        <v>250</v>
      </c>
      <c r="F3628" s="67" t="str">
        <f t="shared" si="12"/>
        <v>1 LeadGen Set Appointments</v>
      </c>
    </row>
    <row r="3629" hidden="1">
      <c r="A3629" s="6" t="s">
        <v>50</v>
      </c>
      <c r="B3629" s="8" t="s">
        <v>1945</v>
      </c>
      <c r="C3629" s="8" t="s">
        <v>1946</v>
      </c>
      <c r="D3629" s="9">
        <v>1.0</v>
      </c>
      <c r="E3629" s="67">
        <f t="shared" si="11"/>
        <v>250</v>
      </c>
      <c r="F3629" s="67" t="str">
        <f t="shared" si="12"/>
        <v>1 LeadGen Set Appointments</v>
      </c>
    </row>
    <row r="3630" hidden="1">
      <c r="A3630" s="6" t="s">
        <v>50</v>
      </c>
      <c r="B3630" s="8" t="s">
        <v>618</v>
      </c>
      <c r="C3630" s="8" t="s">
        <v>619</v>
      </c>
      <c r="D3630" s="9">
        <v>9.0</v>
      </c>
      <c r="E3630" s="67">
        <f t="shared" si="11"/>
        <v>2250</v>
      </c>
      <c r="F3630" s="67" t="str">
        <f t="shared" si="12"/>
        <v>9 LeadGen Set Appointments</v>
      </c>
    </row>
    <row r="3631" hidden="1">
      <c r="A3631" s="6" t="s">
        <v>50</v>
      </c>
      <c r="B3631" s="8" t="s">
        <v>1479</v>
      </c>
      <c r="C3631" s="8" t="s">
        <v>1480</v>
      </c>
      <c r="D3631" s="9">
        <v>7.0</v>
      </c>
      <c r="E3631" s="67">
        <f t="shared" si="11"/>
        <v>1750</v>
      </c>
      <c r="F3631" s="67" t="str">
        <f t="shared" si="12"/>
        <v>7 LeadGen Set Appointments</v>
      </c>
    </row>
    <row r="3632" hidden="1">
      <c r="A3632" s="6" t="s">
        <v>50</v>
      </c>
      <c r="B3632" s="8" t="s">
        <v>1712</v>
      </c>
      <c r="C3632" s="8" t="s">
        <v>1713</v>
      </c>
      <c r="D3632" s="9">
        <v>7.0</v>
      </c>
      <c r="E3632" s="67">
        <f t="shared" si="11"/>
        <v>1750</v>
      </c>
      <c r="F3632" s="67" t="str">
        <f t="shared" si="12"/>
        <v>7 LeadGen Set Appointments</v>
      </c>
    </row>
    <row r="3633" hidden="1">
      <c r="A3633" s="6" t="s">
        <v>50</v>
      </c>
      <c r="B3633" s="8" t="s">
        <v>1953</v>
      </c>
      <c r="C3633" s="8" t="s">
        <v>1954</v>
      </c>
      <c r="D3633" s="9">
        <v>6.0</v>
      </c>
      <c r="E3633" s="67">
        <f t="shared" si="11"/>
        <v>1500</v>
      </c>
      <c r="F3633" s="67" t="str">
        <f t="shared" si="12"/>
        <v>6 LeadGen Set Appointments</v>
      </c>
    </row>
    <row r="3634" hidden="1">
      <c r="A3634" s="6" t="s">
        <v>50</v>
      </c>
      <c r="B3634" s="8" t="s">
        <v>1966</v>
      </c>
      <c r="C3634" s="8" t="s">
        <v>1967</v>
      </c>
      <c r="D3634" s="9">
        <v>6.0</v>
      </c>
      <c r="E3634" s="67">
        <f t="shared" si="11"/>
        <v>1500</v>
      </c>
      <c r="F3634" s="67" t="str">
        <f t="shared" si="12"/>
        <v>6 LeadGen Set Appointments</v>
      </c>
    </row>
    <row r="3635" hidden="1">
      <c r="A3635" s="6" t="s">
        <v>50</v>
      </c>
      <c r="B3635" s="8" t="s">
        <v>1499</v>
      </c>
      <c r="C3635" s="8" t="s">
        <v>1500</v>
      </c>
      <c r="D3635" s="9">
        <v>6.0</v>
      </c>
      <c r="E3635" s="67">
        <f t="shared" si="11"/>
        <v>1500</v>
      </c>
      <c r="F3635" s="67" t="str">
        <f t="shared" si="12"/>
        <v>6 LeadGen Set Appointments</v>
      </c>
    </row>
    <row r="3636" hidden="1">
      <c r="A3636" s="6" t="s">
        <v>50</v>
      </c>
      <c r="B3636" s="8" t="s">
        <v>1761</v>
      </c>
      <c r="C3636" s="8" t="s">
        <v>1762</v>
      </c>
      <c r="D3636" s="9">
        <v>5.0</v>
      </c>
      <c r="E3636" s="67">
        <f t="shared" si="11"/>
        <v>1250</v>
      </c>
      <c r="F3636" s="67" t="str">
        <f t="shared" si="12"/>
        <v>5 LeadGen Set Appointments</v>
      </c>
    </row>
    <row r="3637" hidden="1">
      <c r="A3637" s="6" t="s">
        <v>50</v>
      </c>
      <c r="B3637" s="8" t="s">
        <v>1881</v>
      </c>
      <c r="C3637" s="8" t="s">
        <v>1882</v>
      </c>
      <c r="D3637" s="9">
        <v>5.0</v>
      </c>
      <c r="E3637" s="67">
        <f t="shared" si="11"/>
        <v>1250</v>
      </c>
      <c r="F3637" s="67" t="str">
        <f t="shared" si="12"/>
        <v>5 LeadGen Set Appointments</v>
      </c>
    </row>
    <row r="3638" hidden="1">
      <c r="A3638" s="6" t="s">
        <v>50</v>
      </c>
      <c r="B3638" s="8" t="s">
        <v>1585</v>
      </c>
      <c r="C3638" s="8" t="s">
        <v>1586</v>
      </c>
      <c r="D3638" s="9">
        <v>5.0</v>
      </c>
      <c r="E3638" s="67">
        <f t="shared" si="11"/>
        <v>1250</v>
      </c>
      <c r="F3638" s="67" t="str">
        <f t="shared" si="12"/>
        <v>5 LeadGen Set Appointments</v>
      </c>
    </row>
    <row r="3639" hidden="1">
      <c r="A3639" s="6" t="s">
        <v>50</v>
      </c>
      <c r="B3639" s="8" t="s">
        <v>1968</v>
      </c>
      <c r="C3639" s="8" t="s">
        <v>895</v>
      </c>
      <c r="D3639" s="9">
        <v>5.0</v>
      </c>
      <c r="E3639" s="67">
        <f t="shared" si="11"/>
        <v>1250</v>
      </c>
      <c r="F3639" s="67" t="str">
        <f t="shared" si="12"/>
        <v>5 LeadGen Set Appointments</v>
      </c>
    </row>
    <row r="3640" hidden="1">
      <c r="A3640" s="6" t="s">
        <v>50</v>
      </c>
      <c r="B3640" s="8" t="s">
        <v>825</v>
      </c>
      <c r="C3640" s="8" t="s">
        <v>1766</v>
      </c>
      <c r="D3640" s="9">
        <v>5.0</v>
      </c>
      <c r="E3640" s="67">
        <f t="shared" si="11"/>
        <v>1250</v>
      </c>
      <c r="F3640" s="67" t="str">
        <f t="shared" si="12"/>
        <v>5 LeadGen Set Appointments</v>
      </c>
    </row>
    <row r="3641" hidden="1">
      <c r="A3641" s="6" t="s">
        <v>50</v>
      </c>
      <c r="B3641" s="8" t="s">
        <v>1237</v>
      </c>
      <c r="C3641" s="8" t="s">
        <v>1238</v>
      </c>
      <c r="D3641" s="9">
        <v>5.0</v>
      </c>
      <c r="E3641" s="67">
        <f t="shared" si="11"/>
        <v>1250</v>
      </c>
      <c r="F3641" s="67" t="str">
        <f t="shared" si="12"/>
        <v>5 LeadGen Set Appointments</v>
      </c>
    </row>
    <row r="3642" hidden="1">
      <c r="A3642" s="6" t="s">
        <v>50</v>
      </c>
      <c r="B3642" s="8" t="s">
        <v>1690</v>
      </c>
      <c r="C3642" s="8" t="s">
        <v>1691</v>
      </c>
      <c r="D3642" s="9">
        <v>5.0</v>
      </c>
      <c r="E3642" s="67">
        <f t="shared" si="11"/>
        <v>1250</v>
      </c>
      <c r="F3642" s="67" t="str">
        <f t="shared" si="12"/>
        <v>5 LeadGen Set Appointments</v>
      </c>
    </row>
    <row r="3643" hidden="1">
      <c r="A3643" s="6" t="s">
        <v>50</v>
      </c>
      <c r="B3643" s="8" t="s">
        <v>1926</v>
      </c>
      <c r="C3643" s="8" t="s">
        <v>34</v>
      </c>
      <c r="D3643" s="9">
        <v>5.0</v>
      </c>
      <c r="E3643" s="67">
        <f t="shared" si="11"/>
        <v>1250</v>
      </c>
      <c r="F3643" s="67" t="str">
        <f t="shared" si="12"/>
        <v>5 LeadGen Set Appointments</v>
      </c>
    </row>
    <row r="3644" hidden="1">
      <c r="A3644" s="6" t="s">
        <v>50</v>
      </c>
      <c r="B3644" s="8" t="s">
        <v>1457</v>
      </c>
      <c r="C3644" s="8" t="s">
        <v>1458</v>
      </c>
      <c r="D3644" s="9">
        <v>5.0</v>
      </c>
      <c r="E3644" s="67">
        <f t="shared" si="11"/>
        <v>1250</v>
      </c>
      <c r="F3644" s="67" t="str">
        <f t="shared" si="12"/>
        <v>5 LeadGen Set Appointments</v>
      </c>
    </row>
    <row r="3645" hidden="1">
      <c r="A3645" s="6" t="s">
        <v>50</v>
      </c>
      <c r="B3645" s="8" t="s">
        <v>1698</v>
      </c>
      <c r="C3645" s="8" t="s">
        <v>1699</v>
      </c>
      <c r="D3645" s="9">
        <v>4.0</v>
      </c>
      <c r="E3645" s="67">
        <f t="shared" si="11"/>
        <v>1000</v>
      </c>
      <c r="F3645" s="67" t="str">
        <f t="shared" si="12"/>
        <v>4 LeadGen Set Appointments</v>
      </c>
    </row>
    <row r="3646" hidden="1">
      <c r="A3646" s="6" t="s">
        <v>50</v>
      </c>
      <c r="B3646" s="8" t="s">
        <v>1763</v>
      </c>
      <c r="C3646" s="8" t="s">
        <v>653</v>
      </c>
      <c r="D3646" s="9">
        <v>4.0</v>
      </c>
      <c r="E3646" s="67">
        <f t="shared" si="11"/>
        <v>1000</v>
      </c>
      <c r="F3646" s="67" t="str">
        <f t="shared" si="12"/>
        <v>4 LeadGen Set Appointments</v>
      </c>
    </row>
    <row r="3647" hidden="1">
      <c r="A3647" s="6" t="s">
        <v>50</v>
      </c>
      <c r="B3647" s="8" t="s">
        <v>1768</v>
      </c>
      <c r="C3647" s="8" t="s">
        <v>1769</v>
      </c>
      <c r="D3647" s="9">
        <v>4.0</v>
      </c>
      <c r="E3647" s="67">
        <f t="shared" si="11"/>
        <v>1000</v>
      </c>
      <c r="F3647" s="67" t="str">
        <f t="shared" si="12"/>
        <v>4 LeadGen Set Appointments</v>
      </c>
    </row>
    <row r="3648" hidden="1">
      <c r="A3648" s="6" t="s">
        <v>50</v>
      </c>
      <c r="B3648" s="8" t="s">
        <v>1969</v>
      </c>
      <c r="C3648" s="8" t="s">
        <v>1970</v>
      </c>
      <c r="D3648" s="9">
        <v>4.0</v>
      </c>
      <c r="E3648" s="67">
        <f t="shared" si="11"/>
        <v>1000</v>
      </c>
      <c r="F3648" s="67" t="str">
        <f t="shared" si="12"/>
        <v>4 LeadGen Set Appointments</v>
      </c>
    </row>
    <row r="3649" hidden="1">
      <c r="A3649" s="6" t="s">
        <v>50</v>
      </c>
      <c r="B3649" s="8" t="s">
        <v>234</v>
      </c>
      <c r="C3649" s="8" t="s">
        <v>1922</v>
      </c>
      <c r="D3649" s="9">
        <v>4.0</v>
      </c>
      <c r="E3649" s="67">
        <f t="shared" si="11"/>
        <v>1000</v>
      </c>
      <c r="F3649" s="67" t="str">
        <f t="shared" si="12"/>
        <v>4 LeadGen Set Appointments</v>
      </c>
    </row>
    <row r="3650" hidden="1">
      <c r="A3650" s="6" t="s">
        <v>50</v>
      </c>
      <c r="B3650" s="8" t="s">
        <v>1883</v>
      </c>
      <c r="C3650" s="8" t="s">
        <v>1884</v>
      </c>
      <c r="D3650" s="9">
        <v>4.0</v>
      </c>
      <c r="E3650" s="67">
        <f t="shared" si="11"/>
        <v>1000</v>
      </c>
      <c r="F3650" s="67" t="str">
        <f t="shared" si="12"/>
        <v>4 LeadGen Set Appointments</v>
      </c>
    </row>
    <row r="3651" hidden="1">
      <c r="A3651" s="6" t="s">
        <v>50</v>
      </c>
      <c r="B3651" s="8" t="s">
        <v>1971</v>
      </c>
      <c r="C3651" s="8" t="s">
        <v>1972</v>
      </c>
      <c r="D3651" s="9">
        <v>4.0</v>
      </c>
      <c r="E3651" s="67">
        <f t="shared" si="11"/>
        <v>1000</v>
      </c>
      <c r="F3651" s="67" t="str">
        <f t="shared" si="12"/>
        <v>4 LeadGen Set Appointments</v>
      </c>
    </row>
    <row r="3652" hidden="1">
      <c r="A3652" s="6" t="s">
        <v>50</v>
      </c>
      <c r="B3652" s="8" t="s">
        <v>1694</v>
      </c>
      <c r="C3652" s="8" t="s">
        <v>1695</v>
      </c>
      <c r="D3652" s="9">
        <v>3.0</v>
      </c>
      <c r="E3652" s="67">
        <f t="shared" si="11"/>
        <v>750</v>
      </c>
      <c r="F3652" s="67" t="str">
        <f t="shared" si="12"/>
        <v>3 LeadGen Set Appointments</v>
      </c>
    </row>
    <row r="3653" hidden="1">
      <c r="A3653" s="6" t="s">
        <v>50</v>
      </c>
      <c r="B3653" s="8" t="s">
        <v>1863</v>
      </c>
      <c r="C3653" s="8" t="s">
        <v>1864</v>
      </c>
      <c r="D3653" s="9">
        <v>3.0</v>
      </c>
      <c r="E3653" s="67">
        <f t="shared" si="11"/>
        <v>750</v>
      </c>
      <c r="F3653" s="67" t="str">
        <f t="shared" si="12"/>
        <v>3 LeadGen Set Appointments</v>
      </c>
    </row>
    <row r="3654" hidden="1">
      <c r="A3654" s="6" t="s">
        <v>50</v>
      </c>
      <c r="B3654" s="8" t="s">
        <v>1973</v>
      </c>
      <c r="C3654" s="8" t="s">
        <v>1974</v>
      </c>
      <c r="D3654" s="9">
        <v>3.0</v>
      </c>
      <c r="E3654" s="67">
        <f t="shared" si="11"/>
        <v>750</v>
      </c>
      <c r="F3654" s="67" t="str">
        <f t="shared" si="12"/>
        <v>3 LeadGen Set Appointments</v>
      </c>
    </row>
    <row r="3655" hidden="1">
      <c r="A3655" s="6" t="s">
        <v>50</v>
      </c>
      <c r="B3655" s="8" t="s">
        <v>246</v>
      </c>
      <c r="C3655" s="8" t="s">
        <v>1889</v>
      </c>
      <c r="D3655" s="9">
        <v>3.0</v>
      </c>
      <c r="E3655" s="67">
        <f t="shared" si="11"/>
        <v>750</v>
      </c>
      <c r="F3655" s="67" t="str">
        <f t="shared" si="12"/>
        <v>3 LeadGen Set Appointments</v>
      </c>
    </row>
    <row r="3656" hidden="1">
      <c r="A3656" s="6" t="s">
        <v>50</v>
      </c>
      <c r="B3656" s="8" t="s">
        <v>1921</v>
      </c>
      <c r="C3656" s="8" t="s">
        <v>33</v>
      </c>
      <c r="D3656" s="9">
        <v>3.0</v>
      </c>
      <c r="E3656" s="67">
        <f t="shared" si="11"/>
        <v>750</v>
      </c>
      <c r="F3656" s="67" t="str">
        <f t="shared" si="12"/>
        <v>3 LeadGen Set Appointments</v>
      </c>
    </row>
    <row r="3657" hidden="1">
      <c r="A3657" s="6" t="s">
        <v>50</v>
      </c>
      <c r="B3657" s="8" t="s">
        <v>974</v>
      </c>
      <c r="C3657" s="8" t="s">
        <v>975</v>
      </c>
      <c r="D3657" s="9">
        <v>3.0</v>
      </c>
      <c r="E3657" s="67">
        <f t="shared" si="11"/>
        <v>750</v>
      </c>
      <c r="F3657" s="67" t="str">
        <f t="shared" si="12"/>
        <v>3 LeadGen Set Appointments</v>
      </c>
    </row>
    <row r="3658" hidden="1">
      <c r="A3658" s="6" t="s">
        <v>50</v>
      </c>
      <c r="B3658" s="8" t="s">
        <v>805</v>
      </c>
      <c r="C3658" s="8" t="s">
        <v>806</v>
      </c>
      <c r="D3658" s="9">
        <v>3.0</v>
      </c>
      <c r="E3658" s="67">
        <f t="shared" si="11"/>
        <v>750</v>
      </c>
      <c r="F3658" s="67" t="str">
        <f t="shared" si="12"/>
        <v>3 LeadGen Set Appointments</v>
      </c>
    </row>
    <row r="3659" hidden="1">
      <c r="A3659" s="6" t="s">
        <v>50</v>
      </c>
      <c r="B3659" s="8" t="s">
        <v>1767</v>
      </c>
      <c r="C3659" s="8" t="s">
        <v>521</v>
      </c>
      <c r="D3659" s="9">
        <v>3.0</v>
      </c>
      <c r="E3659" s="67">
        <f t="shared" si="11"/>
        <v>750</v>
      </c>
      <c r="F3659" s="67" t="str">
        <f t="shared" si="12"/>
        <v>3 LeadGen Set Appointments</v>
      </c>
    </row>
    <row r="3660" hidden="1">
      <c r="A3660" s="6" t="s">
        <v>50</v>
      </c>
      <c r="B3660" s="8" t="s">
        <v>1949</v>
      </c>
      <c r="C3660" s="8" t="s">
        <v>1950</v>
      </c>
      <c r="D3660" s="9">
        <v>3.0</v>
      </c>
      <c r="E3660" s="67">
        <f t="shared" si="11"/>
        <v>750</v>
      </c>
      <c r="F3660" s="67" t="str">
        <f t="shared" si="12"/>
        <v>3 LeadGen Set Appointments</v>
      </c>
    </row>
    <row r="3661" hidden="1">
      <c r="A3661" s="6" t="s">
        <v>50</v>
      </c>
      <c r="B3661" s="8" t="s">
        <v>1975</v>
      </c>
      <c r="C3661" s="8" t="s">
        <v>1976</v>
      </c>
      <c r="D3661" s="9">
        <v>3.0</v>
      </c>
      <c r="E3661" s="67">
        <f t="shared" si="11"/>
        <v>750</v>
      </c>
      <c r="F3661" s="67" t="str">
        <f t="shared" si="12"/>
        <v>3 LeadGen Set Appointments</v>
      </c>
    </row>
    <row r="3662" hidden="1">
      <c r="A3662" s="6" t="s">
        <v>50</v>
      </c>
      <c r="B3662" s="8" t="s">
        <v>1925</v>
      </c>
      <c r="C3662" s="8" t="s">
        <v>35</v>
      </c>
      <c r="D3662" s="9">
        <v>3.0</v>
      </c>
      <c r="E3662" s="67">
        <f t="shared" si="11"/>
        <v>750</v>
      </c>
      <c r="F3662" s="67" t="str">
        <f t="shared" si="12"/>
        <v>3 LeadGen Set Appointments</v>
      </c>
    </row>
    <row r="3663" hidden="1">
      <c r="A3663" s="6" t="s">
        <v>50</v>
      </c>
      <c r="B3663" s="8" t="s">
        <v>1977</v>
      </c>
      <c r="C3663" s="8" t="s">
        <v>1978</v>
      </c>
      <c r="D3663" s="9">
        <v>3.0</v>
      </c>
      <c r="E3663" s="67">
        <f t="shared" si="11"/>
        <v>750</v>
      </c>
      <c r="F3663" s="67" t="str">
        <f t="shared" si="12"/>
        <v>3 LeadGen Set Appointments</v>
      </c>
    </row>
    <row r="3664" hidden="1">
      <c r="A3664" s="6" t="s">
        <v>50</v>
      </c>
      <c r="B3664" s="8" t="s">
        <v>1821</v>
      </c>
      <c r="C3664" s="8" t="s">
        <v>1822</v>
      </c>
      <c r="D3664" s="9">
        <v>3.0</v>
      </c>
      <c r="E3664" s="67">
        <f t="shared" si="11"/>
        <v>750</v>
      </c>
      <c r="F3664" s="67" t="str">
        <f t="shared" si="12"/>
        <v>3 LeadGen Set Appointments</v>
      </c>
    </row>
    <row r="3665" hidden="1">
      <c r="A3665" s="6" t="s">
        <v>50</v>
      </c>
      <c r="B3665" s="8" t="s">
        <v>1714</v>
      </c>
      <c r="C3665" s="8" t="s">
        <v>1715</v>
      </c>
      <c r="D3665" s="9">
        <v>2.0</v>
      </c>
      <c r="E3665" s="67">
        <f t="shared" si="11"/>
        <v>500</v>
      </c>
      <c r="F3665" s="67" t="str">
        <f t="shared" si="12"/>
        <v>2 LeadGen Set Appointments</v>
      </c>
    </row>
    <row r="3666" hidden="1">
      <c r="A3666" s="6" t="s">
        <v>50</v>
      </c>
      <c r="B3666" s="8" t="s">
        <v>1819</v>
      </c>
      <c r="C3666" s="8" t="s">
        <v>1820</v>
      </c>
      <c r="D3666" s="9">
        <v>2.0</v>
      </c>
      <c r="E3666" s="67">
        <f t="shared" si="11"/>
        <v>500</v>
      </c>
      <c r="F3666" s="67" t="str">
        <f t="shared" si="12"/>
        <v>2 LeadGen Set Appointments</v>
      </c>
    </row>
    <row r="3667" hidden="1">
      <c r="A3667" s="6" t="s">
        <v>50</v>
      </c>
      <c r="B3667" s="8" t="s">
        <v>1979</v>
      </c>
      <c r="C3667" s="8" t="s">
        <v>1980</v>
      </c>
      <c r="D3667" s="9">
        <v>2.0</v>
      </c>
      <c r="E3667" s="67">
        <f t="shared" si="11"/>
        <v>500</v>
      </c>
      <c r="F3667" s="67" t="str">
        <f t="shared" si="12"/>
        <v>2 LeadGen Set Appointments</v>
      </c>
    </row>
    <row r="3668" hidden="1">
      <c r="A3668" s="6" t="s">
        <v>50</v>
      </c>
      <c r="B3668" s="8" t="s">
        <v>1919</v>
      </c>
      <c r="C3668" s="8" t="s">
        <v>1920</v>
      </c>
      <c r="D3668" s="9">
        <v>2.0</v>
      </c>
      <c r="E3668" s="67">
        <f t="shared" si="11"/>
        <v>500</v>
      </c>
      <c r="F3668" s="67" t="str">
        <f t="shared" si="12"/>
        <v>2 LeadGen Set Appointments</v>
      </c>
    </row>
    <row r="3669" hidden="1">
      <c r="A3669" s="6" t="s">
        <v>50</v>
      </c>
      <c r="B3669" s="8" t="s">
        <v>1981</v>
      </c>
      <c r="C3669" s="8" t="s">
        <v>1982</v>
      </c>
      <c r="D3669" s="9">
        <v>2.0</v>
      </c>
      <c r="E3669" s="67">
        <f t="shared" si="11"/>
        <v>500</v>
      </c>
      <c r="F3669" s="67" t="str">
        <f t="shared" si="12"/>
        <v>2 LeadGen Set Appointments</v>
      </c>
    </row>
    <row r="3670" hidden="1">
      <c r="A3670" s="6" t="s">
        <v>50</v>
      </c>
      <c r="B3670" s="8" t="s">
        <v>1506</v>
      </c>
      <c r="C3670" s="8" t="s">
        <v>1507</v>
      </c>
      <c r="D3670" s="9">
        <v>2.0</v>
      </c>
      <c r="E3670" s="67">
        <f t="shared" si="11"/>
        <v>500</v>
      </c>
      <c r="F3670" s="67" t="str">
        <f t="shared" si="12"/>
        <v>2 LeadGen Set Appointments</v>
      </c>
    </row>
    <row r="3671" hidden="1">
      <c r="A3671" s="6" t="s">
        <v>50</v>
      </c>
      <c r="B3671" s="8" t="s">
        <v>1692</v>
      </c>
      <c r="C3671" s="8" t="s">
        <v>1693</v>
      </c>
      <c r="D3671" s="9">
        <v>2.0</v>
      </c>
      <c r="E3671" s="67">
        <f t="shared" si="11"/>
        <v>500</v>
      </c>
      <c r="F3671" s="67" t="str">
        <f t="shared" si="12"/>
        <v>2 LeadGen Set Appointments</v>
      </c>
    </row>
    <row r="3672" hidden="1">
      <c r="A3672" s="6" t="s">
        <v>50</v>
      </c>
      <c r="B3672" s="8" t="s">
        <v>1067</v>
      </c>
      <c r="C3672" s="8" t="s">
        <v>1068</v>
      </c>
      <c r="D3672" s="9">
        <v>2.0</v>
      </c>
      <c r="E3672" s="67">
        <f t="shared" si="11"/>
        <v>500</v>
      </c>
      <c r="F3672" s="67" t="str">
        <f t="shared" si="12"/>
        <v>2 LeadGen Set Appointments</v>
      </c>
    </row>
    <row r="3673" hidden="1">
      <c r="A3673" s="6" t="s">
        <v>50</v>
      </c>
      <c r="B3673" s="8" t="s">
        <v>1301</v>
      </c>
      <c r="C3673" s="8" t="s">
        <v>1620</v>
      </c>
      <c r="D3673" s="9">
        <v>2.0</v>
      </c>
      <c r="E3673" s="67">
        <f t="shared" si="11"/>
        <v>500</v>
      </c>
      <c r="F3673" s="67" t="str">
        <f t="shared" si="12"/>
        <v>2 LeadGen Set Appointments</v>
      </c>
    </row>
    <row r="3674" hidden="1">
      <c r="A3674" s="6" t="s">
        <v>50</v>
      </c>
      <c r="B3674" s="8" t="s">
        <v>656</v>
      </c>
      <c r="C3674" s="8" t="s">
        <v>657</v>
      </c>
      <c r="D3674" s="9">
        <v>2.0</v>
      </c>
      <c r="E3674" s="67">
        <f t="shared" si="11"/>
        <v>500</v>
      </c>
      <c r="F3674" s="67" t="str">
        <f t="shared" si="12"/>
        <v>2 LeadGen Set Appointments</v>
      </c>
    </row>
    <row r="3675" hidden="1">
      <c r="A3675" s="6" t="s">
        <v>50</v>
      </c>
      <c r="B3675" s="8" t="s">
        <v>1591</v>
      </c>
      <c r="C3675" s="8" t="s">
        <v>836</v>
      </c>
      <c r="D3675" s="9">
        <v>2.0</v>
      </c>
      <c r="E3675" s="67">
        <f t="shared" si="11"/>
        <v>500</v>
      </c>
      <c r="F3675" s="67" t="str">
        <f t="shared" si="12"/>
        <v>2 LeadGen Set Appointments</v>
      </c>
    </row>
    <row r="3676" hidden="1">
      <c r="A3676" s="6" t="s">
        <v>50</v>
      </c>
      <c r="B3676" s="8" t="s">
        <v>1983</v>
      </c>
      <c r="C3676" s="8" t="s">
        <v>1984</v>
      </c>
      <c r="D3676" s="9">
        <v>2.0</v>
      </c>
      <c r="E3676" s="67">
        <f t="shared" si="11"/>
        <v>500</v>
      </c>
      <c r="F3676" s="67" t="str">
        <f t="shared" si="12"/>
        <v>2 LeadGen Set Appointments</v>
      </c>
    </row>
    <row r="3677" hidden="1">
      <c r="A3677" s="6" t="s">
        <v>50</v>
      </c>
      <c r="B3677" s="8" t="s">
        <v>1793</v>
      </c>
      <c r="C3677" s="8" t="s">
        <v>1794</v>
      </c>
      <c r="D3677" s="9">
        <v>2.0</v>
      </c>
      <c r="E3677" s="67">
        <f t="shared" si="11"/>
        <v>500</v>
      </c>
      <c r="F3677" s="67" t="str">
        <f t="shared" si="12"/>
        <v>2 LeadGen Set Appointments</v>
      </c>
    </row>
    <row r="3678" hidden="1">
      <c r="A3678" s="6" t="s">
        <v>50</v>
      </c>
      <c r="B3678" s="8" t="s">
        <v>1947</v>
      </c>
      <c r="C3678" s="8" t="s">
        <v>1948</v>
      </c>
      <c r="D3678" s="9">
        <v>2.0</v>
      </c>
      <c r="E3678" s="67">
        <f t="shared" si="11"/>
        <v>500</v>
      </c>
      <c r="F3678" s="67" t="str">
        <f t="shared" si="12"/>
        <v>2 LeadGen Set Appointments</v>
      </c>
    </row>
    <row r="3679" hidden="1">
      <c r="A3679" s="6" t="s">
        <v>50</v>
      </c>
      <c r="B3679" s="8" t="s">
        <v>1686</v>
      </c>
      <c r="C3679" s="8" t="s">
        <v>1687</v>
      </c>
      <c r="D3679" s="9">
        <v>2.0</v>
      </c>
      <c r="E3679" s="67">
        <f t="shared" si="11"/>
        <v>500</v>
      </c>
      <c r="F3679" s="67" t="str">
        <f t="shared" si="12"/>
        <v>2 LeadGen Set Appointments</v>
      </c>
    </row>
    <row r="3680" hidden="1">
      <c r="A3680" s="6" t="s">
        <v>50</v>
      </c>
      <c r="B3680" s="8" t="s">
        <v>650</v>
      </c>
      <c r="C3680" s="8" t="s">
        <v>651</v>
      </c>
      <c r="D3680" s="9">
        <v>1.0</v>
      </c>
      <c r="E3680" s="67">
        <f t="shared" si="11"/>
        <v>250</v>
      </c>
      <c r="F3680" s="67" t="str">
        <f t="shared" si="12"/>
        <v>1 LeadGen Set Appointments</v>
      </c>
    </row>
    <row r="3681" hidden="1">
      <c r="A3681" s="6" t="s">
        <v>50</v>
      </c>
      <c r="B3681" s="8" t="s">
        <v>1356</v>
      </c>
      <c r="C3681" s="8" t="s">
        <v>1985</v>
      </c>
      <c r="D3681" s="9">
        <v>1.0</v>
      </c>
      <c r="E3681" s="67">
        <f t="shared" si="11"/>
        <v>250</v>
      </c>
      <c r="F3681" s="67" t="str">
        <f t="shared" si="12"/>
        <v>1 LeadGen Set Appointments</v>
      </c>
    </row>
    <row r="3682" hidden="1">
      <c r="A3682" s="6" t="s">
        <v>50</v>
      </c>
      <c r="B3682" s="8" t="s">
        <v>1917</v>
      </c>
      <c r="C3682" s="8" t="s">
        <v>1918</v>
      </c>
      <c r="D3682" s="9">
        <v>1.0</v>
      </c>
      <c r="E3682" s="67">
        <f t="shared" si="11"/>
        <v>250</v>
      </c>
      <c r="F3682" s="67" t="str">
        <f t="shared" si="12"/>
        <v>1 LeadGen Set Appointments</v>
      </c>
    </row>
    <row r="3683" hidden="1">
      <c r="A3683" s="6" t="s">
        <v>50</v>
      </c>
      <c r="B3683" s="8" t="s">
        <v>1986</v>
      </c>
      <c r="C3683" s="8" t="s">
        <v>1987</v>
      </c>
      <c r="D3683" s="9">
        <v>1.0</v>
      </c>
      <c r="E3683" s="67">
        <f t="shared" si="11"/>
        <v>250</v>
      </c>
      <c r="F3683" s="67" t="str">
        <f t="shared" si="12"/>
        <v>1 LeadGen Set Appointments</v>
      </c>
    </row>
    <row r="3684" hidden="1">
      <c r="A3684" s="6" t="s">
        <v>50</v>
      </c>
      <c r="B3684" s="8" t="s">
        <v>1702</v>
      </c>
      <c r="C3684" s="8" t="s">
        <v>1703</v>
      </c>
      <c r="D3684" s="9">
        <v>1.0</v>
      </c>
      <c r="E3684" s="67">
        <f t="shared" si="11"/>
        <v>250</v>
      </c>
      <c r="F3684" s="67" t="str">
        <f t="shared" si="12"/>
        <v>1 LeadGen Set Appointments</v>
      </c>
    </row>
    <row r="3685" hidden="1">
      <c r="A3685" s="6" t="s">
        <v>50</v>
      </c>
      <c r="B3685" s="8" t="s">
        <v>1988</v>
      </c>
      <c r="C3685" s="8" t="s">
        <v>1989</v>
      </c>
      <c r="D3685" s="9">
        <v>1.0</v>
      </c>
      <c r="E3685" s="67">
        <f t="shared" si="11"/>
        <v>250</v>
      </c>
      <c r="F3685" s="67" t="str">
        <f t="shared" si="12"/>
        <v>1 LeadGen Set Appointments</v>
      </c>
    </row>
    <row r="3686" hidden="1">
      <c r="A3686" s="6" t="s">
        <v>50</v>
      </c>
      <c r="B3686" s="8" t="s">
        <v>1764</v>
      </c>
      <c r="C3686" s="8" t="s">
        <v>1765</v>
      </c>
      <c r="D3686" s="9">
        <v>1.0</v>
      </c>
      <c r="E3686" s="67">
        <f t="shared" si="11"/>
        <v>250</v>
      </c>
      <c r="F3686" s="67" t="str">
        <f t="shared" si="12"/>
        <v>1 LeadGen Set Appointments</v>
      </c>
    </row>
    <row r="3687" hidden="1">
      <c r="A3687" s="6" t="s">
        <v>50</v>
      </c>
      <c r="B3687" s="8" t="s">
        <v>1990</v>
      </c>
      <c r="C3687" s="8" t="s">
        <v>1991</v>
      </c>
      <c r="D3687" s="9">
        <v>1.0</v>
      </c>
      <c r="E3687" s="67">
        <f t="shared" si="11"/>
        <v>250</v>
      </c>
      <c r="F3687" s="67" t="str">
        <f t="shared" si="12"/>
        <v>1 LeadGen Set Appointments</v>
      </c>
    </row>
    <row r="3688" hidden="1">
      <c r="A3688" s="6" t="s">
        <v>50</v>
      </c>
      <c r="B3688" s="8" t="s">
        <v>564</v>
      </c>
      <c r="C3688" s="8" t="s">
        <v>565</v>
      </c>
      <c r="D3688" s="9">
        <v>1.0</v>
      </c>
      <c r="E3688" s="67">
        <f t="shared" si="11"/>
        <v>250</v>
      </c>
      <c r="F3688" s="67" t="str">
        <f t="shared" si="12"/>
        <v>1 LeadGen Set Appointments</v>
      </c>
    </row>
    <row r="3689" hidden="1">
      <c r="A3689" s="6" t="s">
        <v>50</v>
      </c>
      <c r="B3689" s="8" t="s">
        <v>1526</v>
      </c>
      <c r="C3689" s="8" t="s">
        <v>1527</v>
      </c>
      <c r="D3689" s="9">
        <v>1.0</v>
      </c>
      <c r="E3689" s="67">
        <f t="shared" si="11"/>
        <v>250</v>
      </c>
      <c r="F3689" s="67" t="str">
        <f t="shared" si="12"/>
        <v>1 LeadGen Set Appointments</v>
      </c>
    </row>
    <row r="3690" hidden="1">
      <c r="A3690" s="6" t="s">
        <v>50</v>
      </c>
      <c r="B3690" s="8" t="s">
        <v>1923</v>
      </c>
      <c r="C3690" s="8" t="s">
        <v>1924</v>
      </c>
      <c r="D3690" s="9">
        <v>1.0</v>
      </c>
      <c r="E3690" s="67">
        <f t="shared" si="11"/>
        <v>250</v>
      </c>
      <c r="F3690" s="67" t="str">
        <f t="shared" si="12"/>
        <v>1 LeadGen Set Appointments</v>
      </c>
    </row>
    <row r="3691" hidden="1">
      <c r="A3691" s="6" t="s">
        <v>50</v>
      </c>
      <c r="B3691" s="8" t="s">
        <v>1992</v>
      </c>
      <c r="C3691" s="8" t="s">
        <v>1993</v>
      </c>
      <c r="D3691" s="9">
        <v>1.0</v>
      </c>
      <c r="E3691" s="67">
        <f t="shared" si="11"/>
        <v>250</v>
      </c>
      <c r="F3691" s="67" t="str">
        <f t="shared" si="12"/>
        <v>1 LeadGen Set Appointments</v>
      </c>
    </row>
    <row r="3692" hidden="1">
      <c r="A3692" s="6" t="s">
        <v>50</v>
      </c>
      <c r="B3692" s="8" t="s">
        <v>1994</v>
      </c>
      <c r="C3692" s="8" t="s">
        <v>1995</v>
      </c>
      <c r="D3692" s="9">
        <v>1.0</v>
      </c>
      <c r="E3692" s="67">
        <f t="shared" si="11"/>
        <v>250</v>
      </c>
      <c r="F3692" s="67" t="str">
        <f t="shared" si="12"/>
        <v>1 LeadGen Set Appointments</v>
      </c>
    </row>
    <row r="3693" hidden="1">
      <c r="A3693" s="6" t="s">
        <v>50</v>
      </c>
      <c r="B3693" s="8" t="s">
        <v>1996</v>
      </c>
      <c r="C3693" s="8" t="s">
        <v>1997</v>
      </c>
      <c r="D3693" s="9">
        <v>1.0</v>
      </c>
      <c r="E3693" s="67">
        <f t="shared" si="11"/>
        <v>250</v>
      </c>
      <c r="F3693" s="67" t="str">
        <f t="shared" si="12"/>
        <v>1 LeadGen Set Appointments</v>
      </c>
    </row>
    <row r="3694" hidden="1">
      <c r="A3694" s="6" t="s">
        <v>50</v>
      </c>
      <c r="B3694" s="8" t="s">
        <v>1191</v>
      </c>
      <c r="C3694" s="8" t="s">
        <v>1192</v>
      </c>
      <c r="D3694" s="9">
        <v>1.0</v>
      </c>
      <c r="E3694" s="67">
        <f t="shared" si="11"/>
        <v>250</v>
      </c>
      <c r="F3694" s="67" t="str">
        <f t="shared" si="12"/>
        <v>1 LeadGen Set Appointments</v>
      </c>
    </row>
    <row r="3695" hidden="1">
      <c r="A3695" s="6" t="s">
        <v>50</v>
      </c>
      <c r="B3695" s="8" t="s">
        <v>1998</v>
      </c>
      <c r="C3695" s="8" t="s">
        <v>1999</v>
      </c>
      <c r="D3695" s="9">
        <v>3.0</v>
      </c>
      <c r="E3695" s="67">
        <f t="shared" si="11"/>
        <v>750</v>
      </c>
      <c r="F3695" s="67" t="str">
        <f t="shared" si="12"/>
        <v>3 LeadGen Set Appointments</v>
      </c>
    </row>
    <row r="3696" hidden="1">
      <c r="A3696" s="6" t="s">
        <v>52</v>
      </c>
      <c r="B3696" s="13" t="s">
        <v>476</v>
      </c>
      <c r="C3696" s="13" t="s">
        <v>477</v>
      </c>
      <c r="D3696" s="15">
        <v>25.0</v>
      </c>
      <c r="E3696" s="67">
        <f t="shared" si="11"/>
        <v>12500</v>
      </c>
      <c r="F3696" s="62" t="str">
        <f t="shared" si="12"/>
        <v>25 LeadGen Set Appointments</v>
      </c>
    </row>
    <row r="3697" hidden="1">
      <c r="A3697" s="6" t="s">
        <v>52</v>
      </c>
      <c r="B3697" s="13" t="s">
        <v>644</v>
      </c>
      <c r="C3697" s="13" t="s">
        <v>645</v>
      </c>
      <c r="D3697" s="15">
        <v>18.0</v>
      </c>
      <c r="E3697" s="67">
        <f t="shared" si="11"/>
        <v>9000</v>
      </c>
      <c r="F3697" s="62" t="str">
        <f t="shared" si="12"/>
        <v>18 LeadGen Set Appointments</v>
      </c>
    </row>
    <row r="3698" hidden="1">
      <c r="A3698" s="6" t="s">
        <v>52</v>
      </c>
      <c r="B3698" s="13" t="s">
        <v>1865</v>
      </c>
      <c r="C3698" s="13" t="s">
        <v>1866</v>
      </c>
      <c r="D3698" s="15">
        <v>15.0</v>
      </c>
      <c r="E3698" s="67">
        <f t="shared" si="11"/>
        <v>7500</v>
      </c>
      <c r="F3698" s="62" t="str">
        <f t="shared" si="12"/>
        <v>15 LeadGen Set Appointments</v>
      </c>
    </row>
    <row r="3699" hidden="1">
      <c r="A3699" s="6" t="s">
        <v>52</v>
      </c>
      <c r="B3699" s="13" t="s">
        <v>1489</v>
      </c>
      <c r="C3699" s="13" t="s">
        <v>1490</v>
      </c>
      <c r="D3699" s="15">
        <v>14.0</v>
      </c>
      <c r="E3699" s="67">
        <f t="shared" si="11"/>
        <v>7000</v>
      </c>
      <c r="F3699" s="62" t="str">
        <f t="shared" si="12"/>
        <v>14 LeadGen Set Appointments</v>
      </c>
    </row>
    <row r="3700" hidden="1">
      <c r="A3700" s="6" t="s">
        <v>52</v>
      </c>
      <c r="B3700" s="13" t="s">
        <v>435</v>
      </c>
      <c r="C3700" s="13" t="s">
        <v>436</v>
      </c>
      <c r="D3700" s="15">
        <v>14.0</v>
      </c>
      <c r="E3700" s="67">
        <f t="shared" si="11"/>
        <v>7000</v>
      </c>
      <c r="F3700" s="62" t="str">
        <f t="shared" si="12"/>
        <v>14 LeadGen Set Appointments</v>
      </c>
    </row>
    <row r="3701" hidden="1">
      <c r="A3701" s="6" t="s">
        <v>52</v>
      </c>
      <c r="B3701" s="13" t="s">
        <v>1471</v>
      </c>
      <c r="C3701" s="13" t="s">
        <v>1472</v>
      </c>
      <c r="D3701" s="15">
        <v>14.0</v>
      </c>
      <c r="E3701" s="67">
        <f t="shared" si="11"/>
        <v>7000</v>
      </c>
      <c r="F3701" s="62" t="str">
        <f t="shared" si="12"/>
        <v>14 LeadGen Set Appointments</v>
      </c>
    </row>
    <row r="3702" hidden="1">
      <c r="A3702" s="6" t="s">
        <v>52</v>
      </c>
      <c r="B3702" s="13" t="s">
        <v>699</v>
      </c>
      <c r="C3702" s="13" t="s">
        <v>700</v>
      </c>
      <c r="D3702" s="15">
        <v>13.0</v>
      </c>
      <c r="E3702" s="67">
        <f t="shared" si="11"/>
        <v>6500</v>
      </c>
      <c r="F3702" s="62" t="str">
        <f t="shared" si="12"/>
        <v>13 LeadGen Set Appointments</v>
      </c>
    </row>
    <row r="3703" hidden="1">
      <c r="A3703" s="6" t="s">
        <v>52</v>
      </c>
      <c r="B3703" s="13" t="s">
        <v>411</v>
      </c>
      <c r="C3703" s="13" t="s">
        <v>412</v>
      </c>
      <c r="D3703" s="15">
        <v>13.0</v>
      </c>
      <c r="E3703" s="67">
        <f t="shared" si="11"/>
        <v>6500</v>
      </c>
      <c r="F3703" s="62" t="str">
        <f t="shared" si="12"/>
        <v>13 LeadGen Set Appointments</v>
      </c>
    </row>
    <row r="3704" hidden="1">
      <c r="A3704" s="6" t="s">
        <v>52</v>
      </c>
      <c r="B3704" s="13" t="s">
        <v>640</v>
      </c>
      <c r="C3704" s="13" t="s">
        <v>641</v>
      </c>
      <c r="D3704" s="15">
        <v>12.0</v>
      </c>
      <c r="E3704" s="67">
        <f t="shared" si="11"/>
        <v>6000</v>
      </c>
      <c r="F3704" s="62" t="str">
        <f t="shared" si="12"/>
        <v>12 LeadGen Set Appointments</v>
      </c>
    </row>
    <row r="3705" hidden="1">
      <c r="A3705" s="6" t="s">
        <v>52</v>
      </c>
      <c r="B3705" s="8" t="s">
        <v>1025</v>
      </c>
      <c r="C3705" s="8" t="s">
        <v>1026</v>
      </c>
      <c r="D3705" s="9">
        <v>12.0</v>
      </c>
      <c r="E3705" s="67">
        <f t="shared" si="11"/>
        <v>6000</v>
      </c>
      <c r="F3705" s="67" t="str">
        <f t="shared" si="12"/>
        <v>12 LeadGen Set Appointments</v>
      </c>
    </row>
    <row r="3706" hidden="1">
      <c r="A3706" s="6" t="s">
        <v>52</v>
      </c>
      <c r="B3706" s="13" t="s">
        <v>502</v>
      </c>
      <c r="C3706" s="13" t="s">
        <v>503</v>
      </c>
      <c r="D3706" s="15">
        <v>11.0</v>
      </c>
      <c r="E3706" s="67">
        <f t="shared" si="11"/>
        <v>5500</v>
      </c>
      <c r="F3706" s="62" t="str">
        <f t="shared" si="12"/>
        <v>11 LeadGen Set Appointments</v>
      </c>
    </row>
    <row r="3707" hidden="1">
      <c r="A3707" s="6" t="s">
        <v>52</v>
      </c>
      <c r="B3707" s="13" t="s">
        <v>723</v>
      </c>
      <c r="C3707" s="13" t="s">
        <v>724</v>
      </c>
      <c r="D3707" s="15">
        <v>10.0</v>
      </c>
      <c r="E3707" s="67">
        <f t="shared" si="11"/>
        <v>5000</v>
      </c>
      <c r="F3707" s="62" t="str">
        <f t="shared" si="12"/>
        <v>10 LeadGen Set Appointments</v>
      </c>
    </row>
    <row r="3708" hidden="1">
      <c r="A3708" s="6" t="s">
        <v>52</v>
      </c>
      <c r="B3708" s="13" t="s">
        <v>746</v>
      </c>
      <c r="C3708" s="13" t="s">
        <v>747</v>
      </c>
      <c r="D3708" s="15">
        <v>10.0</v>
      </c>
      <c r="E3708" s="67">
        <f t="shared" si="11"/>
        <v>5000</v>
      </c>
      <c r="F3708" s="62" t="str">
        <f t="shared" si="12"/>
        <v>10 LeadGen Set Appointments</v>
      </c>
    </row>
    <row r="3709" hidden="1">
      <c r="A3709" s="6" t="s">
        <v>52</v>
      </c>
      <c r="B3709" s="13" t="s">
        <v>1927</v>
      </c>
      <c r="C3709" s="13" t="s">
        <v>1928</v>
      </c>
      <c r="D3709" s="15">
        <v>9.0</v>
      </c>
      <c r="E3709" s="67">
        <f t="shared" si="11"/>
        <v>2250</v>
      </c>
      <c r="F3709" s="62" t="str">
        <f t="shared" si="12"/>
        <v>9 LeadGen Set Appointments</v>
      </c>
    </row>
    <row r="3710" hidden="1">
      <c r="A3710" s="6" t="s">
        <v>52</v>
      </c>
      <c r="B3710" s="13" t="s">
        <v>1415</v>
      </c>
      <c r="C3710" s="13" t="s">
        <v>1416</v>
      </c>
      <c r="D3710" s="15">
        <v>9.0</v>
      </c>
      <c r="E3710" s="67">
        <f t="shared" si="11"/>
        <v>2250</v>
      </c>
      <c r="F3710" s="62" t="str">
        <f t="shared" si="12"/>
        <v>9 LeadGen Set Appointments</v>
      </c>
    </row>
    <row r="3711" hidden="1">
      <c r="A3711" s="6" t="s">
        <v>52</v>
      </c>
      <c r="B3711" s="13" t="s">
        <v>1557</v>
      </c>
      <c r="C3711" s="13" t="s">
        <v>1558</v>
      </c>
      <c r="D3711" s="15">
        <v>9.0</v>
      </c>
      <c r="E3711" s="67">
        <f t="shared" si="11"/>
        <v>2250</v>
      </c>
      <c r="F3711" s="62" t="str">
        <f t="shared" si="12"/>
        <v>9 LeadGen Set Appointments</v>
      </c>
    </row>
    <row r="3712" hidden="1">
      <c r="A3712" s="6" t="s">
        <v>52</v>
      </c>
      <c r="B3712" s="13" t="s">
        <v>540</v>
      </c>
      <c r="C3712" s="13" t="s">
        <v>1454</v>
      </c>
      <c r="D3712" s="15">
        <v>9.0</v>
      </c>
      <c r="E3712" s="67">
        <f t="shared" si="11"/>
        <v>2250</v>
      </c>
      <c r="F3712" s="62" t="str">
        <f t="shared" si="12"/>
        <v>9 LeadGen Set Appointments</v>
      </c>
    </row>
    <row r="3713" hidden="1">
      <c r="A3713" s="6" t="s">
        <v>52</v>
      </c>
      <c r="B3713" s="8" t="s">
        <v>1761</v>
      </c>
      <c r="C3713" s="8" t="s">
        <v>1762</v>
      </c>
      <c r="D3713" s="9">
        <v>8.0</v>
      </c>
      <c r="E3713" s="67">
        <f t="shared" si="11"/>
        <v>2000</v>
      </c>
      <c r="F3713" s="67" t="str">
        <f t="shared" si="12"/>
        <v>8 LeadGen Set Appointments</v>
      </c>
    </row>
    <row r="3714" hidden="1">
      <c r="A3714" s="6" t="s">
        <v>52</v>
      </c>
      <c r="B3714" s="8" t="s">
        <v>1996</v>
      </c>
      <c r="C3714" s="8" t="s">
        <v>1997</v>
      </c>
      <c r="D3714" s="9">
        <v>8.0</v>
      </c>
      <c r="E3714" s="67">
        <f t="shared" si="11"/>
        <v>2000</v>
      </c>
      <c r="F3714" s="67" t="str">
        <f t="shared" si="12"/>
        <v>8 LeadGen Set Appointments</v>
      </c>
    </row>
    <row r="3715" hidden="1">
      <c r="A3715" s="6" t="s">
        <v>52</v>
      </c>
      <c r="B3715" s="8" t="s">
        <v>2000</v>
      </c>
      <c r="C3715" s="8" t="s">
        <v>2001</v>
      </c>
      <c r="D3715" s="9">
        <v>8.0</v>
      </c>
      <c r="E3715" s="67">
        <f t="shared" si="11"/>
        <v>2000</v>
      </c>
      <c r="F3715" s="67" t="str">
        <f t="shared" si="12"/>
        <v>8 LeadGen Set Appointments</v>
      </c>
    </row>
    <row r="3716" hidden="1">
      <c r="A3716" s="6" t="s">
        <v>52</v>
      </c>
      <c r="B3716" s="13" t="s">
        <v>1893</v>
      </c>
      <c r="C3716" s="13" t="s">
        <v>1894</v>
      </c>
      <c r="D3716" s="15">
        <v>7.0</v>
      </c>
      <c r="E3716" s="67">
        <f t="shared" si="11"/>
        <v>1750</v>
      </c>
      <c r="F3716" s="62" t="str">
        <f t="shared" si="12"/>
        <v>7 LeadGen Set Appointments</v>
      </c>
    </row>
    <row r="3717" hidden="1">
      <c r="A3717" s="6" t="s">
        <v>52</v>
      </c>
      <c r="B3717" s="13" t="s">
        <v>560</v>
      </c>
      <c r="C3717" s="13" t="s">
        <v>561</v>
      </c>
      <c r="D3717" s="15">
        <v>7.0</v>
      </c>
      <c r="E3717" s="67">
        <f t="shared" si="11"/>
        <v>1750</v>
      </c>
      <c r="F3717" s="62" t="str">
        <f t="shared" si="12"/>
        <v>7 LeadGen Set Appointments</v>
      </c>
    </row>
    <row r="3718" hidden="1">
      <c r="A3718" s="6" t="s">
        <v>52</v>
      </c>
      <c r="B3718" s="13" t="s">
        <v>240</v>
      </c>
      <c r="C3718" s="13" t="s">
        <v>241</v>
      </c>
      <c r="D3718" s="15">
        <v>7.0</v>
      </c>
      <c r="E3718" s="67">
        <f t="shared" si="11"/>
        <v>1750</v>
      </c>
      <c r="F3718" s="62" t="str">
        <f t="shared" si="12"/>
        <v>7 LeadGen Set Appointments</v>
      </c>
    </row>
    <row r="3719" hidden="1">
      <c r="A3719" s="6" t="s">
        <v>52</v>
      </c>
      <c r="B3719" s="13" t="s">
        <v>1334</v>
      </c>
      <c r="C3719" s="13" t="s">
        <v>553</v>
      </c>
      <c r="D3719" s="15">
        <v>7.0</v>
      </c>
      <c r="E3719" s="67">
        <f t="shared" si="11"/>
        <v>1750</v>
      </c>
      <c r="F3719" s="62" t="str">
        <f t="shared" si="12"/>
        <v>7 LeadGen Set Appointments</v>
      </c>
    </row>
    <row r="3720" hidden="1">
      <c r="A3720" s="6" t="s">
        <v>52</v>
      </c>
      <c r="B3720" s="13" t="s">
        <v>1426</v>
      </c>
      <c r="C3720" s="13" t="s">
        <v>1427</v>
      </c>
      <c r="D3720" s="15">
        <v>7.0</v>
      </c>
      <c r="E3720" s="67">
        <f t="shared" si="11"/>
        <v>1750</v>
      </c>
      <c r="F3720" s="62" t="str">
        <f t="shared" si="12"/>
        <v>7 LeadGen Set Appointments</v>
      </c>
    </row>
    <row r="3721" hidden="1">
      <c r="A3721" s="6" t="s">
        <v>52</v>
      </c>
      <c r="B3721" s="13" t="s">
        <v>766</v>
      </c>
      <c r="C3721" s="13" t="s">
        <v>767</v>
      </c>
      <c r="D3721" s="15">
        <v>7.0</v>
      </c>
      <c r="E3721" s="67">
        <f t="shared" si="11"/>
        <v>1750</v>
      </c>
      <c r="F3721" s="62" t="str">
        <f t="shared" si="12"/>
        <v>7 LeadGen Set Appointments</v>
      </c>
    </row>
    <row r="3722" hidden="1">
      <c r="A3722" s="6" t="s">
        <v>52</v>
      </c>
      <c r="B3722" s="8" t="s">
        <v>1953</v>
      </c>
      <c r="C3722" s="8" t="s">
        <v>1954</v>
      </c>
      <c r="D3722" s="9">
        <v>7.0</v>
      </c>
      <c r="E3722" s="67">
        <f t="shared" si="11"/>
        <v>1750</v>
      </c>
      <c r="F3722" s="67" t="str">
        <f t="shared" si="12"/>
        <v>7 LeadGen Set Appointments</v>
      </c>
    </row>
    <row r="3723" hidden="1">
      <c r="A3723" s="6" t="s">
        <v>52</v>
      </c>
      <c r="B3723" s="8" t="s">
        <v>2002</v>
      </c>
      <c r="C3723" s="8" t="s">
        <v>2003</v>
      </c>
      <c r="D3723" s="9">
        <v>7.0</v>
      </c>
      <c r="E3723" s="67">
        <f t="shared" si="11"/>
        <v>1750</v>
      </c>
      <c r="F3723" s="67" t="str">
        <f t="shared" si="12"/>
        <v>7 LeadGen Set Appointments</v>
      </c>
    </row>
    <row r="3724" hidden="1">
      <c r="A3724" s="6" t="s">
        <v>52</v>
      </c>
      <c r="B3724" s="8" t="s">
        <v>2004</v>
      </c>
      <c r="C3724" s="8" t="s">
        <v>2005</v>
      </c>
      <c r="D3724" s="9">
        <v>7.0</v>
      </c>
      <c r="E3724" s="67">
        <f t="shared" si="11"/>
        <v>1750</v>
      </c>
      <c r="F3724" s="67" t="str">
        <f t="shared" si="12"/>
        <v>7 LeadGen Set Appointments</v>
      </c>
    </row>
    <row r="3725" hidden="1">
      <c r="A3725" s="6" t="s">
        <v>52</v>
      </c>
      <c r="B3725" s="8" t="s">
        <v>2006</v>
      </c>
      <c r="C3725" s="8" t="s">
        <v>2007</v>
      </c>
      <c r="D3725" s="9">
        <v>7.0</v>
      </c>
      <c r="E3725" s="67">
        <f t="shared" si="11"/>
        <v>1750</v>
      </c>
      <c r="F3725" s="67" t="str">
        <f t="shared" si="12"/>
        <v>7 LeadGen Set Appointments</v>
      </c>
    </row>
    <row r="3726" hidden="1">
      <c r="A3726" s="6" t="s">
        <v>52</v>
      </c>
      <c r="B3726" s="13" t="s">
        <v>736</v>
      </c>
      <c r="C3726" s="13" t="s">
        <v>737</v>
      </c>
      <c r="D3726" s="15">
        <v>6.0</v>
      </c>
      <c r="E3726" s="67">
        <f t="shared" si="11"/>
        <v>1500</v>
      </c>
      <c r="F3726" s="62" t="str">
        <f t="shared" si="12"/>
        <v>6 LeadGen Set Appointments</v>
      </c>
    </row>
    <row r="3727" hidden="1">
      <c r="A3727" s="6" t="s">
        <v>52</v>
      </c>
      <c r="B3727" s="13" t="s">
        <v>1459</v>
      </c>
      <c r="C3727" s="13" t="s">
        <v>1460</v>
      </c>
      <c r="D3727" s="15">
        <v>6.0</v>
      </c>
      <c r="E3727" s="67">
        <f t="shared" si="11"/>
        <v>1500</v>
      </c>
      <c r="F3727" s="62" t="str">
        <f t="shared" si="12"/>
        <v>6 LeadGen Set Appointments</v>
      </c>
    </row>
    <row r="3728" hidden="1">
      <c r="A3728" s="6" t="s">
        <v>52</v>
      </c>
      <c r="B3728" s="13" t="s">
        <v>628</v>
      </c>
      <c r="C3728" s="13" t="s">
        <v>629</v>
      </c>
      <c r="D3728" s="15">
        <v>6.0</v>
      </c>
      <c r="E3728" s="67">
        <f t="shared" si="11"/>
        <v>1500</v>
      </c>
      <c r="F3728" s="62" t="str">
        <f t="shared" si="12"/>
        <v>6 LeadGen Set Appointments</v>
      </c>
    </row>
    <row r="3729" hidden="1">
      <c r="A3729" s="6" t="s">
        <v>52</v>
      </c>
      <c r="B3729" s="13" t="s">
        <v>1547</v>
      </c>
      <c r="C3729" s="13" t="s">
        <v>1548</v>
      </c>
      <c r="D3729" s="15">
        <v>6.0</v>
      </c>
      <c r="E3729" s="67">
        <f t="shared" si="11"/>
        <v>1500</v>
      </c>
      <c r="F3729" s="62" t="str">
        <f t="shared" si="12"/>
        <v>6 LeadGen Set Appointments</v>
      </c>
    </row>
    <row r="3730" hidden="1">
      <c r="A3730" s="6" t="s">
        <v>52</v>
      </c>
      <c r="B3730" s="13" t="s">
        <v>1491</v>
      </c>
      <c r="C3730" s="13" t="s">
        <v>1492</v>
      </c>
      <c r="D3730" s="15">
        <v>6.0</v>
      </c>
      <c r="E3730" s="67">
        <f t="shared" si="11"/>
        <v>1500</v>
      </c>
      <c r="F3730" s="62" t="str">
        <f t="shared" si="12"/>
        <v>6 LeadGen Set Appointments</v>
      </c>
    </row>
    <row r="3731" hidden="1">
      <c r="A3731" s="6" t="s">
        <v>52</v>
      </c>
      <c r="B3731" s="13" t="s">
        <v>1664</v>
      </c>
      <c r="C3731" s="13" t="s">
        <v>1665</v>
      </c>
      <c r="D3731" s="15">
        <v>6.0</v>
      </c>
      <c r="E3731" s="67">
        <f t="shared" si="11"/>
        <v>1500</v>
      </c>
      <c r="F3731" s="62" t="str">
        <f t="shared" si="12"/>
        <v>6 LeadGen Set Appointments</v>
      </c>
    </row>
    <row r="3732" hidden="1">
      <c r="A3732" s="6" t="s">
        <v>52</v>
      </c>
      <c r="B3732" s="13" t="s">
        <v>1784</v>
      </c>
      <c r="C3732" s="13" t="s">
        <v>1785</v>
      </c>
      <c r="D3732" s="15">
        <v>6.0</v>
      </c>
      <c r="E3732" s="67">
        <f t="shared" si="11"/>
        <v>1500</v>
      </c>
      <c r="F3732" s="62" t="str">
        <f t="shared" si="12"/>
        <v>6 LeadGen Set Appointments</v>
      </c>
    </row>
    <row r="3733" hidden="1">
      <c r="A3733" s="6" t="s">
        <v>52</v>
      </c>
      <c r="B3733" s="13" t="s">
        <v>1825</v>
      </c>
      <c r="C3733" s="13" t="s">
        <v>1826</v>
      </c>
      <c r="D3733" s="15">
        <v>6.0</v>
      </c>
      <c r="E3733" s="67">
        <f t="shared" si="11"/>
        <v>1500</v>
      </c>
      <c r="F3733" s="62" t="str">
        <f t="shared" si="12"/>
        <v>6 LeadGen Set Appointments</v>
      </c>
    </row>
    <row r="3734" hidden="1">
      <c r="A3734" s="6" t="s">
        <v>52</v>
      </c>
      <c r="B3734" s="8" t="s">
        <v>1700</v>
      </c>
      <c r="C3734" s="8" t="s">
        <v>1701</v>
      </c>
      <c r="D3734" s="9">
        <v>6.0</v>
      </c>
      <c r="E3734" s="67">
        <f t="shared" si="11"/>
        <v>1500</v>
      </c>
      <c r="F3734" s="67" t="str">
        <f t="shared" si="12"/>
        <v>6 LeadGen Set Appointments</v>
      </c>
    </row>
    <row r="3735" hidden="1">
      <c r="A3735" s="6" t="s">
        <v>52</v>
      </c>
      <c r="B3735" s="8" t="s">
        <v>1881</v>
      </c>
      <c r="C3735" s="8" t="s">
        <v>1882</v>
      </c>
      <c r="D3735" s="9">
        <v>6.0</v>
      </c>
      <c r="E3735" s="67">
        <f t="shared" si="11"/>
        <v>1500</v>
      </c>
      <c r="F3735" s="67" t="str">
        <f t="shared" si="12"/>
        <v>6 LeadGen Set Appointments</v>
      </c>
    </row>
    <row r="3736" hidden="1">
      <c r="A3736" s="6" t="s">
        <v>52</v>
      </c>
      <c r="B3736" s="8" t="s">
        <v>1479</v>
      </c>
      <c r="C3736" s="8" t="s">
        <v>1480</v>
      </c>
      <c r="D3736" s="9">
        <v>6.0</v>
      </c>
      <c r="E3736" s="67">
        <f t="shared" si="11"/>
        <v>1500</v>
      </c>
      <c r="F3736" s="67" t="str">
        <f t="shared" si="12"/>
        <v>6 LeadGen Set Appointments</v>
      </c>
    </row>
    <row r="3737" hidden="1">
      <c r="A3737" s="6" t="s">
        <v>52</v>
      </c>
      <c r="B3737" s="8" t="s">
        <v>1969</v>
      </c>
      <c r="C3737" s="8" t="s">
        <v>1970</v>
      </c>
      <c r="D3737" s="9">
        <v>6.0</v>
      </c>
      <c r="E3737" s="67">
        <f t="shared" si="11"/>
        <v>1500</v>
      </c>
      <c r="F3737" s="67" t="str">
        <f t="shared" si="12"/>
        <v>6 LeadGen Set Appointments</v>
      </c>
    </row>
    <row r="3738" hidden="1">
      <c r="A3738" s="6" t="s">
        <v>52</v>
      </c>
      <c r="B3738" s="8" t="s">
        <v>1926</v>
      </c>
      <c r="C3738" s="8" t="s">
        <v>34</v>
      </c>
      <c r="D3738" s="9">
        <v>6.0</v>
      </c>
      <c r="E3738" s="67">
        <f t="shared" si="11"/>
        <v>1500</v>
      </c>
      <c r="F3738" s="67" t="str">
        <f t="shared" si="12"/>
        <v>6 LeadGen Set Appointments</v>
      </c>
    </row>
    <row r="3739" hidden="1">
      <c r="A3739" s="6" t="s">
        <v>52</v>
      </c>
      <c r="B3739" s="8" t="s">
        <v>417</v>
      </c>
      <c r="C3739" s="8" t="s">
        <v>418</v>
      </c>
      <c r="D3739" s="9">
        <v>6.0</v>
      </c>
      <c r="E3739" s="67">
        <f t="shared" si="11"/>
        <v>1500</v>
      </c>
      <c r="F3739" s="67" t="str">
        <f t="shared" si="12"/>
        <v>6 LeadGen Set Appointments</v>
      </c>
    </row>
    <row r="3740" hidden="1">
      <c r="A3740" s="6" t="s">
        <v>52</v>
      </c>
      <c r="B3740" s="13" t="s">
        <v>1465</v>
      </c>
      <c r="C3740" s="13" t="s">
        <v>1466</v>
      </c>
      <c r="D3740" s="15">
        <v>5.0</v>
      </c>
      <c r="E3740" s="67">
        <f t="shared" si="11"/>
        <v>1250</v>
      </c>
      <c r="F3740" s="62" t="str">
        <f t="shared" si="12"/>
        <v>5 LeadGen Set Appointments</v>
      </c>
    </row>
    <row r="3741" hidden="1">
      <c r="A3741" s="6" t="s">
        <v>52</v>
      </c>
      <c r="B3741" s="13" t="s">
        <v>546</v>
      </c>
      <c r="C3741" s="13" t="s">
        <v>547</v>
      </c>
      <c r="D3741" s="15">
        <v>5.0</v>
      </c>
      <c r="E3741" s="67">
        <f t="shared" si="11"/>
        <v>1250</v>
      </c>
      <c r="F3741" s="62" t="str">
        <f t="shared" si="12"/>
        <v>5 LeadGen Set Appointments</v>
      </c>
    </row>
    <row r="3742" hidden="1">
      <c r="A3742" s="6" t="s">
        <v>52</v>
      </c>
      <c r="B3742" s="13" t="s">
        <v>752</v>
      </c>
      <c r="C3742" s="13" t="s">
        <v>753</v>
      </c>
      <c r="D3742" s="15">
        <v>5.0</v>
      </c>
      <c r="E3742" s="67">
        <f t="shared" si="11"/>
        <v>1250</v>
      </c>
      <c r="F3742" s="62" t="str">
        <f t="shared" si="12"/>
        <v>5 LeadGen Set Appointments</v>
      </c>
    </row>
    <row r="3743" hidden="1">
      <c r="A3743" s="6" t="s">
        <v>52</v>
      </c>
      <c r="B3743" s="13" t="s">
        <v>1461</v>
      </c>
      <c r="C3743" s="13" t="s">
        <v>1462</v>
      </c>
      <c r="D3743" s="15">
        <v>5.0</v>
      </c>
      <c r="E3743" s="67">
        <f t="shared" si="11"/>
        <v>1250</v>
      </c>
      <c r="F3743" s="62" t="str">
        <f t="shared" si="12"/>
        <v>5 LeadGen Set Appointments</v>
      </c>
    </row>
    <row r="3744" hidden="1">
      <c r="A3744" s="6" t="s">
        <v>52</v>
      </c>
      <c r="B3744" s="13" t="s">
        <v>1885</v>
      </c>
      <c r="C3744" s="13" t="s">
        <v>1886</v>
      </c>
      <c r="D3744" s="15">
        <v>5.0</v>
      </c>
      <c r="E3744" s="67">
        <f t="shared" si="11"/>
        <v>1250</v>
      </c>
      <c r="F3744" s="62" t="str">
        <f t="shared" si="12"/>
        <v>5 LeadGen Set Appointments</v>
      </c>
    </row>
    <row r="3745" hidden="1">
      <c r="A3745" s="6" t="s">
        <v>52</v>
      </c>
      <c r="B3745" s="13" t="s">
        <v>1510</v>
      </c>
      <c r="C3745" s="13" t="s">
        <v>1511</v>
      </c>
      <c r="D3745" s="15">
        <v>5.0</v>
      </c>
      <c r="E3745" s="67">
        <f t="shared" si="11"/>
        <v>1250</v>
      </c>
      <c r="F3745" s="62" t="str">
        <f t="shared" si="12"/>
        <v>5 LeadGen Set Appointments</v>
      </c>
    </row>
    <row r="3746" hidden="1">
      <c r="A3746" s="6" t="s">
        <v>52</v>
      </c>
      <c r="B3746" s="8" t="s">
        <v>238</v>
      </c>
      <c r="C3746" s="8" t="s">
        <v>1890</v>
      </c>
      <c r="D3746" s="9">
        <v>5.0</v>
      </c>
      <c r="E3746" s="67">
        <f t="shared" si="11"/>
        <v>1250</v>
      </c>
      <c r="F3746" s="67" t="str">
        <f t="shared" si="12"/>
        <v>5 LeadGen Set Appointments</v>
      </c>
    </row>
    <row r="3747" hidden="1">
      <c r="A3747" s="6" t="s">
        <v>52</v>
      </c>
      <c r="B3747" s="8" t="s">
        <v>1512</v>
      </c>
      <c r="C3747" s="8" t="s">
        <v>1513</v>
      </c>
      <c r="D3747" s="9">
        <v>5.0</v>
      </c>
      <c r="E3747" s="67">
        <f t="shared" si="11"/>
        <v>1250</v>
      </c>
      <c r="F3747" s="67" t="str">
        <f t="shared" si="12"/>
        <v>5 LeadGen Set Appointments</v>
      </c>
    </row>
    <row r="3748" hidden="1">
      <c r="A3748" s="6" t="s">
        <v>52</v>
      </c>
      <c r="B3748" s="8" t="s">
        <v>693</v>
      </c>
      <c r="C3748" s="8" t="s">
        <v>694</v>
      </c>
      <c r="D3748" s="9">
        <v>5.0</v>
      </c>
      <c r="E3748" s="67">
        <f t="shared" si="11"/>
        <v>1250</v>
      </c>
      <c r="F3748" s="67" t="str">
        <f t="shared" si="12"/>
        <v>5 LeadGen Set Appointments</v>
      </c>
    </row>
    <row r="3749" hidden="1">
      <c r="A3749" s="6" t="s">
        <v>52</v>
      </c>
      <c r="B3749" s="8" t="s">
        <v>1724</v>
      </c>
      <c r="C3749" s="8" t="s">
        <v>1725</v>
      </c>
      <c r="D3749" s="9">
        <v>5.0</v>
      </c>
      <c r="E3749" s="67">
        <f t="shared" si="11"/>
        <v>1250</v>
      </c>
      <c r="F3749" s="67" t="str">
        <f t="shared" si="12"/>
        <v>5 LeadGen Set Appointments</v>
      </c>
    </row>
    <row r="3750" hidden="1">
      <c r="A3750" s="6" t="s">
        <v>52</v>
      </c>
      <c r="B3750" s="8" t="s">
        <v>1723</v>
      </c>
      <c r="C3750" s="8" t="s">
        <v>32</v>
      </c>
      <c r="D3750" s="9">
        <v>5.0</v>
      </c>
      <c r="E3750" s="67">
        <f t="shared" si="11"/>
        <v>1250</v>
      </c>
      <c r="F3750" s="67" t="str">
        <f t="shared" si="12"/>
        <v>5 LeadGen Set Appointments</v>
      </c>
    </row>
    <row r="3751" hidden="1">
      <c r="A3751" s="6" t="s">
        <v>52</v>
      </c>
      <c r="B3751" s="8" t="s">
        <v>1891</v>
      </c>
      <c r="C3751" s="8" t="s">
        <v>1892</v>
      </c>
      <c r="D3751" s="9">
        <v>5.0</v>
      </c>
      <c r="E3751" s="67">
        <f t="shared" si="11"/>
        <v>1250</v>
      </c>
      <c r="F3751" s="67" t="str">
        <f t="shared" si="12"/>
        <v>5 LeadGen Set Appointments</v>
      </c>
    </row>
    <row r="3752" hidden="1">
      <c r="A3752" s="6" t="s">
        <v>52</v>
      </c>
      <c r="B3752" s="8" t="s">
        <v>1716</v>
      </c>
      <c r="C3752" s="8" t="s">
        <v>30</v>
      </c>
      <c r="D3752" s="9">
        <v>5.0</v>
      </c>
      <c r="E3752" s="67">
        <f t="shared" si="11"/>
        <v>1250</v>
      </c>
      <c r="F3752" s="67" t="str">
        <f t="shared" si="12"/>
        <v>5 LeadGen Set Appointments</v>
      </c>
    </row>
    <row r="3753" hidden="1">
      <c r="A3753" s="6" t="s">
        <v>52</v>
      </c>
      <c r="B3753" s="8" t="s">
        <v>624</v>
      </c>
      <c r="C3753" s="8" t="s">
        <v>625</v>
      </c>
      <c r="D3753" s="9">
        <v>5.0</v>
      </c>
      <c r="E3753" s="67">
        <f t="shared" si="11"/>
        <v>1250</v>
      </c>
      <c r="F3753" s="67" t="str">
        <f t="shared" si="12"/>
        <v>5 LeadGen Set Appointments</v>
      </c>
    </row>
    <row r="3754" hidden="1">
      <c r="A3754" s="6" t="s">
        <v>52</v>
      </c>
      <c r="B3754" s="8" t="s">
        <v>1481</v>
      </c>
      <c r="C3754" s="8" t="s">
        <v>1482</v>
      </c>
      <c r="D3754" s="9">
        <v>5.0</v>
      </c>
      <c r="E3754" s="67">
        <f t="shared" si="11"/>
        <v>1250</v>
      </c>
      <c r="F3754" s="67" t="str">
        <f t="shared" si="12"/>
        <v>5 LeadGen Set Appointments</v>
      </c>
    </row>
    <row r="3755" hidden="1">
      <c r="A3755" s="6" t="s">
        <v>52</v>
      </c>
      <c r="B3755" s="8" t="s">
        <v>566</v>
      </c>
      <c r="C3755" s="8" t="s">
        <v>567</v>
      </c>
      <c r="D3755" s="9">
        <v>5.0</v>
      </c>
      <c r="E3755" s="67">
        <f t="shared" si="11"/>
        <v>1250</v>
      </c>
      <c r="F3755" s="67" t="str">
        <f t="shared" si="12"/>
        <v>5 LeadGen Set Appointments</v>
      </c>
    </row>
    <row r="3756" hidden="1">
      <c r="A3756" s="6" t="s">
        <v>52</v>
      </c>
      <c r="B3756" s="8" t="s">
        <v>650</v>
      </c>
      <c r="C3756" s="8" t="s">
        <v>651</v>
      </c>
      <c r="D3756" s="9">
        <v>5.0</v>
      </c>
      <c r="E3756" s="67">
        <f t="shared" si="11"/>
        <v>1250</v>
      </c>
      <c r="F3756" s="67" t="str">
        <f t="shared" si="12"/>
        <v>5 LeadGen Set Appointments</v>
      </c>
    </row>
    <row r="3757" hidden="1">
      <c r="A3757" s="6" t="s">
        <v>52</v>
      </c>
      <c r="B3757" s="8" t="s">
        <v>1917</v>
      </c>
      <c r="C3757" s="8" t="s">
        <v>1918</v>
      </c>
      <c r="D3757" s="9">
        <v>5.0</v>
      </c>
      <c r="E3757" s="67">
        <f t="shared" si="11"/>
        <v>1250</v>
      </c>
      <c r="F3757" s="67" t="str">
        <f t="shared" si="12"/>
        <v>5 LeadGen Set Appointments</v>
      </c>
    </row>
    <row r="3758" hidden="1">
      <c r="A3758" s="6" t="s">
        <v>52</v>
      </c>
      <c r="B3758" s="8" t="s">
        <v>1863</v>
      </c>
      <c r="C3758" s="8" t="s">
        <v>1864</v>
      </c>
      <c r="D3758" s="9">
        <v>5.0</v>
      </c>
      <c r="E3758" s="67">
        <f t="shared" si="11"/>
        <v>1250</v>
      </c>
      <c r="F3758" s="67" t="str">
        <f t="shared" si="12"/>
        <v>5 LeadGen Set Appointments</v>
      </c>
    </row>
    <row r="3759" hidden="1">
      <c r="A3759" s="6" t="s">
        <v>52</v>
      </c>
      <c r="B3759" s="8" t="s">
        <v>1506</v>
      </c>
      <c r="C3759" s="8" t="s">
        <v>1507</v>
      </c>
      <c r="D3759" s="9">
        <v>5.0</v>
      </c>
      <c r="E3759" s="67">
        <f t="shared" si="11"/>
        <v>1250</v>
      </c>
      <c r="F3759" s="67" t="str">
        <f t="shared" si="12"/>
        <v>5 LeadGen Set Appointments</v>
      </c>
    </row>
    <row r="3760" hidden="1">
      <c r="A3760" s="6" t="s">
        <v>52</v>
      </c>
      <c r="B3760" s="8" t="s">
        <v>1690</v>
      </c>
      <c r="C3760" s="8" t="s">
        <v>1691</v>
      </c>
      <c r="D3760" s="9">
        <v>5.0</v>
      </c>
      <c r="E3760" s="67">
        <f t="shared" si="11"/>
        <v>1250</v>
      </c>
      <c r="F3760" s="67" t="str">
        <f t="shared" si="12"/>
        <v>5 LeadGen Set Appointments</v>
      </c>
    </row>
    <row r="3761" hidden="1">
      <c r="A3761" s="6" t="s">
        <v>52</v>
      </c>
      <c r="B3761" s="8" t="s">
        <v>1455</v>
      </c>
      <c r="C3761" s="8" t="s">
        <v>1456</v>
      </c>
      <c r="D3761" s="9">
        <v>4.0</v>
      </c>
      <c r="E3761" s="67">
        <f t="shared" si="11"/>
        <v>1000</v>
      </c>
      <c r="F3761" s="67" t="str">
        <f t="shared" si="12"/>
        <v>4 LeadGen Set Appointments</v>
      </c>
    </row>
    <row r="3762" hidden="1">
      <c r="A3762" s="6" t="s">
        <v>52</v>
      </c>
      <c r="B3762" s="8" t="s">
        <v>500</v>
      </c>
      <c r="C3762" s="8" t="s">
        <v>501</v>
      </c>
      <c r="D3762" s="9">
        <v>4.0</v>
      </c>
      <c r="E3762" s="67">
        <f t="shared" si="11"/>
        <v>1000</v>
      </c>
      <c r="F3762" s="67" t="str">
        <f t="shared" si="12"/>
        <v>4 LeadGen Set Appointments</v>
      </c>
    </row>
    <row r="3763" hidden="1">
      <c r="A3763" s="6" t="s">
        <v>52</v>
      </c>
      <c r="B3763" s="8" t="s">
        <v>1728</v>
      </c>
      <c r="C3763" s="8" t="s">
        <v>1729</v>
      </c>
      <c r="D3763" s="9">
        <v>4.0</v>
      </c>
      <c r="E3763" s="67">
        <f t="shared" si="11"/>
        <v>1000</v>
      </c>
      <c r="F3763" s="67" t="str">
        <f t="shared" si="12"/>
        <v>4 LeadGen Set Appointments</v>
      </c>
    </row>
    <row r="3764" hidden="1">
      <c r="A3764" s="6" t="s">
        <v>52</v>
      </c>
      <c r="B3764" s="8" t="s">
        <v>1473</v>
      </c>
      <c r="C3764" s="8" t="s">
        <v>1474</v>
      </c>
      <c r="D3764" s="9">
        <v>4.0</v>
      </c>
      <c r="E3764" s="67">
        <f t="shared" si="11"/>
        <v>1000</v>
      </c>
      <c r="F3764" s="67" t="str">
        <f t="shared" si="12"/>
        <v>4 LeadGen Set Appointments</v>
      </c>
    </row>
    <row r="3765" hidden="1">
      <c r="A3765" s="6" t="s">
        <v>52</v>
      </c>
      <c r="B3765" s="8" t="s">
        <v>1475</v>
      </c>
      <c r="C3765" s="8" t="s">
        <v>1476</v>
      </c>
      <c r="D3765" s="9">
        <v>4.0</v>
      </c>
      <c r="E3765" s="67">
        <f t="shared" si="11"/>
        <v>1000</v>
      </c>
      <c r="F3765" s="67" t="str">
        <f t="shared" si="12"/>
        <v>4 LeadGen Set Appointments</v>
      </c>
    </row>
    <row r="3766" hidden="1">
      <c r="A3766" s="6" t="s">
        <v>52</v>
      </c>
      <c r="B3766" s="8" t="s">
        <v>1838</v>
      </c>
      <c r="C3766" s="8" t="s">
        <v>1839</v>
      </c>
      <c r="D3766" s="9">
        <v>4.0</v>
      </c>
      <c r="E3766" s="67">
        <f t="shared" si="11"/>
        <v>1000</v>
      </c>
      <c r="F3766" s="67" t="str">
        <f t="shared" si="12"/>
        <v>4 LeadGen Set Appointments</v>
      </c>
    </row>
    <row r="3767" hidden="1">
      <c r="A3767" s="6" t="s">
        <v>52</v>
      </c>
      <c r="B3767" s="8" t="s">
        <v>1551</v>
      </c>
      <c r="C3767" s="8" t="s">
        <v>1552</v>
      </c>
      <c r="D3767" s="9">
        <v>4.0</v>
      </c>
      <c r="E3767" s="67">
        <f t="shared" si="11"/>
        <v>1000</v>
      </c>
      <c r="F3767" s="67" t="str">
        <f t="shared" si="12"/>
        <v>4 LeadGen Set Appointments</v>
      </c>
    </row>
    <row r="3768" hidden="1">
      <c r="A3768" s="6" t="s">
        <v>52</v>
      </c>
      <c r="B3768" s="8" t="s">
        <v>1477</v>
      </c>
      <c r="C3768" s="8" t="s">
        <v>1478</v>
      </c>
      <c r="D3768" s="9">
        <v>4.0</v>
      </c>
      <c r="E3768" s="67">
        <f t="shared" si="11"/>
        <v>1000</v>
      </c>
      <c r="F3768" s="67" t="str">
        <f t="shared" si="12"/>
        <v>4 LeadGen Set Appointments</v>
      </c>
    </row>
    <row r="3769" hidden="1">
      <c r="A3769" s="6" t="s">
        <v>52</v>
      </c>
      <c r="B3769" s="8" t="s">
        <v>468</v>
      </c>
      <c r="C3769" s="8" t="s">
        <v>469</v>
      </c>
      <c r="D3769" s="9">
        <v>4.0</v>
      </c>
      <c r="E3769" s="67">
        <f t="shared" si="11"/>
        <v>1000</v>
      </c>
      <c r="F3769" s="67" t="str">
        <f t="shared" si="12"/>
        <v>4 LeadGen Set Appointments</v>
      </c>
    </row>
    <row r="3770" hidden="1">
      <c r="A3770" s="6" t="s">
        <v>52</v>
      </c>
      <c r="B3770" s="8" t="s">
        <v>1867</v>
      </c>
      <c r="C3770" s="8" t="s">
        <v>1868</v>
      </c>
      <c r="D3770" s="9">
        <v>4.0</v>
      </c>
      <c r="E3770" s="67">
        <f t="shared" si="11"/>
        <v>1000</v>
      </c>
      <c r="F3770" s="67" t="str">
        <f t="shared" si="12"/>
        <v>4 LeadGen Set Appointments</v>
      </c>
    </row>
    <row r="3771" hidden="1">
      <c r="A3771" s="6" t="s">
        <v>52</v>
      </c>
      <c r="B3771" s="8" t="s">
        <v>486</v>
      </c>
      <c r="C3771" s="8" t="s">
        <v>487</v>
      </c>
      <c r="D3771" s="9">
        <v>4.0</v>
      </c>
      <c r="E3771" s="67">
        <f t="shared" si="11"/>
        <v>1000</v>
      </c>
      <c r="F3771" s="67" t="str">
        <f t="shared" si="12"/>
        <v>4 LeadGen Set Appointments</v>
      </c>
    </row>
    <row r="3772" hidden="1">
      <c r="A3772" s="6" t="s">
        <v>52</v>
      </c>
      <c r="B3772" s="8" t="s">
        <v>1421</v>
      </c>
      <c r="C3772" s="8" t="s">
        <v>712</v>
      </c>
      <c r="D3772" s="9">
        <v>4.0</v>
      </c>
      <c r="E3772" s="67">
        <f t="shared" si="11"/>
        <v>1000</v>
      </c>
      <c r="F3772" s="67" t="str">
        <f t="shared" si="12"/>
        <v>4 LeadGen Set Appointments</v>
      </c>
    </row>
    <row r="3773" hidden="1">
      <c r="A3773" s="6" t="s">
        <v>52</v>
      </c>
      <c r="B3773" s="8" t="s">
        <v>572</v>
      </c>
      <c r="C3773" s="8" t="s">
        <v>573</v>
      </c>
      <c r="D3773" s="9">
        <v>4.0</v>
      </c>
      <c r="E3773" s="67">
        <f t="shared" si="11"/>
        <v>1000</v>
      </c>
      <c r="F3773" s="67" t="str">
        <f t="shared" si="12"/>
        <v>4 LeadGen Set Appointments</v>
      </c>
    </row>
    <row r="3774" hidden="1">
      <c r="A3774" s="6" t="s">
        <v>52</v>
      </c>
      <c r="B3774" s="8" t="s">
        <v>242</v>
      </c>
      <c r="C3774" s="8" t="s">
        <v>1887</v>
      </c>
      <c r="D3774" s="9">
        <v>4.0</v>
      </c>
      <c r="E3774" s="67">
        <f t="shared" si="11"/>
        <v>1000</v>
      </c>
      <c r="F3774" s="67" t="str">
        <f t="shared" si="12"/>
        <v>4 LeadGen Set Appointments</v>
      </c>
    </row>
    <row r="3775" hidden="1">
      <c r="A3775" s="6" t="s">
        <v>52</v>
      </c>
      <c r="B3775" s="8" t="s">
        <v>1909</v>
      </c>
      <c r="C3775" s="8" t="s">
        <v>1910</v>
      </c>
      <c r="D3775" s="9">
        <v>4.0</v>
      </c>
      <c r="E3775" s="67">
        <f t="shared" si="11"/>
        <v>1000</v>
      </c>
      <c r="F3775" s="67" t="str">
        <f t="shared" si="12"/>
        <v>4 LeadGen Set Appointments</v>
      </c>
    </row>
    <row r="3776" hidden="1">
      <c r="A3776" s="6" t="s">
        <v>52</v>
      </c>
      <c r="B3776" s="8" t="s">
        <v>510</v>
      </c>
      <c r="C3776" s="8" t="s">
        <v>511</v>
      </c>
      <c r="D3776" s="9">
        <v>4.0</v>
      </c>
      <c r="E3776" s="67">
        <f t="shared" si="11"/>
        <v>1000</v>
      </c>
      <c r="F3776" s="67" t="str">
        <f t="shared" si="12"/>
        <v>4 LeadGen Set Appointments</v>
      </c>
    </row>
    <row r="3777" hidden="1">
      <c r="A3777" s="6" t="s">
        <v>52</v>
      </c>
      <c r="B3777" s="8" t="s">
        <v>1786</v>
      </c>
      <c r="C3777" s="8" t="s">
        <v>1787</v>
      </c>
      <c r="D3777" s="9">
        <v>4.0</v>
      </c>
      <c r="E3777" s="67">
        <f t="shared" si="11"/>
        <v>1000</v>
      </c>
      <c r="F3777" s="67" t="str">
        <f t="shared" si="12"/>
        <v>4 LeadGen Set Appointments</v>
      </c>
    </row>
    <row r="3778" hidden="1">
      <c r="A3778" s="6" t="s">
        <v>52</v>
      </c>
      <c r="B3778" s="8" t="s">
        <v>1093</v>
      </c>
      <c r="C3778" s="8" t="s">
        <v>1760</v>
      </c>
      <c r="D3778" s="9">
        <v>4.0</v>
      </c>
      <c r="E3778" s="67">
        <f t="shared" si="11"/>
        <v>1000</v>
      </c>
      <c r="F3778" s="67" t="str">
        <f t="shared" si="12"/>
        <v>4 LeadGen Set Appointments</v>
      </c>
    </row>
    <row r="3779" hidden="1">
      <c r="A3779" s="6" t="s">
        <v>52</v>
      </c>
      <c r="B3779" s="8" t="s">
        <v>1684</v>
      </c>
      <c r="C3779" s="8" t="s">
        <v>1685</v>
      </c>
      <c r="D3779" s="9">
        <v>4.0</v>
      </c>
      <c r="E3779" s="67">
        <f t="shared" si="11"/>
        <v>1000</v>
      </c>
      <c r="F3779" s="67" t="str">
        <f t="shared" si="12"/>
        <v>4 LeadGen Set Appointments</v>
      </c>
    </row>
    <row r="3780" hidden="1">
      <c r="A3780" s="6" t="s">
        <v>52</v>
      </c>
      <c r="B3780" s="8" t="s">
        <v>1698</v>
      </c>
      <c r="C3780" s="8" t="s">
        <v>1699</v>
      </c>
      <c r="D3780" s="9">
        <v>4.0</v>
      </c>
      <c r="E3780" s="67">
        <f t="shared" si="11"/>
        <v>1000</v>
      </c>
      <c r="F3780" s="67" t="str">
        <f t="shared" si="12"/>
        <v>4 LeadGen Set Appointments</v>
      </c>
    </row>
    <row r="3781" hidden="1">
      <c r="A3781" s="6" t="s">
        <v>52</v>
      </c>
      <c r="B3781" s="8" t="s">
        <v>1714</v>
      </c>
      <c r="C3781" s="8" t="s">
        <v>1715</v>
      </c>
      <c r="D3781" s="9">
        <v>4.0</v>
      </c>
      <c r="E3781" s="67">
        <f t="shared" si="11"/>
        <v>1000</v>
      </c>
      <c r="F3781" s="67" t="str">
        <f t="shared" si="12"/>
        <v>4 LeadGen Set Appointments</v>
      </c>
    </row>
    <row r="3782" hidden="1">
      <c r="A3782" s="6" t="s">
        <v>52</v>
      </c>
      <c r="B3782" s="8" t="s">
        <v>1191</v>
      </c>
      <c r="C3782" s="8" t="s">
        <v>1192</v>
      </c>
      <c r="D3782" s="9">
        <v>4.0</v>
      </c>
      <c r="E3782" s="67">
        <f t="shared" si="11"/>
        <v>1000</v>
      </c>
      <c r="F3782" s="67" t="str">
        <f t="shared" si="12"/>
        <v>4 LeadGen Set Appointments</v>
      </c>
    </row>
    <row r="3783" hidden="1">
      <c r="A3783" s="6" t="s">
        <v>52</v>
      </c>
      <c r="B3783" s="8" t="s">
        <v>1692</v>
      </c>
      <c r="C3783" s="8" t="s">
        <v>1693</v>
      </c>
      <c r="D3783" s="9">
        <v>4.0</v>
      </c>
      <c r="E3783" s="67">
        <f t="shared" si="11"/>
        <v>1000</v>
      </c>
      <c r="F3783" s="67" t="str">
        <f t="shared" si="12"/>
        <v>4 LeadGen Set Appointments</v>
      </c>
    </row>
    <row r="3784" hidden="1">
      <c r="A3784" s="6" t="s">
        <v>52</v>
      </c>
      <c r="B3784" s="8" t="s">
        <v>805</v>
      </c>
      <c r="C3784" s="8" t="s">
        <v>806</v>
      </c>
      <c r="D3784" s="9">
        <v>4.0</v>
      </c>
      <c r="E3784" s="67">
        <f t="shared" si="11"/>
        <v>1000</v>
      </c>
      <c r="F3784" s="67" t="str">
        <f t="shared" si="12"/>
        <v>4 LeadGen Set Appointments</v>
      </c>
    </row>
    <row r="3785" hidden="1">
      <c r="A3785" s="6" t="s">
        <v>52</v>
      </c>
      <c r="B3785" s="8" t="s">
        <v>1793</v>
      </c>
      <c r="C3785" s="8" t="s">
        <v>1794</v>
      </c>
      <c r="D3785" s="9">
        <v>4.0</v>
      </c>
      <c r="E3785" s="67">
        <f t="shared" si="11"/>
        <v>1000</v>
      </c>
      <c r="F3785" s="67" t="str">
        <f t="shared" si="12"/>
        <v>4 LeadGen Set Appointments</v>
      </c>
    </row>
    <row r="3786" hidden="1">
      <c r="A3786" s="6" t="s">
        <v>52</v>
      </c>
      <c r="B3786" s="8" t="s">
        <v>1994</v>
      </c>
      <c r="C3786" s="8" t="s">
        <v>1995</v>
      </c>
      <c r="D3786" s="9">
        <v>4.0</v>
      </c>
      <c r="E3786" s="67">
        <f t="shared" si="11"/>
        <v>1000</v>
      </c>
      <c r="F3786" s="67" t="str">
        <f t="shared" si="12"/>
        <v>4 LeadGen Set Appointments</v>
      </c>
    </row>
    <row r="3787" hidden="1">
      <c r="A3787" s="6" t="s">
        <v>52</v>
      </c>
      <c r="B3787" s="8" t="s">
        <v>1992</v>
      </c>
      <c r="C3787" s="8" t="s">
        <v>1993</v>
      </c>
      <c r="D3787" s="9">
        <v>4.0</v>
      </c>
      <c r="E3787" s="67">
        <f t="shared" si="11"/>
        <v>1000</v>
      </c>
      <c r="F3787" s="67" t="str">
        <f t="shared" si="12"/>
        <v>4 LeadGen Set Appointments</v>
      </c>
    </row>
    <row r="3788" hidden="1">
      <c r="A3788" s="6" t="s">
        <v>52</v>
      </c>
      <c r="B3788" s="8" t="s">
        <v>1966</v>
      </c>
      <c r="C3788" s="8" t="s">
        <v>1967</v>
      </c>
      <c r="D3788" s="9">
        <v>4.0</v>
      </c>
      <c r="E3788" s="67">
        <f t="shared" si="11"/>
        <v>1000</v>
      </c>
      <c r="F3788" s="67" t="str">
        <f t="shared" si="12"/>
        <v>4 LeadGen Set Appointments</v>
      </c>
    </row>
    <row r="3789" hidden="1">
      <c r="A3789" s="6" t="s">
        <v>52</v>
      </c>
      <c r="B3789" s="8" t="s">
        <v>1949</v>
      </c>
      <c r="C3789" s="8" t="s">
        <v>1950</v>
      </c>
      <c r="D3789" s="9">
        <v>4.0</v>
      </c>
      <c r="E3789" s="67">
        <f t="shared" si="11"/>
        <v>1000</v>
      </c>
      <c r="F3789" s="67" t="str">
        <f t="shared" si="12"/>
        <v>4 LeadGen Set Appointments</v>
      </c>
    </row>
    <row r="3790" hidden="1">
      <c r="A3790" s="6" t="s">
        <v>52</v>
      </c>
      <c r="B3790" s="8" t="s">
        <v>1977</v>
      </c>
      <c r="C3790" s="8" t="s">
        <v>1978</v>
      </c>
      <c r="D3790" s="9">
        <v>4.0</v>
      </c>
      <c r="E3790" s="67">
        <f t="shared" si="11"/>
        <v>1000</v>
      </c>
      <c r="F3790" s="67" t="str">
        <f t="shared" si="12"/>
        <v>4 LeadGen Set Appointments</v>
      </c>
    </row>
    <row r="3791" hidden="1">
      <c r="A3791" s="6" t="s">
        <v>52</v>
      </c>
      <c r="B3791" s="8" t="s">
        <v>1457</v>
      </c>
      <c r="C3791" s="8" t="s">
        <v>1458</v>
      </c>
      <c r="D3791" s="9">
        <v>4.0</v>
      </c>
      <c r="E3791" s="67">
        <f t="shared" si="11"/>
        <v>1000</v>
      </c>
      <c r="F3791" s="67" t="str">
        <f t="shared" si="12"/>
        <v>4 LeadGen Set Appointments</v>
      </c>
    </row>
    <row r="3792" hidden="1">
      <c r="A3792" s="6" t="s">
        <v>52</v>
      </c>
      <c r="B3792" s="8" t="s">
        <v>2008</v>
      </c>
      <c r="C3792" s="8" t="s">
        <v>2009</v>
      </c>
      <c r="D3792" s="9">
        <v>4.0</v>
      </c>
      <c r="E3792" s="67">
        <f t="shared" si="11"/>
        <v>1000</v>
      </c>
      <c r="F3792" s="67" t="str">
        <f t="shared" si="12"/>
        <v>4 LeadGen Set Appointments</v>
      </c>
    </row>
    <row r="3793" hidden="1">
      <c r="A3793" s="6" t="s">
        <v>52</v>
      </c>
      <c r="B3793" s="8" t="s">
        <v>1463</v>
      </c>
      <c r="C3793" s="8" t="s">
        <v>1464</v>
      </c>
      <c r="D3793" s="9">
        <v>3.0</v>
      </c>
      <c r="E3793" s="67">
        <f t="shared" si="11"/>
        <v>750</v>
      </c>
      <c r="F3793" s="67" t="str">
        <f t="shared" si="12"/>
        <v>3 LeadGen Set Appointments</v>
      </c>
    </row>
    <row r="3794" hidden="1">
      <c r="A3794" s="6" t="s">
        <v>52</v>
      </c>
      <c r="B3794" s="8" t="s">
        <v>1895</v>
      </c>
      <c r="C3794" s="8" t="s">
        <v>1896</v>
      </c>
      <c r="D3794" s="9">
        <v>3.0</v>
      </c>
      <c r="E3794" s="67">
        <f t="shared" si="11"/>
        <v>750</v>
      </c>
      <c r="F3794" s="67" t="str">
        <f t="shared" si="12"/>
        <v>3 LeadGen Set Appointments</v>
      </c>
    </row>
    <row r="3795" hidden="1">
      <c r="A3795" s="6" t="s">
        <v>52</v>
      </c>
      <c r="B3795" s="8" t="s">
        <v>1726</v>
      </c>
      <c r="C3795" s="8" t="s">
        <v>1727</v>
      </c>
      <c r="D3795" s="9">
        <v>3.0</v>
      </c>
      <c r="E3795" s="67">
        <f t="shared" si="11"/>
        <v>750</v>
      </c>
      <c r="F3795" s="67" t="str">
        <f t="shared" si="12"/>
        <v>3 LeadGen Set Appointments</v>
      </c>
    </row>
    <row r="3796" hidden="1">
      <c r="A3796" s="6" t="s">
        <v>52</v>
      </c>
      <c r="B3796" s="8" t="s">
        <v>462</v>
      </c>
      <c r="C3796" s="8" t="s">
        <v>463</v>
      </c>
      <c r="D3796" s="9">
        <v>3.0</v>
      </c>
      <c r="E3796" s="67">
        <f t="shared" si="11"/>
        <v>750</v>
      </c>
      <c r="F3796" s="67" t="str">
        <f t="shared" si="12"/>
        <v>3 LeadGen Set Appointments</v>
      </c>
    </row>
    <row r="3797" hidden="1">
      <c r="A3797" s="6" t="s">
        <v>52</v>
      </c>
      <c r="B3797" s="8" t="s">
        <v>1704</v>
      </c>
      <c r="C3797" s="8" t="s">
        <v>1705</v>
      </c>
      <c r="D3797" s="9">
        <v>3.0</v>
      </c>
      <c r="E3797" s="67">
        <f t="shared" si="11"/>
        <v>750</v>
      </c>
      <c r="F3797" s="67" t="str">
        <f t="shared" si="12"/>
        <v>3 LeadGen Set Appointments</v>
      </c>
    </row>
    <row r="3798" hidden="1">
      <c r="A3798" s="6" t="s">
        <v>52</v>
      </c>
      <c r="B3798" s="8" t="s">
        <v>1951</v>
      </c>
      <c r="C3798" s="8" t="s">
        <v>1952</v>
      </c>
      <c r="D3798" s="9">
        <v>3.0</v>
      </c>
      <c r="E3798" s="67">
        <f t="shared" si="11"/>
        <v>750</v>
      </c>
      <c r="F3798" s="67" t="str">
        <f t="shared" si="12"/>
        <v>3 LeadGen Set Appointments</v>
      </c>
    </row>
    <row r="3799" hidden="1">
      <c r="A3799" s="6" t="s">
        <v>52</v>
      </c>
      <c r="B3799" s="8" t="s">
        <v>1861</v>
      </c>
      <c r="C3799" s="8" t="s">
        <v>1862</v>
      </c>
      <c r="D3799" s="9">
        <v>3.0</v>
      </c>
      <c r="E3799" s="67">
        <f t="shared" si="11"/>
        <v>750</v>
      </c>
      <c r="F3799" s="67" t="str">
        <f t="shared" si="12"/>
        <v>3 LeadGen Set Appointments</v>
      </c>
    </row>
    <row r="3800" hidden="1">
      <c r="A3800" s="6" t="s">
        <v>52</v>
      </c>
      <c r="B3800" s="8" t="s">
        <v>1579</v>
      </c>
      <c r="C3800" s="8" t="s">
        <v>1580</v>
      </c>
      <c r="D3800" s="9">
        <v>3.0</v>
      </c>
      <c r="E3800" s="67">
        <f t="shared" si="11"/>
        <v>750</v>
      </c>
      <c r="F3800" s="67" t="str">
        <f t="shared" si="12"/>
        <v>3 LeadGen Set Appointments</v>
      </c>
    </row>
    <row r="3801" hidden="1">
      <c r="A3801" s="6" t="s">
        <v>52</v>
      </c>
      <c r="B3801" s="8" t="s">
        <v>1448</v>
      </c>
      <c r="C3801" s="8" t="s">
        <v>1449</v>
      </c>
      <c r="D3801" s="9">
        <v>3.0</v>
      </c>
      <c r="E3801" s="67">
        <f t="shared" si="11"/>
        <v>750</v>
      </c>
      <c r="F3801" s="67" t="str">
        <f t="shared" si="12"/>
        <v>3 LeadGen Set Appointments</v>
      </c>
    </row>
    <row r="3802" hidden="1">
      <c r="A3802" s="6" t="s">
        <v>52</v>
      </c>
      <c r="B3802" s="8" t="s">
        <v>1646</v>
      </c>
      <c r="C3802" s="8" t="s">
        <v>1647</v>
      </c>
      <c r="D3802" s="9">
        <v>3.0</v>
      </c>
      <c r="E3802" s="67">
        <f t="shared" si="11"/>
        <v>750</v>
      </c>
      <c r="F3802" s="67" t="str">
        <f t="shared" si="12"/>
        <v>3 LeadGen Set Appointments</v>
      </c>
    </row>
    <row r="3803" hidden="1">
      <c r="A3803" s="6" t="s">
        <v>52</v>
      </c>
      <c r="B3803" s="8" t="s">
        <v>1859</v>
      </c>
      <c r="C3803" s="8" t="s">
        <v>1860</v>
      </c>
      <c r="D3803" s="9">
        <v>3.0</v>
      </c>
      <c r="E3803" s="67">
        <f t="shared" si="11"/>
        <v>750</v>
      </c>
      <c r="F3803" s="67" t="str">
        <f t="shared" si="12"/>
        <v>3 LeadGen Set Appointments</v>
      </c>
    </row>
    <row r="3804" hidden="1">
      <c r="A3804" s="6" t="s">
        <v>52</v>
      </c>
      <c r="B3804" s="8" t="s">
        <v>1688</v>
      </c>
      <c r="C3804" s="8" t="s">
        <v>1689</v>
      </c>
      <c r="D3804" s="9">
        <v>3.0</v>
      </c>
      <c r="E3804" s="67">
        <f t="shared" si="11"/>
        <v>750</v>
      </c>
      <c r="F3804" s="67" t="str">
        <f t="shared" si="12"/>
        <v>3 LeadGen Set Appointments</v>
      </c>
    </row>
    <row r="3805" hidden="1">
      <c r="A3805" s="6" t="s">
        <v>52</v>
      </c>
      <c r="B3805" s="8" t="s">
        <v>1719</v>
      </c>
      <c r="C3805" s="8" t="s">
        <v>1720</v>
      </c>
      <c r="D3805" s="9">
        <v>3.0</v>
      </c>
      <c r="E3805" s="67">
        <f t="shared" si="11"/>
        <v>750</v>
      </c>
      <c r="F3805" s="67" t="str">
        <f t="shared" si="12"/>
        <v>3 LeadGen Set Appointments</v>
      </c>
    </row>
    <row r="3806" hidden="1">
      <c r="A3806" s="6" t="s">
        <v>52</v>
      </c>
      <c r="B3806" s="8" t="s">
        <v>1514</v>
      </c>
      <c r="C3806" s="8" t="s">
        <v>1515</v>
      </c>
      <c r="D3806" s="9">
        <v>3.0</v>
      </c>
      <c r="E3806" s="67">
        <f t="shared" si="11"/>
        <v>750</v>
      </c>
      <c r="F3806" s="67" t="str">
        <f t="shared" si="12"/>
        <v>3 LeadGen Set Appointments</v>
      </c>
    </row>
    <row r="3807" hidden="1">
      <c r="A3807" s="6" t="s">
        <v>52</v>
      </c>
      <c r="B3807" s="8" t="s">
        <v>626</v>
      </c>
      <c r="C3807" s="8" t="s">
        <v>627</v>
      </c>
      <c r="D3807" s="9">
        <v>3.0</v>
      </c>
      <c r="E3807" s="67">
        <f t="shared" si="11"/>
        <v>750</v>
      </c>
      <c r="F3807" s="67" t="str">
        <f t="shared" si="12"/>
        <v>3 LeadGen Set Appointments</v>
      </c>
    </row>
    <row r="3808" hidden="1">
      <c r="A3808" s="6" t="s">
        <v>52</v>
      </c>
      <c r="B3808" s="8" t="s">
        <v>1657</v>
      </c>
      <c r="C3808" s="8" t="s">
        <v>1658</v>
      </c>
      <c r="D3808" s="9">
        <v>3.0</v>
      </c>
      <c r="E3808" s="67">
        <f t="shared" si="11"/>
        <v>750</v>
      </c>
      <c r="F3808" s="67" t="str">
        <f t="shared" si="12"/>
        <v>3 LeadGen Set Appointments</v>
      </c>
    </row>
    <row r="3809" hidden="1">
      <c r="A3809" s="6" t="s">
        <v>52</v>
      </c>
      <c r="B3809" s="8" t="s">
        <v>2010</v>
      </c>
      <c r="C3809" s="8" t="s">
        <v>2011</v>
      </c>
      <c r="D3809" s="9">
        <v>3.0</v>
      </c>
      <c r="E3809" s="67">
        <f t="shared" si="11"/>
        <v>750</v>
      </c>
      <c r="F3809" s="67" t="str">
        <f t="shared" si="12"/>
        <v>3 LeadGen Set Appointments</v>
      </c>
    </row>
    <row r="3810" hidden="1">
      <c r="A3810" s="6" t="s">
        <v>52</v>
      </c>
      <c r="B3810" s="8" t="s">
        <v>1708</v>
      </c>
      <c r="C3810" s="8" t="s">
        <v>1709</v>
      </c>
      <c r="D3810" s="9">
        <v>3.0</v>
      </c>
      <c r="E3810" s="67">
        <f t="shared" si="11"/>
        <v>750</v>
      </c>
      <c r="F3810" s="67" t="str">
        <f t="shared" si="12"/>
        <v>3 LeadGen Set Appointments</v>
      </c>
    </row>
    <row r="3811" hidden="1">
      <c r="A3811" s="6" t="s">
        <v>52</v>
      </c>
      <c r="B3811" s="8" t="s">
        <v>516</v>
      </c>
      <c r="C3811" s="8" t="s">
        <v>517</v>
      </c>
      <c r="D3811" s="9">
        <v>3.0</v>
      </c>
      <c r="E3811" s="67">
        <f t="shared" si="11"/>
        <v>750</v>
      </c>
      <c r="F3811" s="67" t="str">
        <f t="shared" si="12"/>
        <v>3 LeadGen Set Appointments</v>
      </c>
    </row>
    <row r="3812" hidden="1">
      <c r="A3812" s="6" t="s">
        <v>52</v>
      </c>
      <c r="B3812" s="8" t="s">
        <v>1666</v>
      </c>
      <c r="C3812" s="8" t="s">
        <v>1667</v>
      </c>
      <c r="D3812" s="9">
        <v>3.0</v>
      </c>
      <c r="E3812" s="67">
        <f t="shared" si="11"/>
        <v>750</v>
      </c>
      <c r="F3812" s="67" t="str">
        <f t="shared" si="12"/>
        <v>3 LeadGen Set Appointments</v>
      </c>
    </row>
    <row r="3813" hidden="1">
      <c r="A3813" s="6" t="s">
        <v>52</v>
      </c>
      <c r="B3813" s="8" t="s">
        <v>518</v>
      </c>
      <c r="C3813" s="8" t="s">
        <v>519</v>
      </c>
      <c r="D3813" s="9">
        <v>3.0</v>
      </c>
      <c r="E3813" s="67">
        <f t="shared" si="11"/>
        <v>750</v>
      </c>
      <c r="F3813" s="67" t="str">
        <f t="shared" si="12"/>
        <v>3 LeadGen Set Appointments</v>
      </c>
    </row>
    <row r="3814" hidden="1">
      <c r="A3814" s="6" t="s">
        <v>52</v>
      </c>
      <c r="B3814" s="8" t="s">
        <v>1567</v>
      </c>
      <c r="C3814" s="8" t="s">
        <v>1568</v>
      </c>
      <c r="D3814" s="9">
        <v>3.0</v>
      </c>
      <c r="E3814" s="67">
        <f t="shared" si="11"/>
        <v>750</v>
      </c>
      <c r="F3814" s="67" t="str">
        <f t="shared" si="12"/>
        <v>3 LeadGen Set Appointments</v>
      </c>
    </row>
    <row r="3815" hidden="1">
      <c r="A3815" s="6" t="s">
        <v>52</v>
      </c>
      <c r="B3815" s="8" t="s">
        <v>622</v>
      </c>
      <c r="C3815" s="8" t="s">
        <v>623</v>
      </c>
      <c r="D3815" s="9">
        <v>3.0</v>
      </c>
      <c r="E3815" s="67">
        <f t="shared" si="11"/>
        <v>750</v>
      </c>
      <c r="F3815" s="67" t="str">
        <f t="shared" si="12"/>
        <v>3 LeadGen Set Appointments</v>
      </c>
    </row>
    <row r="3816" hidden="1">
      <c r="A3816" s="6" t="s">
        <v>52</v>
      </c>
      <c r="B3816" s="8" t="s">
        <v>1939</v>
      </c>
      <c r="C3816" s="8" t="s">
        <v>1940</v>
      </c>
      <c r="D3816" s="9">
        <v>3.0</v>
      </c>
      <c r="E3816" s="67">
        <f t="shared" si="11"/>
        <v>750</v>
      </c>
      <c r="F3816" s="67" t="str">
        <f t="shared" si="12"/>
        <v>3 LeadGen Set Appointments</v>
      </c>
    </row>
    <row r="3817" hidden="1">
      <c r="A3817" s="6" t="s">
        <v>52</v>
      </c>
      <c r="B3817" s="8" t="s">
        <v>1933</v>
      </c>
      <c r="C3817" s="8" t="s">
        <v>1934</v>
      </c>
      <c r="D3817" s="9">
        <v>3.0</v>
      </c>
      <c r="E3817" s="67">
        <f t="shared" si="11"/>
        <v>750</v>
      </c>
      <c r="F3817" s="67" t="str">
        <f t="shared" si="12"/>
        <v>3 LeadGen Set Appointments</v>
      </c>
    </row>
    <row r="3818" hidden="1">
      <c r="A3818" s="6" t="s">
        <v>52</v>
      </c>
      <c r="B3818" s="8" t="s">
        <v>1283</v>
      </c>
      <c r="C3818" s="8" t="s">
        <v>404</v>
      </c>
      <c r="D3818" s="9">
        <v>3.0</v>
      </c>
      <c r="E3818" s="67">
        <f t="shared" si="11"/>
        <v>750</v>
      </c>
      <c r="F3818" s="67" t="str">
        <f t="shared" si="12"/>
        <v>3 LeadGen Set Appointments</v>
      </c>
    </row>
    <row r="3819" hidden="1">
      <c r="A3819" s="6" t="s">
        <v>52</v>
      </c>
      <c r="B3819" s="8" t="s">
        <v>1776</v>
      </c>
      <c r="C3819" s="8" t="s">
        <v>1777</v>
      </c>
      <c r="D3819" s="9">
        <v>3.0</v>
      </c>
      <c r="E3819" s="67">
        <f t="shared" si="11"/>
        <v>750</v>
      </c>
      <c r="F3819" s="67" t="str">
        <f t="shared" si="12"/>
        <v>3 LeadGen Set Appointments</v>
      </c>
    </row>
    <row r="3820" hidden="1">
      <c r="A3820" s="6" t="s">
        <v>52</v>
      </c>
      <c r="B3820" s="8" t="s">
        <v>1682</v>
      </c>
      <c r="C3820" s="8" t="s">
        <v>1683</v>
      </c>
      <c r="D3820" s="9">
        <v>3.0</v>
      </c>
      <c r="E3820" s="67">
        <f t="shared" si="11"/>
        <v>750</v>
      </c>
      <c r="F3820" s="67" t="str">
        <f t="shared" si="12"/>
        <v>3 LeadGen Set Appointments</v>
      </c>
    </row>
    <row r="3821" hidden="1">
      <c r="A3821" s="6" t="s">
        <v>52</v>
      </c>
      <c r="B3821" s="8" t="s">
        <v>1945</v>
      </c>
      <c r="C3821" s="8" t="s">
        <v>1946</v>
      </c>
      <c r="D3821" s="9">
        <v>3.0</v>
      </c>
      <c r="E3821" s="67">
        <f t="shared" si="11"/>
        <v>750</v>
      </c>
      <c r="F3821" s="67" t="str">
        <f t="shared" si="12"/>
        <v>3 LeadGen Set Appointments</v>
      </c>
    </row>
    <row r="3822" hidden="1">
      <c r="A3822" s="6" t="s">
        <v>52</v>
      </c>
      <c r="B3822" s="8" t="s">
        <v>1973</v>
      </c>
      <c r="C3822" s="8" t="s">
        <v>1974</v>
      </c>
      <c r="D3822" s="9">
        <v>3.0</v>
      </c>
      <c r="E3822" s="67">
        <f t="shared" si="11"/>
        <v>750</v>
      </c>
      <c r="F3822" s="67" t="str">
        <f t="shared" si="12"/>
        <v>3 LeadGen Set Appointments</v>
      </c>
    </row>
    <row r="3823" hidden="1">
      <c r="A3823" s="6" t="s">
        <v>52</v>
      </c>
      <c r="B3823" s="8" t="s">
        <v>1979</v>
      </c>
      <c r="C3823" s="8" t="s">
        <v>1980</v>
      </c>
      <c r="D3823" s="9">
        <v>3.0</v>
      </c>
      <c r="E3823" s="67">
        <f t="shared" si="11"/>
        <v>750</v>
      </c>
      <c r="F3823" s="67" t="str">
        <f t="shared" si="12"/>
        <v>3 LeadGen Set Appointments</v>
      </c>
    </row>
    <row r="3824" hidden="1">
      <c r="A3824" s="6" t="s">
        <v>52</v>
      </c>
      <c r="B3824" s="8" t="s">
        <v>1919</v>
      </c>
      <c r="C3824" s="8" t="s">
        <v>1920</v>
      </c>
      <c r="D3824" s="9">
        <v>3.0</v>
      </c>
      <c r="E3824" s="67">
        <f t="shared" si="11"/>
        <v>750</v>
      </c>
      <c r="F3824" s="67" t="str">
        <f t="shared" si="12"/>
        <v>3 LeadGen Set Appointments</v>
      </c>
    </row>
    <row r="3825" hidden="1">
      <c r="A3825" s="6" t="s">
        <v>52</v>
      </c>
      <c r="B3825" s="8" t="s">
        <v>1968</v>
      </c>
      <c r="C3825" s="8" t="s">
        <v>895</v>
      </c>
      <c r="D3825" s="9">
        <v>3.0</v>
      </c>
      <c r="E3825" s="67">
        <f t="shared" si="11"/>
        <v>750</v>
      </c>
      <c r="F3825" s="67" t="str">
        <f t="shared" si="12"/>
        <v>3 LeadGen Set Appointments</v>
      </c>
    </row>
    <row r="3826" hidden="1">
      <c r="A3826" s="6" t="s">
        <v>52</v>
      </c>
      <c r="B3826" s="8" t="s">
        <v>1988</v>
      </c>
      <c r="C3826" s="8" t="s">
        <v>1989</v>
      </c>
      <c r="D3826" s="9">
        <v>3.0</v>
      </c>
      <c r="E3826" s="67">
        <f t="shared" si="11"/>
        <v>750</v>
      </c>
      <c r="F3826" s="67" t="str">
        <f t="shared" si="12"/>
        <v>3 LeadGen Set Appointments</v>
      </c>
    </row>
    <row r="3827" hidden="1">
      <c r="A3827" s="6" t="s">
        <v>52</v>
      </c>
      <c r="B3827" s="8" t="s">
        <v>1770</v>
      </c>
      <c r="C3827" s="8" t="s">
        <v>1771</v>
      </c>
      <c r="D3827" s="9">
        <v>3.0</v>
      </c>
      <c r="E3827" s="67">
        <f t="shared" si="11"/>
        <v>750</v>
      </c>
      <c r="F3827" s="67" t="str">
        <f t="shared" si="12"/>
        <v>3 LeadGen Set Appointments</v>
      </c>
    </row>
    <row r="3828" hidden="1">
      <c r="A3828" s="6" t="s">
        <v>52</v>
      </c>
      <c r="B3828" s="8" t="s">
        <v>1764</v>
      </c>
      <c r="C3828" s="8" t="s">
        <v>1765</v>
      </c>
      <c r="D3828" s="9">
        <v>3.0</v>
      </c>
      <c r="E3828" s="67">
        <f t="shared" si="11"/>
        <v>750</v>
      </c>
      <c r="F3828" s="67" t="str">
        <f t="shared" si="12"/>
        <v>3 LeadGen Set Appointments</v>
      </c>
    </row>
    <row r="3829" hidden="1">
      <c r="A3829" s="6" t="s">
        <v>52</v>
      </c>
      <c r="B3829" s="8" t="s">
        <v>974</v>
      </c>
      <c r="C3829" s="8" t="s">
        <v>975</v>
      </c>
      <c r="D3829" s="9">
        <v>3.0</v>
      </c>
      <c r="E3829" s="67">
        <f t="shared" si="11"/>
        <v>750</v>
      </c>
      <c r="F3829" s="67" t="str">
        <f t="shared" si="12"/>
        <v>3 LeadGen Set Appointments</v>
      </c>
    </row>
    <row r="3830" hidden="1">
      <c r="A3830" s="6" t="s">
        <v>52</v>
      </c>
      <c r="B3830" s="8" t="s">
        <v>618</v>
      </c>
      <c r="C3830" s="8" t="s">
        <v>619</v>
      </c>
      <c r="D3830" s="9">
        <v>3.0</v>
      </c>
      <c r="E3830" s="67">
        <f t="shared" si="11"/>
        <v>750</v>
      </c>
      <c r="F3830" s="67" t="str">
        <f t="shared" si="12"/>
        <v>3 LeadGen Set Appointments</v>
      </c>
    </row>
    <row r="3831" hidden="1">
      <c r="A3831" s="6" t="s">
        <v>52</v>
      </c>
      <c r="B3831" s="8" t="s">
        <v>1301</v>
      </c>
      <c r="C3831" s="8" t="s">
        <v>1620</v>
      </c>
      <c r="D3831" s="9">
        <v>3.0</v>
      </c>
      <c r="E3831" s="67">
        <f t="shared" si="11"/>
        <v>750</v>
      </c>
      <c r="F3831" s="67" t="str">
        <f t="shared" si="12"/>
        <v>3 LeadGen Set Appointments</v>
      </c>
    </row>
    <row r="3832" hidden="1">
      <c r="A3832" s="6" t="s">
        <v>52</v>
      </c>
      <c r="B3832" s="8" t="s">
        <v>1990</v>
      </c>
      <c r="C3832" s="8" t="s">
        <v>1991</v>
      </c>
      <c r="D3832" s="9">
        <v>3.0</v>
      </c>
      <c r="E3832" s="67">
        <f t="shared" si="11"/>
        <v>750</v>
      </c>
      <c r="F3832" s="67" t="str">
        <f t="shared" si="12"/>
        <v>3 LeadGen Set Appointments</v>
      </c>
    </row>
    <row r="3833" hidden="1">
      <c r="A3833" s="6" t="s">
        <v>52</v>
      </c>
      <c r="B3833" s="8" t="s">
        <v>1983</v>
      </c>
      <c r="C3833" s="8" t="s">
        <v>1984</v>
      </c>
      <c r="D3833" s="9">
        <v>3.0</v>
      </c>
      <c r="E3833" s="67">
        <f t="shared" si="11"/>
        <v>750</v>
      </c>
      <c r="F3833" s="67" t="str">
        <f t="shared" si="12"/>
        <v>3 LeadGen Set Appointments</v>
      </c>
    </row>
    <row r="3834" hidden="1">
      <c r="A3834" s="6" t="s">
        <v>52</v>
      </c>
      <c r="B3834" s="8" t="s">
        <v>1947</v>
      </c>
      <c r="C3834" s="8" t="s">
        <v>1948</v>
      </c>
      <c r="D3834" s="9">
        <v>3.0</v>
      </c>
      <c r="E3834" s="67">
        <f t="shared" si="11"/>
        <v>750</v>
      </c>
      <c r="F3834" s="67" t="str">
        <f t="shared" si="12"/>
        <v>3 LeadGen Set Appointments</v>
      </c>
    </row>
    <row r="3835" hidden="1">
      <c r="A3835" s="6" t="s">
        <v>52</v>
      </c>
      <c r="B3835" s="8" t="s">
        <v>1672</v>
      </c>
      <c r="C3835" s="8" t="s">
        <v>1673</v>
      </c>
      <c r="D3835" s="9">
        <v>3.0</v>
      </c>
      <c r="E3835" s="67">
        <f t="shared" si="11"/>
        <v>750</v>
      </c>
      <c r="F3835" s="67" t="str">
        <f t="shared" si="12"/>
        <v>3 LeadGen Set Appointments</v>
      </c>
    </row>
    <row r="3836" hidden="1">
      <c r="A3836" s="6" t="s">
        <v>52</v>
      </c>
      <c r="B3836" s="8" t="s">
        <v>1923</v>
      </c>
      <c r="C3836" s="8" t="s">
        <v>1924</v>
      </c>
      <c r="D3836" s="9">
        <v>3.0</v>
      </c>
      <c r="E3836" s="67">
        <f t="shared" si="11"/>
        <v>750</v>
      </c>
      <c r="F3836" s="67" t="str">
        <f t="shared" si="12"/>
        <v>3 LeadGen Set Appointments</v>
      </c>
    </row>
    <row r="3837" hidden="1">
      <c r="A3837" s="6" t="s">
        <v>52</v>
      </c>
      <c r="B3837" s="8" t="s">
        <v>1577</v>
      </c>
      <c r="C3837" s="8" t="s">
        <v>1578</v>
      </c>
      <c r="D3837" s="9">
        <v>2.0</v>
      </c>
      <c r="E3837" s="67">
        <f t="shared" si="11"/>
        <v>500</v>
      </c>
      <c r="F3837" s="67" t="str">
        <f t="shared" si="12"/>
        <v>2 LeadGen Set Appointments</v>
      </c>
    </row>
    <row r="3838" hidden="1">
      <c r="A3838" s="6" t="s">
        <v>52</v>
      </c>
      <c r="B3838" s="8" t="s">
        <v>1600</v>
      </c>
      <c r="C3838" s="8" t="s">
        <v>1601</v>
      </c>
      <c r="D3838" s="9">
        <v>2.0</v>
      </c>
      <c r="E3838" s="67">
        <f t="shared" si="11"/>
        <v>500</v>
      </c>
      <c r="F3838" s="67" t="str">
        <f t="shared" si="12"/>
        <v>2 LeadGen Set Appointments</v>
      </c>
    </row>
    <row r="3839" hidden="1">
      <c r="A3839" s="6" t="s">
        <v>52</v>
      </c>
      <c r="B3839" s="8" t="s">
        <v>684</v>
      </c>
      <c r="C3839" s="8" t="s">
        <v>685</v>
      </c>
      <c r="D3839" s="9">
        <v>2.0</v>
      </c>
      <c r="E3839" s="67">
        <f t="shared" si="11"/>
        <v>500</v>
      </c>
      <c r="F3839" s="67" t="str">
        <f t="shared" si="12"/>
        <v>2 LeadGen Set Appointments</v>
      </c>
    </row>
    <row r="3840" hidden="1">
      <c r="A3840" s="6" t="s">
        <v>52</v>
      </c>
      <c r="B3840" s="8" t="s">
        <v>1545</v>
      </c>
      <c r="C3840" s="8" t="s">
        <v>1546</v>
      </c>
      <c r="D3840" s="9">
        <v>2.0</v>
      </c>
      <c r="E3840" s="67">
        <f t="shared" si="11"/>
        <v>500</v>
      </c>
      <c r="F3840" s="67" t="str">
        <f t="shared" si="12"/>
        <v>2 LeadGen Set Appointments</v>
      </c>
    </row>
    <row r="3841" hidden="1">
      <c r="A3841" s="6" t="s">
        <v>52</v>
      </c>
      <c r="B3841" s="8" t="s">
        <v>1583</v>
      </c>
      <c r="C3841" s="8" t="s">
        <v>1584</v>
      </c>
      <c r="D3841" s="9">
        <v>2.0</v>
      </c>
      <c r="E3841" s="67">
        <f t="shared" si="11"/>
        <v>500</v>
      </c>
      <c r="F3841" s="67" t="str">
        <f t="shared" si="12"/>
        <v>2 LeadGen Set Appointments</v>
      </c>
    </row>
    <row r="3842" hidden="1">
      <c r="A3842" s="6" t="s">
        <v>52</v>
      </c>
      <c r="B3842" s="8" t="s">
        <v>1508</v>
      </c>
      <c r="C3842" s="8" t="s">
        <v>1509</v>
      </c>
      <c r="D3842" s="9">
        <v>2.0</v>
      </c>
      <c r="E3842" s="67">
        <f t="shared" si="11"/>
        <v>500</v>
      </c>
      <c r="F3842" s="67" t="str">
        <f t="shared" si="12"/>
        <v>2 LeadGen Set Appointments</v>
      </c>
    </row>
    <row r="3843" hidden="1">
      <c r="A3843" s="6" t="s">
        <v>52</v>
      </c>
      <c r="B3843" s="8" t="s">
        <v>1612</v>
      </c>
      <c r="C3843" s="8" t="s">
        <v>1613</v>
      </c>
      <c r="D3843" s="9">
        <v>2.0</v>
      </c>
      <c r="E3843" s="67">
        <f t="shared" si="11"/>
        <v>500</v>
      </c>
      <c r="F3843" s="67" t="str">
        <f t="shared" si="12"/>
        <v>2 LeadGen Set Appointments</v>
      </c>
    </row>
    <row r="3844" hidden="1">
      <c r="A3844" s="6" t="s">
        <v>52</v>
      </c>
      <c r="B3844" s="8" t="s">
        <v>1653</v>
      </c>
      <c r="C3844" s="8" t="s">
        <v>1654</v>
      </c>
      <c r="D3844" s="9">
        <v>2.0</v>
      </c>
      <c r="E3844" s="67">
        <f t="shared" si="11"/>
        <v>500</v>
      </c>
      <c r="F3844" s="67" t="str">
        <f t="shared" si="12"/>
        <v>2 LeadGen Set Appointments</v>
      </c>
    </row>
    <row r="3845" hidden="1">
      <c r="A3845" s="6" t="s">
        <v>52</v>
      </c>
      <c r="B3845" s="8" t="s">
        <v>582</v>
      </c>
      <c r="C3845" s="8" t="s">
        <v>583</v>
      </c>
      <c r="D3845" s="9">
        <v>2.0</v>
      </c>
      <c r="E3845" s="67">
        <f t="shared" si="11"/>
        <v>500</v>
      </c>
      <c r="F3845" s="67" t="str">
        <f t="shared" si="12"/>
        <v>2 LeadGen Set Appointments</v>
      </c>
    </row>
    <row r="3846" hidden="1">
      <c r="A3846" s="6" t="s">
        <v>52</v>
      </c>
      <c r="B3846" s="8" t="s">
        <v>1563</v>
      </c>
      <c r="C3846" s="8" t="s">
        <v>1564</v>
      </c>
      <c r="D3846" s="9">
        <v>2.0</v>
      </c>
      <c r="E3846" s="67">
        <f t="shared" si="11"/>
        <v>500</v>
      </c>
      <c r="F3846" s="67" t="str">
        <f t="shared" si="12"/>
        <v>2 LeadGen Set Appointments</v>
      </c>
    </row>
    <row r="3847" hidden="1">
      <c r="A3847" s="6" t="s">
        <v>52</v>
      </c>
      <c r="B3847" s="8" t="s">
        <v>1960</v>
      </c>
      <c r="C3847" s="8" t="s">
        <v>1961</v>
      </c>
      <c r="D3847" s="9">
        <v>2.0</v>
      </c>
      <c r="E3847" s="67">
        <f t="shared" si="11"/>
        <v>500</v>
      </c>
      <c r="F3847" s="67" t="str">
        <f t="shared" si="12"/>
        <v>2 LeadGen Set Appointments</v>
      </c>
    </row>
    <row r="3848" hidden="1">
      <c r="A3848" s="6" t="s">
        <v>52</v>
      </c>
      <c r="B3848" s="8" t="s">
        <v>1736</v>
      </c>
      <c r="C3848" s="8" t="s">
        <v>1737</v>
      </c>
      <c r="D3848" s="9">
        <v>2.0</v>
      </c>
      <c r="E3848" s="67">
        <f t="shared" si="11"/>
        <v>500</v>
      </c>
      <c r="F3848" s="67" t="str">
        <f t="shared" si="12"/>
        <v>2 LeadGen Set Appointments</v>
      </c>
    </row>
    <row r="3849" hidden="1">
      <c r="A3849" s="6" t="s">
        <v>52</v>
      </c>
      <c r="B3849" s="8" t="s">
        <v>532</v>
      </c>
      <c r="C3849" s="8" t="s">
        <v>533</v>
      </c>
      <c r="D3849" s="9">
        <v>2.0</v>
      </c>
      <c r="E3849" s="67">
        <f t="shared" si="11"/>
        <v>500</v>
      </c>
      <c r="F3849" s="67" t="str">
        <f t="shared" si="12"/>
        <v>2 LeadGen Set Appointments</v>
      </c>
    </row>
    <row r="3850" hidden="1">
      <c r="A3850" s="6" t="s">
        <v>52</v>
      </c>
      <c r="B3850" s="8" t="s">
        <v>1935</v>
      </c>
      <c r="C3850" s="8" t="s">
        <v>1936</v>
      </c>
      <c r="D3850" s="9">
        <v>2.0</v>
      </c>
      <c r="E3850" s="67">
        <f t="shared" si="11"/>
        <v>500</v>
      </c>
      <c r="F3850" s="67" t="str">
        <f t="shared" si="12"/>
        <v>2 LeadGen Set Appointments</v>
      </c>
    </row>
    <row r="3851" hidden="1">
      <c r="A3851" s="6" t="s">
        <v>52</v>
      </c>
      <c r="B3851" s="8" t="s">
        <v>1493</v>
      </c>
      <c r="C3851" s="8" t="s">
        <v>1494</v>
      </c>
      <c r="D3851" s="9">
        <v>2.0</v>
      </c>
      <c r="E3851" s="67">
        <f t="shared" si="11"/>
        <v>500</v>
      </c>
      <c r="F3851" s="67" t="str">
        <f t="shared" si="12"/>
        <v>2 LeadGen Set Appointments</v>
      </c>
    </row>
    <row r="3852" hidden="1">
      <c r="A3852" s="6" t="s">
        <v>52</v>
      </c>
      <c r="B3852" s="8" t="s">
        <v>1625</v>
      </c>
      <c r="C3852" s="8" t="s">
        <v>1626</v>
      </c>
      <c r="D3852" s="9">
        <v>2.0</v>
      </c>
      <c r="E3852" s="67">
        <f t="shared" si="11"/>
        <v>500</v>
      </c>
      <c r="F3852" s="67" t="str">
        <f t="shared" si="12"/>
        <v>2 LeadGen Set Appointments</v>
      </c>
    </row>
    <row r="3853" hidden="1">
      <c r="A3853" s="6" t="s">
        <v>52</v>
      </c>
      <c r="B3853" s="8" t="s">
        <v>1569</v>
      </c>
      <c r="C3853" s="8" t="s">
        <v>1570</v>
      </c>
      <c r="D3853" s="9">
        <v>2.0</v>
      </c>
      <c r="E3853" s="67">
        <f t="shared" si="11"/>
        <v>500</v>
      </c>
      <c r="F3853" s="67" t="str">
        <f t="shared" si="12"/>
        <v>2 LeadGen Set Appointments</v>
      </c>
    </row>
    <row r="3854" hidden="1">
      <c r="A3854" s="6" t="s">
        <v>52</v>
      </c>
      <c r="B3854" s="8" t="s">
        <v>701</v>
      </c>
      <c r="C3854" s="8" t="s">
        <v>702</v>
      </c>
      <c r="D3854" s="9">
        <v>2.0</v>
      </c>
      <c r="E3854" s="67">
        <f t="shared" si="11"/>
        <v>500</v>
      </c>
      <c r="F3854" s="67" t="str">
        <f t="shared" si="12"/>
        <v>2 LeadGen Set Appointments</v>
      </c>
    </row>
    <row r="3855" hidden="1">
      <c r="A3855" s="6" t="s">
        <v>52</v>
      </c>
      <c r="B3855" s="8" t="s">
        <v>1573</v>
      </c>
      <c r="C3855" s="8" t="s">
        <v>1574</v>
      </c>
      <c r="D3855" s="9">
        <v>2.0</v>
      </c>
      <c r="E3855" s="67">
        <f t="shared" si="11"/>
        <v>500</v>
      </c>
      <c r="F3855" s="67" t="str">
        <f t="shared" si="12"/>
        <v>2 LeadGen Set Appointments</v>
      </c>
    </row>
    <row r="3856" hidden="1">
      <c r="A3856" s="6" t="s">
        <v>52</v>
      </c>
      <c r="B3856" s="8" t="s">
        <v>1929</v>
      </c>
      <c r="C3856" s="8" t="s">
        <v>1930</v>
      </c>
      <c r="D3856" s="9">
        <v>2.0</v>
      </c>
      <c r="E3856" s="67">
        <f t="shared" si="11"/>
        <v>500</v>
      </c>
      <c r="F3856" s="67" t="str">
        <f t="shared" si="12"/>
        <v>2 LeadGen Set Appointments</v>
      </c>
    </row>
    <row r="3857" hidden="1">
      <c r="A3857" s="6" t="s">
        <v>52</v>
      </c>
      <c r="B3857" s="8" t="s">
        <v>445</v>
      </c>
      <c r="C3857" s="8" t="s">
        <v>446</v>
      </c>
      <c r="D3857" s="9">
        <v>2.0</v>
      </c>
      <c r="E3857" s="67">
        <f t="shared" si="11"/>
        <v>500</v>
      </c>
      <c r="F3857" s="67" t="str">
        <f t="shared" si="12"/>
        <v>2 LeadGen Set Appointments</v>
      </c>
    </row>
    <row r="3858" hidden="1">
      <c r="A3858" s="6" t="s">
        <v>52</v>
      </c>
      <c r="B3858" s="8" t="s">
        <v>1483</v>
      </c>
      <c r="C3858" s="8" t="s">
        <v>1484</v>
      </c>
      <c r="D3858" s="9">
        <v>2.0</v>
      </c>
      <c r="E3858" s="67">
        <f t="shared" si="11"/>
        <v>500</v>
      </c>
      <c r="F3858" s="67" t="str">
        <f t="shared" si="12"/>
        <v>2 LeadGen Set Appointments</v>
      </c>
    </row>
    <row r="3859" hidden="1">
      <c r="A3859" s="6" t="s">
        <v>52</v>
      </c>
      <c r="B3859" s="8" t="s">
        <v>1763</v>
      </c>
      <c r="C3859" s="8" t="s">
        <v>653</v>
      </c>
      <c r="D3859" s="9">
        <v>2.0</v>
      </c>
      <c r="E3859" s="67">
        <f t="shared" si="11"/>
        <v>500</v>
      </c>
      <c r="F3859" s="67" t="str">
        <f t="shared" si="12"/>
        <v>2 LeadGen Set Appointments</v>
      </c>
    </row>
    <row r="3860" hidden="1">
      <c r="A3860" s="6" t="s">
        <v>52</v>
      </c>
      <c r="B3860" s="8" t="s">
        <v>1819</v>
      </c>
      <c r="C3860" s="8" t="s">
        <v>1820</v>
      </c>
      <c r="D3860" s="9">
        <v>2.0</v>
      </c>
      <c r="E3860" s="67">
        <f t="shared" si="11"/>
        <v>500</v>
      </c>
      <c r="F3860" s="67" t="str">
        <f t="shared" si="12"/>
        <v>2 LeadGen Set Appointments</v>
      </c>
    </row>
    <row r="3861" hidden="1">
      <c r="A3861" s="6" t="s">
        <v>52</v>
      </c>
      <c r="B3861" s="8" t="s">
        <v>1694</v>
      </c>
      <c r="C3861" s="8" t="s">
        <v>1695</v>
      </c>
      <c r="D3861" s="9">
        <v>2.0</v>
      </c>
      <c r="E3861" s="67">
        <f t="shared" si="11"/>
        <v>500</v>
      </c>
      <c r="F3861" s="67" t="str">
        <f t="shared" si="12"/>
        <v>2 LeadGen Set Appointments</v>
      </c>
    </row>
    <row r="3862" hidden="1">
      <c r="A3862" s="6" t="s">
        <v>52</v>
      </c>
      <c r="B3862" s="8" t="s">
        <v>1585</v>
      </c>
      <c r="C3862" s="8" t="s">
        <v>1586</v>
      </c>
      <c r="D3862" s="9">
        <v>2.0</v>
      </c>
      <c r="E3862" s="67">
        <f t="shared" si="11"/>
        <v>500</v>
      </c>
      <c r="F3862" s="67" t="str">
        <f t="shared" si="12"/>
        <v>2 LeadGen Set Appointments</v>
      </c>
    </row>
    <row r="3863" hidden="1">
      <c r="A3863" s="6" t="s">
        <v>52</v>
      </c>
      <c r="B3863" s="8" t="s">
        <v>246</v>
      </c>
      <c r="C3863" s="8" t="s">
        <v>1889</v>
      </c>
      <c r="D3863" s="9">
        <v>2.0</v>
      </c>
      <c r="E3863" s="67">
        <f t="shared" si="11"/>
        <v>500</v>
      </c>
      <c r="F3863" s="67" t="str">
        <f t="shared" si="12"/>
        <v>2 LeadGen Set Appointments</v>
      </c>
    </row>
    <row r="3864" hidden="1">
      <c r="A3864" s="6" t="s">
        <v>52</v>
      </c>
      <c r="B3864" s="8" t="s">
        <v>1702</v>
      </c>
      <c r="C3864" s="8" t="s">
        <v>1703</v>
      </c>
      <c r="D3864" s="9">
        <v>2.0</v>
      </c>
      <c r="E3864" s="67">
        <f t="shared" si="11"/>
        <v>500</v>
      </c>
      <c r="F3864" s="67" t="str">
        <f t="shared" si="12"/>
        <v>2 LeadGen Set Appointments</v>
      </c>
    </row>
    <row r="3865" hidden="1">
      <c r="A3865" s="6" t="s">
        <v>52</v>
      </c>
      <c r="B3865" s="8" t="s">
        <v>1921</v>
      </c>
      <c r="C3865" s="8" t="s">
        <v>33</v>
      </c>
      <c r="D3865" s="9">
        <v>2.0</v>
      </c>
      <c r="E3865" s="67">
        <f t="shared" si="11"/>
        <v>500</v>
      </c>
      <c r="F3865" s="67" t="str">
        <f t="shared" si="12"/>
        <v>2 LeadGen Set Appointments</v>
      </c>
    </row>
    <row r="3866" hidden="1">
      <c r="A3866" s="6" t="s">
        <v>52</v>
      </c>
      <c r="B3866" s="8" t="s">
        <v>656</v>
      </c>
      <c r="C3866" s="8" t="s">
        <v>657</v>
      </c>
      <c r="D3866" s="9">
        <v>2.0</v>
      </c>
      <c r="E3866" s="67">
        <f t="shared" si="11"/>
        <v>500</v>
      </c>
      <c r="F3866" s="67" t="str">
        <f t="shared" si="12"/>
        <v>2 LeadGen Set Appointments</v>
      </c>
    </row>
    <row r="3867" hidden="1">
      <c r="A3867" s="6" t="s">
        <v>52</v>
      </c>
      <c r="B3867" s="8" t="s">
        <v>1113</v>
      </c>
      <c r="C3867" s="8" t="s">
        <v>37</v>
      </c>
      <c r="D3867" s="9">
        <v>2.0</v>
      </c>
      <c r="E3867" s="67">
        <f t="shared" si="11"/>
        <v>500</v>
      </c>
      <c r="F3867" s="67" t="str">
        <f t="shared" si="12"/>
        <v>2 LeadGen Set Appointments</v>
      </c>
    </row>
    <row r="3868" hidden="1">
      <c r="A3868" s="6" t="s">
        <v>52</v>
      </c>
      <c r="B3868" s="8" t="s">
        <v>1237</v>
      </c>
      <c r="C3868" s="8" t="s">
        <v>1238</v>
      </c>
      <c r="D3868" s="9">
        <v>2.0</v>
      </c>
      <c r="E3868" s="67">
        <f t="shared" si="11"/>
        <v>500</v>
      </c>
      <c r="F3868" s="67" t="str">
        <f t="shared" si="12"/>
        <v>2 LeadGen Set Appointments</v>
      </c>
    </row>
    <row r="3869" hidden="1">
      <c r="A3869" s="6" t="s">
        <v>52</v>
      </c>
      <c r="B3869" s="8" t="s">
        <v>564</v>
      </c>
      <c r="C3869" s="8" t="s">
        <v>565</v>
      </c>
      <c r="D3869" s="9">
        <v>2.0</v>
      </c>
      <c r="E3869" s="67">
        <f t="shared" si="11"/>
        <v>500</v>
      </c>
      <c r="F3869" s="67" t="str">
        <f t="shared" si="12"/>
        <v>2 LeadGen Set Appointments</v>
      </c>
    </row>
    <row r="3870" hidden="1">
      <c r="A3870" s="6" t="s">
        <v>52</v>
      </c>
      <c r="B3870" s="8" t="s">
        <v>1686</v>
      </c>
      <c r="C3870" s="8" t="s">
        <v>1687</v>
      </c>
      <c r="D3870" s="9">
        <v>2.0</v>
      </c>
      <c r="E3870" s="67">
        <f t="shared" si="11"/>
        <v>500</v>
      </c>
      <c r="F3870" s="67" t="str">
        <f t="shared" si="12"/>
        <v>2 LeadGen Set Appointments</v>
      </c>
    </row>
    <row r="3871" hidden="1">
      <c r="A3871" s="6" t="s">
        <v>52</v>
      </c>
      <c r="B3871" s="8" t="s">
        <v>1925</v>
      </c>
      <c r="C3871" s="8" t="s">
        <v>35</v>
      </c>
      <c r="D3871" s="9">
        <v>2.0</v>
      </c>
      <c r="E3871" s="67">
        <f t="shared" si="11"/>
        <v>500</v>
      </c>
      <c r="F3871" s="67" t="str">
        <f t="shared" si="12"/>
        <v>2 LeadGen Set Appointments</v>
      </c>
    </row>
    <row r="3872" hidden="1">
      <c r="A3872" s="6" t="s">
        <v>52</v>
      </c>
      <c r="B3872" s="8" t="s">
        <v>1499</v>
      </c>
      <c r="C3872" s="8" t="s">
        <v>1500</v>
      </c>
      <c r="D3872" s="9">
        <v>2.0</v>
      </c>
      <c r="E3872" s="67">
        <f t="shared" si="11"/>
        <v>500</v>
      </c>
      <c r="F3872" s="67" t="str">
        <f t="shared" si="12"/>
        <v>2 LeadGen Set Appointments</v>
      </c>
    </row>
    <row r="3873" hidden="1">
      <c r="A3873" s="6" t="s">
        <v>52</v>
      </c>
      <c r="B3873" s="8" t="s">
        <v>2012</v>
      </c>
      <c r="C3873" s="8" t="s">
        <v>2013</v>
      </c>
      <c r="D3873" s="9">
        <v>2.0</v>
      </c>
      <c r="E3873" s="67">
        <f t="shared" si="11"/>
        <v>500</v>
      </c>
      <c r="F3873" s="67" t="str">
        <f t="shared" si="12"/>
        <v>2 LeadGen Set Appointments</v>
      </c>
    </row>
    <row r="3874" hidden="1">
      <c r="A3874" s="6" t="s">
        <v>52</v>
      </c>
      <c r="B3874" s="8" t="s">
        <v>1291</v>
      </c>
      <c r="C3874" s="8" t="s">
        <v>422</v>
      </c>
      <c r="D3874" s="9">
        <v>1.0</v>
      </c>
      <c r="E3874" s="67">
        <f t="shared" si="11"/>
        <v>250</v>
      </c>
      <c r="F3874" s="67" t="str">
        <f t="shared" si="12"/>
        <v>1 LeadGen Set Appointments</v>
      </c>
    </row>
    <row r="3875" hidden="1">
      <c r="A3875" s="6" t="s">
        <v>52</v>
      </c>
      <c r="B3875" s="8" t="s">
        <v>1774</v>
      </c>
      <c r="C3875" s="8" t="s">
        <v>1775</v>
      </c>
      <c r="D3875" s="9">
        <v>1.0</v>
      </c>
      <c r="E3875" s="67">
        <f t="shared" si="11"/>
        <v>250</v>
      </c>
      <c r="F3875" s="67" t="str">
        <f t="shared" si="12"/>
        <v>1 LeadGen Set Appointments</v>
      </c>
    </row>
    <row r="3876" hidden="1">
      <c r="A3876" s="6" t="s">
        <v>52</v>
      </c>
      <c r="B3876" s="8" t="s">
        <v>244</v>
      </c>
      <c r="C3876" s="8" t="s">
        <v>1888</v>
      </c>
      <c r="D3876" s="9">
        <v>1.0</v>
      </c>
      <c r="E3876" s="67">
        <f t="shared" si="11"/>
        <v>250</v>
      </c>
      <c r="F3876" s="67" t="str">
        <f t="shared" si="12"/>
        <v>1 LeadGen Set Appointments</v>
      </c>
    </row>
    <row r="3877" hidden="1">
      <c r="A3877" s="6" t="s">
        <v>52</v>
      </c>
      <c r="B3877" s="8" t="s">
        <v>1957</v>
      </c>
      <c r="C3877" s="8" t="s">
        <v>1958</v>
      </c>
      <c r="D3877" s="9">
        <v>1.0</v>
      </c>
      <c r="E3877" s="67">
        <f t="shared" si="11"/>
        <v>250</v>
      </c>
      <c r="F3877" s="67" t="str">
        <f t="shared" si="12"/>
        <v>1 LeadGen Set Appointments</v>
      </c>
    </row>
    <row r="3878" hidden="1">
      <c r="A3878" s="6" t="s">
        <v>52</v>
      </c>
      <c r="B3878" s="8" t="s">
        <v>431</v>
      </c>
      <c r="C3878" s="8" t="s">
        <v>432</v>
      </c>
      <c r="D3878" s="9">
        <v>1.0</v>
      </c>
      <c r="E3878" s="67">
        <f t="shared" si="11"/>
        <v>250</v>
      </c>
      <c r="F3878" s="67" t="str">
        <f t="shared" si="12"/>
        <v>1 LeadGen Set Appointments</v>
      </c>
    </row>
    <row r="3879" hidden="1">
      <c r="A3879" s="6" t="s">
        <v>52</v>
      </c>
      <c r="B3879" s="8" t="s">
        <v>1606</v>
      </c>
      <c r="C3879" s="8" t="s">
        <v>1607</v>
      </c>
      <c r="D3879" s="9">
        <v>1.0</v>
      </c>
      <c r="E3879" s="67">
        <f t="shared" si="11"/>
        <v>250</v>
      </c>
      <c r="F3879" s="67" t="str">
        <f t="shared" si="12"/>
        <v>1 LeadGen Set Appointments</v>
      </c>
    </row>
    <row r="3880" hidden="1">
      <c r="A3880" s="6" t="s">
        <v>52</v>
      </c>
      <c r="B3880" s="8" t="s">
        <v>1871</v>
      </c>
      <c r="C3880" s="8" t="s">
        <v>1872</v>
      </c>
      <c r="D3880" s="9">
        <v>1.0</v>
      </c>
      <c r="E3880" s="67">
        <f t="shared" si="11"/>
        <v>250</v>
      </c>
      <c r="F3880" s="67" t="str">
        <f t="shared" si="12"/>
        <v>1 LeadGen Set Appointments</v>
      </c>
    </row>
    <row r="3881" hidden="1">
      <c r="A3881" s="6" t="s">
        <v>52</v>
      </c>
      <c r="B3881" s="8" t="s">
        <v>1467</v>
      </c>
      <c r="C3881" s="8" t="s">
        <v>1468</v>
      </c>
      <c r="D3881" s="9">
        <v>1.0</v>
      </c>
      <c r="E3881" s="67">
        <f t="shared" si="11"/>
        <v>250</v>
      </c>
      <c r="F3881" s="67" t="str">
        <f t="shared" si="12"/>
        <v>1 LeadGen Set Appointments</v>
      </c>
    </row>
    <row r="3882" hidden="1">
      <c r="A3882" s="6" t="s">
        <v>52</v>
      </c>
      <c r="B3882" s="8" t="s">
        <v>1608</v>
      </c>
      <c r="C3882" s="8" t="s">
        <v>1609</v>
      </c>
      <c r="D3882" s="9">
        <v>1.0</v>
      </c>
      <c r="E3882" s="67">
        <f t="shared" si="11"/>
        <v>250</v>
      </c>
      <c r="F3882" s="67" t="str">
        <f t="shared" si="12"/>
        <v>1 LeadGen Set Appointments</v>
      </c>
    </row>
    <row r="3883" hidden="1">
      <c r="A3883" s="6" t="s">
        <v>52</v>
      </c>
      <c r="B3883" s="8" t="s">
        <v>1778</v>
      </c>
      <c r="C3883" s="8" t="s">
        <v>1779</v>
      </c>
      <c r="D3883" s="9">
        <v>1.0</v>
      </c>
      <c r="E3883" s="67">
        <f t="shared" si="11"/>
        <v>250</v>
      </c>
      <c r="F3883" s="67" t="str">
        <f t="shared" si="12"/>
        <v>1 LeadGen Set Appointments</v>
      </c>
    </row>
    <row r="3884" hidden="1">
      <c r="A3884" s="6" t="s">
        <v>52</v>
      </c>
      <c r="B3884" s="8" t="s">
        <v>2014</v>
      </c>
      <c r="C3884" s="8" t="s">
        <v>2015</v>
      </c>
      <c r="D3884" s="9">
        <v>1.0</v>
      </c>
      <c r="E3884" s="67">
        <f t="shared" si="11"/>
        <v>250</v>
      </c>
      <c r="F3884" s="67" t="str">
        <f t="shared" si="12"/>
        <v>1 LeadGen Set Appointments</v>
      </c>
    </row>
    <row r="3885" hidden="1">
      <c r="A3885" s="6" t="s">
        <v>52</v>
      </c>
      <c r="B3885" s="8" t="s">
        <v>1842</v>
      </c>
      <c r="C3885" s="8" t="s">
        <v>1843</v>
      </c>
      <c r="D3885" s="9">
        <v>1.0</v>
      </c>
      <c r="E3885" s="67">
        <f t="shared" si="11"/>
        <v>250</v>
      </c>
      <c r="F3885" s="67" t="str">
        <f t="shared" si="12"/>
        <v>1 LeadGen Set Appointments</v>
      </c>
    </row>
    <row r="3886" hidden="1">
      <c r="A3886" s="6" t="s">
        <v>52</v>
      </c>
      <c r="B3886" s="8" t="s">
        <v>1931</v>
      </c>
      <c r="C3886" s="8" t="s">
        <v>1932</v>
      </c>
      <c r="D3886" s="9">
        <v>1.0</v>
      </c>
      <c r="E3886" s="67">
        <f t="shared" si="11"/>
        <v>250</v>
      </c>
      <c r="F3886" s="67" t="str">
        <f t="shared" si="12"/>
        <v>1 LeadGen Set Appointments</v>
      </c>
    </row>
    <row r="3887" hidden="1">
      <c r="A3887" s="6" t="s">
        <v>52</v>
      </c>
      <c r="B3887" s="8" t="s">
        <v>922</v>
      </c>
      <c r="C3887" s="8" t="s">
        <v>923</v>
      </c>
      <c r="D3887" s="9">
        <v>1.0</v>
      </c>
      <c r="E3887" s="67">
        <f t="shared" si="11"/>
        <v>250</v>
      </c>
      <c r="F3887" s="67" t="str">
        <f t="shared" si="12"/>
        <v>1 LeadGen Set Appointments</v>
      </c>
    </row>
    <row r="3888" hidden="1">
      <c r="A3888" s="6" t="s">
        <v>52</v>
      </c>
      <c r="B3888" s="8" t="s">
        <v>606</v>
      </c>
      <c r="C3888" s="8" t="s">
        <v>607</v>
      </c>
      <c r="D3888" s="9">
        <v>1.0</v>
      </c>
      <c r="E3888" s="67">
        <f t="shared" si="11"/>
        <v>250</v>
      </c>
      <c r="F3888" s="67" t="str">
        <f t="shared" si="12"/>
        <v>1 LeadGen Set Appointments</v>
      </c>
    </row>
    <row r="3889" hidden="1">
      <c r="A3889" s="6" t="s">
        <v>52</v>
      </c>
      <c r="B3889" s="8" t="s">
        <v>2016</v>
      </c>
      <c r="C3889" s="8" t="s">
        <v>2017</v>
      </c>
      <c r="D3889" s="9">
        <v>1.0</v>
      </c>
      <c r="E3889" s="67">
        <f t="shared" si="11"/>
        <v>250</v>
      </c>
      <c r="F3889" s="67" t="str">
        <f t="shared" si="12"/>
        <v>1 LeadGen Set Appointments</v>
      </c>
    </row>
    <row r="3890" hidden="1">
      <c r="A3890" s="6" t="s">
        <v>52</v>
      </c>
      <c r="B3890" s="8" t="s">
        <v>1674</v>
      </c>
      <c r="C3890" s="8" t="s">
        <v>1675</v>
      </c>
      <c r="D3890" s="9">
        <v>1.0</v>
      </c>
      <c r="E3890" s="67">
        <f t="shared" si="11"/>
        <v>250</v>
      </c>
      <c r="F3890" s="67" t="str">
        <f t="shared" si="12"/>
        <v>1 LeadGen Set Appointments</v>
      </c>
    </row>
    <row r="3891" hidden="1">
      <c r="A3891" s="6" t="s">
        <v>52</v>
      </c>
      <c r="B3891" s="8" t="s">
        <v>1955</v>
      </c>
      <c r="C3891" s="8" t="s">
        <v>1956</v>
      </c>
      <c r="D3891" s="9">
        <v>1.0</v>
      </c>
      <c r="E3891" s="67">
        <f t="shared" si="11"/>
        <v>250</v>
      </c>
      <c r="F3891" s="67" t="str">
        <f t="shared" si="12"/>
        <v>1 LeadGen Set Appointments</v>
      </c>
    </row>
    <row r="3892" hidden="1">
      <c r="A3892" s="6" t="s">
        <v>52</v>
      </c>
      <c r="B3892" s="8" t="s">
        <v>1424</v>
      </c>
      <c r="C3892" s="8" t="s">
        <v>1425</v>
      </c>
      <c r="D3892" s="9">
        <v>1.0</v>
      </c>
      <c r="E3892" s="67">
        <f t="shared" si="11"/>
        <v>250</v>
      </c>
      <c r="F3892" s="67" t="str">
        <f t="shared" si="12"/>
        <v>1 LeadGen Set Appointments</v>
      </c>
    </row>
    <row r="3893" hidden="1">
      <c r="A3893" s="6" t="s">
        <v>52</v>
      </c>
      <c r="B3893" s="8" t="s">
        <v>1964</v>
      </c>
      <c r="C3893" s="8" t="s">
        <v>1965</v>
      </c>
      <c r="D3893" s="9">
        <v>1.0</v>
      </c>
      <c r="E3893" s="67">
        <f t="shared" si="11"/>
        <v>250</v>
      </c>
      <c r="F3893" s="67" t="str">
        <f t="shared" si="12"/>
        <v>1 LeadGen Set Appointments</v>
      </c>
    </row>
    <row r="3894" hidden="1">
      <c r="A3894" s="6" t="s">
        <v>52</v>
      </c>
      <c r="B3894" s="8" t="s">
        <v>1941</v>
      </c>
      <c r="C3894" s="8" t="s">
        <v>1942</v>
      </c>
      <c r="D3894" s="9">
        <v>1.0</v>
      </c>
      <c r="E3894" s="67">
        <f t="shared" si="11"/>
        <v>250</v>
      </c>
      <c r="F3894" s="67" t="str">
        <f t="shared" si="12"/>
        <v>1 LeadGen Set Appointments</v>
      </c>
    </row>
    <row r="3895" hidden="1">
      <c r="A3895" s="6" t="s">
        <v>52</v>
      </c>
      <c r="B3895" s="8" t="s">
        <v>1356</v>
      </c>
      <c r="C3895" s="8" t="s">
        <v>1985</v>
      </c>
      <c r="D3895" s="9">
        <v>1.0</v>
      </c>
      <c r="E3895" s="67">
        <f t="shared" si="11"/>
        <v>250</v>
      </c>
      <c r="F3895" s="67" t="str">
        <f t="shared" si="12"/>
        <v>1 LeadGen Set Appointments</v>
      </c>
    </row>
    <row r="3896" hidden="1">
      <c r="A3896" s="6" t="s">
        <v>52</v>
      </c>
      <c r="B3896" s="8" t="s">
        <v>2018</v>
      </c>
      <c r="C3896" s="8" t="s">
        <v>2019</v>
      </c>
      <c r="D3896" s="9">
        <v>1.0</v>
      </c>
      <c r="E3896" s="67">
        <f t="shared" si="11"/>
        <v>250</v>
      </c>
      <c r="F3896" s="67" t="str">
        <f t="shared" si="12"/>
        <v>1 LeadGen Set Appointments</v>
      </c>
    </row>
    <row r="3897" hidden="1">
      <c r="A3897" s="6" t="s">
        <v>52</v>
      </c>
      <c r="B3897" s="8" t="s">
        <v>1981</v>
      </c>
      <c r="C3897" s="8" t="s">
        <v>1982</v>
      </c>
      <c r="D3897" s="9">
        <v>1.0</v>
      </c>
      <c r="E3897" s="67">
        <f t="shared" si="11"/>
        <v>250</v>
      </c>
      <c r="F3897" s="67" t="str">
        <f t="shared" si="12"/>
        <v>1 LeadGen Set Appointments</v>
      </c>
    </row>
    <row r="3898" hidden="1">
      <c r="A3898" s="6" t="s">
        <v>52</v>
      </c>
      <c r="B3898" s="8" t="s">
        <v>234</v>
      </c>
      <c r="C3898" s="8" t="s">
        <v>1922</v>
      </c>
      <c r="D3898" s="9">
        <v>1.0</v>
      </c>
      <c r="E3898" s="67">
        <f t="shared" si="11"/>
        <v>250</v>
      </c>
      <c r="F3898" s="67" t="str">
        <f t="shared" si="12"/>
        <v>1 LeadGen Set Appointments</v>
      </c>
    </row>
    <row r="3899" hidden="1">
      <c r="A3899" s="6" t="s">
        <v>52</v>
      </c>
      <c r="B3899" s="8" t="s">
        <v>825</v>
      </c>
      <c r="C3899" s="8" t="s">
        <v>1766</v>
      </c>
      <c r="D3899" s="9">
        <v>1.0</v>
      </c>
      <c r="E3899" s="67">
        <f t="shared" si="11"/>
        <v>250</v>
      </c>
      <c r="F3899" s="67" t="str">
        <f t="shared" si="12"/>
        <v>1 LeadGen Set Appointments</v>
      </c>
    </row>
    <row r="3900" hidden="1">
      <c r="A3900" s="6" t="s">
        <v>52</v>
      </c>
      <c r="B3900" s="8" t="s">
        <v>2020</v>
      </c>
      <c r="C3900" s="8" t="s">
        <v>2021</v>
      </c>
      <c r="D3900" s="9">
        <v>1.0</v>
      </c>
      <c r="E3900" s="67">
        <f t="shared" si="11"/>
        <v>250</v>
      </c>
      <c r="F3900" s="67" t="str">
        <f t="shared" si="12"/>
        <v>1 LeadGen Set Appointments</v>
      </c>
    </row>
    <row r="3901" hidden="1">
      <c r="A3901" s="6" t="s">
        <v>52</v>
      </c>
      <c r="B3901" s="8" t="s">
        <v>1767</v>
      </c>
      <c r="C3901" s="8" t="s">
        <v>521</v>
      </c>
      <c r="D3901" s="9">
        <v>1.0</v>
      </c>
      <c r="E3901" s="67">
        <f t="shared" si="11"/>
        <v>250</v>
      </c>
      <c r="F3901" s="67" t="str">
        <f t="shared" si="12"/>
        <v>1 LeadGen Set Appointments</v>
      </c>
    </row>
    <row r="3902" hidden="1">
      <c r="A3902" s="6" t="s">
        <v>52</v>
      </c>
      <c r="B3902" s="8" t="s">
        <v>2022</v>
      </c>
      <c r="C3902" s="8" t="s">
        <v>2023</v>
      </c>
      <c r="D3902" s="9">
        <v>1.0</v>
      </c>
      <c r="E3902" s="67">
        <f t="shared" si="11"/>
        <v>250</v>
      </c>
      <c r="F3902" s="67" t="str">
        <f t="shared" si="12"/>
        <v>1 LeadGen Set Appointments</v>
      </c>
    </row>
    <row r="3903" hidden="1">
      <c r="A3903" s="6" t="s">
        <v>52</v>
      </c>
      <c r="B3903" s="8" t="s">
        <v>1526</v>
      </c>
      <c r="C3903" s="8" t="s">
        <v>1527</v>
      </c>
      <c r="D3903" s="9">
        <v>1.0</v>
      </c>
      <c r="E3903" s="67">
        <f t="shared" si="11"/>
        <v>250</v>
      </c>
      <c r="F3903" s="67" t="str">
        <f t="shared" si="12"/>
        <v>1 LeadGen Set Appointments</v>
      </c>
    </row>
    <row r="3904" hidden="1">
      <c r="A3904" s="6" t="s">
        <v>52</v>
      </c>
      <c r="B3904" s="8" t="s">
        <v>1712</v>
      </c>
      <c r="C3904" s="8" t="s">
        <v>1713</v>
      </c>
      <c r="D3904" s="9">
        <v>1.0</v>
      </c>
      <c r="E3904" s="67">
        <f t="shared" si="11"/>
        <v>250</v>
      </c>
      <c r="F3904" s="67" t="str">
        <f t="shared" si="12"/>
        <v>1 LeadGen Set Appointments</v>
      </c>
    </row>
    <row r="3905" hidden="1">
      <c r="A3905" s="6" t="s">
        <v>52</v>
      </c>
      <c r="B3905" s="8" t="s">
        <v>1975</v>
      </c>
      <c r="C3905" s="8" t="s">
        <v>1976</v>
      </c>
      <c r="D3905" s="9">
        <v>1.0</v>
      </c>
      <c r="E3905" s="67">
        <f t="shared" si="11"/>
        <v>250</v>
      </c>
      <c r="F3905" s="67" t="str">
        <f t="shared" si="12"/>
        <v>1 LeadGen Set Appointments</v>
      </c>
    </row>
    <row r="3906" hidden="1">
      <c r="A3906" s="6" t="s">
        <v>52</v>
      </c>
      <c r="B3906" s="8" t="s">
        <v>1971</v>
      </c>
      <c r="C3906" s="8" t="s">
        <v>1972</v>
      </c>
      <c r="D3906" s="9">
        <v>1.0</v>
      </c>
      <c r="E3906" s="67">
        <f t="shared" si="11"/>
        <v>250</v>
      </c>
      <c r="F3906" s="67" t="str">
        <f t="shared" si="12"/>
        <v>1 LeadGen Set Appointments</v>
      </c>
    </row>
    <row r="3907" hidden="1">
      <c r="A3907" s="6" t="s">
        <v>52</v>
      </c>
      <c r="B3907" s="8" t="s">
        <v>1821</v>
      </c>
      <c r="C3907" s="8" t="s">
        <v>1822</v>
      </c>
      <c r="D3907" s="9">
        <v>1.0</v>
      </c>
      <c r="E3907" s="67">
        <f t="shared" si="11"/>
        <v>250</v>
      </c>
      <c r="F3907" s="67" t="str">
        <f t="shared" si="12"/>
        <v>1 LeadGen Set Appointments</v>
      </c>
    </row>
    <row r="3908" hidden="1">
      <c r="A3908" s="6" t="s">
        <v>52</v>
      </c>
      <c r="B3908" s="8" t="s">
        <v>2024</v>
      </c>
      <c r="C3908" s="8" t="s">
        <v>2025</v>
      </c>
      <c r="D3908" s="9">
        <v>1.0</v>
      </c>
      <c r="E3908" s="67">
        <f t="shared" si="11"/>
        <v>250</v>
      </c>
      <c r="F3908" s="67" t="str">
        <f t="shared" si="12"/>
        <v>1 LeadGen Set Appointments</v>
      </c>
    </row>
    <row r="3909" hidden="1">
      <c r="A3909" s="6" t="s">
        <v>52</v>
      </c>
      <c r="B3909" s="8" t="s">
        <v>2026</v>
      </c>
      <c r="C3909" s="8" t="s">
        <v>2027</v>
      </c>
      <c r="D3909" s="9">
        <v>1.0</v>
      </c>
      <c r="E3909" s="67">
        <f t="shared" si="11"/>
        <v>250</v>
      </c>
      <c r="F3909" s="67" t="str">
        <f t="shared" si="12"/>
        <v>1 LeadGen Set Appointments</v>
      </c>
    </row>
    <row r="3910" hidden="1">
      <c r="A3910" s="16" t="s">
        <v>55</v>
      </c>
      <c r="B3910" s="13" t="s">
        <v>476</v>
      </c>
      <c r="C3910" s="13" t="s">
        <v>477</v>
      </c>
      <c r="D3910" s="13">
        <v>31.0</v>
      </c>
      <c r="E3910" s="67">
        <f t="shared" si="11"/>
        <v>15500</v>
      </c>
      <c r="F3910" s="62" t="str">
        <f t="shared" si="12"/>
        <v>31 LeadGen Set Appointments</v>
      </c>
    </row>
    <row r="3911" hidden="1">
      <c r="A3911" s="16" t="s">
        <v>55</v>
      </c>
      <c r="B3911" s="13" t="s">
        <v>644</v>
      </c>
      <c r="C3911" s="13" t="s">
        <v>645</v>
      </c>
      <c r="D3911" s="13">
        <v>21.0</v>
      </c>
      <c r="E3911" s="67">
        <f t="shared" si="11"/>
        <v>10500</v>
      </c>
      <c r="F3911" s="62" t="str">
        <f t="shared" si="12"/>
        <v>21 LeadGen Set Appointments</v>
      </c>
    </row>
    <row r="3912" hidden="1">
      <c r="A3912" s="16" t="s">
        <v>55</v>
      </c>
      <c r="B3912" s="13" t="s">
        <v>1557</v>
      </c>
      <c r="C3912" s="13" t="s">
        <v>1558</v>
      </c>
      <c r="D3912" s="13">
        <v>20.0</v>
      </c>
      <c r="E3912" s="67">
        <f t="shared" si="11"/>
        <v>10000</v>
      </c>
      <c r="F3912" s="62" t="str">
        <f t="shared" si="12"/>
        <v>20 LeadGen Set Appointments</v>
      </c>
    </row>
    <row r="3913" hidden="1">
      <c r="A3913" s="16" t="s">
        <v>55</v>
      </c>
      <c r="B3913" s="13" t="s">
        <v>723</v>
      </c>
      <c r="C3913" s="13" t="s">
        <v>724</v>
      </c>
      <c r="D3913" s="13">
        <v>16.0</v>
      </c>
      <c r="E3913" s="67">
        <f t="shared" si="11"/>
        <v>8000</v>
      </c>
      <c r="F3913" s="62" t="str">
        <f t="shared" si="12"/>
        <v>16 LeadGen Set Appointments</v>
      </c>
    </row>
    <row r="3914" hidden="1">
      <c r="A3914" s="16" t="s">
        <v>55</v>
      </c>
      <c r="B3914" s="13" t="s">
        <v>1415</v>
      </c>
      <c r="C3914" s="13" t="s">
        <v>1416</v>
      </c>
      <c r="D3914" s="13">
        <v>15.0</v>
      </c>
      <c r="E3914" s="67">
        <f t="shared" si="11"/>
        <v>7500</v>
      </c>
      <c r="F3914" s="62" t="str">
        <f t="shared" si="12"/>
        <v>15 LeadGen Set Appointments</v>
      </c>
    </row>
    <row r="3915" hidden="1">
      <c r="A3915" s="16" t="s">
        <v>55</v>
      </c>
      <c r="B3915" s="13" t="s">
        <v>766</v>
      </c>
      <c r="C3915" s="13" t="s">
        <v>767</v>
      </c>
      <c r="D3915" s="13">
        <v>13.0</v>
      </c>
      <c r="E3915" s="67">
        <f t="shared" si="11"/>
        <v>6500</v>
      </c>
      <c r="F3915" s="62" t="str">
        <f t="shared" si="12"/>
        <v>13 LeadGen Set Appointments</v>
      </c>
    </row>
    <row r="3916" hidden="1">
      <c r="A3916" s="16" t="s">
        <v>55</v>
      </c>
      <c r="B3916" s="13" t="s">
        <v>628</v>
      </c>
      <c r="C3916" s="13" t="s">
        <v>629</v>
      </c>
      <c r="D3916" s="13">
        <v>12.0</v>
      </c>
      <c r="E3916" s="67">
        <f t="shared" si="11"/>
        <v>6000</v>
      </c>
      <c r="F3916" s="62" t="str">
        <f t="shared" si="12"/>
        <v>12 LeadGen Set Appointments</v>
      </c>
    </row>
    <row r="3917" hidden="1">
      <c r="A3917" s="16" t="s">
        <v>55</v>
      </c>
      <c r="B3917" s="13" t="s">
        <v>1927</v>
      </c>
      <c r="C3917" s="13" t="s">
        <v>1928</v>
      </c>
      <c r="D3917" s="13">
        <v>12.0</v>
      </c>
      <c r="E3917" s="67">
        <f t="shared" si="11"/>
        <v>6000</v>
      </c>
      <c r="F3917" s="62" t="str">
        <f t="shared" si="12"/>
        <v>12 LeadGen Set Appointments</v>
      </c>
    </row>
    <row r="3918" hidden="1">
      <c r="A3918" s="16" t="s">
        <v>55</v>
      </c>
      <c r="B3918" s="13" t="s">
        <v>1491</v>
      </c>
      <c r="C3918" s="13" t="s">
        <v>1492</v>
      </c>
      <c r="D3918" s="13">
        <v>12.0</v>
      </c>
      <c r="E3918" s="67">
        <f t="shared" si="11"/>
        <v>6000</v>
      </c>
      <c r="F3918" s="62" t="str">
        <f t="shared" si="12"/>
        <v>12 LeadGen Set Appointments</v>
      </c>
    </row>
    <row r="3919" hidden="1">
      <c r="A3919" s="16" t="s">
        <v>55</v>
      </c>
      <c r="B3919" s="13" t="s">
        <v>640</v>
      </c>
      <c r="C3919" s="13" t="s">
        <v>641</v>
      </c>
      <c r="D3919" s="13">
        <v>11.0</v>
      </c>
      <c r="E3919" s="67">
        <f t="shared" si="11"/>
        <v>5500</v>
      </c>
      <c r="F3919" s="62" t="str">
        <f t="shared" si="12"/>
        <v>11 LeadGen Set Appointments</v>
      </c>
    </row>
    <row r="3920" hidden="1">
      <c r="A3920" s="16" t="s">
        <v>55</v>
      </c>
      <c r="B3920" s="13" t="s">
        <v>486</v>
      </c>
      <c r="C3920" s="13" t="s">
        <v>487</v>
      </c>
      <c r="D3920" s="13">
        <v>10.0</v>
      </c>
      <c r="E3920" s="67">
        <f t="shared" si="11"/>
        <v>5000</v>
      </c>
      <c r="F3920" s="62" t="str">
        <f t="shared" si="12"/>
        <v>10 LeadGen Set Appointments</v>
      </c>
    </row>
    <row r="3921" hidden="1">
      <c r="A3921" s="16" t="s">
        <v>55</v>
      </c>
      <c r="B3921" s="13" t="s">
        <v>540</v>
      </c>
      <c r="C3921" s="13" t="s">
        <v>1454</v>
      </c>
      <c r="D3921" s="13">
        <v>10.0</v>
      </c>
      <c r="E3921" s="67">
        <f t="shared" si="11"/>
        <v>5000</v>
      </c>
      <c r="F3921" s="62" t="str">
        <f t="shared" si="12"/>
        <v>10 LeadGen Set Appointments</v>
      </c>
    </row>
    <row r="3922" hidden="1">
      <c r="A3922" s="16" t="s">
        <v>55</v>
      </c>
      <c r="B3922" s="13" t="s">
        <v>510</v>
      </c>
      <c r="C3922" s="13" t="s">
        <v>511</v>
      </c>
      <c r="D3922" s="13">
        <v>10.0</v>
      </c>
      <c r="E3922" s="67">
        <f t="shared" si="11"/>
        <v>5000</v>
      </c>
      <c r="F3922" s="62" t="str">
        <f t="shared" si="12"/>
        <v>10 LeadGen Set Appointments</v>
      </c>
    </row>
    <row r="3923" hidden="1">
      <c r="A3923" s="6" t="s">
        <v>55</v>
      </c>
      <c r="B3923" s="13" t="s">
        <v>411</v>
      </c>
      <c r="C3923" s="13" t="s">
        <v>412</v>
      </c>
      <c r="D3923" s="15">
        <v>10.0</v>
      </c>
      <c r="E3923" s="67">
        <f t="shared" si="11"/>
        <v>5000</v>
      </c>
      <c r="F3923" s="62" t="str">
        <f t="shared" si="12"/>
        <v>10 LeadGen Set Appointments</v>
      </c>
    </row>
    <row r="3924" hidden="1">
      <c r="A3924" s="6" t="s">
        <v>55</v>
      </c>
      <c r="B3924" s="13" t="s">
        <v>1465</v>
      </c>
      <c r="C3924" s="13" t="s">
        <v>1466</v>
      </c>
      <c r="D3924" s="15">
        <v>9.0</v>
      </c>
      <c r="E3924" s="67">
        <f t="shared" si="11"/>
        <v>2250</v>
      </c>
      <c r="F3924" s="62" t="str">
        <f t="shared" si="12"/>
        <v>9 LeadGen Set Appointments</v>
      </c>
    </row>
    <row r="3925" hidden="1">
      <c r="A3925" s="6" t="s">
        <v>55</v>
      </c>
      <c r="B3925" s="13" t="s">
        <v>1471</v>
      </c>
      <c r="C3925" s="13" t="s">
        <v>1472</v>
      </c>
      <c r="D3925" s="15">
        <v>9.0</v>
      </c>
      <c r="E3925" s="67">
        <f t="shared" si="11"/>
        <v>2250</v>
      </c>
      <c r="F3925" s="62" t="str">
        <f t="shared" si="12"/>
        <v>9 LeadGen Set Appointments</v>
      </c>
    </row>
    <row r="3926" hidden="1">
      <c r="A3926" s="6" t="s">
        <v>55</v>
      </c>
      <c r="B3926" s="13" t="s">
        <v>1461</v>
      </c>
      <c r="C3926" s="13" t="s">
        <v>1462</v>
      </c>
      <c r="D3926" s="15">
        <v>8.0</v>
      </c>
      <c r="E3926" s="67">
        <f t="shared" si="11"/>
        <v>2000</v>
      </c>
      <c r="F3926" s="62" t="str">
        <f t="shared" si="12"/>
        <v>8 LeadGen Set Appointments</v>
      </c>
    </row>
    <row r="3927" hidden="1">
      <c r="A3927" s="6" t="s">
        <v>55</v>
      </c>
      <c r="B3927" s="13" t="s">
        <v>1477</v>
      </c>
      <c r="C3927" s="13" t="s">
        <v>1478</v>
      </c>
      <c r="D3927" s="15">
        <v>8.0</v>
      </c>
      <c r="E3927" s="67">
        <f t="shared" si="11"/>
        <v>2000</v>
      </c>
      <c r="F3927" s="62" t="str">
        <f t="shared" si="12"/>
        <v>8 LeadGen Set Appointments</v>
      </c>
    </row>
    <row r="3928" hidden="1">
      <c r="A3928" s="6" t="s">
        <v>55</v>
      </c>
      <c r="B3928" s="13" t="s">
        <v>516</v>
      </c>
      <c r="C3928" s="13" t="s">
        <v>517</v>
      </c>
      <c r="D3928" s="15">
        <v>8.0</v>
      </c>
      <c r="E3928" s="67">
        <f t="shared" si="11"/>
        <v>2000</v>
      </c>
      <c r="F3928" s="62" t="str">
        <f t="shared" si="12"/>
        <v>8 LeadGen Set Appointments</v>
      </c>
    </row>
    <row r="3929" hidden="1">
      <c r="A3929" s="6" t="s">
        <v>55</v>
      </c>
      <c r="B3929" s="13" t="s">
        <v>699</v>
      </c>
      <c r="C3929" s="13" t="s">
        <v>700</v>
      </c>
      <c r="D3929" s="15">
        <v>8.0</v>
      </c>
      <c r="E3929" s="67">
        <f t="shared" si="11"/>
        <v>2000</v>
      </c>
      <c r="F3929" s="62" t="str">
        <f t="shared" si="12"/>
        <v>8 LeadGen Set Appointments</v>
      </c>
    </row>
    <row r="3930" hidden="1">
      <c r="A3930" s="6" t="s">
        <v>55</v>
      </c>
      <c r="B3930" s="13" t="s">
        <v>1865</v>
      </c>
      <c r="C3930" s="13" t="s">
        <v>1866</v>
      </c>
      <c r="D3930" s="15">
        <v>8.0</v>
      </c>
      <c r="E3930" s="67">
        <f t="shared" si="11"/>
        <v>2000</v>
      </c>
      <c r="F3930" s="62" t="str">
        <f t="shared" si="12"/>
        <v>8 LeadGen Set Appointments</v>
      </c>
    </row>
    <row r="3931" hidden="1">
      <c r="A3931" s="6" t="s">
        <v>55</v>
      </c>
      <c r="B3931" s="13" t="s">
        <v>624</v>
      </c>
      <c r="C3931" s="13" t="s">
        <v>625</v>
      </c>
      <c r="D3931" s="15">
        <v>8.0</v>
      </c>
      <c r="E3931" s="67">
        <f t="shared" si="11"/>
        <v>2000</v>
      </c>
      <c r="F3931" s="62" t="str">
        <f t="shared" si="12"/>
        <v>8 LeadGen Set Appointments</v>
      </c>
    </row>
    <row r="3932" hidden="1">
      <c r="A3932" s="6" t="s">
        <v>55</v>
      </c>
      <c r="B3932" s="13" t="s">
        <v>746</v>
      </c>
      <c r="C3932" s="13" t="s">
        <v>747</v>
      </c>
      <c r="D3932" s="15">
        <v>8.0</v>
      </c>
      <c r="E3932" s="67">
        <f t="shared" si="11"/>
        <v>2000</v>
      </c>
      <c r="F3932" s="62" t="str">
        <f t="shared" si="12"/>
        <v>8 LeadGen Set Appointments</v>
      </c>
    </row>
    <row r="3933" hidden="1">
      <c r="A3933" s="6" t="s">
        <v>55</v>
      </c>
      <c r="B3933" s="13" t="s">
        <v>1455</v>
      </c>
      <c r="C3933" s="13" t="s">
        <v>1456</v>
      </c>
      <c r="D3933" s="15">
        <v>7.0</v>
      </c>
      <c r="E3933" s="67">
        <f t="shared" si="11"/>
        <v>1750</v>
      </c>
      <c r="F3933" s="62" t="str">
        <f t="shared" si="12"/>
        <v>7 LeadGen Set Appointments</v>
      </c>
    </row>
    <row r="3934" hidden="1">
      <c r="A3934" s="6" t="s">
        <v>55</v>
      </c>
      <c r="B3934" s="13" t="s">
        <v>1547</v>
      </c>
      <c r="C3934" s="13" t="s">
        <v>1548</v>
      </c>
      <c r="D3934" s="15">
        <v>7.0</v>
      </c>
      <c r="E3934" s="67">
        <f t="shared" si="11"/>
        <v>1750</v>
      </c>
      <c r="F3934" s="62" t="str">
        <f t="shared" si="12"/>
        <v>7 LeadGen Set Appointments</v>
      </c>
    </row>
    <row r="3935" hidden="1">
      <c r="A3935" s="6" t="s">
        <v>55</v>
      </c>
      <c r="B3935" s="13" t="s">
        <v>560</v>
      </c>
      <c r="C3935" s="13" t="s">
        <v>561</v>
      </c>
      <c r="D3935" s="15">
        <v>7.0</v>
      </c>
      <c r="E3935" s="67">
        <f t="shared" si="11"/>
        <v>1750</v>
      </c>
      <c r="F3935" s="62" t="str">
        <f t="shared" si="12"/>
        <v>7 LeadGen Set Appointments</v>
      </c>
    </row>
    <row r="3936" hidden="1">
      <c r="A3936" s="6" t="s">
        <v>55</v>
      </c>
      <c r="B3936" s="13" t="s">
        <v>1426</v>
      </c>
      <c r="C3936" s="13" t="s">
        <v>1427</v>
      </c>
      <c r="D3936" s="15">
        <v>7.0</v>
      </c>
      <c r="E3936" s="67">
        <f t="shared" si="11"/>
        <v>1750</v>
      </c>
      <c r="F3936" s="62" t="str">
        <f t="shared" si="12"/>
        <v>7 LeadGen Set Appointments</v>
      </c>
    </row>
    <row r="3937" hidden="1">
      <c r="A3937" s="6" t="s">
        <v>55</v>
      </c>
      <c r="B3937" s="13" t="s">
        <v>502</v>
      </c>
      <c r="C3937" s="13" t="s">
        <v>503</v>
      </c>
      <c r="D3937" s="15">
        <v>7.0</v>
      </c>
      <c r="E3937" s="67">
        <f t="shared" si="11"/>
        <v>1750</v>
      </c>
      <c r="F3937" s="62" t="str">
        <f t="shared" si="12"/>
        <v>7 LeadGen Set Appointments</v>
      </c>
    </row>
    <row r="3938" hidden="1">
      <c r="A3938" s="6" t="s">
        <v>55</v>
      </c>
      <c r="B3938" s="13" t="s">
        <v>1867</v>
      </c>
      <c r="C3938" s="13" t="s">
        <v>1868</v>
      </c>
      <c r="D3938" s="15">
        <v>7.0</v>
      </c>
      <c r="E3938" s="67">
        <f t="shared" si="11"/>
        <v>1750</v>
      </c>
      <c r="F3938" s="62" t="str">
        <f t="shared" si="12"/>
        <v>7 LeadGen Set Appointments</v>
      </c>
    </row>
    <row r="3939" hidden="1">
      <c r="A3939" s="6" t="s">
        <v>55</v>
      </c>
      <c r="B3939" s="13" t="s">
        <v>626</v>
      </c>
      <c r="C3939" s="13" t="s">
        <v>627</v>
      </c>
      <c r="D3939" s="15">
        <v>7.0</v>
      </c>
      <c r="E3939" s="67">
        <f t="shared" si="11"/>
        <v>1750</v>
      </c>
      <c r="F3939" s="62" t="str">
        <f t="shared" si="12"/>
        <v>7 LeadGen Set Appointments</v>
      </c>
    </row>
    <row r="3940" hidden="1">
      <c r="A3940" s="6" t="s">
        <v>55</v>
      </c>
      <c r="B3940" s="13" t="s">
        <v>435</v>
      </c>
      <c r="C3940" s="13" t="s">
        <v>436</v>
      </c>
      <c r="D3940" s="15">
        <v>7.0</v>
      </c>
      <c r="E3940" s="67">
        <f t="shared" si="11"/>
        <v>1750</v>
      </c>
      <c r="F3940" s="62" t="str">
        <f t="shared" si="12"/>
        <v>7 LeadGen Set Appointments</v>
      </c>
    </row>
    <row r="3941" hidden="1">
      <c r="A3941" s="6" t="s">
        <v>55</v>
      </c>
      <c r="B3941" s="13" t="s">
        <v>1704</v>
      </c>
      <c r="C3941" s="13" t="s">
        <v>1705</v>
      </c>
      <c r="D3941" s="15">
        <v>6.0</v>
      </c>
      <c r="E3941" s="67">
        <f t="shared" si="11"/>
        <v>1500</v>
      </c>
      <c r="F3941" s="62" t="str">
        <f t="shared" si="12"/>
        <v>6 LeadGen Set Appointments</v>
      </c>
    </row>
    <row r="3942" hidden="1">
      <c r="A3942" s="6" t="s">
        <v>55</v>
      </c>
      <c r="B3942" s="13" t="s">
        <v>1459</v>
      </c>
      <c r="C3942" s="13" t="s">
        <v>1460</v>
      </c>
      <c r="D3942" s="15">
        <v>6.0</v>
      </c>
      <c r="E3942" s="67">
        <f t="shared" si="11"/>
        <v>1500</v>
      </c>
      <c r="F3942" s="62" t="str">
        <f t="shared" si="12"/>
        <v>6 LeadGen Set Appointments</v>
      </c>
    </row>
    <row r="3943" hidden="1">
      <c r="A3943" s="6" t="s">
        <v>55</v>
      </c>
      <c r="B3943" s="13" t="s">
        <v>1893</v>
      </c>
      <c r="C3943" s="13" t="s">
        <v>1894</v>
      </c>
      <c r="D3943" s="15">
        <v>6.0</v>
      </c>
      <c r="E3943" s="67">
        <f t="shared" si="11"/>
        <v>1500</v>
      </c>
      <c r="F3943" s="62" t="str">
        <f t="shared" si="12"/>
        <v>6 LeadGen Set Appointments</v>
      </c>
    </row>
    <row r="3944" hidden="1">
      <c r="A3944" s="6" t="s">
        <v>55</v>
      </c>
      <c r="B3944" s="13" t="s">
        <v>546</v>
      </c>
      <c r="C3944" s="13" t="s">
        <v>547</v>
      </c>
      <c r="D3944" s="15">
        <v>6.0</v>
      </c>
      <c r="E3944" s="67">
        <f t="shared" si="11"/>
        <v>1500</v>
      </c>
      <c r="F3944" s="62" t="str">
        <f t="shared" si="12"/>
        <v>6 LeadGen Set Appointments</v>
      </c>
    </row>
    <row r="3945" hidden="1">
      <c r="A3945" s="6" t="s">
        <v>55</v>
      </c>
      <c r="B3945" s="13" t="s">
        <v>1481</v>
      </c>
      <c r="C3945" s="13" t="s">
        <v>1482</v>
      </c>
      <c r="D3945" s="15">
        <v>6.0</v>
      </c>
      <c r="E3945" s="67">
        <f t="shared" si="11"/>
        <v>1500</v>
      </c>
      <c r="F3945" s="62" t="str">
        <f t="shared" si="12"/>
        <v>6 LeadGen Set Appointments</v>
      </c>
    </row>
    <row r="3946" hidden="1">
      <c r="A3946" s="6" t="s">
        <v>55</v>
      </c>
      <c r="B3946" s="8" t="s">
        <v>1776</v>
      </c>
      <c r="C3946" s="8" t="s">
        <v>1777</v>
      </c>
      <c r="D3946" s="9">
        <v>6.0</v>
      </c>
      <c r="E3946" s="67">
        <f t="shared" si="11"/>
        <v>1500</v>
      </c>
      <c r="F3946" s="67" t="str">
        <f t="shared" si="12"/>
        <v>6 LeadGen Set Appointments</v>
      </c>
    </row>
    <row r="3947" hidden="1">
      <c r="A3947" s="6" t="s">
        <v>55</v>
      </c>
      <c r="B3947" s="8" t="s">
        <v>445</v>
      </c>
      <c r="C3947" s="8" t="s">
        <v>446</v>
      </c>
      <c r="D3947" s="9">
        <v>6.0</v>
      </c>
      <c r="E3947" s="67">
        <f t="shared" si="11"/>
        <v>1500</v>
      </c>
      <c r="F3947" s="67" t="str">
        <f t="shared" si="12"/>
        <v>6 LeadGen Set Appointments</v>
      </c>
    </row>
    <row r="3948" hidden="1">
      <c r="A3948" s="6" t="s">
        <v>55</v>
      </c>
      <c r="B3948" s="8" t="s">
        <v>1895</v>
      </c>
      <c r="C3948" s="8" t="s">
        <v>1896</v>
      </c>
      <c r="D3948" s="9">
        <v>5.0</v>
      </c>
      <c r="E3948" s="67">
        <f t="shared" si="11"/>
        <v>1250</v>
      </c>
      <c r="F3948" s="67" t="str">
        <f t="shared" si="12"/>
        <v>5 LeadGen Set Appointments</v>
      </c>
    </row>
    <row r="3949" hidden="1">
      <c r="A3949" s="6" t="s">
        <v>55</v>
      </c>
      <c r="B3949" s="8" t="s">
        <v>1583</v>
      </c>
      <c r="C3949" s="8" t="s">
        <v>1584</v>
      </c>
      <c r="D3949" s="9">
        <v>5.0</v>
      </c>
      <c r="E3949" s="67">
        <f t="shared" si="11"/>
        <v>1250</v>
      </c>
      <c r="F3949" s="67" t="str">
        <f t="shared" si="12"/>
        <v>5 LeadGen Set Appointments</v>
      </c>
    </row>
    <row r="3950" hidden="1">
      <c r="A3950" s="6" t="s">
        <v>55</v>
      </c>
      <c r="B3950" s="8" t="s">
        <v>1778</v>
      </c>
      <c r="C3950" s="8" t="s">
        <v>1779</v>
      </c>
      <c r="D3950" s="9">
        <v>5.0</v>
      </c>
      <c r="E3950" s="67">
        <f t="shared" si="11"/>
        <v>1250</v>
      </c>
      <c r="F3950" s="67" t="str">
        <f t="shared" si="12"/>
        <v>5 LeadGen Set Appointments</v>
      </c>
    </row>
    <row r="3951" hidden="1">
      <c r="A3951" s="6" t="s">
        <v>55</v>
      </c>
      <c r="B3951" s="8" t="s">
        <v>1510</v>
      </c>
      <c r="C3951" s="8" t="s">
        <v>1511</v>
      </c>
      <c r="D3951" s="9">
        <v>5.0</v>
      </c>
      <c r="E3951" s="67">
        <f t="shared" si="11"/>
        <v>1250</v>
      </c>
      <c r="F3951" s="67" t="str">
        <f t="shared" si="12"/>
        <v>5 LeadGen Set Appointments</v>
      </c>
    </row>
    <row r="3952" hidden="1">
      <c r="A3952" s="6" t="s">
        <v>55</v>
      </c>
      <c r="B3952" s="8" t="s">
        <v>1512</v>
      </c>
      <c r="C3952" s="8" t="s">
        <v>1513</v>
      </c>
      <c r="D3952" s="9">
        <v>5.0</v>
      </c>
      <c r="E3952" s="67">
        <f t="shared" si="11"/>
        <v>1250</v>
      </c>
      <c r="F3952" s="67" t="str">
        <f t="shared" si="12"/>
        <v>5 LeadGen Set Appointments</v>
      </c>
    </row>
    <row r="3953" hidden="1">
      <c r="A3953" s="6" t="s">
        <v>55</v>
      </c>
      <c r="B3953" s="8" t="s">
        <v>468</v>
      </c>
      <c r="C3953" s="8" t="s">
        <v>469</v>
      </c>
      <c r="D3953" s="9">
        <v>5.0</v>
      </c>
      <c r="E3953" s="67">
        <f t="shared" si="11"/>
        <v>1250</v>
      </c>
      <c r="F3953" s="67" t="str">
        <f t="shared" si="12"/>
        <v>5 LeadGen Set Appointments</v>
      </c>
    </row>
    <row r="3954" hidden="1">
      <c r="A3954" s="6" t="s">
        <v>55</v>
      </c>
      <c r="B3954" s="8" t="s">
        <v>1489</v>
      </c>
      <c r="C3954" s="8" t="s">
        <v>1490</v>
      </c>
      <c r="D3954" s="9">
        <v>5.0</v>
      </c>
      <c r="E3954" s="67">
        <f t="shared" si="11"/>
        <v>1250</v>
      </c>
      <c r="F3954" s="67" t="str">
        <f t="shared" si="12"/>
        <v>5 LeadGen Set Appointments</v>
      </c>
    </row>
    <row r="3955" hidden="1">
      <c r="A3955" s="6" t="s">
        <v>55</v>
      </c>
      <c r="B3955" s="8" t="s">
        <v>1891</v>
      </c>
      <c r="C3955" s="8" t="s">
        <v>1892</v>
      </c>
      <c r="D3955" s="9">
        <v>5.0</v>
      </c>
      <c r="E3955" s="67">
        <f t="shared" si="11"/>
        <v>1250</v>
      </c>
      <c r="F3955" s="67" t="str">
        <f t="shared" si="12"/>
        <v>5 LeadGen Set Appointments</v>
      </c>
    </row>
    <row r="3956" hidden="1">
      <c r="A3956" s="6" t="s">
        <v>55</v>
      </c>
      <c r="B3956" s="8" t="s">
        <v>532</v>
      </c>
      <c r="C3956" s="8" t="s">
        <v>533</v>
      </c>
      <c r="D3956" s="9">
        <v>5.0</v>
      </c>
      <c r="E3956" s="67">
        <f t="shared" si="11"/>
        <v>1250</v>
      </c>
      <c r="F3956" s="67" t="str">
        <f t="shared" si="12"/>
        <v>5 LeadGen Set Appointments</v>
      </c>
    </row>
    <row r="3957" hidden="1">
      <c r="A3957" s="6" t="s">
        <v>55</v>
      </c>
      <c r="B3957" s="8" t="s">
        <v>1825</v>
      </c>
      <c r="C3957" s="8" t="s">
        <v>1826</v>
      </c>
      <c r="D3957" s="9">
        <v>5.0</v>
      </c>
      <c r="E3957" s="67">
        <f t="shared" si="11"/>
        <v>1250</v>
      </c>
      <c r="F3957" s="67" t="str">
        <f t="shared" si="12"/>
        <v>5 LeadGen Set Appointments</v>
      </c>
    </row>
    <row r="3958" hidden="1">
      <c r="A3958" s="6" t="s">
        <v>55</v>
      </c>
      <c r="B3958" s="8" t="s">
        <v>622</v>
      </c>
      <c r="C3958" s="8" t="s">
        <v>623</v>
      </c>
      <c r="D3958" s="9">
        <v>5.0</v>
      </c>
      <c r="E3958" s="67">
        <f t="shared" si="11"/>
        <v>1250</v>
      </c>
      <c r="F3958" s="67" t="str">
        <f t="shared" si="12"/>
        <v>5 LeadGen Set Appointments</v>
      </c>
    </row>
    <row r="3959" hidden="1">
      <c r="A3959" s="6" t="s">
        <v>55</v>
      </c>
      <c r="B3959" s="8" t="s">
        <v>1573</v>
      </c>
      <c r="C3959" s="8" t="s">
        <v>1574</v>
      </c>
      <c r="D3959" s="9">
        <v>5.0</v>
      </c>
      <c r="E3959" s="67">
        <f t="shared" si="11"/>
        <v>1250</v>
      </c>
      <c r="F3959" s="67" t="str">
        <f t="shared" si="12"/>
        <v>5 LeadGen Set Appointments</v>
      </c>
    </row>
    <row r="3960" hidden="1">
      <c r="A3960" s="6" t="s">
        <v>55</v>
      </c>
      <c r="B3960" s="8" t="s">
        <v>1929</v>
      </c>
      <c r="C3960" s="8" t="s">
        <v>1930</v>
      </c>
      <c r="D3960" s="9">
        <v>5.0</v>
      </c>
      <c r="E3960" s="67">
        <f t="shared" si="11"/>
        <v>1250</v>
      </c>
      <c r="F3960" s="67" t="str">
        <f t="shared" si="12"/>
        <v>5 LeadGen Set Appointments</v>
      </c>
    </row>
    <row r="3961" hidden="1">
      <c r="A3961" s="6" t="s">
        <v>55</v>
      </c>
      <c r="B3961" s="8" t="s">
        <v>1483</v>
      </c>
      <c r="C3961" s="8" t="s">
        <v>1484</v>
      </c>
      <c r="D3961" s="9">
        <v>5.0</v>
      </c>
      <c r="E3961" s="67">
        <f t="shared" si="11"/>
        <v>1250</v>
      </c>
      <c r="F3961" s="67" t="str">
        <f t="shared" si="12"/>
        <v>5 LeadGen Set Appointments</v>
      </c>
    </row>
    <row r="3962" hidden="1">
      <c r="A3962" s="6" t="s">
        <v>55</v>
      </c>
      <c r="B3962" s="8" t="s">
        <v>1463</v>
      </c>
      <c r="C3962" s="8" t="s">
        <v>1464</v>
      </c>
      <c r="D3962" s="9">
        <v>4.0</v>
      </c>
      <c r="E3962" s="67">
        <f t="shared" si="11"/>
        <v>1000</v>
      </c>
      <c r="F3962" s="67" t="str">
        <f t="shared" si="12"/>
        <v>4 LeadGen Set Appointments</v>
      </c>
    </row>
    <row r="3963" hidden="1">
      <c r="A3963" s="6" t="s">
        <v>55</v>
      </c>
      <c r="B3963" s="8" t="s">
        <v>1577</v>
      </c>
      <c r="C3963" s="8" t="s">
        <v>1578</v>
      </c>
      <c r="D3963" s="9">
        <v>4.0</v>
      </c>
      <c r="E3963" s="67">
        <f t="shared" si="11"/>
        <v>1000</v>
      </c>
      <c r="F3963" s="67" t="str">
        <f t="shared" si="12"/>
        <v>4 LeadGen Set Appointments</v>
      </c>
    </row>
    <row r="3964" hidden="1">
      <c r="A3964" s="6" t="s">
        <v>55</v>
      </c>
      <c r="B3964" s="8" t="s">
        <v>500</v>
      </c>
      <c r="C3964" s="8" t="s">
        <v>501</v>
      </c>
      <c r="D3964" s="9">
        <v>4.0</v>
      </c>
      <c r="E3964" s="67">
        <f t="shared" si="11"/>
        <v>1000</v>
      </c>
      <c r="F3964" s="67" t="str">
        <f t="shared" si="12"/>
        <v>4 LeadGen Set Appointments</v>
      </c>
    </row>
    <row r="3965" hidden="1">
      <c r="A3965" s="6" t="s">
        <v>55</v>
      </c>
      <c r="B3965" s="8" t="s">
        <v>1774</v>
      </c>
      <c r="C3965" s="8" t="s">
        <v>1775</v>
      </c>
      <c r="D3965" s="9">
        <v>4.0</v>
      </c>
      <c r="E3965" s="67">
        <f t="shared" si="11"/>
        <v>1000</v>
      </c>
      <c r="F3965" s="67" t="str">
        <f t="shared" si="12"/>
        <v>4 LeadGen Set Appointments</v>
      </c>
    </row>
    <row r="3966" hidden="1">
      <c r="A3966" s="6" t="s">
        <v>55</v>
      </c>
      <c r="B3966" s="8" t="s">
        <v>1600</v>
      </c>
      <c r="C3966" s="8" t="s">
        <v>1601</v>
      </c>
      <c r="D3966" s="9">
        <v>4.0</v>
      </c>
      <c r="E3966" s="67">
        <f t="shared" si="11"/>
        <v>1000</v>
      </c>
      <c r="F3966" s="67" t="str">
        <f t="shared" si="12"/>
        <v>4 LeadGen Set Appointments</v>
      </c>
    </row>
    <row r="3967" hidden="1">
      <c r="A3967" s="6" t="s">
        <v>55</v>
      </c>
      <c r="B3967" s="8" t="s">
        <v>1579</v>
      </c>
      <c r="C3967" s="8" t="s">
        <v>1580</v>
      </c>
      <c r="D3967" s="9">
        <v>4.0</v>
      </c>
      <c r="E3967" s="67">
        <f t="shared" si="11"/>
        <v>1000</v>
      </c>
      <c r="F3967" s="67" t="str">
        <f t="shared" si="12"/>
        <v>4 LeadGen Set Appointments</v>
      </c>
    </row>
    <row r="3968" hidden="1">
      <c r="A3968" s="6" t="s">
        <v>55</v>
      </c>
      <c r="B3968" s="8" t="s">
        <v>1606</v>
      </c>
      <c r="C3968" s="8" t="s">
        <v>1607</v>
      </c>
      <c r="D3968" s="9">
        <v>4.0</v>
      </c>
      <c r="E3968" s="67">
        <f t="shared" si="11"/>
        <v>1000</v>
      </c>
      <c r="F3968" s="67" t="str">
        <f t="shared" si="12"/>
        <v>4 LeadGen Set Appointments</v>
      </c>
    </row>
    <row r="3969" hidden="1">
      <c r="A3969" s="6" t="s">
        <v>55</v>
      </c>
      <c r="B3969" s="8" t="s">
        <v>752</v>
      </c>
      <c r="C3969" s="8" t="s">
        <v>753</v>
      </c>
      <c r="D3969" s="9">
        <v>4.0</v>
      </c>
      <c r="E3969" s="67">
        <f t="shared" si="11"/>
        <v>1000</v>
      </c>
      <c r="F3969" s="67" t="str">
        <f t="shared" si="12"/>
        <v>4 LeadGen Set Appointments</v>
      </c>
    </row>
    <row r="3970" hidden="1">
      <c r="A3970" s="6" t="s">
        <v>55</v>
      </c>
      <c r="B3970" s="8" t="s">
        <v>1608</v>
      </c>
      <c r="C3970" s="8" t="s">
        <v>1609</v>
      </c>
      <c r="D3970" s="9">
        <v>4.0</v>
      </c>
      <c r="E3970" s="67">
        <f t="shared" si="11"/>
        <v>1000</v>
      </c>
      <c r="F3970" s="67" t="str">
        <f t="shared" si="12"/>
        <v>4 LeadGen Set Appointments</v>
      </c>
    </row>
    <row r="3971" hidden="1">
      <c r="A3971" s="6" t="s">
        <v>55</v>
      </c>
      <c r="B3971" s="8" t="s">
        <v>1334</v>
      </c>
      <c r="C3971" s="8" t="s">
        <v>553</v>
      </c>
      <c r="D3971" s="9">
        <v>4.0</v>
      </c>
      <c r="E3971" s="67">
        <f t="shared" si="11"/>
        <v>1000</v>
      </c>
      <c r="F3971" s="67" t="str">
        <f t="shared" si="12"/>
        <v>4 LeadGen Set Appointments</v>
      </c>
    </row>
    <row r="3972" hidden="1">
      <c r="A3972" s="6" t="s">
        <v>55</v>
      </c>
      <c r="B3972" s="8" t="s">
        <v>1612</v>
      </c>
      <c r="C3972" s="8" t="s">
        <v>1613</v>
      </c>
      <c r="D3972" s="9">
        <v>4.0</v>
      </c>
      <c r="E3972" s="67">
        <f t="shared" si="11"/>
        <v>1000</v>
      </c>
      <c r="F3972" s="67" t="str">
        <f t="shared" si="12"/>
        <v>4 LeadGen Set Appointments</v>
      </c>
    </row>
    <row r="3973" hidden="1">
      <c r="A3973" s="6" t="s">
        <v>55</v>
      </c>
      <c r="B3973" s="8" t="s">
        <v>1859</v>
      </c>
      <c r="C3973" s="8" t="s">
        <v>1860</v>
      </c>
      <c r="D3973" s="9">
        <v>4.0</v>
      </c>
      <c r="E3973" s="67">
        <f t="shared" si="11"/>
        <v>1000</v>
      </c>
      <c r="F3973" s="67" t="str">
        <f t="shared" si="12"/>
        <v>4 LeadGen Set Appointments</v>
      </c>
    </row>
    <row r="3974" hidden="1">
      <c r="A3974" s="6" t="s">
        <v>55</v>
      </c>
      <c r="B3974" s="8" t="s">
        <v>1688</v>
      </c>
      <c r="C3974" s="8" t="s">
        <v>1689</v>
      </c>
      <c r="D3974" s="9">
        <v>4.0</v>
      </c>
      <c r="E3974" s="67">
        <f t="shared" si="11"/>
        <v>1000</v>
      </c>
      <c r="F3974" s="67" t="str">
        <f t="shared" si="12"/>
        <v>4 LeadGen Set Appointments</v>
      </c>
    </row>
    <row r="3975" hidden="1">
      <c r="A3975" s="6" t="s">
        <v>55</v>
      </c>
      <c r="B3975" s="8" t="s">
        <v>1514</v>
      </c>
      <c r="C3975" s="8" t="s">
        <v>1515</v>
      </c>
      <c r="D3975" s="9">
        <v>4.0</v>
      </c>
      <c r="E3975" s="67">
        <f t="shared" si="11"/>
        <v>1000</v>
      </c>
      <c r="F3975" s="67" t="str">
        <f t="shared" si="12"/>
        <v>4 LeadGen Set Appointments</v>
      </c>
    </row>
    <row r="3976" hidden="1">
      <c r="A3976" s="6" t="s">
        <v>55</v>
      </c>
      <c r="B3976" s="8" t="s">
        <v>1931</v>
      </c>
      <c r="C3976" s="8" t="s">
        <v>1932</v>
      </c>
      <c r="D3976" s="9">
        <v>4.0</v>
      </c>
      <c r="E3976" s="67">
        <f t="shared" si="11"/>
        <v>1000</v>
      </c>
      <c r="F3976" s="67" t="str">
        <f t="shared" si="12"/>
        <v>4 LeadGen Set Appointments</v>
      </c>
    </row>
    <row r="3977" hidden="1">
      <c r="A3977" s="6" t="s">
        <v>55</v>
      </c>
      <c r="B3977" s="8" t="s">
        <v>2000</v>
      </c>
      <c r="C3977" s="8" t="s">
        <v>2001</v>
      </c>
      <c r="D3977" s="9">
        <v>4.0</v>
      </c>
      <c r="E3977" s="67">
        <f t="shared" si="11"/>
        <v>1000</v>
      </c>
      <c r="F3977" s="67" t="str">
        <f t="shared" si="12"/>
        <v>4 LeadGen Set Appointments</v>
      </c>
    </row>
    <row r="3978" hidden="1">
      <c r="A3978" s="6" t="s">
        <v>55</v>
      </c>
      <c r="B3978" s="8" t="s">
        <v>582</v>
      </c>
      <c r="C3978" s="8" t="s">
        <v>583</v>
      </c>
      <c r="D3978" s="9">
        <v>4.0</v>
      </c>
      <c r="E3978" s="67">
        <f t="shared" si="11"/>
        <v>1000</v>
      </c>
      <c r="F3978" s="67" t="str">
        <f t="shared" si="12"/>
        <v>4 LeadGen Set Appointments</v>
      </c>
    </row>
    <row r="3979" hidden="1">
      <c r="A3979" s="6" t="s">
        <v>55</v>
      </c>
      <c r="B3979" s="8" t="s">
        <v>1724</v>
      </c>
      <c r="C3979" s="8" t="s">
        <v>1725</v>
      </c>
      <c r="D3979" s="9">
        <v>4.0</v>
      </c>
      <c r="E3979" s="67">
        <f t="shared" si="11"/>
        <v>1000</v>
      </c>
      <c r="F3979" s="67" t="str">
        <f t="shared" si="12"/>
        <v>4 LeadGen Set Appointments</v>
      </c>
    </row>
    <row r="3980" hidden="1">
      <c r="A3980" s="6" t="s">
        <v>55</v>
      </c>
      <c r="B3980" s="8" t="s">
        <v>1421</v>
      </c>
      <c r="C3980" s="8" t="s">
        <v>712</v>
      </c>
      <c r="D3980" s="9">
        <v>4.0</v>
      </c>
      <c r="E3980" s="67">
        <f t="shared" si="11"/>
        <v>1000</v>
      </c>
      <c r="F3980" s="67" t="str">
        <f t="shared" si="12"/>
        <v>4 LeadGen Set Appointments</v>
      </c>
    </row>
    <row r="3981" hidden="1">
      <c r="A3981" s="6" t="s">
        <v>55</v>
      </c>
      <c r="B3981" s="8" t="s">
        <v>572</v>
      </c>
      <c r="C3981" s="8" t="s">
        <v>573</v>
      </c>
      <c r="D3981" s="9">
        <v>4.0</v>
      </c>
      <c r="E3981" s="67">
        <f t="shared" si="11"/>
        <v>1000</v>
      </c>
      <c r="F3981" s="67" t="str">
        <f t="shared" si="12"/>
        <v>4 LeadGen Set Appointments</v>
      </c>
    </row>
    <row r="3982" hidden="1">
      <c r="A3982" s="6" t="s">
        <v>55</v>
      </c>
      <c r="B3982" s="8" t="s">
        <v>242</v>
      </c>
      <c r="C3982" s="8" t="s">
        <v>1887</v>
      </c>
      <c r="D3982" s="9">
        <v>4.0</v>
      </c>
      <c r="E3982" s="67">
        <f t="shared" si="11"/>
        <v>1000</v>
      </c>
      <c r="F3982" s="67" t="str">
        <f t="shared" si="12"/>
        <v>4 LeadGen Set Appointments</v>
      </c>
    </row>
    <row r="3983" hidden="1">
      <c r="A3983" s="6" t="s">
        <v>55</v>
      </c>
      <c r="B3983" s="8" t="s">
        <v>1563</v>
      </c>
      <c r="C3983" s="8" t="s">
        <v>1564</v>
      </c>
      <c r="D3983" s="9">
        <v>4.0</v>
      </c>
      <c r="E3983" s="67">
        <f t="shared" si="11"/>
        <v>1000</v>
      </c>
      <c r="F3983" s="67" t="str">
        <f t="shared" si="12"/>
        <v>4 LeadGen Set Appointments</v>
      </c>
    </row>
    <row r="3984" hidden="1">
      <c r="A3984" s="6" t="s">
        <v>55</v>
      </c>
      <c r="B3984" s="8" t="s">
        <v>1909</v>
      </c>
      <c r="C3984" s="8" t="s">
        <v>1910</v>
      </c>
      <c r="D3984" s="9">
        <v>4.0</v>
      </c>
      <c r="E3984" s="67">
        <f t="shared" si="11"/>
        <v>1000</v>
      </c>
      <c r="F3984" s="67" t="str">
        <f t="shared" si="12"/>
        <v>4 LeadGen Set Appointments</v>
      </c>
    </row>
    <row r="3985" hidden="1">
      <c r="A3985" s="6" t="s">
        <v>55</v>
      </c>
      <c r="B3985" s="8" t="s">
        <v>1786</v>
      </c>
      <c r="C3985" s="8" t="s">
        <v>1787</v>
      </c>
      <c r="D3985" s="9">
        <v>4.0</v>
      </c>
      <c r="E3985" s="67">
        <f t="shared" si="11"/>
        <v>1000</v>
      </c>
      <c r="F3985" s="67" t="str">
        <f t="shared" si="12"/>
        <v>4 LeadGen Set Appointments</v>
      </c>
    </row>
    <row r="3986" hidden="1">
      <c r="A3986" s="6" t="s">
        <v>55</v>
      </c>
      <c r="B3986" s="8" t="s">
        <v>1955</v>
      </c>
      <c r="C3986" s="8" t="s">
        <v>1956</v>
      </c>
      <c r="D3986" s="9">
        <v>4.0</v>
      </c>
      <c r="E3986" s="67">
        <f t="shared" si="11"/>
        <v>1000</v>
      </c>
      <c r="F3986" s="67" t="str">
        <f t="shared" si="12"/>
        <v>4 LeadGen Set Appointments</v>
      </c>
    </row>
    <row r="3987" hidden="1">
      <c r="A3987" s="6" t="s">
        <v>55</v>
      </c>
      <c r="B3987" s="8" t="s">
        <v>1569</v>
      </c>
      <c r="C3987" s="8" t="s">
        <v>1570</v>
      </c>
      <c r="D3987" s="9">
        <v>4.0</v>
      </c>
      <c r="E3987" s="67">
        <f t="shared" si="11"/>
        <v>1000</v>
      </c>
      <c r="F3987" s="67" t="str">
        <f t="shared" si="12"/>
        <v>4 LeadGen Set Appointments</v>
      </c>
    </row>
    <row r="3988" hidden="1">
      <c r="A3988" s="6" t="s">
        <v>55</v>
      </c>
      <c r="B3988" s="8" t="s">
        <v>701</v>
      </c>
      <c r="C3988" s="8" t="s">
        <v>702</v>
      </c>
      <c r="D3988" s="9">
        <v>4.0</v>
      </c>
      <c r="E3988" s="67">
        <f t="shared" si="11"/>
        <v>1000</v>
      </c>
      <c r="F3988" s="67" t="str">
        <f t="shared" si="12"/>
        <v>4 LeadGen Set Appointments</v>
      </c>
    </row>
    <row r="3989" hidden="1">
      <c r="A3989" s="6" t="s">
        <v>55</v>
      </c>
      <c r="B3989" s="8" t="s">
        <v>1941</v>
      </c>
      <c r="C3989" s="8" t="s">
        <v>1942</v>
      </c>
      <c r="D3989" s="9">
        <v>4.0</v>
      </c>
      <c r="E3989" s="67">
        <f t="shared" si="11"/>
        <v>1000</v>
      </c>
      <c r="F3989" s="67" t="str">
        <f t="shared" si="12"/>
        <v>4 LeadGen Set Appointments</v>
      </c>
    </row>
    <row r="3990" hidden="1">
      <c r="A3990" s="6" t="s">
        <v>55</v>
      </c>
      <c r="B3990" s="8" t="s">
        <v>1682</v>
      </c>
      <c r="C3990" s="8" t="s">
        <v>1683</v>
      </c>
      <c r="D3990" s="9">
        <v>4.0</v>
      </c>
      <c r="E3990" s="67">
        <f t="shared" si="11"/>
        <v>1000</v>
      </c>
      <c r="F3990" s="67" t="str">
        <f t="shared" si="12"/>
        <v>4 LeadGen Set Appointments</v>
      </c>
    </row>
    <row r="3991" hidden="1">
      <c r="A3991" s="6" t="s">
        <v>55</v>
      </c>
      <c r="B3991" s="8" t="s">
        <v>1998</v>
      </c>
      <c r="C3991" s="8" t="s">
        <v>1999</v>
      </c>
      <c r="D3991" s="9">
        <v>3.0</v>
      </c>
      <c r="E3991" s="67">
        <f t="shared" si="11"/>
        <v>750</v>
      </c>
      <c r="F3991" s="67" t="str">
        <f t="shared" si="12"/>
        <v>3 LeadGen Set Appointments</v>
      </c>
    </row>
    <row r="3992" hidden="1">
      <c r="A3992" s="6" t="s">
        <v>55</v>
      </c>
      <c r="B3992" s="8" t="s">
        <v>1861</v>
      </c>
      <c r="C3992" s="8" t="s">
        <v>1862</v>
      </c>
      <c r="D3992" s="9">
        <v>3.0</v>
      </c>
      <c r="E3992" s="67">
        <f t="shared" si="11"/>
        <v>750</v>
      </c>
      <c r="F3992" s="67" t="str">
        <f t="shared" si="12"/>
        <v>3 LeadGen Set Appointments</v>
      </c>
    </row>
    <row r="3993" hidden="1">
      <c r="A3993" s="6" t="s">
        <v>55</v>
      </c>
      <c r="B3993" s="8" t="s">
        <v>1473</v>
      </c>
      <c r="C3993" s="8" t="s">
        <v>1474</v>
      </c>
      <c r="D3993" s="9">
        <v>3.0</v>
      </c>
      <c r="E3993" s="67">
        <f t="shared" si="11"/>
        <v>750</v>
      </c>
      <c r="F3993" s="67" t="str">
        <f t="shared" si="12"/>
        <v>3 LeadGen Set Appointments</v>
      </c>
    </row>
    <row r="3994" hidden="1">
      <c r="A3994" s="6" t="s">
        <v>55</v>
      </c>
      <c r="B3994" s="8" t="s">
        <v>1448</v>
      </c>
      <c r="C3994" s="8" t="s">
        <v>1449</v>
      </c>
      <c r="D3994" s="9">
        <v>3.0</v>
      </c>
      <c r="E3994" s="67">
        <f t="shared" si="11"/>
        <v>750</v>
      </c>
      <c r="F3994" s="67" t="str">
        <f t="shared" si="12"/>
        <v>3 LeadGen Set Appointments</v>
      </c>
    </row>
    <row r="3995" hidden="1">
      <c r="A3995" s="6" t="s">
        <v>55</v>
      </c>
      <c r="B3995" s="8" t="s">
        <v>1646</v>
      </c>
      <c r="C3995" s="8" t="s">
        <v>1647</v>
      </c>
      <c r="D3995" s="9">
        <v>3.0</v>
      </c>
      <c r="E3995" s="67">
        <f t="shared" si="11"/>
        <v>750</v>
      </c>
      <c r="F3995" s="67" t="str">
        <f t="shared" si="12"/>
        <v>3 LeadGen Set Appointments</v>
      </c>
    </row>
    <row r="3996" hidden="1">
      <c r="A3996" s="6" t="s">
        <v>55</v>
      </c>
      <c r="B3996" s="8" t="s">
        <v>1732</v>
      </c>
      <c r="C3996" s="8" t="s">
        <v>1733</v>
      </c>
      <c r="D3996" s="9">
        <v>3.0</v>
      </c>
      <c r="E3996" s="67">
        <f t="shared" si="11"/>
        <v>750</v>
      </c>
      <c r="F3996" s="67" t="str">
        <f t="shared" si="12"/>
        <v>3 LeadGen Set Appointments</v>
      </c>
    </row>
    <row r="3997" hidden="1">
      <c r="A3997" s="6" t="s">
        <v>55</v>
      </c>
      <c r="B3997" s="8" t="s">
        <v>431</v>
      </c>
      <c r="C3997" s="8" t="s">
        <v>432</v>
      </c>
      <c r="D3997" s="9">
        <v>3.0</v>
      </c>
      <c r="E3997" s="67">
        <f t="shared" si="11"/>
        <v>750</v>
      </c>
      <c r="F3997" s="67" t="str">
        <f t="shared" si="12"/>
        <v>3 LeadGen Set Appointments</v>
      </c>
    </row>
    <row r="3998" hidden="1">
      <c r="A3998" s="6" t="s">
        <v>55</v>
      </c>
      <c r="B3998" s="8" t="s">
        <v>1545</v>
      </c>
      <c r="C3998" s="8" t="s">
        <v>1546</v>
      </c>
      <c r="D3998" s="9">
        <v>3.0</v>
      </c>
      <c r="E3998" s="67">
        <f t="shared" si="11"/>
        <v>750</v>
      </c>
      <c r="F3998" s="67" t="str">
        <f t="shared" si="12"/>
        <v>3 LeadGen Set Appointments</v>
      </c>
    </row>
    <row r="3999" hidden="1">
      <c r="A3999" s="6" t="s">
        <v>55</v>
      </c>
      <c r="B3999" s="8" t="s">
        <v>1871</v>
      </c>
      <c r="C3999" s="8" t="s">
        <v>1872</v>
      </c>
      <c r="D3999" s="9">
        <v>3.0</v>
      </c>
      <c r="E3999" s="67">
        <f t="shared" si="11"/>
        <v>750</v>
      </c>
      <c r="F3999" s="67" t="str">
        <f t="shared" si="12"/>
        <v>3 LeadGen Set Appointments</v>
      </c>
    </row>
    <row r="4000" hidden="1">
      <c r="A4000" s="6" t="s">
        <v>55</v>
      </c>
      <c r="B4000" s="8" t="s">
        <v>1467</v>
      </c>
      <c r="C4000" s="8" t="s">
        <v>1468</v>
      </c>
      <c r="D4000" s="9">
        <v>3.0</v>
      </c>
      <c r="E4000" s="67">
        <f t="shared" si="11"/>
        <v>750</v>
      </c>
      <c r="F4000" s="67" t="str">
        <f t="shared" si="12"/>
        <v>3 LeadGen Set Appointments</v>
      </c>
    </row>
    <row r="4001" hidden="1">
      <c r="A4001" s="6" t="s">
        <v>55</v>
      </c>
      <c r="B4001" s="8" t="s">
        <v>1649</v>
      </c>
      <c r="C4001" s="8" t="s">
        <v>2028</v>
      </c>
      <c r="D4001" s="9">
        <v>3.0</v>
      </c>
      <c r="E4001" s="67">
        <f t="shared" si="11"/>
        <v>750</v>
      </c>
      <c r="F4001" s="67" t="str">
        <f t="shared" si="12"/>
        <v>3 LeadGen Set Appointments</v>
      </c>
    </row>
    <row r="4002" hidden="1">
      <c r="A4002" s="6" t="s">
        <v>55</v>
      </c>
      <c r="B4002" s="8" t="s">
        <v>1213</v>
      </c>
      <c r="C4002" s="8" t="s">
        <v>1959</v>
      </c>
      <c r="D4002" s="9">
        <v>3.0</v>
      </c>
      <c r="E4002" s="67">
        <f t="shared" si="11"/>
        <v>750</v>
      </c>
      <c r="F4002" s="67" t="str">
        <f t="shared" si="12"/>
        <v>3 LeadGen Set Appointments</v>
      </c>
    </row>
    <row r="4003" hidden="1">
      <c r="A4003" s="6" t="s">
        <v>55</v>
      </c>
      <c r="B4003" s="8" t="s">
        <v>1475</v>
      </c>
      <c r="C4003" s="8" t="s">
        <v>1476</v>
      </c>
      <c r="D4003" s="9">
        <v>3.0</v>
      </c>
      <c r="E4003" s="67">
        <f t="shared" si="11"/>
        <v>750</v>
      </c>
      <c r="F4003" s="67" t="str">
        <f t="shared" si="12"/>
        <v>3 LeadGen Set Appointments</v>
      </c>
    </row>
    <row r="4004" hidden="1">
      <c r="A4004" s="6" t="s">
        <v>55</v>
      </c>
      <c r="B4004" s="8" t="s">
        <v>1885</v>
      </c>
      <c r="C4004" s="8" t="s">
        <v>1886</v>
      </c>
      <c r="D4004" s="9">
        <v>3.0</v>
      </c>
      <c r="E4004" s="67">
        <f t="shared" si="11"/>
        <v>750</v>
      </c>
      <c r="F4004" s="67" t="str">
        <f t="shared" si="12"/>
        <v>3 LeadGen Set Appointments</v>
      </c>
    </row>
    <row r="4005" hidden="1">
      <c r="A4005" s="6" t="s">
        <v>55</v>
      </c>
      <c r="B4005" s="8" t="s">
        <v>238</v>
      </c>
      <c r="C4005" s="8" t="s">
        <v>1890</v>
      </c>
      <c r="D4005" s="9">
        <v>3.0</v>
      </c>
      <c r="E4005" s="67">
        <f t="shared" si="11"/>
        <v>750</v>
      </c>
      <c r="F4005" s="67" t="str">
        <f t="shared" si="12"/>
        <v>3 LeadGen Set Appointments</v>
      </c>
    </row>
    <row r="4006" hidden="1">
      <c r="A4006" s="6" t="s">
        <v>55</v>
      </c>
      <c r="B4006" s="8" t="s">
        <v>1653</v>
      </c>
      <c r="C4006" s="8" t="s">
        <v>1654</v>
      </c>
      <c r="D4006" s="9">
        <v>3.0</v>
      </c>
      <c r="E4006" s="67">
        <f t="shared" si="11"/>
        <v>750</v>
      </c>
      <c r="F4006" s="67" t="str">
        <f t="shared" si="12"/>
        <v>3 LeadGen Set Appointments</v>
      </c>
    </row>
    <row r="4007" hidden="1">
      <c r="A4007" s="6" t="s">
        <v>55</v>
      </c>
      <c r="B4007" s="8" t="s">
        <v>1551</v>
      </c>
      <c r="C4007" s="8" t="s">
        <v>1552</v>
      </c>
      <c r="D4007" s="9">
        <v>3.0</v>
      </c>
      <c r="E4007" s="67">
        <f t="shared" si="11"/>
        <v>750</v>
      </c>
      <c r="F4007" s="67" t="str">
        <f t="shared" si="12"/>
        <v>3 LeadGen Set Appointments</v>
      </c>
    </row>
    <row r="4008" hidden="1">
      <c r="A4008" s="6" t="s">
        <v>55</v>
      </c>
      <c r="B4008" s="8" t="s">
        <v>1937</v>
      </c>
      <c r="C4008" s="8" t="s">
        <v>1938</v>
      </c>
      <c r="D4008" s="9">
        <v>3.0</v>
      </c>
      <c r="E4008" s="67">
        <f t="shared" si="11"/>
        <v>750</v>
      </c>
      <c r="F4008" s="67" t="str">
        <f t="shared" si="12"/>
        <v>3 LeadGen Set Appointments</v>
      </c>
    </row>
    <row r="4009" hidden="1">
      <c r="A4009" s="6" t="s">
        <v>55</v>
      </c>
      <c r="B4009" s="8" t="s">
        <v>1657</v>
      </c>
      <c r="C4009" s="8" t="s">
        <v>1658</v>
      </c>
      <c r="D4009" s="9">
        <v>3.0</v>
      </c>
      <c r="E4009" s="67">
        <f t="shared" si="11"/>
        <v>750</v>
      </c>
      <c r="F4009" s="67" t="str">
        <f t="shared" si="12"/>
        <v>3 LeadGen Set Appointments</v>
      </c>
    </row>
    <row r="4010" hidden="1">
      <c r="A4010" s="6" t="s">
        <v>55</v>
      </c>
      <c r="B4010" s="8" t="s">
        <v>2010</v>
      </c>
      <c r="C4010" s="8" t="s">
        <v>2011</v>
      </c>
      <c r="D4010" s="9">
        <v>3.0</v>
      </c>
      <c r="E4010" s="67">
        <f t="shared" si="11"/>
        <v>750</v>
      </c>
      <c r="F4010" s="67" t="str">
        <f t="shared" si="12"/>
        <v>3 LeadGen Set Appointments</v>
      </c>
    </row>
    <row r="4011" hidden="1">
      <c r="A4011" s="6" t="s">
        <v>55</v>
      </c>
      <c r="B4011" s="8" t="s">
        <v>1708</v>
      </c>
      <c r="C4011" s="8" t="s">
        <v>1709</v>
      </c>
      <c r="D4011" s="9">
        <v>3.0</v>
      </c>
      <c r="E4011" s="67">
        <f t="shared" si="11"/>
        <v>750</v>
      </c>
      <c r="F4011" s="67" t="str">
        <f t="shared" si="12"/>
        <v>3 LeadGen Set Appointments</v>
      </c>
    </row>
    <row r="4012" hidden="1">
      <c r="A4012" s="6" t="s">
        <v>55</v>
      </c>
      <c r="B4012" s="8" t="s">
        <v>1664</v>
      </c>
      <c r="C4012" s="8" t="s">
        <v>1665</v>
      </c>
      <c r="D4012" s="9">
        <v>3.0</v>
      </c>
      <c r="E4012" s="67">
        <f t="shared" si="11"/>
        <v>750</v>
      </c>
      <c r="F4012" s="67" t="str">
        <f t="shared" si="12"/>
        <v>3 LeadGen Set Appointments</v>
      </c>
    </row>
    <row r="4013" hidden="1">
      <c r="A4013" s="6" t="s">
        <v>55</v>
      </c>
      <c r="B4013" s="8" t="s">
        <v>1736</v>
      </c>
      <c r="C4013" s="8" t="s">
        <v>1737</v>
      </c>
      <c r="D4013" s="9">
        <v>3.0</v>
      </c>
      <c r="E4013" s="67">
        <f t="shared" si="11"/>
        <v>750</v>
      </c>
      <c r="F4013" s="67" t="str">
        <f t="shared" si="12"/>
        <v>3 LeadGen Set Appointments</v>
      </c>
    </row>
    <row r="4014" hidden="1">
      <c r="A4014" s="6" t="s">
        <v>55</v>
      </c>
      <c r="B4014" s="8" t="s">
        <v>1493</v>
      </c>
      <c r="C4014" s="8" t="s">
        <v>1494</v>
      </c>
      <c r="D4014" s="9">
        <v>3.0</v>
      </c>
      <c r="E4014" s="67">
        <f t="shared" si="11"/>
        <v>750</v>
      </c>
      <c r="F4014" s="67" t="str">
        <f t="shared" si="12"/>
        <v>3 LeadGen Set Appointments</v>
      </c>
    </row>
    <row r="4015" hidden="1">
      <c r="A4015" s="6" t="s">
        <v>55</v>
      </c>
      <c r="B4015" s="8" t="s">
        <v>1625</v>
      </c>
      <c r="C4015" s="8" t="s">
        <v>1626</v>
      </c>
      <c r="D4015" s="9">
        <v>3.0</v>
      </c>
      <c r="E4015" s="67">
        <f t="shared" si="11"/>
        <v>750</v>
      </c>
      <c r="F4015" s="67" t="str">
        <f t="shared" si="12"/>
        <v>3 LeadGen Set Appointments</v>
      </c>
    </row>
    <row r="4016" hidden="1">
      <c r="A4016" s="6" t="s">
        <v>55</v>
      </c>
      <c r="B4016" s="8" t="s">
        <v>1674</v>
      </c>
      <c r="C4016" s="8" t="s">
        <v>1675</v>
      </c>
      <c r="D4016" s="9">
        <v>3.0</v>
      </c>
      <c r="E4016" s="67">
        <f t="shared" si="11"/>
        <v>750</v>
      </c>
      <c r="F4016" s="67" t="str">
        <f t="shared" si="12"/>
        <v>3 LeadGen Set Appointments</v>
      </c>
    </row>
    <row r="4017" hidden="1">
      <c r="A4017" s="6" t="s">
        <v>55</v>
      </c>
      <c r="B4017" s="8" t="s">
        <v>566</v>
      </c>
      <c r="C4017" s="8" t="s">
        <v>567</v>
      </c>
      <c r="D4017" s="9">
        <v>3.0</v>
      </c>
      <c r="E4017" s="67">
        <f t="shared" si="11"/>
        <v>750</v>
      </c>
      <c r="F4017" s="67" t="str">
        <f t="shared" si="12"/>
        <v>3 LeadGen Set Appointments</v>
      </c>
    </row>
    <row r="4018" hidden="1">
      <c r="A4018" s="6" t="s">
        <v>55</v>
      </c>
      <c r="B4018" s="8" t="s">
        <v>1939</v>
      </c>
      <c r="C4018" s="8" t="s">
        <v>1940</v>
      </c>
      <c r="D4018" s="9">
        <v>3.0</v>
      </c>
      <c r="E4018" s="67">
        <f t="shared" si="11"/>
        <v>750</v>
      </c>
      <c r="F4018" s="67" t="str">
        <f t="shared" si="12"/>
        <v>3 LeadGen Set Appointments</v>
      </c>
    </row>
    <row r="4019" hidden="1">
      <c r="A4019" s="6" t="s">
        <v>55</v>
      </c>
      <c r="B4019" s="8" t="s">
        <v>1283</v>
      </c>
      <c r="C4019" s="8" t="s">
        <v>404</v>
      </c>
      <c r="D4019" s="9">
        <v>3.0</v>
      </c>
      <c r="E4019" s="67">
        <f t="shared" si="11"/>
        <v>750</v>
      </c>
      <c r="F4019" s="67" t="str">
        <f t="shared" si="12"/>
        <v>3 LeadGen Set Appointments</v>
      </c>
    </row>
    <row r="4020" hidden="1">
      <c r="A4020" s="6" t="s">
        <v>55</v>
      </c>
      <c r="B4020" s="8" t="s">
        <v>2029</v>
      </c>
      <c r="C4020" s="8" t="s">
        <v>2030</v>
      </c>
      <c r="D4020" s="9">
        <v>3.0</v>
      </c>
      <c r="E4020" s="67">
        <f t="shared" si="11"/>
        <v>750</v>
      </c>
      <c r="F4020" s="67" t="str">
        <f t="shared" si="12"/>
        <v>3 LeadGen Set Appointments</v>
      </c>
    </row>
    <row r="4021" hidden="1">
      <c r="A4021" s="6" t="s">
        <v>55</v>
      </c>
      <c r="B4021" s="8" t="s">
        <v>2006</v>
      </c>
      <c r="C4021" s="8" t="s">
        <v>2007</v>
      </c>
      <c r="D4021" s="9">
        <v>3.0</v>
      </c>
      <c r="E4021" s="67">
        <f t="shared" si="11"/>
        <v>750</v>
      </c>
      <c r="F4021" s="67" t="str">
        <f t="shared" si="12"/>
        <v>3 LeadGen Set Appointments</v>
      </c>
    </row>
    <row r="4022" hidden="1">
      <c r="A4022" s="6" t="s">
        <v>55</v>
      </c>
      <c r="B4022" s="8" t="s">
        <v>1520</v>
      </c>
      <c r="C4022" s="8" t="s">
        <v>2031</v>
      </c>
      <c r="D4022" s="9">
        <v>3.0</v>
      </c>
      <c r="E4022" s="67">
        <f t="shared" si="11"/>
        <v>750</v>
      </c>
      <c r="F4022" s="67" t="str">
        <f t="shared" si="12"/>
        <v>3 LeadGen Set Appointments</v>
      </c>
    </row>
    <row r="4023" hidden="1">
      <c r="A4023" s="6" t="s">
        <v>55</v>
      </c>
      <c r="B4023" s="8" t="s">
        <v>1684</v>
      </c>
      <c r="C4023" s="8" t="s">
        <v>1685</v>
      </c>
      <c r="D4023" s="9">
        <v>3.0</v>
      </c>
      <c r="E4023" s="67">
        <f t="shared" si="11"/>
        <v>750</v>
      </c>
      <c r="F4023" s="67" t="str">
        <f t="shared" si="12"/>
        <v>3 LeadGen Set Appointments</v>
      </c>
    </row>
    <row r="4024" hidden="1">
      <c r="A4024" s="6" t="s">
        <v>55</v>
      </c>
      <c r="B4024" s="8" t="s">
        <v>736</v>
      </c>
      <c r="C4024" s="8" t="s">
        <v>737</v>
      </c>
      <c r="D4024" s="9">
        <v>2.0</v>
      </c>
      <c r="E4024" s="67">
        <f t="shared" si="11"/>
        <v>500</v>
      </c>
      <c r="F4024" s="67" t="str">
        <f t="shared" si="12"/>
        <v>2 LeadGen Set Appointments</v>
      </c>
    </row>
    <row r="4025" hidden="1">
      <c r="A4025" s="6" t="s">
        <v>55</v>
      </c>
      <c r="B4025" s="8" t="s">
        <v>462</v>
      </c>
      <c r="C4025" s="8" t="s">
        <v>463</v>
      </c>
      <c r="D4025" s="9">
        <v>2.0</v>
      </c>
      <c r="E4025" s="67">
        <f t="shared" si="11"/>
        <v>500</v>
      </c>
      <c r="F4025" s="67" t="str">
        <f t="shared" si="12"/>
        <v>2 LeadGen Set Appointments</v>
      </c>
    </row>
    <row r="4026" hidden="1">
      <c r="A4026" s="6" t="s">
        <v>55</v>
      </c>
      <c r="B4026" s="8" t="s">
        <v>606</v>
      </c>
      <c r="C4026" s="8" t="s">
        <v>607</v>
      </c>
      <c r="D4026" s="9">
        <v>2.0</v>
      </c>
      <c r="E4026" s="67">
        <f t="shared" si="11"/>
        <v>500</v>
      </c>
      <c r="F4026" s="67" t="str">
        <f t="shared" si="12"/>
        <v>2 LeadGen Set Appointments</v>
      </c>
    </row>
    <row r="4027" hidden="1">
      <c r="A4027" s="6" t="s">
        <v>55</v>
      </c>
      <c r="B4027" s="8" t="s">
        <v>1951</v>
      </c>
      <c r="C4027" s="8" t="s">
        <v>1952</v>
      </c>
      <c r="D4027" s="9">
        <v>2.0</v>
      </c>
      <c r="E4027" s="67">
        <f t="shared" si="11"/>
        <v>500</v>
      </c>
      <c r="F4027" s="67" t="str">
        <f t="shared" si="12"/>
        <v>2 LeadGen Set Appointments</v>
      </c>
    </row>
    <row r="4028" hidden="1">
      <c r="A4028" s="6" t="s">
        <v>55</v>
      </c>
      <c r="B4028" s="8" t="s">
        <v>1291</v>
      </c>
      <c r="C4028" s="8" t="s">
        <v>422</v>
      </c>
      <c r="D4028" s="9">
        <v>2.0</v>
      </c>
      <c r="E4028" s="67">
        <f t="shared" si="11"/>
        <v>500</v>
      </c>
      <c r="F4028" s="67" t="str">
        <f t="shared" si="12"/>
        <v>2 LeadGen Set Appointments</v>
      </c>
    </row>
    <row r="4029" hidden="1">
      <c r="A4029" s="6" t="s">
        <v>55</v>
      </c>
      <c r="B4029" s="8" t="s">
        <v>1728</v>
      </c>
      <c r="C4029" s="8" t="s">
        <v>1729</v>
      </c>
      <c r="D4029" s="9">
        <v>2.0</v>
      </c>
      <c r="E4029" s="67">
        <f t="shared" si="11"/>
        <v>500</v>
      </c>
      <c r="F4029" s="67" t="str">
        <f t="shared" si="12"/>
        <v>2 LeadGen Set Appointments</v>
      </c>
    </row>
    <row r="4030" hidden="1">
      <c r="A4030" s="6" t="s">
        <v>55</v>
      </c>
      <c r="B4030" s="8" t="s">
        <v>244</v>
      </c>
      <c r="C4030" s="8" t="s">
        <v>1888</v>
      </c>
      <c r="D4030" s="9">
        <v>2.0</v>
      </c>
      <c r="E4030" s="67">
        <f t="shared" si="11"/>
        <v>500</v>
      </c>
      <c r="F4030" s="67" t="str">
        <f t="shared" si="12"/>
        <v>2 LeadGen Set Appointments</v>
      </c>
    </row>
    <row r="4031" hidden="1">
      <c r="A4031" s="6" t="s">
        <v>55</v>
      </c>
      <c r="B4031" s="8" t="s">
        <v>240</v>
      </c>
      <c r="C4031" s="8" t="s">
        <v>241</v>
      </c>
      <c r="D4031" s="9">
        <v>2.0</v>
      </c>
      <c r="E4031" s="67">
        <f t="shared" si="11"/>
        <v>500</v>
      </c>
      <c r="F4031" s="67" t="str">
        <f t="shared" si="12"/>
        <v>2 LeadGen Set Appointments</v>
      </c>
    </row>
    <row r="4032" hidden="1">
      <c r="A4032" s="6" t="s">
        <v>55</v>
      </c>
      <c r="B4032" s="8" t="s">
        <v>1508</v>
      </c>
      <c r="C4032" s="8" t="s">
        <v>1509</v>
      </c>
      <c r="D4032" s="9">
        <v>2.0</v>
      </c>
      <c r="E4032" s="67">
        <f t="shared" si="11"/>
        <v>500</v>
      </c>
      <c r="F4032" s="67" t="str">
        <f t="shared" si="12"/>
        <v>2 LeadGen Set Appointments</v>
      </c>
    </row>
    <row r="4033" hidden="1">
      <c r="A4033" s="6" t="s">
        <v>55</v>
      </c>
      <c r="B4033" s="8" t="s">
        <v>2014</v>
      </c>
      <c r="C4033" s="8" t="s">
        <v>2015</v>
      </c>
      <c r="D4033" s="9">
        <v>2.0</v>
      </c>
      <c r="E4033" s="67">
        <f t="shared" si="11"/>
        <v>500</v>
      </c>
      <c r="F4033" s="67" t="str">
        <f t="shared" si="12"/>
        <v>2 LeadGen Set Appointments</v>
      </c>
    </row>
    <row r="4034" hidden="1">
      <c r="A4034" s="6" t="s">
        <v>55</v>
      </c>
      <c r="B4034" s="8" t="s">
        <v>1719</v>
      </c>
      <c r="C4034" s="8" t="s">
        <v>1720</v>
      </c>
      <c r="D4034" s="9">
        <v>2.0</v>
      </c>
      <c r="E4034" s="67">
        <f t="shared" si="11"/>
        <v>500</v>
      </c>
      <c r="F4034" s="67" t="str">
        <f t="shared" si="12"/>
        <v>2 LeadGen Set Appointments</v>
      </c>
    </row>
    <row r="4035" hidden="1">
      <c r="A4035" s="6" t="s">
        <v>55</v>
      </c>
      <c r="B4035" s="8" t="s">
        <v>1842</v>
      </c>
      <c r="C4035" s="8" t="s">
        <v>1843</v>
      </c>
      <c r="D4035" s="9">
        <v>2.0</v>
      </c>
      <c r="E4035" s="67">
        <f t="shared" si="11"/>
        <v>500</v>
      </c>
      <c r="F4035" s="67" t="str">
        <f t="shared" si="12"/>
        <v>2 LeadGen Set Appointments</v>
      </c>
    </row>
    <row r="4036" hidden="1">
      <c r="A4036" s="6" t="s">
        <v>55</v>
      </c>
      <c r="B4036" s="8" t="s">
        <v>1723</v>
      </c>
      <c r="C4036" s="8" t="s">
        <v>32</v>
      </c>
      <c r="D4036" s="9">
        <v>2.0</v>
      </c>
      <c r="E4036" s="67">
        <f t="shared" si="11"/>
        <v>500</v>
      </c>
      <c r="F4036" s="67" t="str">
        <f t="shared" si="12"/>
        <v>2 LeadGen Set Appointments</v>
      </c>
    </row>
    <row r="4037" hidden="1">
      <c r="A4037" s="6" t="s">
        <v>55</v>
      </c>
      <c r="B4037" s="8" t="s">
        <v>1325</v>
      </c>
      <c r="C4037" s="8" t="s">
        <v>1326</v>
      </c>
      <c r="D4037" s="9">
        <v>2.0</v>
      </c>
      <c r="E4037" s="67">
        <f t="shared" si="11"/>
        <v>500</v>
      </c>
      <c r="F4037" s="67" t="str">
        <f t="shared" si="12"/>
        <v>2 LeadGen Set Appointments</v>
      </c>
    </row>
    <row r="4038" hidden="1">
      <c r="A4038" s="6" t="s">
        <v>55</v>
      </c>
      <c r="B4038" s="8" t="s">
        <v>1784</v>
      </c>
      <c r="C4038" s="8" t="s">
        <v>1785</v>
      </c>
      <c r="D4038" s="9">
        <v>2.0</v>
      </c>
      <c r="E4038" s="67">
        <f t="shared" si="11"/>
        <v>500</v>
      </c>
      <c r="F4038" s="67" t="str">
        <f t="shared" si="12"/>
        <v>2 LeadGen Set Appointments</v>
      </c>
    </row>
    <row r="4039" hidden="1">
      <c r="A4039" s="6" t="s">
        <v>55</v>
      </c>
      <c r="B4039" s="8" t="s">
        <v>1666</v>
      </c>
      <c r="C4039" s="8" t="s">
        <v>1667</v>
      </c>
      <c r="D4039" s="9">
        <v>2.0</v>
      </c>
      <c r="E4039" s="67">
        <f t="shared" si="11"/>
        <v>500</v>
      </c>
      <c r="F4039" s="67" t="str">
        <f t="shared" si="12"/>
        <v>2 LeadGen Set Appointments</v>
      </c>
    </row>
    <row r="4040" hidden="1">
      <c r="A4040" s="6" t="s">
        <v>55</v>
      </c>
      <c r="B4040" s="8" t="s">
        <v>518</v>
      </c>
      <c r="C4040" s="8" t="s">
        <v>519</v>
      </c>
      <c r="D4040" s="9">
        <v>2.0</v>
      </c>
      <c r="E4040" s="67">
        <f t="shared" si="11"/>
        <v>500</v>
      </c>
      <c r="F4040" s="67" t="str">
        <f t="shared" si="12"/>
        <v>2 LeadGen Set Appointments</v>
      </c>
    </row>
    <row r="4041" hidden="1">
      <c r="A4041" s="6" t="s">
        <v>55</v>
      </c>
      <c r="B4041" s="8" t="s">
        <v>1567</v>
      </c>
      <c r="C4041" s="8" t="s">
        <v>1568</v>
      </c>
      <c r="D4041" s="9">
        <v>2.0</v>
      </c>
      <c r="E4041" s="67">
        <f t="shared" si="11"/>
        <v>500</v>
      </c>
      <c r="F4041" s="67" t="str">
        <f t="shared" si="12"/>
        <v>2 LeadGen Set Appointments</v>
      </c>
    </row>
    <row r="4042" hidden="1">
      <c r="A4042" s="6" t="s">
        <v>55</v>
      </c>
      <c r="B4042" s="8" t="s">
        <v>1935</v>
      </c>
      <c r="C4042" s="8" t="s">
        <v>1936</v>
      </c>
      <c r="D4042" s="9">
        <v>2.0</v>
      </c>
      <c r="E4042" s="67">
        <f t="shared" si="11"/>
        <v>500</v>
      </c>
      <c r="F4042" s="67" t="str">
        <f t="shared" si="12"/>
        <v>2 LeadGen Set Appointments</v>
      </c>
    </row>
    <row r="4043" hidden="1">
      <c r="A4043" s="6" t="s">
        <v>55</v>
      </c>
      <c r="B4043" s="8" t="s">
        <v>2032</v>
      </c>
      <c r="C4043" s="8" t="s">
        <v>2033</v>
      </c>
      <c r="D4043" s="9">
        <v>2.0</v>
      </c>
      <c r="E4043" s="67">
        <f t="shared" si="11"/>
        <v>500</v>
      </c>
      <c r="F4043" s="67" t="str">
        <f t="shared" si="12"/>
        <v>2 LeadGen Set Appointments</v>
      </c>
    </row>
    <row r="4044" hidden="1">
      <c r="A4044" s="6" t="s">
        <v>55</v>
      </c>
      <c r="B4044" s="8" t="s">
        <v>1716</v>
      </c>
      <c r="C4044" s="8" t="s">
        <v>30</v>
      </c>
      <c r="D4044" s="9">
        <v>2.0</v>
      </c>
      <c r="E4044" s="67">
        <f t="shared" si="11"/>
        <v>500</v>
      </c>
      <c r="F4044" s="67" t="str">
        <f t="shared" si="12"/>
        <v>2 LeadGen Set Appointments</v>
      </c>
    </row>
    <row r="4045" hidden="1">
      <c r="A4045" s="6" t="s">
        <v>55</v>
      </c>
      <c r="B4045" s="8" t="s">
        <v>1962</v>
      </c>
      <c r="C4045" s="8" t="s">
        <v>1963</v>
      </c>
      <c r="D4045" s="9">
        <v>2.0</v>
      </c>
      <c r="E4045" s="67">
        <f t="shared" si="11"/>
        <v>500</v>
      </c>
      <c r="F4045" s="67" t="str">
        <f t="shared" si="12"/>
        <v>2 LeadGen Set Appointments</v>
      </c>
    </row>
    <row r="4046" hidden="1">
      <c r="A4046" s="6" t="s">
        <v>55</v>
      </c>
      <c r="B4046" s="8" t="s">
        <v>1933</v>
      </c>
      <c r="C4046" s="8" t="s">
        <v>1934</v>
      </c>
      <c r="D4046" s="9">
        <v>2.0</v>
      </c>
      <c r="E4046" s="67">
        <f t="shared" si="11"/>
        <v>500</v>
      </c>
      <c r="F4046" s="67" t="str">
        <f t="shared" si="12"/>
        <v>2 LeadGen Set Appointments</v>
      </c>
    </row>
    <row r="4047" hidden="1">
      <c r="A4047" s="6" t="s">
        <v>55</v>
      </c>
      <c r="B4047" s="8" t="s">
        <v>1964</v>
      </c>
      <c r="C4047" s="8" t="s">
        <v>1965</v>
      </c>
      <c r="D4047" s="9">
        <v>2.0</v>
      </c>
      <c r="E4047" s="67">
        <f t="shared" si="11"/>
        <v>500</v>
      </c>
      <c r="F4047" s="67" t="str">
        <f t="shared" si="12"/>
        <v>2 LeadGen Set Appointments</v>
      </c>
    </row>
    <row r="4048" hidden="1">
      <c r="A4048" s="6" t="s">
        <v>55</v>
      </c>
      <c r="B4048" s="8" t="s">
        <v>1945</v>
      </c>
      <c r="C4048" s="8" t="s">
        <v>1946</v>
      </c>
      <c r="D4048" s="9">
        <v>2.0</v>
      </c>
      <c r="E4048" s="67">
        <f t="shared" si="11"/>
        <v>500</v>
      </c>
      <c r="F4048" s="67" t="str">
        <f t="shared" si="12"/>
        <v>2 LeadGen Set Appointments</v>
      </c>
    </row>
    <row r="4049" hidden="1">
      <c r="A4049" s="6" t="s">
        <v>55</v>
      </c>
      <c r="B4049" s="8" t="s">
        <v>1726</v>
      </c>
      <c r="C4049" s="8" t="s">
        <v>1727</v>
      </c>
      <c r="D4049" s="9">
        <v>1.0</v>
      </c>
      <c r="E4049" s="67">
        <f t="shared" si="11"/>
        <v>250</v>
      </c>
      <c r="F4049" s="67" t="str">
        <f t="shared" si="12"/>
        <v>1 LeadGen Set Appointments</v>
      </c>
    </row>
    <row r="4050" hidden="1">
      <c r="A4050" s="6" t="s">
        <v>55</v>
      </c>
      <c r="B4050" s="74" t="s">
        <v>596</v>
      </c>
      <c r="C4050" s="74" t="s">
        <v>597</v>
      </c>
      <c r="D4050" s="75">
        <v>1.0</v>
      </c>
      <c r="E4050" s="76">
        <f t="shared" si="11"/>
        <v>250</v>
      </c>
      <c r="F4050" s="76" t="str">
        <f t="shared" si="12"/>
        <v>1 LeadGen Set Appointments</v>
      </c>
    </row>
    <row r="4051" hidden="1">
      <c r="A4051" s="6" t="s">
        <v>55</v>
      </c>
      <c r="B4051" s="8" t="s">
        <v>433</v>
      </c>
      <c r="C4051" s="8" t="s">
        <v>434</v>
      </c>
      <c r="D4051" s="9">
        <v>1.0</v>
      </c>
      <c r="E4051" s="67">
        <f t="shared" si="11"/>
        <v>250</v>
      </c>
      <c r="F4051" s="67" t="str">
        <f t="shared" si="12"/>
        <v>1 LeadGen Set Appointments</v>
      </c>
    </row>
    <row r="4052" hidden="1">
      <c r="A4052" s="6" t="s">
        <v>55</v>
      </c>
      <c r="B4052" s="8" t="s">
        <v>2034</v>
      </c>
      <c r="C4052" s="8" t="s">
        <v>416</v>
      </c>
      <c r="D4052" s="9">
        <v>1.0</v>
      </c>
      <c r="E4052" s="67">
        <f t="shared" si="11"/>
        <v>250</v>
      </c>
      <c r="F4052" s="67" t="str">
        <f t="shared" si="12"/>
        <v>1 LeadGen Set Appointments</v>
      </c>
    </row>
    <row r="4053" hidden="1">
      <c r="A4053" s="6" t="s">
        <v>55</v>
      </c>
      <c r="B4053" s="8" t="s">
        <v>2035</v>
      </c>
      <c r="C4053" s="8" t="s">
        <v>2036</v>
      </c>
      <c r="D4053" s="9">
        <v>1.0</v>
      </c>
      <c r="E4053" s="67">
        <f t="shared" si="11"/>
        <v>250</v>
      </c>
      <c r="F4053" s="67" t="str">
        <f t="shared" si="12"/>
        <v>1 LeadGen Set Appointments</v>
      </c>
    </row>
    <row r="4054" hidden="1">
      <c r="A4054" s="6" t="s">
        <v>55</v>
      </c>
      <c r="B4054" s="8" t="s">
        <v>1957</v>
      </c>
      <c r="C4054" s="8" t="s">
        <v>1958</v>
      </c>
      <c r="D4054" s="9">
        <v>1.0</v>
      </c>
      <c r="E4054" s="67">
        <f t="shared" si="11"/>
        <v>250</v>
      </c>
      <c r="F4054" s="67" t="str">
        <f t="shared" si="12"/>
        <v>1 LeadGen Set Appointments</v>
      </c>
    </row>
    <row r="4055" hidden="1">
      <c r="A4055" s="6" t="s">
        <v>55</v>
      </c>
      <c r="B4055" s="8" t="s">
        <v>1543</v>
      </c>
      <c r="C4055" s="8" t="s">
        <v>1544</v>
      </c>
      <c r="D4055" s="9">
        <v>1.0</v>
      </c>
      <c r="E4055" s="67">
        <f t="shared" si="11"/>
        <v>250</v>
      </c>
      <c r="F4055" s="67" t="str">
        <f t="shared" si="12"/>
        <v>1 LeadGen Set Appointments</v>
      </c>
    </row>
    <row r="4056" hidden="1">
      <c r="A4056" s="6" t="s">
        <v>55</v>
      </c>
      <c r="B4056" s="8" t="s">
        <v>684</v>
      </c>
      <c r="C4056" s="8" t="s">
        <v>685</v>
      </c>
      <c r="D4056" s="9">
        <v>1.0</v>
      </c>
      <c r="E4056" s="67">
        <f t="shared" si="11"/>
        <v>250</v>
      </c>
      <c r="F4056" s="67" t="str">
        <f t="shared" si="12"/>
        <v>1 LeadGen Set Appointments</v>
      </c>
    </row>
    <row r="4057" hidden="1">
      <c r="A4057" s="6" t="s">
        <v>55</v>
      </c>
      <c r="B4057" s="8" t="s">
        <v>2037</v>
      </c>
      <c r="C4057" s="8" t="s">
        <v>2038</v>
      </c>
      <c r="D4057" s="9">
        <v>1.0</v>
      </c>
      <c r="E4057" s="67">
        <f t="shared" si="11"/>
        <v>250</v>
      </c>
      <c r="F4057" s="67" t="str">
        <f t="shared" si="12"/>
        <v>1 LeadGen Set Appointments</v>
      </c>
    </row>
    <row r="4058" hidden="1">
      <c r="A4058" s="6" t="s">
        <v>55</v>
      </c>
      <c r="B4058" s="8" t="s">
        <v>2039</v>
      </c>
      <c r="C4058" s="8" t="s">
        <v>2040</v>
      </c>
      <c r="D4058" s="9">
        <v>1.0</v>
      </c>
      <c r="E4058" s="67">
        <f t="shared" si="11"/>
        <v>250</v>
      </c>
      <c r="F4058" s="67" t="str">
        <f t="shared" si="12"/>
        <v>1 LeadGen Set Appointments</v>
      </c>
    </row>
    <row r="4059" hidden="1">
      <c r="A4059" s="6" t="s">
        <v>55</v>
      </c>
      <c r="B4059" s="8" t="s">
        <v>1838</v>
      </c>
      <c r="C4059" s="8" t="s">
        <v>1839</v>
      </c>
      <c r="D4059" s="9">
        <v>1.0</v>
      </c>
      <c r="E4059" s="67">
        <f t="shared" si="11"/>
        <v>250</v>
      </c>
      <c r="F4059" s="67" t="str">
        <f t="shared" si="12"/>
        <v>1 LeadGen Set Appointments</v>
      </c>
    </row>
    <row r="4060" hidden="1">
      <c r="A4060" s="6" t="s">
        <v>55</v>
      </c>
      <c r="B4060" s="8" t="s">
        <v>693</v>
      </c>
      <c r="C4060" s="8" t="s">
        <v>694</v>
      </c>
      <c r="D4060" s="9">
        <v>1.0</v>
      </c>
      <c r="E4060" s="67">
        <f t="shared" si="11"/>
        <v>250</v>
      </c>
      <c r="F4060" s="67" t="str">
        <f t="shared" si="12"/>
        <v>1 LeadGen Set Appointments</v>
      </c>
    </row>
    <row r="4061" hidden="1">
      <c r="A4061" s="6" t="s">
        <v>55</v>
      </c>
      <c r="B4061" s="8" t="s">
        <v>590</v>
      </c>
      <c r="C4061" s="8" t="s">
        <v>2041</v>
      </c>
      <c r="D4061" s="9">
        <v>1.0</v>
      </c>
      <c r="E4061" s="67">
        <f t="shared" si="11"/>
        <v>250</v>
      </c>
      <c r="F4061" s="67" t="str">
        <f t="shared" si="12"/>
        <v>1 LeadGen Set Appointments</v>
      </c>
    </row>
    <row r="4062" hidden="1">
      <c r="A4062" s="6" t="s">
        <v>55</v>
      </c>
      <c r="B4062" s="8" t="s">
        <v>2042</v>
      </c>
      <c r="C4062" s="8" t="s">
        <v>2043</v>
      </c>
      <c r="D4062" s="9">
        <v>1.0</v>
      </c>
      <c r="E4062" s="67">
        <f t="shared" si="11"/>
        <v>250</v>
      </c>
      <c r="F4062" s="67" t="str">
        <f t="shared" si="12"/>
        <v>1 LeadGen Set Appointments</v>
      </c>
    </row>
    <row r="4063" hidden="1">
      <c r="A4063" s="6" t="s">
        <v>55</v>
      </c>
      <c r="B4063" s="8" t="s">
        <v>1960</v>
      </c>
      <c r="C4063" s="8" t="s">
        <v>1961</v>
      </c>
      <c r="D4063" s="9">
        <v>1.0</v>
      </c>
      <c r="E4063" s="67">
        <f t="shared" si="11"/>
        <v>250</v>
      </c>
      <c r="F4063" s="67" t="str">
        <f t="shared" si="12"/>
        <v>1 LeadGen Set Appointments</v>
      </c>
    </row>
    <row r="4064" hidden="1">
      <c r="A4064" s="6" t="s">
        <v>55</v>
      </c>
      <c r="B4064" s="8" t="s">
        <v>2044</v>
      </c>
      <c r="C4064" s="8" t="s">
        <v>2045</v>
      </c>
      <c r="D4064" s="9">
        <v>1.0</v>
      </c>
      <c r="E4064" s="67">
        <f t="shared" si="11"/>
        <v>250</v>
      </c>
      <c r="F4064" s="67" t="str">
        <f t="shared" si="12"/>
        <v>1 LeadGen Set Appointments</v>
      </c>
    </row>
    <row r="4065" hidden="1">
      <c r="A4065" s="6" t="s">
        <v>55</v>
      </c>
      <c r="B4065" s="8" t="s">
        <v>2016</v>
      </c>
      <c r="C4065" s="8" t="s">
        <v>2017</v>
      </c>
      <c r="D4065" s="9">
        <v>1.0</v>
      </c>
      <c r="E4065" s="67">
        <f t="shared" si="11"/>
        <v>250</v>
      </c>
      <c r="F4065" s="67" t="str">
        <f t="shared" si="12"/>
        <v>1 LeadGen Set Appointments</v>
      </c>
    </row>
    <row r="4066" hidden="1">
      <c r="A4066" s="6" t="s">
        <v>55</v>
      </c>
      <c r="B4066" s="8" t="s">
        <v>1093</v>
      </c>
      <c r="C4066" s="8" t="s">
        <v>1760</v>
      </c>
      <c r="D4066" s="9">
        <v>1.0</v>
      </c>
      <c r="E4066" s="67">
        <f t="shared" si="11"/>
        <v>250</v>
      </c>
      <c r="F4066" s="67" t="str">
        <f t="shared" si="12"/>
        <v>1 LeadGen Set Appointments</v>
      </c>
    </row>
    <row r="4067" hidden="1">
      <c r="A4067" s="6" t="s">
        <v>55</v>
      </c>
      <c r="B4067" s="8" t="s">
        <v>1424</v>
      </c>
      <c r="C4067" s="8" t="s">
        <v>1425</v>
      </c>
      <c r="D4067" s="9">
        <v>1.0</v>
      </c>
      <c r="E4067" s="67">
        <f t="shared" si="11"/>
        <v>250</v>
      </c>
      <c r="F4067" s="67" t="str">
        <f t="shared" si="12"/>
        <v>1 LeadGen Set Appointments</v>
      </c>
    </row>
    <row r="4068" hidden="1">
      <c r="A4068" s="6" t="s">
        <v>55</v>
      </c>
      <c r="B4068" s="8" t="s">
        <v>2046</v>
      </c>
      <c r="C4068" s="8" t="s">
        <v>2047</v>
      </c>
      <c r="D4068" s="9">
        <v>1.0</v>
      </c>
      <c r="E4068" s="67">
        <f t="shared" si="11"/>
        <v>250</v>
      </c>
      <c r="F4068" s="67" t="str">
        <f t="shared" si="12"/>
        <v>1 LeadGen Set Appointments</v>
      </c>
    </row>
    <row r="4069" hidden="1">
      <c r="A4069" s="6" t="s">
        <v>55</v>
      </c>
      <c r="B4069" s="8" t="s">
        <v>1025</v>
      </c>
      <c r="C4069" s="8" t="s">
        <v>1026</v>
      </c>
      <c r="D4069" s="9">
        <v>9.0</v>
      </c>
      <c r="E4069" s="67">
        <f t="shared" si="11"/>
        <v>2250</v>
      </c>
      <c r="F4069" s="67" t="str">
        <f t="shared" si="12"/>
        <v>9 LeadGen Set Appointments</v>
      </c>
    </row>
    <row r="4070" hidden="1">
      <c r="A4070" s="6" t="s">
        <v>55</v>
      </c>
      <c r="B4070" s="8" t="s">
        <v>1863</v>
      </c>
      <c r="C4070" s="8" t="s">
        <v>1864</v>
      </c>
      <c r="D4070" s="9">
        <v>7.0</v>
      </c>
      <c r="E4070" s="67">
        <f t="shared" si="11"/>
        <v>1750</v>
      </c>
      <c r="F4070" s="67" t="str">
        <f t="shared" si="12"/>
        <v>7 LeadGen Set Appointments</v>
      </c>
    </row>
    <row r="4071" hidden="1">
      <c r="A4071" s="6" t="s">
        <v>55</v>
      </c>
      <c r="B4071" s="8" t="s">
        <v>1979</v>
      </c>
      <c r="C4071" s="8" t="s">
        <v>1980</v>
      </c>
      <c r="D4071" s="9">
        <v>7.0</v>
      </c>
      <c r="E4071" s="67">
        <f t="shared" si="11"/>
        <v>1750</v>
      </c>
      <c r="F4071" s="67" t="str">
        <f t="shared" si="12"/>
        <v>7 LeadGen Set Appointments</v>
      </c>
    </row>
    <row r="4072" hidden="1">
      <c r="A4072" s="6" t="s">
        <v>55</v>
      </c>
      <c r="B4072" s="8" t="s">
        <v>1700</v>
      </c>
      <c r="C4072" s="8" t="s">
        <v>1701</v>
      </c>
      <c r="D4072" s="9">
        <v>5.0</v>
      </c>
      <c r="E4072" s="67">
        <f t="shared" si="11"/>
        <v>1250</v>
      </c>
      <c r="F4072" s="67" t="str">
        <f t="shared" si="12"/>
        <v>5 LeadGen Set Appointments</v>
      </c>
    </row>
    <row r="4073" hidden="1">
      <c r="A4073" s="6" t="s">
        <v>55</v>
      </c>
      <c r="B4073" s="8" t="s">
        <v>2002</v>
      </c>
      <c r="C4073" s="8" t="s">
        <v>2003</v>
      </c>
      <c r="D4073" s="9">
        <v>5.0</v>
      </c>
      <c r="E4073" s="67">
        <f t="shared" si="11"/>
        <v>1250</v>
      </c>
      <c r="F4073" s="67" t="str">
        <f t="shared" si="12"/>
        <v>5 LeadGen Set Appointments</v>
      </c>
    </row>
    <row r="4074" hidden="1">
      <c r="A4074" s="6" t="s">
        <v>55</v>
      </c>
      <c r="B4074" s="8" t="s">
        <v>1983</v>
      </c>
      <c r="C4074" s="8" t="s">
        <v>1984</v>
      </c>
      <c r="D4074" s="9">
        <v>5.0</v>
      </c>
      <c r="E4074" s="67">
        <f t="shared" si="11"/>
        <v>1250</v>
      </c>
      <c r="F4074" s="67" t="str">
        <f t="shared" si="12"/>
        <v>5 LeadGen Set Appointments</v>
      </c>
    </row>
    <row r="4075" hidden="1">
      <c r="A4075" s="6" t="s">
        <v>55</v>
      </c>
      <c r="B4075" s="8" t="s">
        <v>1690</v>
      </c>
      <c r="C4075" s="8" t="s">
        <v>1691</v>
      </c>
      <c r="D4075" s="9">
        <v>5.0</v>
      </c>
      <c r="E4075" s="67">
        <f t="shared" si="11"/>
        <v>1250</v>
      </c>
      <c r="F4075" s="67" t="str">
        <f t="shared" si="12"/>
        <v>5 LeadGen Set Appointments</v>
      </c>
    </row>
    <row r="4076" hidden="1">
      <c r="A4076" s="6" t="s">
        <v>55</v>
      </c>
      <c r="B4076" s="8" t="s">
        <v>1767</v>
      </c>
      <c r="C4076" s="8" t="s">
        <v>521</v>
      </c>
      <c r="D4076" s="9">
        <v>5.0</v>
      </c>
      <c r="E4076" s="67">
        <f t="shared" si="11"/>
        <v>1250</v>
      </c>
      <c r="F4076" s="67" t="str">
        <f t="shared" si="12"/>
        <v>5 LeadGen Set Appointments</v>
      </c>
    </row>
    <row r="4077" hidden="1">
      <c r="A4077" s="6" t="s">
        <v>55</v>
      </c>
      <c r="B4077" s="8" t="s">
        <v>1686</v>
      </c>
      <c r="C4077" s="8" t="s">
        <v>1687</v>
      </c>
      <c r="D4077" s="9">
        <v>5.0</v>
      </c>
      <c r="E4077" s="67">
        <f t="shared" si="11"/>
        <v>1250</v>
      </c>
      <c r="F4077" s="67" t="str">
        <f t="shared" si="12"/>
        <v>5 LeadGen Set Appointments</v>
      </c>
    </row>
    <row r="4078" hidden="1">
      <c r="A4078" s="6" t="s">
        <v>55</v>
      </c>
      <c r="B4078" s="8" t="s">
        <v>1763</v>
      </c>
      <c r="C4078" s="8" t="s">
        <v>653</v>
      </c>
      <c r="D4078" s="9">
        <v>4.0</v>
      </c>
      <c r="E4078" s="67">
        <f t="shared" si="11"/>
        <v>1000</v>
      </c>
      <c r="F4078" s="67" t="str">
        <f t="shared" si="12"/>
        <v>4 LeadGen Set Appointments</v>
      </c>
    </row>
    <row r="4079" hidden="1">
      <c r="A4079" s="6" t="s">
        <v>55</v>
      </c>
      <c r="B4079" s="8" t="s">
        <v>1694</v>
      </c>
      <c r="C4079" s="8" t="s">
        <v>1695</v>
      </c>
      <c r="D4079" s="9">
        <v>4.0</v>
      </c>
      <c r="E4079" s="67">
        <f t="shared" si="11"/>
        <v>1000</v>
      </c>
      <c r="F4079" s="67" t="str">
        <f t="shared" si="12"/>
        <v>4 LeadGen Set Appointments</v>
      </c>
    </row>
    <row r="4080" hidden="1">
      <c r="A4080" s="6" t="s">
        <v>55</v>
      </c>
      <c r="B4080" s="8" t="s">
        <v>1191</v>
      </c>
      <c r="C4080" s="8" t="s">
        <v>1192</v>
      </c>
      <c r="D4080" s="9">
        <v>4.0</v>
      </c>
      <c r="E4080" s="67">
        <f t="shared" si="11"/>
        <v>1000</v>
      </c>
      <c r="F4080" s="67" t="str">
        <f t="shared" si="12"/>
        <v>4 LeadGen Set Appointments</v>
      </c>
    </row>
    <row r="4081" hidden="1">
      <c r="A4081" s="6" t="s">
        <v>55</v>
      </c>
      <c r="B4081" s="8" t="s">
        <v>1968</v>
      </c>
      <c r="C4081" s="8" t="s">
        <v>895</v>
      </c>
      <c r="D4081" s="9">
        <v>4.0</v>
      </c>
      <c r="E4081" s="67">
        <f t="shared" si="11"/>
        <v>1000</v>
      </c>
      <c r="F4081" s="67" t="str">
        <f t="shared" si="12"/>
        <v>4 LeadGen Set Appointments</v>
      </c>
    </row>
    <row r="4082" hidden="1">
      <c r="A4082" s="6" t="s">
        <v>55</v>
      </c>
      <c r="B4082" s="8" t="s">
        <v>1764</v>
      </c>
      <c r="C4082" s="8" t="s">
        <v>1765</v>
      </c>
      <c r="D4082" s="9">
        <v>4.0</v>
      </c>
      <c r="E4082" s="67">
        <f t="shared" si="11"/>
        <v>1000</v>
      </c>
      <c r="F4082" s="67" t="str">
        <f t="shared" si="12"/>
        <v>4 LeadGen Set Appointments</v>
      </c>
    </row>
    <row r="4083" hidden="1">
      <c r="A4083" s="6" t="s">
        <v>55</v>
      </c>
      <c r="B4083" s="8" t="s">
        <v>825</v>
      </c>
      <c r="C4083" s="8" t="s">
        <v>1766</v>
      </c>
      <c r="D4083" s="9">
        <v>4.0</v>
      </c>
      <c r="E4083" s="67">
        <f t="shared" si="11"/>
        <v>1000</v>
      </c>
      <c r="F4083" s="67" t="str">
        <f t="shared" si="12"/>
        <v>4 LeadGen Set Appointments</v>
      </c>
    </row>
    <row r="4084" hidden="1">
      <c r="A4084" s="6" t="s">
        <v>55</v>
      </c>
      <c r="B4084" s="8" t="s">
        <v>1499</v>
      </c>
      <c r="C4084" s="8" t="s">
        <v>1500</v>
      </c>
      <c r="D4084" s="9">
        <v>4.0</v>
      </c>
      <c r="E4084" s="67">
        <f t="shared" si="11"/>
        <v>1000</v>
      </c>
      <c r="F4084" s="67" t="str">
        <f t="shared" si="12"/>
        <v>4 LeadGen Set Appointments</v>
      </c>
    </row>
    <row r="4085" hidden="1">
      <c r="A4085" s="6" t="s">
        <v>55</v>
      </c>
      <c r="B4085" s="8" t="s">
        <v>2024</v>
      </c>
      <c r="C4085" s="8" t="s">
        <v>2025</v>
      </c>
      <c r="D4085" s="9">
        <v>3.0</v>
      </c>
      <c r="E4085" s="67">
        <f t="shared" si="11"/>
        <v>750</v>
      </c>
      <c r="F4085" s="67" t="str">
        <f t="shared" si="12"/>
        <v>3 LeadGen Set Appointments</v>
      </c>
    </row>
    <row r="4086" hidden="1">
      <c r="A4086" s="6" t="s">
        <v>55</v>
      </c>
      <c r="B4086" s="8" t="s">
        <v>650</v>
      </c>
      <c r="C4086" s="8" t="s">
        <v>651</v>
      </c>
      <c r="D4086" s="9">
        <v>3.0</v>
      </c>
      <c r="E4086" s="67">
        <f t="shared" si="11"/>
        <v>750</v>
      </c>
      <c r="F4086" s="67" t="str">
        <f t="shared" si="12"/>
        <v>3 LeadGen Set Appointments</v>
      </c>
    </row>
    <row r="4087" hidden="1">
      <c r="A4087" s="6" t="s">
        <v>55</v>
      </c>
      <c r="B4087" s="8" t="s">
        <v>1714</v>
      </c>
      <c r="C4087" s="8" t="s">
        <v>1715</v>
      </c>
      <c r="D4087" s="9">
        <v>3.0</v>
      </c>
      <c r="E4087" s="67">
        <f t="shared" si="11"/>
        <v>750</v>
      </c>
      <c r="F4087" s="67" t="str">
        <f t="shared" si="12"/>
        <v>3 LeadGen Set Appointments</v>
      </c>
    </row>
    <row r="4088" hidden="1">
      <c r="A4088" s="6" t="s">
        <v>55</v>
      </c>
      <c r="B4088" s="8" t="s">
        <v>1819</v>
      </c>
      <c r="C4088" s="8" t="s">
        <v>1820</v>
      </c>
      <c r="D4088" s="9">
        <v>3.0</v>
      </c>
      <c r="E4088" s="67">
        <f t="shared" si="11"/>
        <v>750</v>
      </c>
      <c r="F4088" s="67" t="str">
        <f t="shared" si="12"/>
        <v>3 LeadGen Set Appointments</v>
      </c>
    </row>
    <row r="4089" hidden="1">
      <c r="A4089" s="6" t="s">
        <v>55</v>
      </c>
      <c r="B4089" s="8" t="s">
        <v>2048</v>
      </c>
      <c r="C4089" s="8" t="s">
        <v>2049</v>
      </c>
      <c r="D4089" s="9">
        <v>3.0</v>
      </c>
      <c r="E4089" s="67">
        <f t="shared" si="11"/>
        <v>750</v>
      </c>
      <c r="F4089" s="67" t="str">
        <f t="shared" si="12"/>
        <v>3 LeadGen Set Appointments</v>
      </c>
    </row>
    <row r="4090" hidden="1">
      <c r="A4090" s="6" t="s">
        <v>55</v>
      </c>
      <c r="B4090" s="8" t="s">
        <v>1921</v>
      </c>
      <c r="C4090" s="8" t="s">
        <v>33</v>
      </c>
      <c r="D4090" s="9">
        <v>3.0</v>
      </c>
      <c r="E4090" s="67">
        <f t="shared" si="11"/>
        <v>750</v>
      </c>
      <c r="F4090" s="67" t="str">
        <f t="shared" si="12"/>
        <v>3 LeadGen Set Appointments</v>
      </c>
    </row>
    <row r="4091" hidden="1">
      <c r="A4091" s="6" t="s">
        <v>55</v>
      </c>
      <c r="B4091" s="8" t="s">
        <v>618</v>
      </c>
      <c r="C4091" s="8" t="s">
        <v>619</v>
      </c>
      <c r="D4091" s="9">
        <v>3.0</v>
      </c>
      <c r="E4091" s="67">
        <f t="shared" si="11"/>
        <v>750</v>
      </c>
      <c r="F4091" s="67" t="str">
        <f t="shared" si="12"/>
        <v>3 LeadGen Set Appointments</v>
      </c>
    </row>
    <row r="4092" hidden="1">
      <c r="A4092" s="6" t="s">
        <v>55</v>
      </c>
      <c r="B4092" s="8" t="s">
        <v>1301</v>
      </c>
      <c r="C4092" s="8" t="s">
        <v>1620</v>
      </c>
      <c r="D4092" s="9">
        <v>3.0</v>
      </c>
      <c r="E4092" s="67">
        <f t="shared" si="11"/>
        <v>750</v>
      </c>
      <c r="F4092" s="67" t="str">
        <f t="shared" si="12"/>
        <v>3 LeadGen Set Appointments</v>
      </c>
    </row>
    <row r="4093" hidden="1">
      <c r="A4093" s="6" t="s">
        <v>55</v>
      </c>
      <c r="B4093" s="8" t="s">
        <v>1994</v>
      </c>
      <c r="C4093" s="8" t="s">
        <v>1995</v>
      </c>
      <c r="D4093" s="9">
        <v>3.0</v>
      </c>
      <c r="E4093" s="67">
        <f t="shared" si="11"/>
        <v>750</v>
      </c>
      <c r="F4093" s="67" t="str">
        <f t="shared" si="12"/>
        <v>3 LeadGen Set Appointments</v>
      </c>
    </row>
    <row r="4094" hidden="1">
      <c r="A4094" s="6" t="s">
        <v>55</v>
      </c>
      <c r="B4094" s="8" t="s">
        <v>564</v>
      </c>
      <c r="C4094" s="8" t="s">
        <v>565</v>
      </c>
      <c r="D4094" s="9">
        <v>3.0</v>
      </c>
      <c r="E4094" s="67">
        <f t="shared" si="11"/>
        <v>750</v>
      </c>
      <c r="F4094" s="67" t="str">
        <f t="shared" si="12"/>
        <v>3 LeadGen Set Appointments</v>
      </c>
    </row>
    <row r="4095" hidden="1">
      <c r="A4095" s="6" t="s">
        <v>55</v>
      </c>
      <c r="B4095" s="8" t="s">
        <v>1712</v>
      </c>
      <c r="C4095" s="8" t="s">
        <v>1713</v>
      </c>
      <c r="D4095" s="9">
        <v>3.0</v>
      </c>
      <c r="E4095" s="67">
        <f t="shared" si="11"/>
        <v>750</v>
      </c>
      <c r="F4095" s="67" t="str">
        <f t="shared" si="12"/>
        <v>3 LeadGen Set Appointments</v>
      </c>
    </row>
    <row r="4096" hidden="1">
      <c r="A4096" s="6" t="s">
        <v>55</v>
      </c>
      <c r="B4096" s="8" t="s">
        <v>1975</v>
      </c>
      <c r="C4096" s="8" t="s">
        <v>1976</v>
      </c>
      <c r="D4096" s="9">
        <v>3.0</v>
      </c>
      <c r="E4096" s="67">
        <f t="shared" si="11"/>
        <v>750</v>
      </c>
      <c r="F4096" s="67" t="str">
        <f t="shared" si="12"/>
        <v>3 LeadGen Set Appointments</v>
      </c>
    </row>
    <row r="4097" hidden="1">
      <c r="A4097" s="6" t="s">
        <v>55</v>
      </c>
      <c r="B4097" s="8" t="s">
        <v>1883</v>
      </c>
      <c r="C4097" s="8" t="s">
        <v>1884</v>
      </c>
      <c r="D4097" s="9">
        <v>3.0</v>
      </c>
      <c r="E4097" s="67">
        <f t="shared" si="11"/>
        <v>750</v>
      </c>
      <c r="F4097" s="67" t="str">
        <f t="shared" si="12"/>
        <v>3 LeadGen Set Appointments</v>
      </c>
    </row>
    <row r="4098" hidden="1">
      <c r="A4098" s="6" t="s">
        <v>55</v>
      </c>
      <c r="B4098" s="8" t="s">
        <v>1971</v>
      </c>
      <c r="C4098" s="8" t="s">
        <v>1972</v>
      </c>
      <c r="D4098" s="9">
        <v>3.0</v>
      </c>
      <c r="E4098" s="67">
        <f t="shared" si="11"/>
        <v>750</v>
      </c>
      <c r="F4098" s="67" t="str">
        <f t="shared" si="12"/>
        <v>3 LeadGen Set Appointments</v>
      </c>
    </row>
    <row r="4099" hidden="1">
      <c r="A4099" s="6" t="s">
        <v>55</v>
      </c>
      <c r="B4099" s="8" t="s">
        <v>1977</v>
      </c>
      <c r="C4099" s="8" t="s">
        <v>1978</v>
      </c>
      <c r="D4099" s="9">
        <v>3.0</v>
      </c>
      <c r="E4099" s="67">
        <f t="shared" si="11"/>
        <v>750</v>
      </c>
      <c r="F4099" s="67" t="str">
        <f t="shared" si="12"/>
        <v>3 LeadGen Set Appointments</v>
      </c>
    </row>
    <row r="4100" hidden="1">
      <c r="A4100" s="6" t="s">
        <v>55</v>
      </c>
      <c r="B4100" s="8" t="s">
        <v>2050</v>
      </c>
      <c r="C4100" s="8" t="s">
        <v>2051</v>
      </c>
      <c r="D4100" s="9">
        <v>3.0</v>
      </c>
      <c r="E4100" s="67">
        <f t="shared" si="11"/>
        <v>750</v>
      </c>
      <c r="F4100" s="67" t="str">
        <f t="shared" si="12"/>
        <v>3 LeadGen Set Appointments</v>
      </c>
    </row>
    <row r="4101" hidden="1">
      <c r="A4101" s="6" t="s">
        <v>55</v>
      </c>
      <c r="B4101" s="8" t="s">
        <v>1926</v>
      </c>
      <c r="C4101" s="8" t="s">
        <v>34</v>
      </c>
      <c r="D4101" s="9">
        <v>3.0</v>
      </c>
      <c r="E4101" s="67">
        <f t="shared" si="11"/>
        <v>750</v>
      </c>
      <c r="F4101" s="67" t="str">
        <f t="shared" si="12"/>
        <v>3 LeadGen Set Appointments</v>
      </c>
    </row>
    <row r="4102" hidden="1">
      <c r="A4102" s="6" t="s">
        <v>55</v>
      </c>
      <c r="B4102" s="8" t="s">
        <v>1457</v>
      </c>
      <c r="C4102" s="8" t="s">
        <v>1458</v>
      </c>
      <c r="D4102" s="9">
        <v>3.0</v>
      </c>
      <c r="E4102" s="67">
        <f t="shared" si="11"/>
        <v>750</v>
      </c>
      <c r="F4102" s="67" t="str">
        <f t="shared" si="12"/>
        <v>3 LeadGen Set Appointments</v>
      </c>
    </row>
    <row r="4103" hidden="1">
      <c r="A4103" s="6" t="s">
        <v>55</v>
      </c>
      <c r="B4103" s="8" t="s">
        <v>1698</v>
      </c>
      <c r="C4103" s="8" t="s">
        <v>1699</v>
      </c>
      <c r="D4103" s="9">
        <v>2.0</v>
      </c>
      <c r="E4103" s="67">
        <f t="shared" si="11"/>
        <v>500</v>
      </c>
      <c r="F4103" s="67" t="str">
        <f t="shared" si="12"/>
        <v>2 LeadGen Set Appointments</v>
      </c>
    </row>
    <row r="4104" hidden="1">
      <c r="A4104" s="6" t="s">
        <v>55</v>
      </c>
      <c r="B4104" s="8" t="s">
        <v>1761</v>
      </c>
      <c r="C4104" s="8" t="s">
        <v>1762</v>
      </c>
      <c r="D4104" s="9">
        <v>2.0</v>
      </c>
      <c r="E4104" s="67">
        <f t="shared" si="11"/>
        <v>500</v>
      </c>
      <c r="F4104" s="67" t="str">
        <f t="shared" si="12"/>
        <v>2 LeadGen Set Appointments</v>
      </c>
    </row>
    <row r="4105" hidden="1">
      <c r="A4105" s="6" t="s">
        <v>55</v>
      </c>
      <c r="B4105" s="8" t="s">
        <v>1973</v>
      </c>
      <c r="C4105" s="8" t="s">
        <v>1974</v>
      </c>
      <c r="D4105" s="9">
        <v>2.0</v>
      </c>
      <c r="E4105" s="67">
        <f t="shared" si="11"/>
        <v>500</v>
      </c>
      <c r="F4105" s="67" t="str">
        <f t="shared" si="12"/>
        <v>2 LeadGen Set Appointments</v>
      </c>
    </row>
    <row r="4106" hidden="1">
      <c r="A4106" s="6" t="s">
        <v>55</v>
      </c>
      <c r="B4106" s="8" t="s">
        <v>1986</v>
      </c>
      <c r="C4106" s="8" t="s">
        <v>1987</v>
      </c>
      <c r="D4106" s="9">
        <v>2.0</v>
      </c>
      <c r="E4106" s="67">
        <f t="shared" si="11"/>
        <v>500</v>
      </c>
      <c r="F4106" s="67" t="str">
        <f t="shared" si="12"/>
        <v>2 LeadGen Set Appointments</v>
      </c>
    </row>
    <row r="4107" hidden="1">
      <c r="A4107" s="6" t="s">
        <v>55</v>
      </c>
      <c r="B4107" s="8" t="s">
        <v>1919</v>
      </c>
      <c r="C4107" s="8" t="s">
        <v>1920</v>
      </c>
      <c r="D4107" s="9">
        <v>2.0</v>
      </c>
      <c r="E4107" s="67">
        <f t="shared" si="11"/>
        <v>500</v>
      </c>
      <c r="F4107" s="67" t="str">
        <f t="shared" si="12"/>
        <v>2 LeadGen Set Appointments</v>
      </c>
    </row>
    <row r="4108" hidden="1">
      <c r="A4108" s="16" t="s">
        <v>55</v>
      </c>
      <c r="B4108" s="8" t="s">
        <v>1506</v>
      </c>
      <c r="C4108" s="8" t="s">
        <v>1507</v>
      </c>
      <c r="D4108" s="8">
        <v>2.0</v>
      </c>
      <c r="E4108" s="67">
        <f t="shared" si="11"/>
        <v>500</v>
      </c>
      <c r="F4108" s="67" t="str">
        <f t="shared" si="12"/>
        <v>2 LeadGen Set Appointments</v>
      </c>
    </row>
    <row r="4109" hidden="1">
      <c r="A4109" s="16" t="s">
        <v>55</v>
      </c>
      <c r="B4109" s="8" t="s">
        <v>1881</v>
      </c>
      <c r="C4109" s="8" t="s">
        <v>1882</v>
      </c>
      <c r="D4109" s="8">
        <v>2.0</v>
      </c>
      <c r="E4109" s="67">
        <f t="shared" si="11"/>
        <v>500</v>
      </c>
      <c r="F4109" s="67" t="str">
        <f t="shared" si="12"/>
        <v>2 LeadGen Set Appointments</v>
      </c>
    </row>
    <row r="4110" hidden="1">
      <c r="A4110" s="16" t="s">
        <v>55</v>
      </c>
      <c r="B4110" s="8" t="s">
        <v>1585</v>
      </c>
      <c r="C4110" s="8" t="s">
        <v>1586</v>
      </c>
      <c r="D4110" s="8">
        <v>2.0</v>
      </c>
      <c r="E4110" s="67">
        <f t="shared" si="11"/>
        <v>500</v>
      </c>
      <c r="F4110" s="67" t="str">
        <f t="shared" si="12"/>
        <v>2 LeadGen Set Appointments</v>
      </c>
    </row>
    <row r="4111" hidden="1">
      <c r="A4111" s="16" t="s">
        <v>55</v>
      </c>
      <c r="B4111" s="8" t="s">
        <v>2026</v>
      </c>
      <c r="C4111" s="8" t="s">
        <v>2027</v>
      </c>
      <c r="D4111" s="8">
        <v>2.0</v>
      </c>
      <c r="E4111" s="67">
        <f t="shared" si="11"/>
        <v>500</v>
      </c>
      <c r="F4111" s="67" t="str">
        <f t="shared" si="12"/>
        <v>2 LeadGen Set Appointments</v>
      </c>
    </row>
    <row r="4112" hidden="1">
      <c r="A4112" s="16" t="s">
        <v>55</v>
      </c>
      <c r="B4112" s="8" t="s">
        <v>1702</v>
      </c>
      <c r="C4112" s="8" t="s">
        <v>1703</v>
      </c>
      <c r="D4112" s="8">
        <v>2.0</v>
      </c>
      <c r="E4112" s="67">
        <f t="shared" si="11"/>
        <v>500</v>
      </c>
      <c r="F4112" s="67" t="str">
        <f t="shared" si="12"/>
        <v>2 LeadGen Set Appointments</v>
      </c>
    </row>
    <row r="4113" hidden="1">
      <c r="A4113" s="16" t="s">
        <v>55</v>
      </c>
      <c r="B4113" s="8" t="s">
        <v>1768</v>
      </c>
      <c r="C4113" s="8" t="s">
        <v>1769</v>
      </c>
      <c r="D4113" s="8">
        <v>2.0</v>
      </c>
      <c r="E4113" s="67">
        <f t="shared" si="11"/>
        <v>500</v>
      </c>
      <c r="F4113" s="67" t="str">
        <f t="shared" si="12"/>
        <v>2 LeadGen Set Appointments</v>
      </c>
    </row>
    <row r="4114" hidden="1">
      <c r="A4114" s="16" t="s">
        <v>55</v>
      </c>
      <c r="B4114" s="8" t="s">
        <v>1988</v>
      </c>
      <c r="C4114" s="8" t="s">
        <v>1989</v>
      </c>
      <c r="D4114" s="8">
        <v>2.0</v>
      </c>
      <c r="E4114" s="67">
        <f t="shared" si="11"/>
        <v>500</v>
      </c>
      <c r="F4114" s="67" t="str">
        <f t="shared" si="12"/>
        <v>2 LeadGen Set Appointments</v>
      </c>
    </row>
    <row r="4115" hidden="1">
      <c r="A4115" s="16" t="s">
        <v>55</v>
      </c>
      <c r="B4115" s="8" t="s">
        <v>1479</v>
      </c>
      <c r="C4115" s="8" t="s">
        <v>1480</v>
      </c>
      <c r="D4115" s="8">
        <v>2.0</v>
      </c>
      <c r="E4115" s="67">
        <f t="shared" si="11"/>
        <v>500</v>
      </c>
      <c r="F4115" s="67" t="str">
        <f t="shared" si="12"/>
        <v>2 LeadGen Set Appointments</v>
      </c>
    </row>
    <row r="4116" hidden="1">
      <c r="A4116" s="16" t="s">
        <v>55</v>
      </c>
      <c r="B4116" s="8" t="s">
        <v>1953</v>
      </c>
      <c r="C4116" s="8" t="s">
        <v>1954</v>
      </c>
      <c r="D4116" s="8">
        <v>2.0</v>
      </c>
      <c r="E4116" s="67">
        <f t="shared" si="11"/>
        <v>500</v>
      </c>
      <c r="F4116" s="67" t="str">
        <f t="shared" si="12"/>
        <v>2 LeadGen Set Appointments</v>
      </c>
    </row>
    <row r="4117" hidden="1">
      <c r="A4117" s="16" t="s">
        <v>55</v>
      </c>
      <c r="B4117" s="8" t="s">
        <v>974</v>
      </c>
      <c r="C4117" s="8" t="s">
        <v>975</v>
      </c>
      <c r="D4117" s="8">
        <v>2.0</v>
      </c>
      <c r="E4117" s="67">
        <f t="shared" si="11"/>
        <v>500</v>
      </c>
      <c r="F4117" s="67" t="str">
        <f t="shared" si="12"/>
        <v>2 LeadGen Set Appointments</v>
      </c>
    </row>
    <row r="4118" hidden="1">
      <c r="A4118" s="16" t="s">
        <v>55</v>
      </c>
      <c r="B4118" s="8" t="s">
        <v>2008</v>
      </c>
      <c r="C4118" s="8" t="s">
        <v>2009</v>
      </c>
      <c r="D4118" s="8">
        <v>2.0</v>
      </c>
      <c r="E4118" s="67">
        <f t="shared" si="11"/>
        <v>500</v>
      </c>
      <c r="F4118" s="67" t="str">
        <f t="shared" si="12"/>
        <v>2 LeadGen Set Appointments</v>
      </c>
    </row>
    <row r="4119" hidden="1">
      <c r="A4119" s="16" t="s">
        <v>55</v>
      </c>
      <c r="B4119" s="8" t="s">
        <v>656</v>
      </c>
      <c r="C4119" s="8" t="s">
        <v>657</v>
      </c>
      <c r="D4119" s="8">
        <v>2.0</v>
      </c>
      <c r="E4119" s="67">
        <f t="shared" si="11"/>
        <v>500</v>
      </c>
      <c r="F4119" s="67" t="str">
        <f t="shared" si="12"/>
        <v>2 LeadGen Set Appointments</v>
      </c>
    </row>
    <row r="4120" hidden="1">
      <c r="A4120" s="16" t="s">
        <v>55</v>
      </c>
      <c r="B4120" s="8" t="s">
        <v>234</v>
      </c>
      <c r="C4120" s="8" t="s">
        <v>1922</v>
      </c>
      <c r="D4120" s="8">
        <v>2.0</v>
      </c>
      <c r="E4120" s="67">
        <f t="shared" si="11"/>
        <v>500</v>
      </c>
      <c r="F4120" s="67" t="str">
        <f t="shared" si="12"/>
        <v>2 LeadGen Set Appointments</v>
      </c>
    </row>
    <row r="4121" hidden="1">
      <c r="A4121" s="16" t="s">
        <v>55</v>
      </c>
      <c r="B4121" s="8" t="s">
        <v>1990</v>
      </c>
      <c r="C4121" s="8" t="s">
        <v>1991</v>
      </c>
      <c r="D4121" s="8">
        <v>2.0</v>
      </c>
      <c r="E4121" s="67">
        <f t="shared" si="11"/>
        <v>500</v>
      </c>
      <c r="F4121" s="67" t="str">
        <f t="shared" si="12"/>
        <v>2 LeadGen Set Appointments</v>
      </c>
    </row>
    <row r="4122" hidden="1">
      <c r="A4122" s="16" t="s">
        <v>55</v>
      </c>
      <c r="B4122" s="8" t="s">
        <v>805</v>
      </c>
      <c r="C4122" s="8" t="s">
        <v>806</v>
      </c>
      <c r="D4122" s="8">
        <v>2.0</v>
      </c>
      <c r="E4122" s="67">
        <f t="shared" si="11"/>
        <v>500</v>
      </c>
      <c r="F4122" s="67" t="str">
        <f t="shared" si="12"/>
        <v>2 LeadGen Set Appointments</v>
      </c>
    </row>
    <row r="4123" hidden="1">
      <c r="A4123" s="16" t="s">
        <v>55</v>
      </c>
      <c r="B4123" s="8" t="s">
        <v>1591</v>
      </c>
      <c r="C4123" s="8" t="s">
        <v>836</v>
      </c>
      <c r="D4123" s="8">
        <v>2.0</v>
      </c>
      <c r="E4123" s="67">
        <f t="shared" si="11"/>
        <v>500</v>
      </c>
      <c r="F4123" s="67" t="str">
        <f t="shared" si="12"/>
        <v>2 LeadGen Set Appointments</v>
      </c>
    </row>
    <row r="4124" hidden="1">
      <c r="A4124" s="16" t="s">
        <v>55</v>
      </c>
      <c r="B4124" s="8" t="s">
        <v>1793</v>
      </c>
      <c r="C4124" s="8" t="s">
        <v>1794</v>
      </c>
      <c r="D4124" s="8">
        <v>2.0</v>
      </c>
      <c r="E4124" s="67">
        <f t="shared" si="11"/>
        <v>500</v>
      </c>
      <c r="F4124" s="67" t="str">
        <f t="shared" si="12"/>
        <v>2 LeadGen Set Appointments</v>
      </c>
    </row>
    <row r="4125" hidden="1">
      <c r="A4125" s="16" t="s">
        <v>55</v>
      </c>
      <c r="B4125" s="8" t="s">
        <v>1947</v>
      </c>
      <c r="C4125" s="8" t="s">
        <v>1948</v>
      </c>
      <c r="D4125" s="8">
        <v>2.0</v>
      </c>
      <c r="E4125" s="67">
        <f t="shared" si="11"/>
        <v>500</v>
      </c>
      <c r="F4125" s="67" t="str">
        <f t="shared" si="12"/>
        <v>2 LeadGen Set Appointments</v>
      </c>
    </row>
    <row r="4126" hidden="1">
      <c r="A4126" s="16" t="s">
        <v>55</v>
      </c>
      <c r="B4126" s="8" t="s">
        <v>1992</v>
      </c>
      <c r="C4126" s="8" t="s">
        <v>1993</v>
      </c>
      <c r="D4126" s="8">
        <v>2.0</v>
      </c>
      <c r="E4126" s="67">
        <f t="shared" si="11"/>
        <v>500</v>
      </c>
      <c r="F4126" s="67" t="str">
        <f t="shared" si="12"/>
        <v>2 LeadGen Set Appointments</v>
      </c>
    </row>
    <row r="4127" hidden="1">
      <c r="A4127" s="16" t="s">
        <v>55</v>
      </c>
      <c r="B4127" s="8" t="s">
        <v>1526</v>
      </c>
      <c r="C4127" s="8" t="s">
        <v>1527</v>
      </c>
      <c r="D4127" s="8">
        <v>2.0</v>
      </c>
      <c r="E4127" s="67">
        <f t="shared" si="11"/>
        <v>500</v>
      </c>
      <c r="F4127" s="67" t="str">
        <f t="shared" si="12"/>
        <v>2 LeadGen Set Appointments</v>
      </c>
    </row>
    <row r="4128" hidden="1">
      <c r="A4128" s="16" t="s">
        <v>55</v>
      </c>
      <c r="B4128" s="8" t="s">
        <v>1672</v>
      </c>
      <c r="C4128" s="8" t="s">
        <v>1673</v>
      </c>
      <c r="D4128" s="8">
        <v>2.0</v>
      </c>
      <c r="E4128" s="67">
        <f t="shared" si="11"/>
        <v>500</v>
      </c>
      <c r="F4128" s="67" t="str">
        <f t="shared" si="12"/>
        <v>2 LeadGen Set Appointments</v>
      </c>
    </row>
    <row r="4129" hidden="1">
      <c r="A4129" s="16" t="s">
        <v>55</v>
      </c>
      <c r="B4129" s="8" t="s">
        <v>1966</v>
      </c>
      <c r="C4129" s="8" t="s">
        <v>1967</v>
      </c>
      <c r="D4129" s="8">
        <v>2.0</v>
      </c>
      <c r="E4129" s="67">
        <f t="shared" si="11"/>
        <v>500</v>
      </c>
      <c r="F4129" s="67" t="str">
        <f t="shared" si="12"/>
        <v>2 LeadGen Set Appointments</v>
      </c>
    </row>
    <row r="4130" hidden="1">
      <c r="A4130" s="16" t="s">
        <v>55</v>
      </c>
      <c r="B4130" s="8" t="s">
        <v>1949</v>
      </c>
      <c r="C4130" s="8" t="s">
        <v>1950</v>
      </c>
      <c r="D4130" s="8">
        <v>2.0</v>
      </c>
      <c r="E4130" s="67">
        <f t="shared" si="11"/>
        <v>500</v>
      </c>
      <c r="F4130" s="67" t="str">
        <f t="shared" si="12"/>
        <v>2 LeadGen Set Appointments</v>
      </c>
    </row>
    <row r="4131" hidden="1">
      <c r="A4131" s="16" t="s">
        <v>55</v>
      </c>
      <c r="B4131" s="8" t="s">
        <v>2012</v>
      </c>
      <c r="C4131" s="8" t="s">
        <v>2013</v>
      </c>
      <c r="D4131" s="8">
        <v>2.0</v>
      </c>
      <c r="E4131" s="67">
        <f t="shared" si="11"/>
        <v>500</v>
      </c>
      <c r="F4131" s="67" t="str">
        <f t="shared" si="12"/>
        <v>2 LeadGen Set Appointments</v>
      </c>
    </row>
    <row r="4132" hidden="1">
      <c r="A4132" s="16" t="s">
        <v>55</v>
      </c>
      <c r="B4132" s="8" t="s">
        <v>2052</v>
      </c>
      <c r="C4132" s="8" t="s">
        <v>2053</v>
      </c>
      <c r="D4132" s="8">
        <v>2.0</v>
      </c>
      <c r="E4132" s="67">
        <f t="shared" si="11"/>
        <v>500</v>
      </c>
      <c r="F4132" s="67" t="str">
        <f t="shared" si="12"/>
        <v>2 LeadGen Set Appointments</v>
      </c>
    </row>
    <row r="4133" hidden="1">
      <c r="A4133" s="16" t="s">
        <v>55</v>
      </c>
      <c r="B4133" s="8" t="s">
        <v>2004</v>
      </c>
      <c r="C4133" s="8" t="s">
        <v>2005</v>
      </c>
      <c r="D4133" s="8">
        <v>2.0</v>
      </c>
      <c r="E4133" s="67">
        <f t="shared" si="11"/>
        <v>500</v>
      </c>
      <c r="F4133" s="67" t="str">
        <f t="shared" si="12"/>
        <v>2 LeadGen Set Appointments</v>
      </c>
    </row>
    <row r="4134" hidden="1">
      <c r="A4134" s="16" t="s">
        <v>55</v>
      </c>
      <c r="B4134" s="8" t="s">
        <v>1356</v>
      </c>
      <c r="C4134" s="8" t="s">
        <v>1985</v>
      </c>
      <c r="D4134" s="8">
        <v>1.0</v>
      </c>
      <c r="E4134" s="67">
        <f t="shared" si="11"/>
        <v>250</v>
      </c>
      <c r="F4134" s="67" t="str">
        <f t="shared" si="12"/>
        <v>1 LeadGen Set Appointments</v>
      </c>
    </row>
    <row r="4135" hidden="1">
      <c r="A4135" s="16" t="s">
        <v>55</v>
      </c>
      <c r="B4135" s="8" t="s">
        <v>1917</v>
      </c>
      <c r="C4135" s="8" t="s">
        <v>1918</v>
      </c>
      <c r="D4135" s="8">
        <v>1.0</v>
      </c>
      <c r="E4135" s="67">
        <f t="shared" si="11"/>
        <v>250</v>
      </c>
      <c r="F4135" s="67" t="str">
        <f t="shared" si="12"/>
        <v>1 LeadGen Set Appointments</v>
      </c>
    </row>
    <row r="4136" hidden="1">
      <c r="A4136" s="16" t="s">
        <v>55</v>
      </c>
      <c r="B4136" s="8" t="s">
        <v>1981</v>
      </c>
      <c r="C4136" s="8" t="s">
        <v>1982</v>
      </c>
      <c r="D4136" s="8">
        <v>1.0</v>
      </c>
      <c r="E4136" s="67">
        <f t="shared" si="11"/>
        <v>250</v>
      </c>
      <c r="F4136" s="67" t="str">
        <f t="shared" si="12"/>
        <v>1 LeadGen Set Appointments</v>
      </c>
    </row>
    <row r="4137" hidden="1">
      <c r="A4137" s="16" t="s">
        <v>55</v>
      </c>
      <c r="B4137" s="8" t="s">
        <v>246</v>
      </c>
      <c r="C4137" s="8" t="s">
        <v>1889</v>
      </c>
      <c r="D4137" s="8">
        <v>1.0</v>
      </c>
      <c r="E4137" s="67">
        <f t="shared" si="11"/>
        <v>250</v>
      </c>
      <c r="F4137" s="67" t="str">
        <f t="shared" si="12"/>
        <v>1 LeadGen Set Appointments</v>
      </c>
    </row>
    <row r="4138" hidden="1">
      <c r="A4138" s="16" t="s">
        <v>55</v>
      </c>
      <c r="B4138" s="8" t="s">
        <v>1692</v>
      </c>
      <c r="C4138" s="8" t="s">
        <v>1693</v>
      </c>
      <c r="D4138" s="8">
        <v>1.0</v>
      </c>
      <c r="E4138" s="67">
        <f t="shared" si="11"/>
        <v>250</v>
      </c>
      <c r="F4138" s="67" t="str">
        <f t="shared" si="12"/>
        <v>1 LeadGen Set Appointments</v>
      </c>
    </row>
    <row r="4139" hidden="1">
      <c r="A4139" s="16" t="s">
        <v>55</v>
      </c>
      <c r="B4139" s="8" t="s">
        <v>1067</v>
      </c>
      <c r="C4139" s="8" t="s">
        <v>1068</v>
      </c>
      <c r="D4139" s="8">
        <v>1.0</v>
      </c>
      <c r="E4139" s="67">
        <f t="shared" si="11"/>
        <v>250</v>
      </c>
      <c r="F4139" s="67" t="str">
        <f t="shared" si="12"/>
        <v>1 LeadGen Set Appointments</v>
      </c>
    </row>
    <row r="4140" hidden="1">
      <c r="A4140" s="16" t="s">
        <v>55</v>
      </c>
      <c r="B4140" s="8" t="s">
        <v>2054</v>
      </c>
      <c r="C4140" s="8" t="s">
        <v>2055</v>
      </c>
      <c r="D4140" s="8">
        <v>1.0</v>
      </c>
      <c r="E4140" s="67">
        <f t="shared" si="11"/>
        <v>250</v>
      </c>
      <c r="F4140" s="67" t="str">
        <f t="shared" si="12"/>
        <v>1 LeadGen Set Appointments</v>
      </c>
    </row>
    <row r="4141" hidden="1">
      <c r="A4141" s="16" t="s">
        <v>55</v>
      </c>
      <c r="B4141" s="8" t="s">
        <v>1996</v>
      </c>
      <c r="C4141" s="8" t="s">
        <v>1997</v>
      </c>
      <c r="D4141" s="8">
        <v>1.0</v>
      </c>
      <c r="E4141" s="67">
        <f t="shared" si="11"/>
        <v>250</v>
      </c>
      <c r="F4141" s="67" t="str">
        <f t="shared" si="12"/>
        <v>1 LeadGen Set Appointments</v>
      </c>
    </row>
    <row r="4142" hidden="1">
      <c r="A4142" s="16" t="s">
        <v>55</v>
      </c>
      <c r="B4142" s="8" t="s">
        <v>1770</v>
      </c>
      <c r="C4142" s="8" t="s">
        <v>1771</v>
      </c>
      <c r="D4142" s="8">
        <v>1.0</v>
      </c>
      <c r="E4142" s="67">
        <f t="shared" si="11"/>
        <v>250</v>
      </c>
      <c r="F4142" s="67" t="str">
        <f t="shared" si="12"/>
        <v>1 LeadGen Set Appointments</v>
      </c>
    </row>
    <row r="4143" hidden="1">
      <c r="A4143" s="16" t="s">
        <v>55</v>
      </c>
      <c r="B4143" s="8" t="s">
        <v>1969</v>
      </c>
      <c r="C4143" s="8" t="s">
        <v>1970</v>
      </c>
      <c r="D4143" s="8">
        <v>1.0</v>
      </c>
      <c r="E4143" s="67">
        <f t="shared" si="11"/>
        <v>250</v>
      </c>
      <c r="F4143" s="67" t="str">
        <f t="shared" si="12"/>
        <v>1 LeadGen Set Appointments</v>
      </c>
    </row>
    <row r="4144" hidden="1">
      <c r="A4144" s="16" t="s">
        <v>55</v>
      </c>
      <c r="B4144" s="8" t="s">
        <v>2056</v>
      </c>
      <c r="C4144" s="8" t="s">
        <v>2057</v>
      </c>
      <c r="D4144" s="8">
        <v>1.0</v>
      </c>
      <c r="E4144" s="67">
        <f t="shared" si="11"/>
        <v>250</v>
      </c>
      <c r="F4144" s="67" t="str">
        <f t="shared" si="12"/>
        <v>1 LeadGen Set Appointments</v>
      </c>
    </row>
    <row r="4145" hidden="1">
      <c r="A4145" s="16" t="s">
        <v>55</v>
      </c>
      <c r="B4145" s="8" t="s">
        <v>1113</v>
      </c>
      <c r="C4145" s="8" t="s">
        <v>37</v>
      </c>
      <c r="D4145" s="8">
        <v>1.0</v>
      </c>
      <c r="E4145" s="67">
        <f t="shared" si="11"/>
        <v>250</v>
      </c>
      <c r="F4145" s="67" t="str">
        <f t="shared" si="12"/>
        <v>1 LeadGen Set Appointments</v>
      </c>
    </row>
    <row r="4146" hidden="1">
      <c r="A4146" s="6" t="s">
        <v>55</v>
      </c>
      <c r="B4146" s="8" t="s">
        <v>2020</v>
      </c>
      <c r="C4146" s="8" t="s">
        <v>2021</v>
      </c>
      <c r="D4146" s="9">
        <v>1.0</v>
      </c>
      <c r="E4146" s="67">
        <f t="shared" si="11"/>
        <v>250</v>
      </c>
      <c r="F4146" s="67" t="str">
        <f t="shared" si="12"/>
        <v>1 LeadGen Set Appointments</v>
      </c>
    </row>
    <row r="4147" hidden="1">
      <c r="A4147" s="6" t="s">
        <v>55</v>
      </c>
      <c r="B4147" s="8" t="s">
        <v>2058</v>
      </c>
      <c r="C4147" s="8" t="s">
        <v>2059</v>
      </c>
      <c r="D4147" s="9">
        <v>1.0</v>
      </c>
      <c r="E4147" s="67">
        <f t="shared" si="11"/>
        <v>250</v>
      </c>
      <c r="F4147" s="67" t="str">
        <f t="shared" si="12"/>
        <v>1 LeadGen Set Appointments</v>
      </c>
    </row>
    <row r="4148" hidden="1">
      <c r="A4148" s="6" t="s">
        <v>55</v>
      </c>
      <c r="B4148" s="8" t="s">
        <v>2022</v>
      </c>
      <c r="C4148" s="8" t="s">
        <v>2023</v>
      </c>
      <c r="D4148" s="9">
        <v>1.0</v>
      </c>
      <c r="E4148" s="67">
        <f t="shared" si="11"/>
        <v>250</v>
      </c>
      <c r="F4148" s="67" t="str">
        <f t="shared" si="12"/>
        <v>1 LeadGen Set Appointments</v>
      </c>
    </row>
    <row r="4149" hidden="1">
      <c r="A4149" s="6" t="s">
        <v>55</v>
      </c>
      <c r="B4149" s="8" t="s">
        <v>2060</v>
      </c>
      <c r="C4149" s="8" t="s">
        <v>2061</v>
      </c>
      <c r="D4149" s="9">
        <v>1.0</v>
      </c>
      <c r="E4149" s="67">
        <f t="shared" si="11"/>
        <v>250</v>
      </c>
      <c r="F4149" s="67" t="str">
        <f t="shared" si="12"/>
        <v>1 LeadGen Set Appointments</v>
      </c>
    </row>
    <row r="4150" hidden="1">
      <c r="A4150" s="6" t="s">
        <v>55</v>
      </c>
      <c r="B4150" s="8" t="s">
        <v>1923</v>
      </c>
      <c r="C4150" s="8" t="s">
        <v>1924</v>
      </c>
      <c r="D4150" s="9">
        <v>1.0</v>
      </c>
      <c r="E4150" s="67">
        <f t="shared" si="11"/>
        <v>250</v>
      </c>
      <c r="F4150" s="67" t="str">
        <f t="shared" si="12"/>
        <v>1 LeadGen Set Appointments</v>
      </c>
    </row>
    <row r="4151" hidden="1">
      <c r="A4151" s="6" t="s">
        <v>55</v>
      </c>
      <c r="B4151" s="8" t="s">
        <v>1925</v>
      </c>
      <c r="C4151" s="8" t="s">
        <v>35</v>
      </c>
      <c r="D4151" s="9">
        <v>1.0</v>
      </c>
      <c r="E4151" s="67">
        <f t="shared" si="11"/>
        <v>250</v>
      </c>
      <c r="F4151" s="67" t="str">
        <f t="shared" si="12"/>
        <v>1 LeadGen Set Appointments</v>
      </c>
    </row>
    <row r="4152" hidden="1">
      <c r="A4152" s="6" t="s">
        <v>55</v>
      </c>
      <c r="B4152" s="8" t="s">
        <v>417</v>
      </c>
      <c r="C4152" s="8" t="s">
        <v>418</v>
      </c>
      <c r="D4152" s="9">
        <v>1.0</v>
      </c>
      <c r="E4152" s="67">
        <f t="shared" si="11"/>
        <v>250</v>
      </c>
      <c r="F4152" s="67" t="str">
        <f t="shared" si="12"/>
        <v>1 LeadGen Set Appointments</v>
      </c>
    </row>
    <row r="4153" hidden="1">
      <c r="A4153" s="6" t="s">
        <v>55</v>
      </c>
      <c r="B4153" s="8" t="s">
        <v>1821</v>
      </c>
      <c r="C4153" s="8" t="s">
        <v>1822</v>
      </c>
      <c r="D4153" s="9">
        <v>1.0</v>
      </c>
      <c r="E4153" s="67">
        <f t="shared" si="11"/>
        <v>250</v>
      </c>
      <c r="F4153" s="67" t="str">
        <f t="shared" si="12"/>
        <v>1 LeadGen Set Appointments</v>
      </c>
    </row>
    <row r="4154" hidden="1">
      <c r="A4154" s="6" t="s">
        <v>55</v>
      </c>
      <c r="B4154" s="8" t="s">
        <v>1039</v>
      </c>
      <c r="C4154" s="8" t="s">
        <v>1040</v>
      </c>
      <c r="D4154" s="9">
        <v>1.0</v>
      </c>
      <c r="E4154" s="67">
        <f t="shared" si="11"/>
        <v>250</v>
      </c>
      <c r="F4154" s="67" t="str">
        <f t="shared" si="12"/>
        <v>1 LeadGen Set Appointments</v>
      </c>
    </row>
    <row r="4155" hidden="1">
      <c r="A4155" s="6" t="s">
        <v>55</v>
      </c>
      <c r="B4155" s="8" t="s">
        <v>2062</v>
      </c>
      <c r="C4155" s="8" t="s">
        <v>2063</v>
      </c>
      <c r="D4155" s="9">
        <v>2.0</v>
      </c>
      <c r="E4155" s="67">
        <f t="shared" si="11"/>
        <v>500</v>
      </c>
      <c r="F4155" s="67" t="str">
        <f t="shared" si="12"/>
        <v>2 LeadGen Set Appointments</v>
      </c>
    </row>
    <row r="4156" hidden="1">
      <c r="A4156" s="6" t="s">
        <v>55</v>
      </c>
      <c r="B4156" s="8" t="s">
        <v>2064</v>
      </c>
      <c r="C4156" s="8" t="s">
        <v>2065</v>
      </c>
      <c r="D4156" s="9">
        <v>2.0</v>
      </c>
      <c r="E4156" s="67">
        <f t="shared" si="11"/>
        <v>500</v>
      </c>
      <c r="F4156" s="67" t="str">
        <f t="shared" si="12"/>
        <v>2 LeadGen Set Appointments</v>
      </c>
    </row>
    <row r="4157" hidden="1">
      <c r="A4157" s="6" t="s">
        <v>55</v>
      </c>
      <c r="B4157" s="8" t="s">
        <v>1179</v>
      </c>
      <c r="C4157" s="8" t="s">
        <v>2066</v>
      </c>
      <c r="D4157" s="9">
        <v>1.0</v>
      </c>
      <c r="E4157" s="67">
        <f t="shared" si="11"/>
        <v>250</v>
      </c>
      <c r="F4157" s="67" t="str">
        <f t="shared" si="12"/>
        <v>1 LeadGen Set Appointments</v>
      </c>
    </row>
    <row r="4158" hidden="1">
      <c r="A4158" s="6" t="s">
        <v>55</v>
      </c>
      <c r="B4158" s="8" t="s">
        <v>2067</v>
      </c>
      <c r="C4158" s="8" t="s">
        <v>2068</v>
      </c>
      <c r="D4158" s="9">
        <v>1.0</v>
      </c>
      <c r="E4158" s="67">
        <f t="shared" si="11"/>
        <v>250</v>
      </c>
      <c r="F4158" s="67" t="str">
        <f t="shared" si="12"/>
        <v>1 LeadGen Set Appointments</v>
      </c>
    </row>
    <row r="4159" hidden="1">
      <c r="A4159" s="6" t="s">
        <v>55</v>
      </c>
      <c r="B4159" s="8" t="s">
        <v>2069</v>
      </c>
      <c r="C4159" s="8" t="s">
        <v>2070</v>
      </c>
      <c r="D4159" s="9">
        <v>2.0</v>
      </c>
      <c r="E4159" s="67">
        <f t="shared" si="11"/>
        <v>500</v>
      </c>
      <c r="F4159" s="67" t="str">
        <f t="shared" si="12"/>
        <v>2 LeadGen Set Appointments</v>
      </c>
    </row>
    <row r="4160" hidden="1">
      <c r="A4160" s="6" t="s">
        <v>55</v>
      </c>
      <c r="B4160" s="8" t="s">
        <v>2071</v>
      </c>
      <c r="C4160" s="8" t="s">
        <v>2072</v>
      </c>
      <c r="D4160" s="9">
        <v>2.0</v>
      </c>
      <c r="E4160" s="67">
        <f t="shared" si="11"/>
        <v>500</v>
      </c>
      <c r="F4160" s="67" t="str">
        <f t="shared" si="12"/>
        <v>2 LeadGen Set Appointments</v>
      </c>
    </row>
    <row r="4161" hidden="1">
      <c r="A4161" s="6" t="s">
        <v>55</v>
      </c>
      <c r="B4161" s="8" t="s">
        <v>2073</v>
      </c>
      <c r="C4161" s="8" t="s">
        <v>2074</v>
      </c>
      <c r="D4161" s="9">
        <v>1.0</v>
      </c>
      <c r="E4161" s="67">
        <f t="shared" si="11"/>
        <v>250</v>
      </c>
      <c r="F4161" s="67" t="str">
        <f t="shared" si="12"/>
        <v>1 LeadGen Set Appointments</v>
      </c>
    </row>
    <row r="4162" hidden="1">
      <c r="A4162" s="6" t="s">
        <v>55</v>
      </c>
      <c r="B4162" s="8" t="s">
        <v>2075</v>
      </c>
      <c r="C4162" s="8" t="s">
        <v>2076</v>
      </c>
      <c r="D4162" s="9">
        <v>1.0</v>
      </c>
      <c r="E4162" s="67">
        <f t="shared" si="11"/>
        <v>250</v>
      </c>
      <c r="F4162" s="67" t="str">
        <f t="shared" si="12"/>
        <v>1 LeadGen Set Appointments</v>
      </c>
    </row>
    <row r="4163" hidden="1">
      <c r="A4163" s="6" t="s">
        <v>57</v>
      </c>
      <c r="B4163" s="13" t="s">
        <v>644</v>
      </c>
      <c r="C4163" s="13" t="s">
        <v>645</v>
      </c>
      <c r="D4163" s="15">
        <v>28.0</v>
      </c>
      <c r="E4163" s="67">
        <f t="shared" si="11"/>
        <v>14000</v>
      </c>
      <c r="F4163" s="62" t="str">
        <f t="shared" si="12"/>
        <v>28 LeadGen Set Appointments</v>
      </c>
    </row>
    <row r="4164" hidden="1">
      <c r="A4164" s="6" t="s">
        <v>57</v>
      </c>
      <c r="B4164" s="13" t="s">
        <v>476</v>
      </c>
      <c r="C4164" s="13" t="s">
        <v>477</v>
      </c>
      <c r="D4164" s="15">
        <v>26.0</v>
      </c>
      <c r="E4164" s="67">
        <f t="shared" si="11"/>
        <v>13000</v>
      </c>
      <c r="F4164" s="62" t="str">
        <f t="shared" si="12"/>
        <v>26 LeadGen Set Appointments</v>
      </c>
    </row>
    <row r="4165" hidden="1">
      <c r="A4165" s="6" t="s">
        <v>57</v>
      </c>
      <c r="B4165" s="13" t="s">
        <v>540</v>
      </c>
      <c r="C4165" s="13" t="s">
        <v>1454</v>
      </c>
      <c r="D4165" s="15">
        <v>18.0</v>
      </c>
      <c r="E4165" s="67">
        <f t="shared" si="11"/>
        <v>9000</v>
      </c>
      <c r="F4165" s="62" t="str">
        <f t="shared" si="12"/>
        <v>18 LeadGen Set Appointments</v>
      </c>
    </row>
    <row r="4166" hidden="1">
      <c r="A4166" s="6" t="s">
        <v>57</v>
      </c>
      <c r="B4166" s="13" t="s">
        <v>1481</v>
      </c>
      <c r="C4166" s="13" t="s">
        <v>1482</v>
      </c>
      <c r="D4166" s="15">
        <v>16.0</v>
      </c>
      <c r="E4166" s="67">
        <f t="shared" si="11"/>
        <v>8000</v>
      </c>
      <c r="F4166" s="62" t="str">
        <f t="shared" si="12"/>
        <v>16 LeadGen Set Appointments</v>
      </c>
    </row>
    <row r="4167" hidden="1">
      <c r="A4167" s="6" t="s">
        <v>57</v>
      </c>
      <c r="B4167" s="13" t="s">
        <v>1557</v>
      </c>
      <c r="C4167" s="13" t="s">
        <v>1558</v>
      </c>
      <c r="D4167" s="15">
        <v>14.0</v>
      </c>
      <c r="E4167" s="67">
        <f t="shared" si="11"/>
        <v>7000</v>
      </c>
      <c r="F4167" s="62" t="str">
        <f t="shared" si="12"/>
        <v>14 LeadGen Set Appointments</v>
      </c>
    </row>
    <row r="4168" hidden="1">
      <c r="A4168" s="6" t="s">
        <v>57</v>
      </c>
      <c r="B4168" s="13" t="s">
        <v>516</v>
      </c>
      <c r="C4168" s="13" t="s">
        <v>517</v>
      </c>
      <c r="D4168" s="15">
        <v>14.0</v>
      </c>
      <c r="E4168" s="67">
        <f t="shared" si="11"/>
        <v>7000</v>
      </c>
      <c r="F4168" s="62" t="str">
        <f t="shared" si="12"/>
        <v>14 LeadGen Set Appointments</v>
      </c>
    </row>
    <row r="4169" hidden="1">
      <c r="A4169" s="6" t="s">
        <v>57</v>
      </c>
      <c r="B4169" s="13" t="s">
        <v>1865</v>
      </c>
      <c r="C4169" s="13" t="s">
        <v>1866</v>
      </c>
      <c r="D4169" s="15">
        <v>13.0</v>
      </c>
      <c r="E4169" s="67">
        <f t="shared" si="11"/>
        <v>6500</v>
      </c>
      <c r="F4169" s="62" t="str">
        <f t="shared" si="12"/>
        <v>13 LeadGen Set Appointments</v>
      </c>
    </row>
    <row r="4170" hidden="1">
      <c r="A4170" s="6" t="s">
        <v>57</v>
      </c>
      <c r="B4170" s="13" t="s">
        <v>1471</v>
      </c>
      <c r="C4170" s="13" t="s">
        <v>1472</v>
      </c>
      <c r="D4170" s="15">
        <v>13.0</v>
      </c>
      <c r="E4170" s="67">
        <f t="shared" si="11"/>
        <v>6500</v>
      </c>
      <c r="F4170" s="62" t="str">
        <f t="shared" si="12"/>
        <v>13 LeadGen Set Appointments</v>
      </c>
    </row>
    <row r="4171" hidden="1">
      <c r="A4171" s="6" t="s">
        <v>57</v>
      </c>
      <c r="B4171" s="13" t="s">
        <v>1465</v>
      </c>
      <c r="C4171" s="13" t="s">
        <v>1466</v>
      </c>
      <c r="D4171" s="15">
        <v>12.0</v>
      </c>
      <c r="E4171" s="67">
        <f t="shared" si="11"/>
        <v>6000</v>
      </c>
      <c r="F4171" s="62" t="str">
        <f t="shared" si="12"/>
        <v>12 LeadGen Set Appointments</v>
      </c>
    </row>
    <row r="4172" hidden="1">
      <c r="A4172" s="6" t="s">
        <v>57</v>
      </c>
      <c r="B4172" s="13" t="s">
        <v>1893</v>
      </c>
      <c r="C4172" s="13" t="s">
        <v>1894</v>
      </c>
      <c r="D4172" s="15">
        <v>12.0</v>
      </c>
      <c r="E4172" s="67">
        <f t="shared" si="11"/>
        <v>6000</v>
      </c>
      <c r="F4172" s="62" t="str">
        <f t="shared" si="12"/>
        <v>12 LeadGen Set Appointments</v>
      </c>
    </row>
    <row r="4173" hidden="1">
      <c r="A4173" s="6" t="s">
        <v>57</v>
      </c>
      <c r="B4173" s="13" t="s">
        <v>1415</v>
      </c>
      <c r="C4173" s="13" t="s">
        <v>1416</v>
      </c>
      <c r="D4173" s="15">
        <v>12.0</v>
      </c>
      <c r="E4173" s="67">
        <f t="shared" si="11"/>
        <v>6000</v>
      </c>
      <c r="F4173" s="62" t="str">
        <f t="shared" si="12"/>
        <v>12 LeadGen Set Appointments</v>
      </c>
    </row>
    <row r="4174" hidden="1">
      <c r="A4174" s="6" t="s">
        <v>57</v>
      </c>
      <c r="B4174" s="13" t="s">
        <v>1927</v>
      </c>
      <c r="C4174" s="13" t="s">
        <v>1928</v>
      </c>
      <c r="D4174" s="15">
        <v>11.0</v>
      </c>
      <c r="E4174" s="67">
        <f t="shared" si="11"/>
        <v>5500</v>
      </c>
      <c r="F4174" s="62" t="str">
        <f t="shared" si="12"/>
        <v>11 LeadGen Set Appointments</v>
      </c>
    </row>
    <row r="4175" hidden="1">
      <c r="A4175" s="6" t="s">
        <v>57</v>
      </c>
      <c r="B4175" s="13" t="s">
        <v>1461</v>
      </c>
      <c r="C4175" s="13" t="s">
        <v>1462</v>
      </c>
      <c r="D4175" s="15">
        <v>11.0</v>
      </c>
      <c r="E4175" s="67">
        <f t="shared" si="11"/>
        <v>5500</v>
      </c>
      <c r="F4175" s="62" t="str">
        <f t="shared" si="12"/>
        <v>11 LeadGen Set Appointments</v>
      </c>
    </row>
    <row r="4176" hidden="1">
      <c r="A4176" s="6" t="s">
        <v>57</v>
      </c>
      <c r="B4176" s="13" t="s">
        <v>1891</v>
      </c>
      <c r="C4176" s="13" t="s">
        <v>1892</v>
      </c>
      <c r="D4176" s="15">
        <v>11.0</v>
      </c>
      <c r="E4176" s="67">
        <f t="shared" si="11"/>
        <v>5500</v>
      </c>
      <c r="F4176" s="62" t="str">
        <f t="shared" si="12"/>
        <v>11 LeadGen Set Appointments</v>
      </c>
    </row>
    <row r="4177" hidden="1">
      <c r="A4177" s="6" t="s">
        <v>57</v>
      </c>
      <c r="B4177" s="13" t="s">
        <v>435</v>
      </c>
      <c r="C4177" s="13" t="s">
        <v>436</v>
      </c>
      <c r="D4177" s="15">
        <v>11.0</v>
      </c>
      <c r="E4177" s="67">
        <f t="shared" si="11"/>
        <v>5500</v>
      </c>
      <c r="F4177" s="62" t="str">
        <f t="shared" si="12"/>
        <v>11 LeadGen Set Appointments</v>
      </c>
    </row>
    <row r="4178" hidden="1">
      <c r="A4178" s="6" t="s">
        <v>57</v>
      </c>
      <c r="B4178" s="13" t="s">
        <v>2006</v>
      </c>
      <c r="C4178" s="13" t="s">
        <v>2007</v>
      </c>
      <c r="D4178" s="15">
        <v>11.0</v>
      </c>
      <c r="E4178" s="67">
        <f t="shared" si="11"/>
        <v>5500</v>
      </c>
      <c r="F4178" s="62" t="str">
        <f t="shared" si="12"/>
        <v>11 LeadGen Set Appointments</v>
      </c>
    </row>
    <row r="4179" hidden="1">
      <c r="A4179" s="6" t="s">
        <v>57</v>
      </c>
      <c r="B4179" s="13" t="s">
        <v>411</v>
      </c>
      <c r="C4179" s="13" t="s">
        <v>412</v>
      </c>
      <c r="D4179" s="15">
        <v>10.0</v>
      </c>
      <c r="E4179" s="67">
        <f t="shared" si="11"/>
        <v>5000</v>
      </c>
      <c r="F4179" s="62" t="str">
        <f t="shared" si="12"/>
        <v>10 LeadGen Set Appointments</v>
      </c>
    </row>
    <row r="4180" hidden="1">
      <c r="A4180" s="6" t="s">
        <v>57</v>
      </c>
      <c r="B4180" s="13" t="s">
        <v>766</v>
      </c>
      <c r="C4180" s="13" t="s">
        <v>767</v>
      </c>
      <c r="D4180" s="15">
        <v>10.0</v>
      </c>
      <c r="E4180" s="67">
        <f t="shared" si="11"/>
        <v>5000</v>
      </c>
      <c r="F4180" s="62" t="str">
        <f t="shared" si="12"/>
        <v>10 LeadGen Set Appointments</v>
      </c>
    </row>
    <row r="4181" hidden="1">
      <c r="A4181" s="6" t="s">
        <v>57</v>
      </c>
      <c r="B4181" s="13" t="s">
        <v>736</v>
      </c>
      <c r="C4181" s="13" t="s">
        <v>737</v>
      </c>
      <c r="D4181" s="15">
        <v>9.0</v>
      </c>
      <c r="E4181" s="67">
        <f t="shared" si="11"/>
        <v>2250</v>
      </c>
      <c r="F4181" s="62" t="str">
        <f t="shared" si="12"/>
        <v>9 LeadGen Set Appointments</v>
      </c>
    </row>
    <row r="4182" hidden="1">
      <c r="A4182" s="6" t="s">
        <v>57</v>
      </c>
      <c r="B4182" s="13" t="s">
        <v>1861</v>
      </c>
      <c r="C4182" s="13" t="s">
        <v>1862</v>
      </c>
      <c r="D4182" s="15">
        <v>9.0</v>
      </c>
      <c r="E4182" s="67">
        <f t="shared" si="11"/>
        <v>2250</v>
      </c>
      <c r="F4182" s="62" t="str">
        <f t="shared" si="12"/>
        <v>9 LeadGen Set Appointments</v>
      </c>
    </row>
    <row r="4183" hidden="1">
      <c r="A4183" s="6" t="s">
        <v>57</v>
      </c>
      <c r="B4183" s="13" t="s">
        <v>1475</v>
      </c>
      <c r="C4183" s="13" t="s">
        <v>1476</v>
      </c>
      <c r="D4183" s="15">
        <v>9.0</v>
      </c>
      <c r="E4183" s="67">
        <f t="shared" si="11"/>
        <v>2250</v>
      </c>
      <c r="F4183" s="62" t="str">
        <f t="shared" si="12"/>
        <v>9 LeadGen Set Appointments</v>
      </c>
    </row>
    <row r="4184" hidden="1">
      <c r="A4184" s="6" t="s">
        <v>57</v>
      </c>
      <c r="B4184" s="13" t="s">
        <v>1724</v>
      </c>
      <c r="C4184" s="13" t="s">
        <v>1725</v>
      </c>
      <c r="D4184" s="15">
        <v>9.0</v>
      </c>
      <c r="E4184" s="67">
        <f t="shared" si="11"/>
        <v>2250</v>
      </c>
      <c r="F4184" s="62" t="str">
        <f t="shared" si="12"/>
        <v>9 LeadGen Set Appointments</v>
      </c>
    </row>
    <row r="4185" hidden="1">
      <c r="A4185" s="6" t="s">
        <v>57</v>
      </c>
      <c r="B4185" s="13" t="s">
        <v>1825</v>
      </c>
      <c r="C4185" s="13" t="s">
        <v>1826</v>
      </c>
      <c r="D4185" s="15">
        <v>9.0</v>
      </c>
      <c r="E4185" s="67">
        <f t="shared" si="11"/>
        <v>2250</v>
      </c>
      <c r="F4185" s="62" t="str">
        <f t="shared" si="12"/>
        <v>9 LeadGen Set Appointments</v>
      </c>
    </row>
    <row r="4186" hidden="1">
      <c r="A4186" s="6" t="s">
        <v>57</v>
      </c>
      <c r="B4186" s="8" t="s">
        <v>723</v>
      </c>
      <c r="C4186" s="8" t="s">
        <v>724</v>
      </c>
      <c r="D4186" s="9">
        <v>9.0</v>
      </c>
      <c r="E4186" s="67">
        <f t="shared" si="11"/>
        <v>2250</v>
      </c>
      <c r="F4186" s="67" t="str">
        <f t="shared" si="12"/>
        <v>9 LeadGen Set Appointments</v>
      </c>
    </row>
    <row r="4187" hidden="1">
      <c r="A4187" s="6" t="s">
        <v>57</v>
      </c>
      <c r="B4187" s="8" t="s">
        <v>1545</v>
      </c>
      <c r="C4187" s="8" t="s">
        <v>1546</v>
      </c>
      <c r="D4187" s="9">
        <v>8.0</v>
      </c>
      <c r="E4187" s="67">
        <f t="shared" si="11"/>
        <v>2000</v>
      </c>
      <c r="F4187" s="67" t="str">
        <f t="shared" si="12"/>
        <v>8 LeadGen Set Appointments</v>
      </c>
    </row>
    <row r="4188" hidden="1">
      <c r="A4188" s="6" t="s">
        <v>57</v>
      </c>
      <c r="B4188" s="8" t="s">
        <v>1467</v>
      </c>
      <c r="C4188" s="8" t="s">
        <v>1468</v>
      </c>
      <c r="D4188" s="9">
        <v>8.0</v>
      </c>
      <c r="E4188" s="67">
        <f t="shared" si="11"/>
        <v>2000</v>
      </c>
      <c r="F4188" s="67" t="str">
        <f t="shared" si="12"/>
        <v>8 LeadGen Set Appointments</v>
      </c>
    </row>
    <row r="4189" hidden="1">
      <c r="A4189" s="6" t="s">
        <v>57</v>
      </c>
      <c r="B4189" s="8" t="s">
        <v>1426</v>
      </c>
      <c r="C4189" s="8" t="s">
        <v>1427</v>
      </c>
      <c r="D4189" s="9">
        <v>8.0</v>
      </c>
      <c r="E4189" s="67">
        <f t="shared" si="11"/>
        <v>2000</v>
      </c>
      <c r="F4189" s="67" t="str">
        <f t="shared" si="12"/>
        <v>8 LeadGen Set Appointments</v>
      </c>
    </row>
    <row r="4190" hidden="1">
      <c r="A4190" s="6" t="s">
        <v>57</v>
      </c>
      <c r="B4190" s="8" t="s">
        <v>468</v>
      </c>
      <c r="C4190" s="8" t="s">
        <v>469</v>
      </c>
      <c r="D4190" s="9">
        <v>8.0</v>
      </c>
      <c r="E4190" s="67">
        <f t="shared" si="11"/>
        <v>2000</v>
      </c>
      <c r="F4190" s="67" t="str">
        <f t="shared" si="12"/>
        <v>8 LeadGen Set Appointments</v>
      </c>
    </row>
    <row r="4191" hidden="1">
      <c r="A4191" s="6" t="s">
        <v>57</v>
      </c>
      <c r="B4191" s="8" t="s">
        <v>486</v>
      </c>
      <c r="C4191" s="8" t="s">
        <v>487</v>
      </c>
      <c r="D4191" s="9">
        <v>8.0</v>
      </c>
      <c r="E4191" s="67">
        <f t="shared" si="11"/>
        <v>2000</v>
      </c>
      <c r="F4191" s="67" t="str">
        <f t="shared" si="12"/>
        <v>8 LeadGen Set Appointments</v>
      </c>
    </row>
    <row r="4192" hidden="1">
      <c r="A4192" s="6" t="s">
        <v>57</v>
      </c>
      <c r="B4192" s="8" t="s">
        <v>242</v>
      </c>
      <c r="C4192" s="8" t="s">
        <v>1887</v>
      </c>
      <c r="D4192" s="9">
        <v>8.0</v>
      </c>
      <c r="E4192" s="67">
        <f t="shared" si="11"/>
        <v>2000</v>
      </c>
      <c r="F4192" s="67" t="str">
        <f t="shared" si="12"/>
        <v>8 LeadGen Set Appointments</v>
      </c>
    </row>
    <row r="4193" hidden="1">
      <c r="A4193" s="6" t="s">
        <v>57</v>
      </c>
      <c r="B4193" s="8" t="s">
        <v>699</v>
      </c>
      <c r="C4193" s="8" t="s">
        <v>700</v>
      </c>
      <c r="D4193" s="9">
        <v>8.0</v>
      </c>
      <c r="E4193" s="67">
        <f t="shared" si="11"/>
        <v>2000</v>
      </c>
      <c r="F4193" s="67" t="str">
        <f t="shared" si="12"/>
        <v>8 LeadGen Set Appointments</v>
      </c>
    </row>
    <row r="4194" hidden="1">
      <c r="A4194" s="6" t="s">
        <v>57</v>
      </c>
      <c r="B4194" s="8" t="s">
        <v>1776</v>
      </c>
      <c r="C4194" s="8" t="s">
        <v>1777</v>
      </c>
      <c r="D4194" s="9">
        <v>8.0</v>
      </c>
      <c r="E4194" s="67">
        <f t="shared" si="11"/>
        <v>2000</v>
      </c>
      <c r="F4194" s="67" t="str">
        <f t="shared" si="12"/>
        <v>8 LeadGen Set Appointments</v>
      </c>
    </row>
    <row r="4195" hidden="1">
      <c r="A4195" s="6" t="s">
        <v>57</v>
      </c>
      <c r="B4195" s="8" t="s">
        <v>1943</v>
      </c>
      <c r="C4195" s="8" t="s">
        <v>1944</v>
      </c>
      <c r="D4195" s="9">
        <v>8.0</v>
      </c>
      <c r="E4195" s="67">
        <f t="shared" si="11"/>
        <v>2000</v>
      </c>
      <c r="F4195" s="67" t="str">
        <f t="shared" si="12"/>
        <v>8 LeadGen Set Appointments</v>
      </c>
    </row>
    <row r="4196" hidden="1">
      <c r="A4196" s="6" t="s">
        <v>57</v>
      </c>
      <c r="B4196" s="8" t="s">
        <v>244</v>
      </c>
      <c r="C4196" s="8" t="s">
        <v>1888</v>
      </c>
      <c r="D4196" s="9">
        <v>7.0</v>
      </c>
      <c r="E4196" s="67">
        <f t="shared" si="11"/>
        <v>1750</v>
      </c>
      <c r="F4196" s="67" t="str">
        <f t="shared" si="12"/>
        <v>7 LeadGen Set Appointments</v>
      </c>
    </row>
    <row r="4197" hidden="1">
      <c r="A4197" s="6" t="s">
        <v>57</v>
      </c>
      <c r="B4197" s="8" t="s">
        <v>640</v>
      </c>
      <c r="C4197" s="8" t="s">
        <v>641</v>
      </c>
      <c r="D4197" s="9">
        <v>7.0</v>
      </c>
      <c r="E4197" s="67">
        <f t="shared" si="11"/>
        <v>1750</v>
      </c>
      <c r="F4197" s="67" t="str">
        <f t="shared" si="12"/>
        <v>7 LeadGen Set Appointments</v>
      </c>
    </row>
    <row r="4198" hidden="1">
      <c r="A4198" s="6" t="s">
        <v>57</v>
      </c>
      <c r="B4198" s="8" t="s">
        <v>1510</v>
      </c>
      <c r="C4198" s="8" t="s">
        <v>1511</v>
      </c>
      <c r="D4198" s="9">
        <v>7.0</v>
      </c>
      <c r="E4198" s="67">
        <f t="shared" si="11"/>
        <v>1750</v>
      </c>
      <c r="F4198" s="67" t="str">
        <f t="shared" si="12"/>
        <v>7 LeadGen Set Appointments</v>
      </c>
    </row>
    <row r="4199" hidden="1">
      <c r="A4199" s="6" t="s">
        <v>57</v>
      </c>
      <c r="B4199" s="8" t="s">
        <v>1551</v>
      </c>
      <c r="C4199" s="8" t="s">
        <v>1552</v>
      </c>
      <c r="D4199" s="9">
        <v>7.0</v>
      </c>
      <c r="E4199" s="67">
        <f t="shared" si="11"/>
        <v>1750</v>
      </c>
      <c r="F4199" s="67" t="str">
        <f t="shared" si="12"/>
        <v>7 LeadGen Set Appointments</v>
      </c>
    </row>
    <row r="4200" hidden="1">
      <c r="A4200" s="6" t="s">
        <v>57</v>
      </c>
      <c r="B4200" s="8" t="s">
        <v>1393</v>
      </c>
      <c r="C4200" s="8" t="s">
        <v>1394</v>
      </c>
      <c r="D4200" s="9">
        <v>7.0</v>
      </c>
      <c r="E4200" s="67">
        <f t="shared" si="11"/>
        <v>1750</v>
      </c>
      <c r="F4200" s="67" t="str">
        <f t="shared" si="12"/>
        <v>7 LeadGen Set Appointments</v>
      </c>
    </row>
    <row r="4201" hidden="1">
      <c r="A4201" s="6" t="s">
        <v>57</v>
      </c>
      <c r="B4201" s="8" t="s">
        <v>2010</v>
      </c>
      <c r="C4201" s="8" t="s">
        <v>2011</v>
      </c>
      <c r="D4201" s="9">
        <v>7.0</v>
      </c>
      <c r="E4201" s="67">
        <f t="shared" si="11"/>
        <v>1750</v>
      </c>
      <c r="F4201" s="67" t="str">
        <f t="shared" si="12"/>
        <v>7 LeadGen Set Appointments</v>
      </c>
    </row>
    <row r="4202" hidden="1">
      <c r="A4202" s="6" t="s">
        <v>57</v>
      </c>
      <c r="B4202" s="8" t="s">
        <v>1491</v>
      </c>
      <c r="C4202" s="8" t="s">
        <v>1492</v>
      </c>
      <c r="D4202" s="9">
        <v>7.0</v>
      </c>
      <c r="E4202" s="67">
        <f t="shared" si="11"/>
        <v>1750</v>
      </c>
      <c r="F4202" s="67" t="str">
        <f t="shared" si="12"/>
        <v>7 LeadGen Set Appointments</v>
      </c>
    </row>
    <row r="4203" hidden="1">
      <c r="A4203" s="6" t="s">
        <v>57</v>
      </c>
      <c r="B4203" s="8" t="s">
        <v>1962</v>
      </c>
      <c r="C4203" s="8" t="s">
        <v>1963</v>
      </c>
      <c r="D4203" s="9">
        <v>7.0</v>
      </c>
      <c r="E4203" s="67">
        <f t="shared" si="11"/>
        <v>1750</v>
      </c>
      <c r="F4203" s="67" t="str">
        <f t="shared" si="12"/>
        <v>7 LeadGen Set Appointments</v>
      </c>
    </row>
    <row r="4204" hidden="1">
      <c r="A4204" s="6" t="s">
        <v>57</v>
      </c>
      <c r="B4204" s="8" t="s">
        <v>746</v>
      </c>
      <c r="C4204" s="8" t="s">
        <v>747</v>
      </c>
      <c r="D4204" s="9">
        <v>7.0</v>
      </c>
      <c r="E4204" s="67">
        <f t="shared" si="11"/>
        <v>1750</v>
      </c>
      <c r="F4204" s="67" t="str">
        <f t="shared" si="12"/>
        <v>7 LeadGen Set Appointments</v>
      </c>
    </row>
    <row r="4205" hidden="1">
      <c r="A4205" s="6" t="s">
        <v>57</v>
      </c>
      <c r="B4205" s="8" t="s">
        <v>1483</v>
      </c>
      <c r="C4205" s="8" t="s">
        <v>1484</v>
      </c>
      <c r="D4205" s="9">
        <v>7.0</v>
      </c>
      <c r="E4205" s="67">
        <f t="shared" si="11"/>
        <v>1750</v>
      </c>
      <c r="F4205" s="67" t="str">
        <f t="shared" si="12"/>
        <v>7 LeadGen Set Appointments</v>
      </c>
    </row>
    <row r="4206" hidden="1">
      <c r="A4206" s="6" t="s">
        <v>57</v>
      </c>
      <c r="B4206" s="8" t="s">
        <v>1463</v>
      </c>
      <c r="C4206" s="8" t="s">
        <v>1464</v>
      </c>
      <c r="D4206" s="9">
        <v>6.0</v>
      </c>
      <c r="E4206" s="67">
        <f t="shared" si="11"/>
        <v>1500</v>
      </c>
      <c r="F4206" s="67" t="str">
        <f t="shared" si="12"/>
        <v>6 LeadGen Set Appointments</v>
      </c>
    </row>
    <row r="4207" hidden="1">
      <c r="A4207" s="6" t="s">
        <v>57</v>
      </c>
      <c r="B4207" s="8" t="s">
        <v>1455</v>
      </c>
      <c r="C4207" s="8" t="s">
        <v>1456</v>
      </c>
      <c r="D4207" s="9">
        <v>6.0</v>
      </c>
      <c r="E4207" s="67">
        <f t="shared" si="11"/>
        <v>1500</v>
      </c>
      <c r="F4207" s="67" t="str">
        <f t="shared" si="12"/>
        <v>6 LeadGen Set Appointments</v>
      </c>
    </row>
    <row r="4208" hidden="1">
      <c r="A4208" s="6" t="s">
        <v>57</v>
      </c>
      <c r="B4208" s="8" t="s">
        <v>1473</v>
      </c>
      <c r="C4208" s="8" t="s">
        <v>1474</v>
      </c>
      <c r="D4208" s="9">
        <v>6.0</v>
      </c>
      <c r="E4208" s="67">
        <f t="shared" si="11"/>
        <v>1500</v>
      </c>
      <c r="F4208" s="67" t="str">
        <f t="shared" si="12"/>
        <v>6 LeadGen Set Appointments</v>
      </c>
    </row>
    <row r="4209" hidden="1">
      <c r="A4209" s="6" t="s">
        <v>57</v>
      </c>
      <c r="B4209" s="8" t="s">
        <v>1508</v>
      </c>
      <c r="C4209" s="8" t="s">
        <v>1509</v>
      </c>
      <c r="D4209" s="9">
        <v>6.0</v>
      </c>
      <c r="E4209" s="67">
        <f t="shared" si="11"/>
        <v>1500</v>
      </c>
      <c r="F4209" s="67" t="str">
        <f t="shared" si="12"/>
        <v>6 LeadGen Set Appointments</v>
      </c>
    </row>
    <row r="4210" hidden="1">
      <c r="A4210" s="6" t="s">
        <v>57</v>
      </c>
      <c r="B4210" s="8" t="s">
        <v>1653</v>
      </c>
      <c r="C4210" s="8" t="s">
        <v>1654</v>
      </c>
      <c r="D4210" s="9">
        <v>6.0</v>
      </c>
      <c r="E4210" s="67">
        <f t="shared" si="11"/>
        <v>1500</v>
      </c>
      <c r="F4210" s="67" t="str">
        <f t="shared" si="12"/>
        <v>6 LeadGen Set Appointments</v>
      </c>
    </row>
    <row r="4211" hidden="1">
      <c r="A4211" s="6" t="s">
        <v>57</v>
      </c>
      <c r="B4211" s="8" t="s">
        <v>2000</v>
      </c>
      <c r="C4211" s="8" t="s">
        <v>2001</v>
      </c>
      <c r="D4211" s="9">
        <v>6.0</v>
      </c>
      <c r="E4211" s="67">
        <f t="shared" si="11"/>
        <v>1500</v>
      </c>
      <c r="F4211" s="67" t="str">
        <f t="shared" si="12"/>
        <v>6 LeadGen Set Appointments</v>
      </c>
    </row>
    <row r="4212" hidden="1">
      <c r="A4212" s="6" t="s">
        <v>57</v>
      </c>
      <c r="B4212" s="8" t="s">
        <v>1489</v>
      </c>
      <c r="C4212" s="8" t="s">
        <v>1490</v>
      </c>
      <c r="D4212" s="9">
        <v>6.0</v>
      </c>
      <c r="E4212" s="67">
        <f t="shared" si="11"/>
        <v>1500</v>
      </c>
      <c r="F4212" s="67" t="str">
        <f t="shared" si="12"/>
        <v>6 LeadGen Set Appointments</v>
      </c>
    </row>
    <row r="4213" hidden="1">
      <c r="A4213" s="6" t="s">
        <v>57</v>
      </c>
      <c r="B4213" s="8" t="s">
        <v>1960</v>
      </c>
      <c r="C4213" s="8" t="s">
        <v>1961</v>
      </c>
      <c r="D4213" s="9">
        <v>6.0</v>
      </c>
      <c r="E4213" s="67">
        <f t="shared" si="11"/>
        <v>1500</v>
      </c>
      <c r="F4213" s="67" t="str">
        <f t="shared" si="12"/>
        <v>6 LeadGen Set Appointments</v>
      </c>
    </row>
    <row r="4214" hidden="1">
      <c r="A4214" s="6" t="s">
        <v>57</v>
      </c>
      <c r="B4214" s="8" t="s">
        <v>510</v>
      </c>
      <c r="C4214" s="8" t="s">
        <v>511</v>
      </c>
      <c r="D4214" s="9">
        <v>6.0</v>
      </c>
      <c r="E4214" s="67">
        <f t="shared" si="11"/>
        <v>1500</v>
      </c>
      <c r="F4214" s="67" t="str">
        <f t="shared" si="12"/>
        <v>6 LeadGen Set Appointments</v>
      </c>
    </row>
    <row r="4215" hidden="1">
      <c r="A4215" s="6" t="s">
        <v>57</v>
      </c>
      <c r="B4215" s="8" t="s">
        <v>624</v>
      </c>
      <c r="C4215" s="8" t="s">
        <v>625</v>
      </c>
      <c r="D4215" s="9">
        <v>6.0</v>
      </c>
      <c r="E4215" s="67">
        <f t="shared" si="11"/>
        <v>1500</v>
      </c>
      <c r="F4215" s="67" t="str">
        <f t="shared" si="12"/>
        <v>6 LeadGen Set Appointments</v>
      </c>
    </row>
    <row r="4216" hidden="1">
      <c r="A4216" s="6" t="s">
        <v>57</v>
      </c>
      <c r="B4216" s="8" t="s">
        <v>622</v>
      </c>
      <c r="C4216" s="8" t="s">
        <v>623</v>
      </c>
      <c r="D4216" s="9">
        <v>6.0</v>
      </c>
      <c r="E4216" s="67">
        <f t="shared" si="11"/>
        <v>1500</v>
      </c>
      <c r="F4216" s="67" t="str">
        <f t="shared" si="12"/>
        <v>6 LeadGen Set Appointments</v>
      </c>
    </row>
    <row r="4217" hidden="1">
      <c r="A4217" s="6" t="s">
        <v>57</v>
      </c>
      <c r="B4217" s="8" t="s">
        <v>1283</v>
      </c>
      <c r="C4217" s="8" t="s">
        <v>404</v>
      </c>
      <c r="D4217" s="9">
        <v>6.0</v>
      </c>
      <c r="E4217" s="67">
        <f t="shared" si="11"/>
        <v>1500</v>
      </c>
      <c r="F4217" s="67" t="str">
        <f t="shared" si="12"/>
        <v>6 LeadGen Set Appointments</v>
      </c>
    </row>
    <row r="4218" hidden="1">
      <c r="A4218" s="6" t="s">
        <v>57</v>
      </c>
      <c r="B4218" s="8" t="s">
        <v>1945</v>
      </c>
      <c r="C4218" s="8" t="s">
        <v>1946</v>
      </c>
      <c r="D4218" s="9">
        <v>6.0</v>
      </c>
      <c r="E4218" s="67">
        <f t="shared" si="11"/>
        <v>1500</v>
      </c>
      <c r="F4218" s="67" t="str">
        <f t="shared" si="12"/>
        <v>6 LeadGen Set Appointments</v>
      </c>
    </row>
    <row r="4219" hidden="1">
      <c r="A4219" s="6" t="s">
        <v>57</v>
      </c>
      <c r="B4219" s="8" t="s">
        <v>1577</v>
      </c>
      <c r="C4219" s="8" t="s">
        <v>1578</v>
      </c>
      <c r="D4219" s="9">
        <v>5.0</v>
      </c>
      <c r="E4219" s="67">
        <f t="shared" si="11"/>
        <v>1250</v>
      </c>
      <c r="F4219" s="67" t="str">
        <f t="shared" si="12"/>
        <v>5 LeadGen Set Appointments</v>
      </c>
    </row>
    <row r="4220" hidden="1">
      <c r="A4220" s="6" t="s">
        <v>57</v>
      </c>
      <c r="B4220" s="8" t="s">
        <v>1448</v>
      </c>
      <c r="C4220" s="8" t="s">
        <v>1449</v>
      </c>
      <c r="D4220" s="9">
        <v>5.0</v>
      </c>
      <c r="E4220" s="67">
        <f t="shared" si="11"/>
        <v>1250</v>
      </c>
      <c r="F4220" s="67" t="str">
        <f t="shared" si="12"/>
        <v>5 LeadGen Set Appointments</v>
      </c>
    </row>
    <row r="4221" hidden="1">
      <c r="A4221" s="6" t="s">
        <v>57</v>
      </c>
      <c r="B4221" s="8" t="s">
        <v>431</v>
      </c>
      <c r="C4221" s="8" t="s">
        <v>432</v>
      </c>
      <c r="D4221" s="9">
        <v>5.0</v>
      </c>
      <c r="E4221" s="67">
        <f t="shared" si="11"/>
        <v>1250</v>
      </c>
      <c r="F4221" s="67" t="str">
        <f t="shared" si="12"/>
        <v>5 LeadGen Set Appointments</v>
      </c>
    </row>
    <row r="4222" hidden="1">
      <c r="A4222" s="6" t="s">
        <v>57</v>
      </c>
      <c r="B4222" s="8" t="s">
        <v>1547</v>
      </c>
      <c r="C4222" s="8" t="s">
        <v>1548</v>
      </c>
      <c r="D4222" s="9">
        <v>5.0</v>
      </c>
      <c r="E4222" s="67">
        <f t="shared" si="11"/>
        <v>1250</v>
      </c>
      <c r="F4222" s="67" t="str">
        <f t="shared" si="12"/>
        <v>5 LeadGen Set Appointments</v>
      </c>
    </row>
    <row r="4223" hidden="1">
      <c r="A4223" s="6" t="s">
        <v>57</v>
      </c>
      <c r="B4223" s="8" t="s">
        <v>1606</v>
      </c>
      <c r="C4223" s="8" t="s">
        <v>1607</v>
      </c>
      <c r="D4223" s="9">
        <v>5.0</v>
      </c>
      <c r="E4223" s="67">
        <f t="shared" si="11"/>
        <v>1250</v>
      </c>
      <c r="F4223" s="67" t="str">
        <f t="shared" si="12"/>
        <v>5 LeadGen Set Appointments</v>
      </c>
    </row>
    <row r="4224" hidden="1">
      <c r="A4224" s="6" t="s">
        <v>57</v>
      </c>
      <c r="B4224" s="8" t="s">
        <v>1871</v>
      </c>
      <c r="C4224" s="8" t="s">
        <v>1872</v>
      </c>
      <c r="D4224" s="9">
        <v>5.0</v>
      </c>
      <c r="E4224" s="67">
        <f t="shared" si="11"/>
        <v>1250</v>
      </c>
      <c r="F4224" s="67" t="str">
        <f t="shared" si="12"/>
        <v>5 LeadGen Set Appointments</v>
      </c>
    </row>
    <row r="4225" hidden="1">
      <c r="A4225" s="6" t="s">
        <v>57</v>
      </c>
      <c r="B4225" s="8" t="s">
        <v>1649</v>
      </c>
      <c r="C4225" s="8" t="s">
        <v>2028</v>
      </c>
      <c r="D4225" s="9">
        <v>5.0</v>
      </c>
      <c r="E4225" s="67">
        <f t="shared" si="11"/>
        <v>1250</v>
      </c>
      <c r="F4225" s="67" t="str">
        <f t="shared" si="12"/>
        <v>5 LeadGen Set Appointments</v>
      </c>
    </row>
    <row r="4226" hidden="1">
      <c r="A4226" s="6" t="s">
        <v>57</v>
      </c>
      <c r="B4226" s="8" t="s">
        <v>752</v>
      </c>
      <c r="C4226" s="8" t="s">
        <v>753</v>
      </c>
      <c r="D4226" s="9">
        <v>5.0</v>
      </c>
      <c r="E4226" s="67">
        <f t="shared" si="11"/>
        <v>1250</v>
      </c>
      <c r="F4226" s="67" t="str">
        <f t="shared" si="12"/>
        <v>5 LeadGen Set Appointments</v>
      </c>
    </row>
    <row r="4227" hidden="1">
      <c r="A4227" s="6" t="s">
        <v>57</v>
      </c>
      <c r="B4227" s="8" t="s">
        <v>1688</v>
      </c>
      <c r="C4227" s="8" t="s">
        <v>1689</v>
      </c>
      <c r="D4227" s="9">
        <v>5.0</v>
      </c>
      <c r="E4227" s="67">
        <f t="shared" si="11"/>
        <v>1250</v>
      </c>
      <c r="F4227" s="67" t="str">
        <f t="shared" si="12"/>
        <v>5 LeadGen Set Appointments</v>
      </c>
    </row>
    <row r="4228" hidden="1">
      <c r="A4228" s="6" t="s">
        <v>57</v>
      </c>
      <c r="B4228" s="8" t="s">
        <v>1664</v>
      </c>
      <c r="C4228" s="8" t="s">
        <v>1665</v>
      </c>
      <c r="D4228" s="9">
        <v>5.0</v>
      </c>
      <c r="E4228" s="67">
        <f t="shared" si="11"/>
        <v>1250</v>
      </c>
      <c r="F4228" s="67" t="str">
        <f t="shared" si="12"/>
        <v>5 LeadGen Set Appointments</v>
      </c>
    </row>
    <row r="4229" hidden="1">
      <c r="A4229" s="6" t="s">
        <v>57</v>
      </c>
      <c r="B4229" s="8" t="s">
        <v>518</v>
      </c>
      <c r="C4229" s="8" t="s">
        <v>519</v>
      </c>
      <c r="D4229" s="9">
        <v>5.0</v>
      </c>
      <c r="E4229" s="67">
        <f t="shared" si="11"/>
        <v>1250</v>
      </c>
      <c r="F4229" s="67" t="str">
        <f t="shared" si="12"/>
        <v>5 LeadGen Set Appointments</v>
      </c>
    </row>
    <row r="4230" hidden="1">
      <c r="A4230" s="6" t="s">
        <v>57</v>
      </c>
      <c r="B4230" s="8" t="s">
        <v>1909</v>
      </c>
      <c r="C4230" s="8" t="s">
        <v>1910</v>
      </c>
      <c r="D4230" s="9">
        <v>5.0</v>
      </c>
      <c r="E4230" s="67">
        <f t="shared" si="11"/>
        <v>1250</v>
      </c>
      <c r="F4230" s="67" t="str">
        <f t="shared" si="12"/>
        <v>5 LeadGen Set Appointments</v>
      </c>
    </row>
    <row r="4231" hidden="1">
      <c r="A4231" s="6" t="s">
        <v>57</v>
      </c>
      <c r="B4231" s="8" t="s">
        <v>532</v>
      </c>
      <c r="C4231" s="8" t="s">
        <v>533</v>
      </c>
      <c r="D4231" s="9">
        <v>5.0</v>
      </c>
      <c r="E4231" s="67">
        <f t="shared" si="11"/>
        <v>1250</v>
      </c>
      <c r="F4231" s="67" t="str">
        <f t="shared" si="12"/>
        <v>5 LeadGen Set Appointments</v>
      </c>
    </row>
    <row r="4232" hidden="1">
      <c r="A4232" s="6" t="s">
        <v>57</v>
      </c>
      <c r="B4232" s="8" t="s">
        <v>1716</v>
      </c>
      <c r="C4232" s="8" t="s">
        <v>30</v>
      </c>
      <c r="D4232" s="9">
        <v>5.0</v>
      </c>
      <c r="E4232" s="67">
        <f t="shared" si="11"/>
        <v>1250</v>
      </c>
      <c r="F4232" s="67" t="str">
        <f t="shared" si="12"/>
        <v>5 LeadGen Set Appointments</v>
      </c>
    </row>
    <row r="4233" hidden="1">
      <c r="A4233" s="6" t="s">
        <v>57</v>
      </c>
      <c r="B4233" s="8" t="s">
        <v>1520</v>
      </c>
      <c r="C4233" s="8" t="s">
        <v>2031</v>
      </c>
      <c r="D4233" s="9">
        <v>5.0</v>
      </c>
      <c r="E4233" s="67">
        <f t="shared" si="11"/>
        <v>1250</v>
      </c>
      <c r="F4233" s="67" t="str">
        <f t="shared" si="12"/>
        <v>5 LeadGen Set Appointments</v>
      </c>
    </row>
    <row r="4234" hidden="1">
      <c r="A4234" s="6" t="s">
        <v>57</v>
      </c>
      <c r="B4234" s="8" t="s">
        <v>445</v>
      </c>
      <c r="C4234" s="8" t="s">
        <v>446</v>
      </c>
      <c r="D4234" s="9">
        <v>5.0</v>
      </c>
      <c r="E4234" s="67">
        <f t="shared" si="11"/>
        <v>1250</v>
      </c>
      <c r="F4234" s="67" t="str">
        <f t="shared" si="12"/>
        <v>5 LeadGen Set Appointments</v>
      </c>
    </row>
    <row r="4235" hidden="1">
      <c r="A4235" s="6" t="s">
        <v>57</v>
      </c>
      <c r="B4235" s="8" t="s">
        <v>1684</v>
      </c>
      <c r="C4235" s="8" t="s">
        <v>1685</v>
      </c>
      <c r="D4235" s="9">
        <v>5.0</v>
      </c>
      <c r="E4235" s="67">
        <f t="shared" si="11"/>
        <v>1250</v>
      </c>
      <c r="F4235" s="67" t="str">
        <f t="shared" si="12"/>
        <v>5 LeadGen Set Appointments</v>
      </c>
    </row>
    <row r="4236" hidden="1">
      <c r="A4236" s="6" t="s">
        <v>57</v>
      </c>
      <c r="B4236" s="8" t="s">
        <v>1941</v>
      </c>
      <c r="C4236" s="8" t="s">
        <v>1942</v>
      </c>
      <c r="D4236" s="9">
        <v>5.0</v>
      </c>
      <c r="E4236" s="67">
        <f t="shared" si="11"/>
        <v>1250</v>
      </c>
      <c r="F4236" s="67" t="str">
        <f t="shared" si="12"/>
        <v>5 LeadGen Set Appointments</v>
      </c>
    </row>
    <row r="4237" hidden="1">
      <c r="A4237" s="6" t="s">
        <v>57</v>
      </c>
      <c r="B4237" s="8" t="s">
        <v>1459</v>
      </c>
      <c r="C4237" s="8" t="s">
        <v>1460</v>
      </c>
      <c r="D4237" s="9">
        <v>4.0</v>
      </c>
      <c r="E4237" s="67">
        <f t="shared" si="11"/>
        <v>1000</v>
      </c>
      <c r="F4237" s="67" t="str">
        <f t="shared" si="12"/>
        <v>4 LeadGen Set Appointments</v>
      </c>
    </row>
    <row r="4238" hidden="1">
      <c r="A4238" s="6" t="s">
        <v>57</v>
      </c>
      <c r="B4238" s="8" t="s">
        <v>1774</v>
      </c>
      <c r="C4238" s="8" t="s">
        <v>1775</v>
      </c>
      <c r="D4238" s="9">
        <v>4.0</v>
      </c>
      <c r="E4238" s="67">
        <f t="shared" si="11"/>
        <v>1000</v>
      </c>
      <c r="F4238" s="67" t="str">
        <f t="shared" si="12"/>
        <v>4 LeadGen Set Appointments</v>
      </c>
    </row>
    <row r="4239" hidden="1">
      <c r="A4239" s="6" t="s">
        <v>57</v>
      </c>
      <c r="B4239" s="8" t="s">
        <v>1728</v>
      </c>
      <c r="C4239" s="8" t="s">
        <v>1729</v>
      </c>
      <c r="D4239" s="9">
        <v>4.0</v>
      </c>
      <c r="E4239" s="67">
        <f t="shared" si="11"/>
        <v>1000</v>
      </c>
      <c r="F4239" s="67" t="str">
        <f t="shared" si="12"/>
        <v>4 LeadGen Set Appointments</v>
      </c>
    </row>
    <row r="4240" hidden="1">
      <c r="A4240" s="6" t="s">
        <v>57</v>
      </c>
      <c r="B4240" s="8" t="s">
        <v>628</v>
      </c>
      <c r="C4240" s="8" t="s">
        <v>629</v>
      </c>
      <c r="D4240" s="9">
        <v>4.0</v>
      </c>
      <c r="E4240" s="67">
        <f t="shared" si="11"/>
        <v>1000</v>
      </c>
      <c r="F4240" s="67" t="str">
        <f t="shared" si="12"/>
        <v>4 LeadGen Set Appointments</v>
      </c>
    </row>
    <row r="4241" hidden="1">
      <c r="A4241" s="6" t="s">
        <v>57</v>
      </c>
      <c r="B4241" s="8" t="s">
        <v>1579</v>
      </c>
      <c r="C4241" s="8" t="s">
        <v>1580</v>
      </c>
      <c r="D4241" s="9">
        <v>4.0</v>
      </c>
      <c r="E4241" s="67">
        <f t="shared" si="11"/>
        <v>1000</v>
      </c>
      <c r="F4241" s="67" t="str">
        <f t="shared" si="12"/>
        <v>4 LeadGen Set Appointments</v>
      </c>
    </row>
    <row r="4242" hidden="1">
      <c r="A4242" s="6" t="s">
        <v>57</v>
      </c>
      <c r="B4242" s="8" t="s">
        <v>546</v>
      </c>
      <c r="C4242" s="8" t="s">
        <v>547</v>
      </c>
      <c r="D4242" s="9">
        <v>4.0</v>
      </c>
      <c r="E4242" s="67">
        <f t="shared" si="11"/>
        <v>1000</v>
      </c>
      <c r="F4242" s="67" t="str">
        <f t="shared" si="12"/>
        <v>4 LeadGen Set Appointments</v>
      </c>
    </row>
    <row r="4243" hidden="1">
      <c r="A4243" s="6" t="s">
        <v>57</v>
      </c>
      <c r="B4243" s="8" t="s">
        <v>684</v>
      </c>
      <c r="C4243" s="8" t="s">
        <v>685</v>
      </c>
      <c r="D4243" s="9">
        <v>4.0</v>
      </c>
      <c r="E4243" s="67">
        <f t="shared" si="11"/>
        <v>1000</v>
      </c>
      <c r="F4243" s="67" t="str">
        <f t="shared" si="12"/>
        <v>4 LeadGen Set Appointments</v>
      </c>
    </row>
    <row r="4244" hidden="1">
      <c r="A4244" s="6" t="s">
        <v>57</v>
      </c>
      <c r="B4244" s="8" t="s">
        <v>560</v>
      </c>
      <c r="C4244" s="8" t="s">
        <v>561</v>
      </c>
      <c r="D4244" s="9">
        <v>4.0</v>
      </c>
      <c r="E4244" s="67">
        <f t="shared" si="11"/>
        <v>1000</v>
      </c>
      <c r="F4244" s="67" t="str">
        <f t="shared" si="12"/>
        <v>4 LeadGen Set Appointments</v>
      </c>
    </row>
    <row r="4245" hidden="1">
      <c r="A4245" s="6" t="s">
        <v>57</v>
      </c>
      <c r="B4245" s="8" t="s">
        <v>1213</v>
      </c>
      <c r="C4245" s="8" t="s">
        <v>1959</v>
      </c>
      <c r="D4245" s="9">
        <v>4.0</v>
      </c>
      <c r="E4245" s="67">
        <f t="shared" si="11"/>
        <v>1000</v>
      </c>
      <c r="F4245" s="67" t="str">
        <f t="shared" si="12"/>
        <v>4 LeadGen Set Appointments</v>
      </c>
    </row>
    <row r="4246" hidden="1">
      <c r="A4246" s="6" t="s">
        <v>57</v>
      </c>
      <c r="B4246" s="8" t="s">
        <v>1608</v>
      </c>
      <c r="C4246" s="8" t="s">
        <v>1609</v>
      </c>
      <c r="D4246" s="9">
        <v>4.0</v>
      </c>
      <c r="E4246" s="67">
        <f t="shared" si="11"/>
        <v>1000</v>
      </c>
      <c r="F4246" s="67" t="str">
        <f t="shared" si="12"/>
        <v>4 LeadGen Set Appointments</v>
      </c>
    </row>
    <row r="4247" hidden="1">
      <c r="A4247" s="6" t="s">
        <v>57</v>
      </c>
      <c r="B4247" s="8" t="s">
        <v>1583</v>
      </c>
      <c r="C4247" s="8" t="s">
        <v>1584</v>
      </c>
      <c r="D4247" s="9">
        <v>4.0</v>
      </c>
      <c r="E4247" s="67">
        <f t="shared" si="11"/>
        <v>1000</v>
      </c>
      <c r="F4247" s="67" t="str">
        <f t="shared" si="12"/>
        <v>4 LeadGen Set Appointments</v>
      </c>
    </row>
    <row r="4248" hidden="1">
      <c r="A4248" s="6" t="s">
        <v>57</v>
      </c>
      <c r="B4248" s="8" t="s">
        <v>1859</v>
      </c>
      <c r="C4248" s="8" t="s">
        <v>1860</v>
      </c>
      <c r="D4248" s="9">
        <v>4.0</v>
      </c>
      <c r="E4248" s="67">
        <f t="shared" si="11"/>
        <v>1000</v>
      </c>
      <c r="F4248" s="67" t="str">
        <f t="shared" si="12"/>
        <v>4 LeadGen Set Appointments</v>
      </c>
    </row>
    <row r="4249" hidden="1">
      <c r="A4249" s="6" t="s">
        <v>57</v>
      </c>
      <c r="B4249" s="8" t="s">
        <v>1778</v>
      </c>
      <c r="C4249" s="8" t="s">
        <v>1779</v>
      </c>
      <c r="D4249" s="9">
        <v>4.0</v>
      </c>
      <c r="E4249" s="67">
        <f t="shared" si="11"/>
        <v>1000</v>
      </c>
      <c r="F4249" s="67" t="str">
        <f t="shared" si="12"/>
        <v>4 LeadGen Set Appointments</v>
      </c>
    </row>
    <row r="4250" hidden="1">
      <c r="A4250" s="6" t="s">
        <v>57</v>
      </c>
      <c r="B4250" s="8" t="s">
        <v>1477</v>
      </c>
      <c r="C4250" s="8" t="s">
        <v>1478</v>
      </c>
      <c r="D4250" s="9">
        <v>4.0</v>
      </c>
      <c r="E4250" s="67">
        <f t="shared" si="11"/>
        <v>1000</v>
      </c>
      <c r="F4250" s="67" t="str">
        <f t="shared" si="12"/>
        <v>4 LeadGen Set Appointments</v>
      </c>
    </row>
    <row r="4251" hidden="1">
      <c r="A4251" s="6" t="s">
        <v>57</v>
      </c>
      <c r="B4251" s="8" t="s">
        <v>1937</v>
      </c>
      <c r="C4251" s="8" t="s">
        <v>1938</v>
      </c>
      <c r="D4251" s="9">
        <v>4.0</v>
      </c>
      <c r="E4251" s="67">
        <f t="shared" si="11"/>
        <v>1000</v>
      </c>
      <c r="F4251" s="67" t="str">
        <f t="shared" si="12"/>
        <v>4 LeadGen Set Appointments</v>
      </c>
    </row>
    <row r="4252" hidden="1">
      <c r="A4252" s="6" t="s">
        <v>57</v>
      </c>
      <c r="B4252" s="8" t="s">
        <v>693</v>
      </c>
      <c r="C4252" s="8" t="s">
        <v>694</v>
      </c>
      <c r="D4252" s="9">
        <v>4.0</v>
      </c>
      <c r="E4252" s="67">
        <f t="shared" si="11"/>
        <v>1000</v>
      </c>
      <c r="F4252" s="67" t="str">
        <f t="shared" si="12"/>
        <v>4 LeadGen Set Appointments</v>
      </c>
    </row>
    <row r="4253" hidden="1">
      <c r="A4253" s="6" t="s">
        <v>57</v>
      </c>
      <c r="B4253" s="8" t="s">
        <v>1421</v>
      </c>
      <c r="C4253" s="8" t="s">
        <v>712</v>
      </c>
      <c r="D4253" s="9">
        <v>4.0</v>
      </c>
      <c r="E4253" s="67">
        <f t="shared" si="11"/>
        <v>1000</v>
      </c>
      <c r="F4253" s="67" t="str">
        <f t="shared" si="12"/>
        <v>4 LeadGen Set Appointments</v>
      </c>
    </row>
    <row r="4254" hidden="1">
      <c r="A4254" s="6" t="s">
        <v>57</v>
      </c>
      <c r="B4254" s="8" t="s">
        <v>1657</v>
      </c>
      <c r="C4254" s="8" t="s">
        <v>1658</v>
      </c>
      <c r="D4254" s="9">
        <v>4.0</v>
      </c>
      <c r="E4254" s="67">
        <f t="shared" si="11"/>
        <v>1000</v>
      </c>
      <c r="F4254" s="67" t="str">
        <f t="shared" si="12"/>
        <v>4 LeadGen Set Appointments</v>
      </c>
    </row>
    <row r="4255" hidden="1">
      <c r="A4255" s="6" t="s">
        <v>57</v>
      </c>
      <c r="B4255" s="8" t="s">
        <v>1784</v>
      </c>
      <c r="C4255" s="8" t="s">
        <v>1785</v>
      </c>
      <c r="D4255" s="9">
        <v>4.0</v>
      </c>
      <c r="E4255" s="67">
        <f t="shared" si="11"/>
        <v>1000</v>
      </c>
      <c r="F4255" s="67" t="str">
        <f t="shared" si="12"/>
        <v>4 LeadGen Set Appointments</v>
      </c>
    </row>
    <row r="4256" hidden="1">
      <c r="A4256" s="6" t="s">
        <v>57</v>
      </c>
      <c r="B4256" s="8" t="s">
        <v>1666</v>
      </c>
      <c r="C4256" s="8" t="s">
        <v>1667</v>
      </c>
      <c r="D4256" s="9">
        <v>4.0</v>
      </c>
      <c r="E4256" s="67">
        <f t="shared" si="11"/>
        <v>1000</v>
      </c>
      <c r="F4256" s="67" t="str">
        <f t="shared" si="12"/>
        <v>4 LeadGen Set Appointments</v>
      </c>
    </row>
    <row r="4257" hidden="1">
      <c r="A4257" s="6" t="s">
        <v>57</v>
      </c>
      <c r="B4257" s="8" t="s">
        <v>1567</v>
      </c>
      <c r="C4257" s="8" t="s">
        <v>1568</v>
      </c>
      <c r="D4257" s="9">
        <v>4.0</v>
      </c>
      <c r="E4257" s="67">
        <f t="shared" si="11"/>
        <v>1000</v>
      </c>
      <c r="F4257" s="67" t="str">
        <f t="shared" si="12"/>
        <v>4 LeadGen Set Appointments</v>
      </c>
    </row>
    <row r="4258" hidden="1">
      <c r="A4258" s="6" t="s">
        <v>57</v>
      </c>
      <c r="B4258" s="8" t="s">
        <v>2032</v>
      </c>
      <c r="C4258" s="8" t="s">
        <v>2033</v>
      </c>
      <c r="D4258" s="9">
        <v>4.0</v>
      </c>
      <c r="E4258" s="67">
        <f t="shared" si="11"/>
        <v>1000</v>
      </c>
      <c r="F4258" s="67" t="str">
        <f t="shared" si="12"/>
        <v>4 LeadGen Set Appointments</v>
      </c>
    </row>
    <row r="4259" hidden="1">
      <c r="A4259" s="6" t="s">
        <v>57</v>
      </c>
      <c r="B4259" s="8" t="s">
        <v>1093</v>
      </c>
      <c r="C4259" s="8" t="s">
        <v>1760</v>
      </c>
      <c r="D4259" s="9">
        <v>4.0</v>
      </c>
      <c r="E4259" s="67">
        <f t="shared" si="11"/>
        <v>1000</v>
      </c>
      <c r="F4259" s="67" t="str">
        <f t="shared" si="12"/>
        <v>4 LeadGen Set Appointments</v>
      </c>
    </row>
    <row r="4260" hidden="1">
      <c r="A4260" s="6" t="s">
        <v>57</v>
      </c>
      <c r="B4260" s="8" t="s">
        <v>1625</v>
      </c>
      <c r="C4260" s="8" t="s">
        <v>1626</v>
      </c>
      <c r="D4260" s="9">
        <v>4.0</v>
      </c>
      <c r="E4260" s="67">
        <f t="shared" si="11"/>
        <v>1000</v>
      </c>
      <c r="F4260" s="67" t="str">
        <f t="shared" si="12"/>
        <v>4 LeadGen Set Appointments</v>
      </c>
    </row>
    <row r="4261" hidden="1">
      <c r="A4261" s="6" t="s">
        <v>57</v>
      </c>
      <c r="B4261" s="8" t="s">
        <v>1674</v>
      </c>
      <c r="C4261" s="8" t="s">
        <v>1675</v>
      </c>
      <c r="D4261" s="9">
        <v>4.0</v>
      </c>
      <c r="E4261" s="67">
        <f t="shared" si="11"/>
        <v>1000</v>
      </c>
      <c r="F4261" s="67" t="str">
        <f t="shared" si="12"/>
        <v>4 LeadGen Set Appointments</v>
      </c>
    </row>
    <row r="4262" hidden="1">
      <c r="A4262" s="6" t="s">
        <v>57</v>
      </c>
      <c r="B4262" s="8" t="s">
        <v>566</v>
      </c>
      <c r="C4262" s="8" t="s">
        <v>567</v>
      </c>
      <c r="D4262" s="9">
        <v>4.0</v>
      </c>
      <c r="E4262" s="67">
        <f t="shared" si="11"/>
        <v>1000</v>
      </c>
      <c r="F4262" s="67" t="str">
        <f t="shared" si="12"/>
        <v>4 LeadGen Set Appointments</v>
      </c>
    </row>
    <row r="4263" hidden="1">
      <c r="A4263" s="6" t="s">
        <v>57</v>
      </c>
      <c r="B4263" s="8" t="s">
        <v>1929</v>
      </c>
      <c r="C4263" s="8" t="s">
        <v>1930</v>
      </c>
      <c r="D4263" s="9">
        <v>4.0</v>
      </c>
      <c r="E4263" s="67">
        <f t="shared" si="11"/>
        <v>1000</v>
      </c>
      <c r="F4263" s="67" t="str">
        <f t="shared" si="12"/>
        <v>4 LeadGen Set Appointments</v>
      </c>
    </row>
    <row r="4264" hidden="1">
      <c r="A4264" s="6" t="s">
        <v>57</v>
      </c>
      <c r="B4264" s="8" t="s">
        <v>2029</v>
      </c>
      <c r="C4264" s="8" t="s">
        <v>2030</v>
      </c>
      <c r="D4264" s="9">
        <v>4.0</v>
      </c>
      <c r="E4264" s="67">
        <f t="shared" si="11"/>
        <v>1000</v>
      </c>
      <c r="F4264" s="67" t="str">
        <f t="shared" si="12"/>
        <v>4 LeadGen Set Appointments</v>
      </c>
    </row>
    <row r="4265" hidden="1">
      <c r="A4265" s="6" t="s">
        <v>57</v>
      </c>
      <c r="B4265" s="8" t="s">
        <v>1895</v>
      </c>
      <c r="C4265" s="8" t="s">
        <v>1896</v>
      </c>
      <c r="D4265" s="9">
        <v>3.0</v>
      </c>
      <c r="E4265" s="67">
        <f t="shared" si="11"/>
        <v>750</v>
      </c>
      <c r="F4265" s="67" t="str">
        <f t="shared" si="12"/>
        <v>3 LeadGen Set Appointments</v>
      </c>
    </row>
    <row r="4266" hidden="1">
      <c r="A4266" s="6" t="s">
        <v>57</v>
      </c>
      <c r="B4266" s="8" t="s">
        <v>462</v>
      </c>
      <c r="C4266" s="8" t="s">
        <v>463</v>
      </c>
      <c r="D4266" s="9">
        <v>3.0</v>
      </c>
      <c r="E4266" s="67">
        <f t="shared" si="11"/>
        <v>750</v>
      </c>
      <c r="F4266" s="67" t="str">
        <f t="shared" si="12"/>
        <v>3 LeadGen Set Appointments</v>
      </c>
    </row>
    <row r="4267" hidden="1">
      <c r="A4267" s="6" t="s">
        <v>57</v>
      </c>
      <c r="B4267" s="8" t="s">
        <v>1704</v>
      </c>
      <c r="C4267" s="8" t="s">
        <v>1705</v>
      </c>
      <c r="D4267" s="9">
        <v>3.0</v>
      </c>
      <c r="E4267" s="67">
        <f t="shared" si="11"/>
        <v>750</v>
      </c>
      <c r="F4267" s="67" t="str">
        <f t="shared" si="12"/>
        <v>3 LeadGen Set Appointments</v>
      </c>
    </row>
    <row r="4268" hidden="1">
      <c r="A4268" s="6" t="s">
        <v>57</v>
      </c>
      <c r="B4268" s="8" t="s">
        <v>2077</v>
      </c>
      <c r="C4268" s="8" t="s">
        <v>2078</v>
      </c>
      <c r="D4268" s="9">
        <v>3.0</v>
      </c>
      <c r="E4268" s="67">
        <f t="shared" si="11"/>
        <v>750</v>
      </c>
      <c r="F4268" s="67" t="str">
        <f t="shared" si="12"/>
        <v>3 LeadGen Set Appointments</v>
      </c>
    </row>
    <row r="4269" hidden="1">
      <c r="A4269" s="6" t="s">
        <v>57</v>
      </c>
      <c r="B4269" s="8" t="s">
        <v>1646</v>
      </c>
      <c r="C4269" s="8" t="s">
        <v>1647</v>
      </c>
      <c r="D4269" s="9">
        <v>3.0</v>
      </c>
      <c r="E4269" s="67">
        <f t="shared" si="11"/>
        <v>750</v>
      </c>
      <c r="F4269" s="67" t="str">
        <f t="shared" si="12"/>
        <v>3 LeadGen Set Appointments</v>
      </c>
    </row>
    <row r="4270" hidden="1">
      <c r="A4270" s="6" t="s">
        <v>57</v>
      </c>
      <c r="B4270" s="8" t="s">
        <v>1732</v>
      </c>
      <c r="C4270" s="8" t="s">
        <v>1733</v>
      </c>
      <c r="D4270" s="9">
        <v>3.0</v>
      </c>
      <c r="E4270" s="67">
        <f t="shared" si="11"/>
        <v>750</v>
      </c>
      <c r="F4270" s="67" t="str">
        <f t="shared" si="12"/>
        <v>3 LeadGen Set Appointments</v>
      </c>
    </row>
    <row r="4271" hidden="1">
      <c r="A4271" s="6" t="s">
        <v>57</v>
      </c>
      <c r="B4271" s="8" t="s">
        <v>2079</v>
      </c>
      <c r="C4271" s="8" t="s">
        <v>2080</v>
      </c>
      <c r="D4271" s="9">
        <v>3.0</v>
      </c>
      <c r="E4271" s="67">
        <f t="shared" si="11"/>
        <v>750</v>
      </c>
      <c r="F4271" s="67" t="str">
        <f t="shared" si="12"/>
        <v>3 LeadGen Set Appointments</v>
      </c>
    </row>
    <row r="4272" hidden="1">
      <c r="A4272" s="6" t="s">
        <v>57</v>
      </c>
      <c r="B4272" s="8" t="s">
        <v>240</v>
      </c>
      <c r="C4272" s="8" t="s">
        <v>241</v>
      </c>
      <c r="D4272" s="9">
        <v>3.0</v>
      </c>
      <c r="E4272" s="67">
        <f t="shared" si="11"/>
        <v>750</v>
      </c>
      <c r="F4272" s="67" t="str">
        <f t="shared" si="12"/>
        <v>3 LeadGen Set Appointments</v>
      </c>
    </row>
    <row r="4273" hidden="1">
      <c r="A4273" s="6" t="s">
        <v>57</v>
      </c>
      <c r="B4273" s="8" t="s">
        <v>2039</v>
      </c>
      <c r="C4273" s="8" t="s">
        <v>2040</v>
      </c>
      <c r="D4273" s="9">
        <v>3.0</v>
      </c>
      <c r="E4273" s="67">
        <f t="shared" si="11"/>
        <v>750</v>
      </c>
      <c r="F4273" s="67" t="str">
        <f t="shared" si="12"/>
        <v>3 LeadGen Set Appointments</v>
      </c>
    </row>
    <row r="4274" hidden="1">
      <c r="A4274" s="6" t="s">
        <v>57</v>
      </c>
      <c r="B4274" s="8" t="s">
        <v>1885</v>
      </c>
      <c r="C4274" s="8" t="s">
        <v>1886</v>
      </c>
      <c r="D4274" s="9">
        <v>3.0</v>
      </c>
      <c r="E4274" s="67">
        <f t="shared" si="11"/>
        <v>750</v>
      </c>
      <c r="F4274" s="67" t="str">
        <f t="shared" si="12"/>
        <v>3 LeadGen Set Appointments</v>
      </c>
    </row>
    <row r="4275" hidden="1">
      <c r="A4275" s="6" t="s">
        <v>57</v>
      </c>
      <c r="B4275" s="8" t="s">
        <v>1612</v>
      </c>
      <c r="C4275" s="8" t="s">
        <v>1613</v>
      </c>
      <c r="D4275" s="9">
        <v>3.0</v>
      </c>
      <c r="E4275" s="67">
        <f t="shared" si="11"/>
        <v>750</v>
      </c>
      <c r="F4275" s="67" t="str">
        <f t="shared" si="12"/>
        <v>3 LeadGen Set Appointments</v>
      </c>
    </row>
    <row r="4276" hidden="1">
      <c r="A4276" s="6" t="s">
        <v>57</v>
      </c>
      <c r="B4276" s="8" t="s">
        <v>238</v>
      </c>
      <c r="C4276" s="8" t="s">
        <v>1890</v>
      </c>
      <c r="D4276" s="9">
        <v>3.0</v>
      </c>
      <c r="E4276" s="67">
        <f t="shared" si="11"/>
        <v>750</v>
      </c>
      <c r="F4276" s="67" t="str">
        <f t="shared" si="12"/>
        <v>3 LeadGen Set Appointments</v>
      </c>
    </row>
    <row r="4277" hidden="1">
      <c r="A4277" s="6" t="s">
        <v>57</v>
      </c>
      <c r="B4277" s="8" t="s">
        <v>1842</v>
      </c>
      <c r="C4277" s="8" t="s">
        <v>1843</v>
      </c>
      <c r="D4277" s="9">
        <v>3.0</v>
      </c>
      <c r="E4277" s="67">
        <f t="shared" si="11"/>
        <v>750</v>
      </c>
      <c r="F4277" s="67" t="str">
        <f t="shared" si="12"/>
        <v>3 LeadGen Set Appointments</v>
      </c>
    </row>
    <row r="4278" hidden="1">
      <c r="A4278" s="6" t="s">
        <v>57</v>
      </c>
      <c r="B4278" s="8" t="s">
        <v>582</v>
      </c>
      <c r="C4278" s="8" t="s">
        <v>583</v>
      </c>
      <c r="D4278" s="9">
        <v>3.0</v>
      </c>
      <c r="E4278" s="67">
        <f t="shared" si="11"/>
        <v>750</v>
      </c>
      <c r="F4278" s="67" t="str">
        <f t="shared" si="12"/>
        <v>3 LeadGen Set Appointments</v>
      </c>
    </row>
    <row r="4279" hidden="1">
      <c r="A4279" s="6" t="s">
        <v>57</v>
      </c>
      <c r="B4279" s="8" t="s">
        <v>717</v>
      </c>
      <c r="C4279" s="8" t="s">
        <v>718</v>
      </c>
      <c r="D4279" s="9">
        <v>3.0</v>
      </c>
      <c r="E4279" s="67">
        <f t="shared" si="11"/>
        <v>750</v>
      </c>
      <c r="F4279" s="67" t="str">
        <f t="shared" si="12"/>
        <v>3 LeadGen Set Appointments</v>
      </c>
    </row>
    <row r="4280" hidden="1">
      <c r="A4280" s="6" t="s">
        <v>57</v>
      </c>
      <c r="B4280" s="8" t="s">
        <v>1867</v>
      </c>
      <c r="C4280" s="8" t="s">
        <v>1868</v>
      </c>
      <c r="D4280" s="9">
        <v>3.0</v>
      </c>
      <c r="E4280" s="67">
        <f t="shared" si="11"/>
        <v>750</v>
      </c>
      <c r="F4280" s="67" t="str">
        <f t="shared" si="12"/>
        <v>3 LeadGen Set Appointments</v>
      </c>
    </row>
    <row r="4281" hidden="1">
      <c r="A4281" s="6" t="s">
        <v>57</v>
      </c>
      <c r="B4281" s="8" t="s">
        <v>1723</v>
      </c>
      <c r="C4281" s="8" t="s">
        <v>32</v>
      </c>
      <c r="D4281" s="9">
        <v>3.0</v>
      </c>
      <c r="E4281" s="67">
        <f t="shared" si="11"/>
        <v>750</v>
      </c>
      <c r="F4281" s="67" t="str">
        <f t="shared" si="12"/>
        <v>3 LeadGen Set Appointments</v>
      </c>
    </row>
    <row r="4282" hidden="1">
      <c r="A4282" s="6" t="s">
        <v>57</v>
      </c>
      <c r="B4282" s="8" t="s">
        <v>1325</v>
      </c>
      <c r="C4282" s="8" t="s">
        <v>1326</v>
      </c>
      <c r="D4282" s="9">
        <v>3.0</v>
      </c>
      <c r="E4282" s="67">
        <f t="shared" si="11"/>
        <v>750</v>
      </c>
      <c r="F4282" s="67" t="str">
        <f t="shared" si="12"/>
        <v>3 LeadGen Set Appointments</v>
      </c>
    </row>
    <row r="4283" hidden="1">
      <c r="A4283" s="6" t="s">
        <v>57</v>
      </c>
      <c r="B4283" s="8" t="s">
        <v>590</v>
      </c>
      <c r="C4283" s="8" t="s">
        <v>2041</v>
      </c>
      <c r="D4283" s="9">
        <v>3.0</v>
      </c>
      <c r="E4283" s="67">
        <f t="shared" si="11"/>
        <v>750</v>
      </c>
      <c r="F4283" s="67" t="str">
        <f t="shared" si="12"/>
        <v>3 LeadGen Set Appointments</v>
      </c>
    </row>
    <row r="4284" hidden="1">
      <c r="A4284" s="6" t="s">
        <v>57</v>
      </c>
      <c r="B4284" s="8" t="s">
        <v>1563</v>
      </c>
      <c r="C4284" s="8" t="s">
        <v>1564</v>
      </c>
      <c r="D4284" s="9">
        <v>3.0</v>
      </c>
      <c r="E4284" s="67">
        <f t="shared" si="11"/>
        <v>750</v>
      </c>
      <c r="F4284" s="67" t="str">
        <f t="shared" si="12"/>
        <v>3 LeadGen Set Appointments</v>
      </c>
    </row>
    <row r="4285" hidden="1">
      <c r="A4285" s="6" t="s">
        <v>57</v>
      </c>
      <c r="B4285" s="8" t="s">
        <v>1786</v>
      </c>
      <c r="C4285" s="8" t="s">
        <v>1787</v>
      </c>
      <c r="D4285" s="9">
        <v>3.0</v>
      </c>
      <c r="E4285" s="67">
        <f t="shared" si="11"/>
        <v>750</v>
      </c>
      <c r="F4285" s="67" t="str">
        <f t="shared" si="12"/>
        <v>3 LeadGen Set Appointments</v>
      </c>
    </row>
    <row r="4286" hidden="1">
      <c r="A4286" s="6" t="s">
        <v>57</v>
      </c>
      <c r="B4286" s="8" t="s">
        <v>1493</v>
      </c>
      <c r="C4286" s="8" t="s">
        <v>1494</v>
      </c>
      <c r="D4286" s="9">
        <v>3.0</v>
      </c>
      <c r="E4286" s="67">
        <f t="shared" si="11"/>
        <v>750</v>
      </c>
      <c r="F4286" s="67" t="str">
        <f t="shared" si="12"/>
        <v>3 LeadGen Set Appointments</v>
      </c>
    </row>
    <row r="4287" hidden="1">
      <c r="A4287" s="6" t="s">
        <v>57</v>
      </c>
      <c r="B4287" s="8" t="s">
        <v>1955</v>
      </c>
      <c r="C4287" s="8" t="s">
        <v>1956</v>
      </c>
      <c r="D4287" s="9">
        <v>3.0</v>
      </c>
      <c r="E4287" s="67">
        <f t="shared" si="11"/>
        <v>750</v>
      </c>
      <c r="F4287" s="67" t="str">
        <f t="shared" si="12"/>
        <v>3 LeadGen Set Appointments</v>
      </c>
    </row>
    <row r="4288" hidden="1">
      <c r="A4288" s="6" t="s">
        <v>57</v>
      </c>
      <c r="B4288" s="8" t="s">
        <v>1569</v>
      </c>
      <c r="C4288" s="8" t="s">
        <v>1570</v>
      </c>
      <c r="D4288" s="9">
        <v>3.0</v>
      </c>
      <c r="E4288" s="67">
        <f t="shared" si="11"/>
        <v>750</v>
      </c>
      <c r="F4288" s="67" t="str">
        <f t="shared" si="12"/>
        <v>3 LeadGen Set Appointments</v>
      </c>
    </row>
    <row r="4289" hidden="1">
      <c r="A4289" s="6" t="s">
        <v>57</v>
      </c>
      <c r="B4289" s="8" t="s">
        <v>2081</v>
      </c>
      <c r="C4289" s="8" t="s">
        <v>2082</v>
      </c>
      <c r="D4289" s="9">
        <v>3.0</v>
      </c>
      <c r="E4289" s="67">
        <f t="shared" si="11"/>
        <v>750</v>
      </c>
      <c r="F4289" s="67" t="str">
        <f t="shared" si="12"/>
        <v>3 LeadGen Set Appointments</v>
      </c>
    </row>
    <row r="4290" hidden="1">
      <c r="A4290" s="6" t="s">
        <v>57</v>
      </c>
      <c r="B4290" s="8" t="s">
        <v>701</v>
      </c>
      <c r="C4290" s="8" t="s">
        <v>702</v>
      </c>
      <c r="D4290" s="9">
        <v>3.0</v>
      </c>
      <c r="E4290" s="67">
        <f t="shared" si="11"/>
        <v>750</v>
      </c>
      <c r="F4290" s="67" t="str">
        <f t="shared" si="12"/>
        <v>3 LeadGen Set Appointments</v>
      </c>
    </row>
    <row r="4291" hidden="1">
      <c r="A4291" s="6" t="s">
        <v>57</v>
      </c>
      <c r="B4291" s="8" t="s">
        <v>1573</v>
      </c>
      <c r="C4291" s="8" t="s">
        <v>1574</v>
      </c>
      <c r="D4291" s="9">
        <v>3.0</v>
      </c>
      <c r="E4291" s="67">
        <f t="shared" si="11"/>
        <v>750</v>
      </c>
      <c r="F4291" s="67" t="str">
        <f t="shared" si="12"/>
        <v>3 LeadGen Set Appointments</v>
      </c>
    </row>
    <row r="4292" hidden="1">
      <c r="A4292" s="6" t="s">
        <v>57</v>
      </c>
      <c r="B4292" s="8" t="s">
        <v>2083</v>
      </c>
      <c r="C4292" s="8" t="s">
        <v>2084</v>
      </c>
      <c r="D4292" s="9">
        <v>3.0</v>
      </c>
      <c r="E4292" s="67">
        <f t="shared" si="11"/>
        <v>750</v>
      </c>
      <c r="F4292" s="67" t="str">
        <f t="shared" si="12"/>
        <v>3 LeadGen Set Appointments</v>
      </c>
    </row>
    <row r="4293" hidden="1">
      <c r="A4293" s="6" t="s">
        <v>57</v>
      </c>
      <c r="B4293" s="8" t="s">
        <v>1933</v>
      </c>
      <c r="C4293" s="8" t="s">
        <v>1934</v>
      </c>
      <c r="D4293" s="9">
        <v>3.0</v>
      </c>
      <c r="E4293" s="67">
        <f t="shared" si="11"/>
        <v>750</v>
      </c>
      <c r="F4293" s="67" t="str">
        <f t="shared" si="12"/>
        <v>3 LeadGen Set Appointments</v>
      </c>
    </row>
    <row r="4294" hidden="1">
      <c r="A4294" s="6" t="s">
        <v>57</v>
      </c>
      <c r="B4294" s="8" t="s">
        <v>2085</v>
      </c>
      <c r="C4294" s="8" t="s">
        <v>2086</v>
      </c>
      <c r="D4294" s="9">
        <v>3.0</v>
      </c>
      <c r="E4294" s="67">
        <f t="shared" si="11"/>
        <v>750</v>
      </c>
      <c r="F4294" s="67" t="str">
        <f t="shared" si="12"/>
        <v>3 LeadGen Set Appointments</v>
      </c>
    </row>
    <row r="4295" hidden="1">
      <c r="A4295" s="6" t="s">
        <v>57</v>
      </c>
      <c r="B4295" s="8" t="s">
        <v>447</v>
      </c>
      <c r="C4295" s="8" t="s">
        <v>448</v>
      </c>
      <c r="D4295" s="9">
        <v>2.0</v>
      </c>
      <c r="E4295" s="67">
        <f t="shared" si="11"/>
        <v>500</v>
      </c>
      <c r="F4295" s="67" t="str">
        <f t="shared" si="12"/>
        <v>2 LeadGen Set Appointments</v>
      </c>
    </row>
    <row r="4296" hidden="1">
      <c r="A4296" s="6" t="s">
        <v>57</v>
      </c>
      <c r="B4296" s="8" t="s">
        <v>2087</v>
      </c>
      <c r="C4296" s="8" t="s">
        <v>2088</v>
      </c>
      <c r="D4296" s="9">
        <v>2.0</v>
      </c>
      <c r="E4296" s="67">
        <f t="shared" si="11"/>
        <v>500</v>
      </c>
      <c r="F4296" s="67" t="str">
        <f t="shared" si="12"/>
        <v>2 LeadGen Set Appointments</v>
      </c>
    </row>
    <row r="4297" hidden="1">
      <c r="A4297" s="6" t="s">
        <v>57</v>
      </c>
      <c r="B4297" s="8" t="s">
        <v>2073</v>
      </c>
      <c r="C4297" s="8" t="s">
        <v>2074</v>
      </c>
      <c r="D4297" s="9">
        <v>2.0</v>
      </c>
      <c r="E4297" s="67">
        <f t="shared" si="11"/>
        <v>500</v>
      </c>
      <c r="F4297" s="67" t="str">
        <f t="shared" si="12"/>
        <v>2 LeadGen Set Appointments</v>
      </c>
    </row>
    <row r="4298" hidden="1">
      <c r="A4298" s="6" t="s">
        <v>57</v>
      </c>
      <c r="B4298" s="8" t="s">
        <v>2089</v>
      </c>
      <c r="C4298" s="8" t="s">
        <v>2090</v>
      </c>
      <c r="D4298" s="9">
        <v>2.0</v>
      </c>
      <c r="E4298" s="67">
        <f t="shared" si="11"/>
        <v>500</v>
      </c>
      <c r="F4298" s="67" t="str">
        <f t="shared" si="12"/>
        <v>2 LeadGen Set Appointments</v>
      </c>
    </row>
    <row r="4299" hidden="1">
      <c r="A4299" s="6" t="s">
        <v>57</v>
      </c>
      <c r="B4299" s="8" t="s">
        <v>1951</v>
      </c>
      <c r="C4299" s="8" t="s">
        <v>1952</v>
      </c>
      <c r="D4299" s="9">
        <v>2.0</v>
      </c>
      <c r="E4299" s="67">
        <f t="shared" si="11"/>
        <v>500</v>
      </c>
      <c r="F4299" s="67" t="str">
        <f t="shared" si="12"/>
        <v>2 LeadGen Set Appointments</v>
      </c>
    </row>
    <row r="4300" hidden="1">
      <c r="A4300" s="6" t="s">
        <v>57</v>
      </c>
      <c r="B4300" s="8" t="s">
        <v>1600</v>
      </c>
      <c r="C4300" s="8" t="s">
        <v>1601</v>
      </c>
      <c r="D4300" s="9">
        <v>2.0</v>
      </c>
      <c r="E4300" s="67">
        <f t="shared" si="11"/>
        <v>500</v>
      </c>
      <c r="F4300" s="67" t="str">
        <f t="shared" si="12"/>
        <v>2 LeadGen Set Appointments</v>
      </c>
    </row>
    <row r="4301" hidden="1">
      <c r="A4301" s="6" t="s">
        <v>57</v>
      </c>
      <c r="B4301" s="8" t="s">
        <v>1998</v>
      </c>
      <c r="C4301" s="8" t="s">
        <v>1999</v>
      </c>
      <c r="D4301" s="9">
        <v>2.0</v>
      </c>
      <c r="E4301" s="67">
        <f t="shared" si="11"/>
        <v>500</v>
      </c>
      <c r="F4301" s="67" t="str">
        <f t="shared" si="12"/>
        <v>2 LeadGen Set Appointments</v>
      </c>
    </row>
    <row r="4302" hidden="1">
      <c r="A4302" s="6" t="s">
        <v>57</v>
      </c>
      <c r="B4302" s="8" t="s">
        <v>2034</v>
      </c>
      <c r="C4302" s="8" t="s">
        <v>416</v>
      </c>
      <c r="D4302" s="9">
        <v>2.0</v>
      </c>
      <c r="E4302" s="67">
        <f t="shared" si="11"/>
        <v>500</v>
      </c>
      <c r="F4302" s="67" t="str">
        <f t="shared" si="12"/>
        <v>2 LeadGen Set Appointments</v>
      </c>
    </row>
    <row r="4303" hidden="1">
      <c r="A4303" s="6" t="s">
        <v>57</v>
      </c>
      <c r="B4303" s="8" t="s">
        <v>2035</v>
      </c>
      <c r="C4303" s="8" t="s">
        <v>2036</v>
      </c>
      <c r="D4303" s="9">
        <v>2.0</v>
      </c>
      <c r="E4303" s="67">
        <f t="shared" si="11"/>
        <v>500</v>
      </c>
      <c r="F4303" s="67" t="str">
        <f t="shared" si="12"/>
        <v>2 LeadGen Set Appointments</v>
      </c>
    </row>
    <row r="4304" hidden="1">
      <c r="A4304" s="6" t="s">
        <v>57</v>
      </c>
      <c r="B4304" s="8" t="s">
        <v>1543</v>
      </c>
      <c r="C4304" s="8" t="s">
        <v>1544</v>
      </c>
      <c r="D4304" s="9">
        <v>2.0</v>
      </c>
      <c r="E4304" s="67">
        <f t="shared" si="11"/>
        <v>500</v>
      </c>
      <c r="F4304" s="67" t="str">
        <f t="shared" si="12"/>
        <v>2 LeadGen Set Appointments</v>
      </c>
    </row>
    <row r="4305" hidden="1">
      <c r="A4305" s="6" t="s">
        <v>57</v>
      </c>
      <c r="B4305" s="8" t="s">
        <v>2075</v>
      </c>
      <c r="C4305" s="8" t="s">
        <v>2076</v>
      </c>
      <c r="D4305" s="9">
        <v>2.0</v>
      </c>
      <c r="E4305" s="67">
        <f t="shared" si="11"/>
        <v>500</v>
      </c>
      <c r="F4305" s="67" t="str">
        <f t="shared" si="12"/>
        <v>2 LeadGen Set Appointments</v>
      </c>
    </row>
    <row r="4306" hidden="1">
      <c r="A4306" s="6" t="s">
        <v>57</v>
      </c>
      <c r="B4306" s="8" t="s">
        <v>2091</v>
      </c>
      <c r="C4306" s="8" t="s">
        <v>2092</v>
      </c>
      <c r="D4306" s="9">
        <v>2.0</v>
      </c>
      <c r="E4306" s="67">
        <f t="shared" si="11"/>
        <v>500</v>
      </c>
      <c r="F4306" s="67" t="str">
        <f t="shared" si="12"/>
        <v>2 LeadGen Set Appointments</v>
      </c>
    </row>
    <row r="4307" hidden="1">
      <c r="A4307" s="6" t="s">
        <v>57</v>
      </c>
      <c r="B4307" s="8" t="s">
        <v>2037</v>
      </c>
      <c r="C4307" s="8" t="s">
        <v>2038</v>
      </c>
      <c r="D4307" s="9">
        <v>2.0</v>
      </c>
      <c r="E4307" s="67">
        <f t="shared" si="11"/>
        <v>500</v>
      </c>
      <c r="F4307" s="67" t="str">
        <f t="shared" si="12"/>
        <v>2 LeadGen Set Appointments</v>
      </c>
    </row>
    <row r="4308" hidden="1">
      <c r="A4308" s="6" t="s">
        <v>57</v>
      </c>
      <c r="B4308" s="8" t="s">
        <v>1408</v>
      </c>
      <c r="C4308" s="8" t="s">
        <v>675</v>
      </c>
      <c r="D4308" s="9">
        <v>2.0</v>
      </c>
      <c r="E4308" s="67">
        <f t="shared" si="11"/>
        <v>500</v>
      </c>
      <c r="F4308" s="67" t="str">
        <f t="shared" si="12"/>
        <v>2 LeadGen Set Appointments</v>
      </c>
    </row>
    <row r="4309" hidden="1">
      <c r="A4309" s="6" t="s">
        <v>57</v>
      </c>
      <c r="B4309" s="8" t="s">
        <v>1334</v>
      </c>
      <c r="C4309" s="8" t="s">
        <v>553</v>
      </c>
      <c r="D4309" s="9">
        <v>2.0</v>
      </c>
      <c r="E4309" s="67">
        <f t="shared" si="11"/>
        <v>500</v>
      </c>
      <c r="F4309" s="67" t="str">
        <f t="shared" si="12"/>
        <v>2 LeadGen Set Appointments</v>
      </c>
    </row>
    <row r="4310" hidden="1">
      <c r="A4310" s="6" t="s">
        <v>57</v>
      </c>
      <c r="B4310" s="8" t="s">
        <v>2093</v>
      </c>
      <c r="C4310" s="8" t="s">
        <v>2094</v>
      </c>
      <c r="D4310" s="9">
        <v>2.0</v>
      </c>
      <c r="E4310" s="67">
        <f t="shared" si="11"/>
        <v>500</v>
      </c>
      <c r="F4310" s="67" t="str">
        <f t="shared" si="12"/>
        <v>2 LeadGen Set Appointments</v>
      </c>
    </row>
    <row r="4311" hidden="1">
      <c r="A4311" s="6" t="s">
        <v>57</v>
      </c>
      <c r="B4311" s="8" t="s">
        <v>2095</v>
      </c>
      <c r="C4311" s="8" t="s">
        <v>2096</v>
      </c>
      <c r="D4311" s="9">
        <v>2.0</v>
      </c>
      <c r="E4311" s="67">
        <f t="shared" si="11"/>
        <v>500</v>
      </c>
      <c r="F4311" s="67" t="str">
        <f t="shared" si="12"/>
        <v>2 LeadGen Set Appointments</v>
      </c>
    </row>
    <row r="4312" hidden="1">
      <c r="A4312" s="6" t="s">
        <v>57</v>
      </c>
      <c r="B4312" s="8" t="s">
        <v>2097</v>
      </c>
      <c r="C4312" s="8" t="s">
        <v>828</v>
      </c>
      <c r="D4312" s="9">
        <v>2.0</v>
      </c>
      <c r="E4312" s="67">
        <f t="shared" si="11"/>
        <v>500</v>
      </c>
      <c r="F4312" s="67" t="str">
        <f t="shared" si="12"/>
        <v>2 LeadGen Set Appointments</v>
      </c>
    </row>
    <row r="4313" hidden="1">
      <c r="A4313" s="6" t="s">
        <v>57</v>
      </c>
      <c r="B4313" s="8" t="s">
        <v>2098</v>
      </c>
      <c r="C4313" s="8" t="s">
        <v>2099</v>
      </c>
      <c r="D4313" s="9">
        <v>2.0</v>
      </c>
      <c r="E4313" s="67">
        <f t="shared" si="11"/>
        <v>500</v>
      </c>
      <c r="F4313" s="67" t="str">
        <f t="shared" si="12"/>
        <v>2 LeadGen Set Appointments</v>
      </c>
    </row>
    <row r="4314" hidden="1">
      <c r="A4314" s="6" t="s">
        <v>57</v>
      </c>
      <c r="B4314" s="8" t="s">
        <v>1512</v>
      </c>
      <c r="C4314" s="8" t="s">
        <v>1513</v>
      </c>
      <c r="D4314" s="9">
        <v>2.0</v>
      </c>
      <c r="E4314" s="67">
        <f t="shared" si="11"/>
        <v>500</v>
      </c>
      <c r="F4314" s="67" t="str">
        <f t="shared" si="12"/>
        <v>2 LeadGen Set Appointments</v>
      </c>
    </row>
    <row r="4315" hidden="1">
      <c r="A4315" s="6" t="s">
        <v>57</v>
      </c>
      <c r="B4315" s="8" t="s">
        <v>2014</v>
      </c>
      <c r="C4315" s="8" t="s">
        <v>2015</v>
      </c>
      <c r="D4315" s="9">
        <v>2.0</v>
      </c>
      <c r="E4315" s="67">
        <f t="shared" si="11"/>
        <v>500</v>
      </c>
      <c r="F4315" s="67" t="str">
        <f t="shared" si="12"/>
        <v>2 LeadGen Set Appointments</v>
      </c>
    </row>
    <row r="4316" hidden="1">
      <c r="A4316" s="6" t="s">
        <v>57</v>
      </c>
      <c r="B4316" s="8" t="s">
        <v>1719</v>
      </c>
      <c r="C4316" s="8" t="s">
        <v>1720</v>
      </c>
      <c r="D4316" s="9">
        <v>2.0</v>
      </c>
      <c r="E4316" s="67">
        <f t="shared" si="11"/>
        <v>500</v>
      </c>
      <c r="F4316" s="67" t="str">
        <f t="shared" si="12"/>
        <v>2 LeadGen Set Appointments</v>
      </c>
    </row>
    <row r="4317" hidden="1">
      <c r="A4317" s="6" t="s">
        <v>57</v>
      </c>
      <c r="B4317" s="8" t="s">
        <v>1514</v>
      </c>
      <c r="C4317" s="8" t="s">
        <v>1515</v>
      </c>
      <c r="D4317" s="9">
        <v>2.0</v>
      </c>
      <c r="E4317" s="67">
        <f t="shared" si="11"/>
        <v>500</v>
      </c>
      <c r="F4317" s="67" t="str">
        <f t="shared" si="12"/>
        <v>2 LeadGen Set Appointments</v>
      </c>
    </row>
    <row r="4318" hidden="1">
      <c r="A4318" s="6" t="s">
        <v>57</v>
      </c>
      <c r="B4318" s="8" t="s">
        <v>502</v>
      </c>
      <c r="C4318" s="8" t="s">
        <v>503</v>
      </c>
      <c r="D4318" s="9">
        <v>2.0</v>
      </c>
      <c r="E4318" s="67">
        <f t="shared" si="11"/>
        <v>500</v>
      </c>
      <c r="F4318" s="67" t="str">
        <f t="shared" si="12"/>
        <v>2 LeadGen Set Appointments</v>
      </c>
    </row>
    <row r="4319" hidden="1">
      <c r="A4319" s="6" t="s">
        <v>57</v>
      </c>
      <c r="B4319" s="8" t="s">
        <v>2100</v>
      </c>
      <c r="C4319" s="8" t="s">
        <v>2101</v>
      </c>
      <c r="D4319" s="9">
        <v>2.0</v>
      </c>
      <c r="E4319" s="67">
        <f t="shared" si="11"/>
        <v>500</v>
      </c>
      <c r="F4319" s="67" t="str">
        <f t="shared" si="12"/>
        <v>2 LeadGen Set Appointments</v>
      </c>
    </row>
    <row r="4320" hidden="1">
      <c r="A4320" s="6" t="s">
        <v>57</v>
      </c>
      <c r="B4320" s="8" t="s">
        <v>572</v>
      </c>
      <c r="C4320" s="8" t="s">
        <v>573</v>
      </c>
      <c r="D4320" s="9">
        <v>2.0</v>
      </c>
      <c r="E4320" s="67">
        <f t="shared" si="11"/>
        <v>500</v>
      </c>
      <c r="F4320" s="67" t="str">
        <f t="shared" si="12"/>
        <v>2 LeadGen Set Appointments</v>
      </c>
    </row>
    <row r="4321" hidden="1">
      <c r="A4321" s="6" t="s">
        <v>57</v>
      </c>
      <c r="B4321" s="8" t="s">
        <v>626</v>
      </c>
      <c r="C4321" s="8" t="s">
        <v>627</v>
      </c>
      <c r="D4321" s="9">
        <v>2.0</v>
      </c>
      <c r="E4321" s="67">
        <f t="shared" si="11"/>
        <v>500</v>
      </c>
      <c r="F4321" s="67" t="str">
        <f t="shared" si="12"/>
        <v>2 LeadGen Set Appointments</v>
      </c>
    </row>
    <row r="4322" hidden="1">
      <c r="A4322" s="6" t="s">
        <v>57</v>
      </c>
      <c r="B4322" s="8" t="s">
        <v>2102</v>
      </c>
      <c r="C4322" s="8" t="s">
        <v>2103</v>
      </c>
      <c r="D4322" s="9">
        <v>2.0</v>
      </c>
      <c r="E4322" s="67">
        <f t="shared" si="11"/>
        <v>500</v>
      </c>
      <c r="F4322" s="67" t="str">
        <f t="shared" si="12"/>
        <v>2 LeadGen Set Appointments</v>
      </c>
    </row>
    <row r="4323" hidden="1">
      <c r="A4323" s="6" t="s">
        <v>57</v>
      </c>
      <c r="B4323" s="8" t="s">
        <v>2104</v>
      </c>
      <c r="C4323" s="8" t="s">
        <v>2105</v>
      </c>
      <c r="D4323" s="9">
        <v>2.0</v>
      </c>
      <c r="E4323" s="67">
        <f t="shared" si="11"/>
        <v>500</v>
      </c>
      <c r="F4323" s="67" t="str">
        <f t="shared" si="12"/>
        <v>2 LeadGen Set Appointments</v>
      </c>
    </row>
    <row r="4324" hidden="1">
      <c r="A4324" s="6" t="s">
        <v>57</v>
      </c>
      <c r="B4324" s="8" t="s">
        <v>2069</v>
      </c>
      <c r="C4324" s="8" t="s">
        <v>2070</v>
      </c>
      <c r="D4324" s="9">
        <v>2.0</v>
      </c>
      <c r="E4324" s="67">
        <f t="shared" si="11"/>
        <v>500</v>
      </c>
      <c r="F4324" s="67" t="str">
        <f t="shared" si="12"/>
        <v>2 LeadGen Set Appointments</v>
      </c>
    </row>
    <row r="4325" hidden="1">
      <c r="A4325" s="6" t="s">
        <v>57</v>
      </c>
      <c r="B4325" s="8" t="s">
        <v>2042</v>
      </c>
      <c r="C4325" s="8" t="s">
        <v>2043</v>
      </c>
      <c r="D4325" s="9">
        <v>2.0</v>
      </c>
      <c r="E4325" s="67">
        <f t="shared" si="11"/>
        <v>500</v>
      </c>
      <c r="F4325" s="67" t="str">
        <f t="shared" si="12"/>
        <v>2 LeadGen Set Appointments</v>
      </c>
    </row>
    <row r="4326" hidden="1">
      <c r="A4326" s="6" t="s">
        <v>57</v>
      </c>
      <c r="B4326" s="8" t="s">
        <v>2044</v>
      </c>
      <c r="C4326" s="8" t="s">
        <v>2045</v>
      </c>
      <c r="D4326" s="9">
        <v>2.0</v>
      </c>
      <c r="E4326" s="67">
        <f t="shared" si="11"/>
        <v>500</v>
      </c>
      <c r="F4326" s="67" t="str">
        <f t="shared" si="12"/>
        <v>2 LeadGen Set Appointments</v>
      </c>
    </row>
    <row r="4327" hidden="1">
      <c r="A4327" s="6" t="s">
        <v>57</v>
      </c>
      <c r="B4327" s="8" t="s">
        <v>2106</v>
      </c>
      <c r="C4327" s="8" t="s">
        <v>2107</v>
      </c>
      <c r="D4327" s="9">
        <v>2.0</v>
      </c>
      <c r="E4327" s="67">
        <f t="shared" si="11"/>
        <v>500</v>
      </c>
      <c r="F4327" s="67" t="str">
        <f t="shared" si="12"/>
        <v>2 LeadGen Set Appointments</v>
      </c>
    </row>
    <row r="4328" hidden="1">
      <c r="A4328" s="6" t="s">
        <v>57</v>
      </c>
      <c r="B4328" s="8" t="s">
        <v>2108</v>
      </c>
      <c r="C4328" s="8" t="s">
        <v>2109</v>
      </c>
      <c r="D4328" s="9">
        <v>2.0</v>
      </c>
      <c r="E4328" s="67">
        <f t="shared" si="11"/>
        <v>500</v>
      </c>
      <c r="F4328" s="67" t="str">
        <f t="shared" si="12"/>
        <v>2 LeadGen Set Appointments</v>
      </c>
    </row>
    <row r="4329" hidden="1">
      <c r="A4329" s="6" t="s">
        <v>57</v>
      </c>
      <c r="B4329" s="8" t="s">
        <v>302</v>
      </c>
      <c r="C4329" s="8" t="s">
        <v>2110</v>
      </c>
      <c r="D4329" s="9">
        <v>2.0</v>
      </c>
      <c r="E4329" s="67">
        <f t="shared" si="11"/>
        <v>500</v>
      </c>
      <c r="F4329" s="67" t="str">
        <f t="shared" si="12"/>
        <v>2 LeadGen Set Appointments</v>
      </c>
    </row>
    <row r="4330" hidden="1">
      <c r="A4330" s="6" t="s">
        <v>57</v>
      </c>
      <c r="B4330" s="8" t="s">
        <v>2111</v>
      </c>
      <c r="C4330" s="8" t="s">
        <v>2112</v>
      </c>
      <c r="D4330" s="9">
        <v>2.0</v>
      </c>
      <c r="E4330" s="67">
        <f t="shared" si="11"/>
        <v>500</v>
      </c>
      <c r="F4330" s="67" t="str">
        <f t="shared" si="12"/>
        <v>2 LeadGen Set Appointments</v>
      </c>
    </row>
    <row r="4331" hidden="1">
      <c r="A4331" s="6" t="s">
        <v>57</v>
      </c>
      <c r="B4331" s="8" t="s">
        <v>2046</v>
      </c>
      <c r="C4331" s="8" t="s">
        <v>2047</v>
      </c>
      <c r="D4331" s="9">
        <v>2.0</v>
      </c>
      <c r="E4331" s="67">
        <f t="shared" si="11"/>
        <v>500</v>
      </c>
      <c r="F4331" s="67" t="str">
        <f t="shared" si="12"/>
        <v>2 LeadGen Set Appointments</v>
      </c>
    </row>
    <row r="4332" hidden="1">
      <c r="A4332" s="6" t="s">
        <v>57</v>
      </c>
      <c r="B4332" s="8" t="s">
        <v>1682</v>
      </c>
      <c r="C4332" s="8" t="s">
        <v>1683</v>
      </c>
      <c r="D4332" s="9">
        <v>2.0</v>
      </c>
      <c r="E4332" s="67">
        <f t="shared" si="11"/>
        <v>500</v>
      </c>
      <c r="F4332" s="67" t="str">
        <f t="shared" si="12"/>
        <v>2 LeadGen Set Appointments</v>
      </c>
    </row>
    <row r="4333" hidden="1">
      <c r="A4333" s="6" t="s">
        <v>57</v>
      </c>
      <c r="B4333" s="8" t="s">
        <v>2113</v>
      </c>
      <c r="C4333" s="8" t="s">
        <v>2114</v>
      </c>
      <c r="D4333" s="9">
        <v>2.0</v>
      </c>
      <c r="E4333" s="67">
        <f t="shared" si="11"/>
        <v>500</v>
      </c>
      <c r="F4333" s="67" t="str">
        <f t="shared" si="12"/>
        <v>2 LeadGen Set Appointments</v>
      </c>
    </row>
    <row r="4334" hidden="1">
      <c r="A4334" s="6" t="s">
        <v>57</v>
      </c>
      <c r="B4334" s="8" t="s">
        <v>1033</v>
      </c>
      <c r="C4334" s="8" t="s">
        <v>1034</v>
      </c>
      <c r="D4334" s="9">
        <v>1.0</v>
      </c>
      <c r="E4334" s="67">
        <f t="shared" si="11"/>
        <v>250</v>
      </c>
      <c r="F4334" s="67" t="str">
        <f t="shared" si="12"/>
        <v>1 LeadGen Set Appointments</v>
      </c>
    </row>
    <row r="4335" hidden="1">
      <c r="A4335" s="6" t="s">
        <v>57</v>
      </c>
      <c r="B4335" s="8" t="s">
        <v>2115</v>
      </c>
      <c r="C4335" s="8" t="s">
        <v>2116</v>
      </c>
      <c r="D4335" s="9">
        <v>1.0</v>
      </c>
      <c r="E4335" s="67">
        <f t="shared" si="11"/>
        <v>250</v>
      </c>
      <c r="F4335" s="67" t="str">
        <f t="shared" si="12"/>
        <v>1 LeadGen Set Appointments</v>
      </c>
    </row>
    <row r="4336" hidden="1">
      <c r="A4336" s="6" t="s">
        <v>57</v>
      </c>
      <c r="B4336" s="8" t="s">
        <v>2117</v>
      </c>
      <c r="C4336" s="8" t="s">
        <v>2118</v>
      </c>
      <c r="D4336" s="9">
        <v>1.0</v>
      </c>
      <c r="E4336" s="67">
        <f t="shared" si="11"/>
        <v>250</v>
      </c>
      <c r="F4336" s="67" t="str">
        <f t="shared" si="12"/>
        <v>1 LeadGen Set Appointments</v>
      </c>
    </row>
    <row r="4337" hidden="1">
      <c r="A4337" s="6" t="s">
        <v>57</v>
      </c>
      <c r="B4337" s="8" t="s">
        <v>2119</v>
      </c>
      <c r="C4337" s="8" t="s">
        <v>2120</v>
      </c>
      <c r="D4337" s="9">
        <v>1.0</v>
      </c>
      <c r="E4337" s="67">
        <f t="shared" si="11"/>
        <v>250</v>
      </c>
      <c r="F4337" s="67" t="str">
        <f t="shared" si="12"/>
        <v>1 LeadGen Set Appointments</v>
      </c>
    </row>
    <row r="4338" hidden="1">
      <c r="A4338" s="6" t="s">
        <v>57</v>
      </c>
      <c r="B4338" s="8" t="s">
        <v>2121</v>
      </c>
      <c r="C4338" s="8" t="s">
        <v>2122</v>
      </c>
      <c r="D4338" s="9">
        <v>1.0</v>
      </c>
      <c r="E4338" s="67">
        <f t="shared" si="11"/>
        <v>250</v>
      </c>
      <c r="F4338" s="67" t="str">
        <f t="shared" si="12"/>
        <v>1 LeadGen Set Appointments</v>
      </c>
    </row>
    <row r="4339" hidden="1">
      <c r="A4339" s="6" t="s">
        <v>57</v>
      </c>
      <c r="B4339" s="8" t="s">
        <v>2123</v>
      </c>
      <c r="C4339" s="8" t="s">
        <v>2124</v>
      </c>
      <c r="D4339" s="9">
        <v>1.0</v>
      </c>
      <c r="E4339" s="67">
        <f t="shared" si="11"/>
        <v>250</v>
      </c>
      <c r="F4339" s="67" t="str">
        <f t="shared" si="12"/>
        <v>1 LeadGen Set Appointments</v>
      </c>
    </row>
    <row r="4340" hidden="1">
      <c r="A4340" s="6" t="s">
        <v>57</v>
      </c>
      <c r="B4340" s="8" t="s">
        <v>2125</v>
      </c>
      <c r="C4340" s="8" t="s">
        <v>2126</v>
      </c>
      <c r="D4340" s="9">
        <v>1.0</v>
      </c>
      <c r="E4340" s="67">
        <f t="shared" si="11"/>
        <v>250</v>
      </c>
      <c r="F4340" s="67" t="str">
        <f t="shared" si="12"/>
        <v>1 LeadGen Set Appointments</v>
      </c>
    </row>
    <row r="4341" hidden="1">
      <c r="A4341" s="6" t="s">
        <v>57</v>
      </c>
      <c r="B4341" s="8" t="s">
        <v>2127</v>
      </c>
      <c r="C4341" s="8" t="s">
        <v>2128</v>
      </c>
      <c r="D4341" s="9">
        <v>1.0</v>
      </c>
      <c r="E4341" s="67">
        <f t="shared" si="11"/>
        <v>250</v>
      </c>
      <c r="F4341" s="67" t="str">
        <f t="shared" si="12"/>
        <v>1 LeadGen Set Appointments</v>
      </c>
    </row>
    <row r="4342" hidden="1">
      <c r="A4342" s="6" t="s">
        <v>57</v>
      </c>
      <c r="B4342" s="8" t="s">
        <v>1931</v>
      </c>
      <c r="C4342" s="8" t="s">
        <v>1932</v>
      </c>
      <c r="D4342" s="9">
        <v>1.0</v>
      </c>
      <c r="E4342" s="67">
        <f t="shared" si="11"/>
        <v>250</v>
      </c>
      <c r="F4342" s="67" t="str">
        <f t="shared" si="12"/>
        <v>1 LeadGen Set Appointments</v>
      </c>
    </row>
    <row r="4343" hidden="1">
      <c r="A4343" s="6" t="s">
        <v>57</v>
      </c>
      <c r="B4343" s="8" t="s">
        <v>2129</v>
      </c>
      <c r="C4343" s="8" t="s">
        <v>2130</v>
      </c>
      <c r="D4343" s="9">
        <v>1.0</v>
      </c>
      <c r="E4343" s="67">
        <f t="shared" si="11"/>
        <v>250</v>
      </c>
      <c r="F4343" s="67" t="str">
        <f t="shared" si="12"/>
        <v>1 LeadGen Set Appointments</v>
      </c>
    </row>
    <row r="4344" hidden="1">
      <c r="A4344" s="6" t="s">
        <v>57</v>
      </c>
      <c r="B4344" s="8" t="s">
        <v>1708</v>
      </c>
      <c r="C4344" s="8" t="s">
        <v>1709</v>
      </c>
      <c r="D4344" s="9">
        <v>1.0</v>
      </c>
      <c r="E4344" s="67">
        <f t="shared" si="11"/>
        <v>250</v>
      </c>
      <c r="F4344" s="67" t="str">
        <f t="shared" si="12"/>
        <v>1 LeadGen Set Appointments</v>
      </c>
    </row>
    <row r="4345" hidden="1">
      <c r="A4345" s="6" t="s">
        <v>57</v>
      </c>
      <c r="B4345" s="8" t="s">
        <v>2131</v>
      </c>
      <c r="C4345" s="8" t="s">
        <v>2132</v>
      </c>
      <c r="D4345" s="9">
        <v>1.0</v>
      </c>
      <c r="E4345" s="67">
        <f t="shared" si="11"/>
        <v>250</v>
      </c>
      <c r="F4345" s="67" t="str">
        <f t="shared" si="12"/>
        <v>1 LeadGen Set Appointments</v>
      </c>
    </row>
    <row r="4346" hidden="1">
      <c r="A4346" s="6" t="s">
        <v>57</v>
      </c>
      <c r="B4346" s="8" t="s">
        <v>2133</v>
      </c>
      <c r="C4346" s="8" t="s">
        <v>2134</v>
      </c>
      <c r="D4346" s="9">
        <v>1.0</v>
      </c>
      <c r="E4346" s="67">
        <f t="shared" si="11"/>
        <v>250</v>
      </c>
      <c r="F4346" s="67" t="str">
        <f t="shared" si="12"/>
        <v>1 LeadGen Set Appointments</v>
      </c>
    </row>
    <row r="4347" hidden="1">
      <c r="A4347" s="6" t="s">
        <v>57</v>
      </c>
      <c r="B4347" s="8" t="s">
        <v>1736</v>
      </c>
      <c r="C4347" s="8" t="s">
        <v>1737</v>
      </c>
      <c r="D4347" s="9">
        <v>1.0</v>
      </c>
      <c r="E4347" s="67">
        <f t="shared" si="11"/>
        <v>250</v>
      </c>
      <c r="F4347" s="67" t="str">
        <f t="shared" si="12"/>
        <v>1 LeadGen Set Appointments</v>
      </c>
    </row>
    <row r="4348" hidden="1">
      <c r="A4348" s="6" t="s">
        <v>57</v>
      </c>
      <c r="B4348" s="8" t="s">
        <v>1935</v>
      </c>
      <c r="C4348" s="8" t="s">
        <v>1936</v>
      </c>
      <c r="D4348" s="9">
        <v>1.0</v>
      </c>
      <c r="E4348" s="67">
        <f t="shared" si="11"/>
        <v>250</v>
      </c>
      <c r="F4348" s="67" t="str">
        <f t="shared" si="12"/>
        <v>1 LeadGen Set Appointments</v>
      </c>
    </row>
    <row r="4349" hidden="1">
      <c r="A4349" s="6" t="s">
        <v>57</v>
      </c>
      <c r="B4349" s="8" t="s">
        <v>2135</v>
      </c>
      <c r="C4349" s="8" t="s">
        <v>2136</v>
      </c>
      <c r="D4349" s="9">
        <v>1.0</v>
      </c>
      <c r="E4349" s="67">
        <f t="shared" si="11"/>
        <v>250</v>
      </c>
      <c r="F4349" s="67" t="str">
        <f t="shared" si="12"/>
        <v>1 LeadGen Set Appointments</v>
      </c>
    </row>
    <row r="4350" hidden="1">
      <c r="A4350" s="6" t="s">
        <v>57</v>
      </c>
      <c r="B4350" s="8" t="s">
        <v>2137</v>
      </c>
      <c r="C4350" s="8" t="s">
        <v>2138</v>
      </c>
      <c r="D4350" s="9">
        <v>1.0</v>
      </c>
      <c r="E4350" s="67">
        <f t="shared" si="11"/>
        <v>250</v>
      </c>
      <c r="F4350" s="67" t="str">
        <f t="shared" si="12"/>
        <v>1 LeadGen Set Appointments</v>
      </c>
    </row>
    <row r="4351" hidden="1">
      <c r="A4351" s="6" t="s">
        <v>57</v>
      </c>
      <c r="B4351" s="8" t="s">
        <v>1939</v>
      </c>
      <c r="C4351" s="8" t="s">
        <v>1940</v>
      </c>
      <c r="D4351" s="9">
        <v>1.0</v>
      </c>
      <c r="E4351" s="67">
        <f t="shared" si="11"/>
        <v>250</v>
      </c>
      <c r="F4351" s="67" t="str">
        <f t="shared" si="12"/>
        <v>1 LeadGen Set Appointments</v>
      </c>
    </row>
    <row r="4352" hidden="1">
      <c r="A4352" s="6" t="s">
        <v>57</v>
      </c>
      <c r="B4352" s="8" t="s">
        <v>1351</v>
      </c>
      <c r="C4352" s="8" t="s">
        <v>1352</v>
      </c>
      <c r="D4352" s="9">
        <v>1.0</v>
      </c>
      <c r="E4352" s="67">
        <f t="shared" si="11"/>
        <v>250</v>
      </c>
      <c r="F4352" s="67" t="str">
        <f t="shared" si="12"/>
        <v>1 LeadGen Set Appointments</v>
      </c>
    </row>
    <row r="4353" hidden="1">
      <c r="A4353" s="6" t="s">
        <v>57</v>
      </c>
      <c r="B4353" s="8" t="s">
        <v>2139</v>
      </c>
      <c r="C4353" s="8" t="s">
        <v>2140</v>
      </c>
      <c r="D4353" s="9">
        <v>1.0</v>
      </c>
      <c r="E4353" s="67">
        <f t="shared" si="11"/>
        <v>250</v>
      </c>
      <c r="F4353" s="67" t="str">
        <f t="shared" si="12"/>
        <v>1 LeadGen Set Appointments</v>
      </c>
    </row>
    <row r="4354" hidden="1">
      <c r="A4354" s="6" t="s">
        <v>57</v>
      </c>
      <c r="B4354" s="8" t="s">
        <v>2141</v>
      </c>
      <c r="C4354" s="8" t="s">
        <v>2142</v>
      </c>
      <c r="D4354" s="9">
        <v>3.0</v>
      </c>
      <c r="E4354" s="67">
        <f t="shared" si="11"/>
        <v>750</v>
      </c>
      <c r="F4354" s="67" t="str">
        <f t="shared" si="12"/>
        <v>3 LeadGen Set Appointments</v>
      </c>
    </row>
    <row r="4355" hidden="1">
      <c r="A4355" s="6" t="s">
        <v>57</v>
      </c>
      <c r="B4355" s="8" t="s">
        <v>1025</v>
      </c>
      <c r="C4355" s="8" t="s">
        <v>1026</v>
      </c>
      <c r="D4355" s="9">
        <v>6.0</v>
      </c>
      <c r="E4355" s="67">
        <f t="shared" si="11"/>
        <v>1500</v>
      </c>
      <c r="F4355" s="67" t="str">
        <f t="shared" si="12"/>
        <v>6 LeadGen Set Appointments</v>
      </c>
    </row>
    <row r="4356" hidden="1">
      <c r="A4356" s="6" t="s">
        <v>57</v>
      </c>
      <c r="B4356" s="8" t="s">
        <v>2143</v>
      </c>
      <c r="C4356" s="8" t="s">
        <v>2144</v>
      </c>
      <c r="D4356" s="9">
        <v>1.0</v>
      </c>
      <c r="E4356" s="67">
        <f t="shared" si="11"/>
        <v>250</v>
      </c>
      <c r="F4356" s="67" t="str">
        <f t="shared" si="12"/>
        <v>1 LeadGen Set Appointments</v>
      </c>
    </row>
    <row r="4357" hidden="1">
      <c r="A4357" s="6" t="s">
        <v>57</v>
      </c>
      <c r="B4357" s="8" t="s">
        <v>1039</v>
      </c>
      <c r="C4357" s="8" t="s">
        <v>1040</v>
      </c>
      <c r="D4357" s="9">
        <v>4.0</v>
      </c>
      <c r="E4357" s="67">
        <f t="shared" si="11"/>
        <v>1000</v>
      </c>
      <c r="F4357" s="67" t="str">
        <f t="shared" si="12"/>
        <v>4 LeadGen Set Appointments</v>
      </c>
    </row>
    <row r="4358" hidden="1">
      <c r="A4358" s="6" t="s">
        <v>59</v>
      </c>
      <c r="B4358" s="13" t="s">
        <v>476</v>
      </c>
      <c r="C4358" s="13" t="s">
        <v>477</v>
      </c>
      <c r="D4358" s="15">
        <v>31.0</v>
      </c>
      <c r="E4358" s="67">
        <f t="shared" si="11"/>
        <v>15500</v>
      </c>
      <c r="F4358" s="62" t="str">
        <f t="shared" si="12"/>
        <v>31 LeadGen Set Appointments</v>
      </c>
    </row>
    <row r="4359" hidden="1">
      <c r="A4359" s="6" t="s">
        <v>59</v>
      </c>
      <c r="B4359" s="13" t="s">
        <v>540</v>
      </c>
      <c r="C4359" s="13" t="s">
        <v>1454</v>
      </c>
      <c r="D4359" s="15">
        <v>22.0</v>
      </c>
      <c r="E4359" s="67">
        <f t="shared" si="11"/>
        <v>11000</v>
      </c>
      <c r="F4359" s="62" t="str">
        <f t="shared" si="12"/>
        <v>22 LeadGen Set Appointments</v>
      </c>
    </row>
    <row r="4360" hidden="1">
      <c r="A4360" s="6" t="s">
        <v>59</v>
      </c>
      <c r="B4360" s="13" t="s">
        <v>644</v>
      </c>
      <c r="C4360" s="13" t="s">
        <v>645</v>
      </c>
      <c r="D4360" s="15">
        <v>20.0</v>
      </c>
      <c r="E4360" s="67">
        <f t="shared" si="11"/>
        <v>10000</v>
      </c>
      <c r="F4360" s="62" t="str">
        <f t="shared" si="12"/>
        <v>20 LeadGen Set Appointments</v>
      </c>
    </row>
    <row r="4361" hidden="1">
      <c r="A4361" s="6" t="s">
        <v>59</v>
      </c>
      <c r="B4361" s="13" t="s">
        <v>1481</v>
      </c>
      <c r="C4361" s="13" t="s">
        <v>1482</v>
      </c>
      <c r="D4361" s="15">
        <v>17.0</v>
      </c>
      <c r="E4361" s="67">
        <f t="shared" si="11"/>
        <v>8500</v>
      </c>
      <c r="F4361" s="62" t="str">
        <f t="shared" si="12"/>
        <v>17 LeadGen Set Appointments</v>
      </c>
    </row>
    <row r="4362" hidden="1">
      <c r="A4362" s="6" t="s">
        <v>59</v>
      </c>
      <c r="B4362" s="13" t="s">
        <v>1025</v>
      </c>
      <c r="C4362" s="13" t="s">
        <v>1026</v>
      </c>
      <c r="D4362" s="15">
        <v>17.0</v>
      </c>
      <c r="E4362" s="67">
        <f t="shared" si="11"/>
        <v>8500</v>
      </c>
      <c r="F4362" s="62" t="str">
        <f t="shared" si="12"/>
        <v>17 LeadGen Set Appointments</v>
      </c>
    </row>
    <row r="4363" hidden="1">
      <c r="A4363" s="6" t="s">
        <v>59</v>
      </c>
      <c r="B4363" s="13" t="s">
        <v>1557</v>
      </c>
      <c r="C4363" s="13" t="s">
        <v>1558</v>
      </c>
      <c r="D4363" s="15">
        <v>16.0</v>
      </c>
      <c r="E4363" s="67">
        <f t="shared" si="11"/>
        <v>8000</v>
      </c>
      <c r="F4363" s="62" t="str">
        <f t="shared" si="12"/>
        <v>16 LeadGen Set Appointments</v>
      </c>
    </row>
    <row r="4364" hidden="1">
      <c r="A4364" s="6" t="s">
        <v>59</v>
      </c>
      <c r="B4364" s="13" t="s">
        <v>1865</v>
      </c>
      <c r="C4364" s="13" t="s">
        <v>1866</v>
      </c>
      <c r="D4364" s="15">
        <v>16.0</v>
      </c>
      <c r="E4364" s="67">
        <f t="shared" si="11"/>
        <v>8000</v>
      </c>
      <c r="F4364" s="62" t="str">
        <f t="shared" si="12"/>
        <v>16 LeadGen Set Appointments</v>
      </c>
    </row>
    <row r="4365" hidden="1">
      <c r="A4365" s="6" t="s">
        <v>59</v>
      </c>
      <c r="B4365" s="13" t="s">
        <v>723</v>
      </c>
      <c r="C4365" s="13" t="s">
        <v>724</v>
      </c>
      <c r="D4365" s="15">
        <v>16.0</v>
      </c>
      <c r="E4365" s="67">
        <f t="shared" si="11"/>
        <v>8000</v>
      </c>
      <c r="F4365" s="62" t="str">
        <f t="shared" si="12"/>
        <v>16 LeadGen Set Appointments</v>
      </c>
    </row>
    <row r="4366" hidden="1">
      <c r="A4366" s="6" t="s">
        <v>59</v>
      </c>
      <c r="B4366" s="13" t="s">
        <v>1724</v>
      </c>
      <c r="C4366" s="13" t="s">
        <v>1725</v>
      </c>
      <c r="D4366" s="15">
        <v>15.0</v>
      </c>
      <c r="E4366" s="67">
        <f t="shared" si="11"/>
        <v>7500</v>
      </c>
      <c r="F4366" s="62" t="str">
        <f t="shared" si="12"/>
        <v>15 LeadGen Set Appointments</v>
      </c>
    </row>
    <row r="4367" hidden="1">
      <c r="A4367" s="6" t="s">
        <v>59</v>
      </c>
      <c r="B4367" s="13" t="s">
        <v>516</v>
      </c>
      <c r="C4367" s="13" t="s">
        <v>517</v>
      </c>
      <c r="D4367" s="15">
        <v>15.0</v>
      </c>
      <c r="E4367" s="67">
        <f t="shared" si="11"/>
        <v>7500</v>
      </c>
      <c r="F4367" s="62" t="str">
        <f t="shared" si="12"/>
        <v>15 LeadGen Set Appointments</v>
      </c>
    </row>
    <row r="4368" hidden="1">
      <c r="A4368" s="6" t="s">
        <v>59</v>
      </c>
      <c r="B4368" s="13" t="s">
        <v>510</v>
      </c>
      <c r="C4368" s="13" t="s">
        <v>511</v>
      </c>
      <c r="D4368" s="15">
        <v>15.0</v>
      </c>
      <c r="E4368" s="67">
        <f t="shared" si="11"/>
        <v>7500</v>
      </c>
      <c r="F4368" s="62" t="str">
        <f t="shared" si="12"/>
        <v>15 LeadGen Set Appointments</v>
      </c>
    </row>
    <row r="4369" hidden="1">
      <c r="A4369" s="6" t="s">
        <v>59</v>
      </c>
      <c r="B4369" s="13" t="s">
        <v>411</v>
      </c>
      <c r="C4369" s="13" t="s">
        <v>412</v>
      </c>
      <c r="D4369" s="15">
        <v>14.0</v>
      </c>
      <c r="E4369" s="67">
        <f t="shared" si="11"/>
        <v>7000</v>
      </c>
      <c r="F4369" s="62" t="str">
        <f t="shared" si="12"/>
        <v>14 LeadGen Set Appointments</v>
      </c>
    </row>
    <row r="4370" hidden="1">
      <c r="A4370" s="6" t="s">
        <v>59</v>
      </c>
      <c r="B4370" s="8" t="s">
        <v>1943</v>
      </c>
      <c r="C4370" s="8" t="s">
        <v>1944</v>
      </c>
      <c r="D4370" s="9">
        <v>14.0</v>
      </c>
      <c r="E4370" s="67">
        <f t="shared" si="11"/>
        <v>7000</v>
      </c>
      <c r="F4370" s="67" t="str">
        <f t="shared" si="12"/>
        <v>14 LeadGen Set Appointments</v>
      </c>
    </row>
    <row r="4371" hidden="1">
      <c r="A4371" s="6" t="s">
        <v>59</v>
      </c>
      <c r="B4371" s="8" t="s">
        <v>1927</v>
      </c>
      <c r="C4371" s="8" t="s">
        <v>1928</v>
      </c>
      <c r="D4371" s="9">
        <v>13.0</v>
      </c>
      <c r="E4371" s="67">
        <f t="shared" si="11"/>
        <v>6500</v>
      </c>
      <c r="F4371" s="67" t="str">
        <f t="shared" si="12"/>
        <v>13 LeadGen Set Appointments</v>
      </c>
    </row>
    <row r="4372" hidden="1">
      <c r="A4372" s="6" t="s">
        <v>59</v>
      </c>
      <c r="B4372" s="8" t="s">
        <v>546</v>
      </c>
      <c r="C4372" s="8" t="s">
        <v>547</v>
      </c>
      <c r="D4372" s="9">
        <v>13.0</v>
      </c>
      <c r="E4372" s="67">
        <f t="shared" si="11"/>
        <v>6500</v>
      </c>
      <c r="F4372" s="67" t="str">
        <f t="shared" si="12"/>
        <v>13 LeadGen Set Appointments</v>
      </c>
    </row>
    <row r="4373" hidden="1">
      <c r="A4373" s="6" t="s">
        <v>59</v>
      </c>
      <c r="B4373" s="8" t="s">
        <v>640</v>
      </c>
      <c r="C4373" s="8" t="s">
        <v>641</v>
      </c>
      <c r="D4373" s="9">
        <v>13.0</v>
      </c>
      <c r="E4373" s="67">
        <f t="shared" si="11"/>
        <v>6500</v>
      </c>
      <c r="F4373" s="67" t="str">
        <f t="shared" si="12"/>
        <v>13 LeadGen Set Appointments</v>
      </c>
    </row>
    <row r="4374" hidden="1">
      <c r="A4374" s="6" t="s">
        <v>59</v>
      </c>
      <c r="B4374" s="8" t="s">
        <v>1461</v>
      </c>
      <c r="C4374" s="8" t="s">
        <v>1462</v>
      </c>
      <c r="D4374" s="9">
        <v>13.0</v>
      </c>
      <c r="E4374" s="67">
        <f t="shared" si="11"/>
        <v>6500</v>
      </c>
      <c r="F4374" s="67" t="str">
        <f t="shared" si="12"/>
        <v>13 LeadGen Set Appointments</v>
      </c>
    </row>
    <row r="4375" hidden="1">
      <c r="A4375" s="6" t="s">
        <v>59</v>
      </c>
      <c r="B4375" s="8" t="s">
        <v>1471</v>
      </c>
      <c r="C4375" s="8" t="s">
        <v>1472</v>
      </c>
      <c r="D4375" s="9">
        <v>13.0</v>
      </c>
      <c r="E4375" s="67">
        <f t="shared" si="11"/>
        <v>6500</v>
      </c>
      <c r="F4375" s="67" t="str">
        <f t="shared" si="12"/>
        <v>13 LeadGen Set Appointments</v>
      </c>
    </row>
    <row r="4376" hidden="1">
      <c r="A4376" s="6" t="s">
        <v>59</v>
      </c>
      <c r="B4376" s="8" t="s">
        <v>435</v>
      </c>
      <c r="C4376" s="8" t="s">
        <v>436</v>
      </c>
      <c r="D4376" s="9">
        <v>12.0</v>
      </c>
      <c r="E4376" s="67">
        <f t="shared" si="11"/>
        <v>6000</v>
      </c>
      <c r="F4376" s="67" t="str">
        <f t="shared" si="12"/>
        <v>12 LeadGen Set Appointments</v>
      </c>
    </row>
    <row r="4377" hidden="1">
      <c r="A4377" s="6" t="s">
        <v>59</v>
      </c>
      <c r="B4377" s="8" t="s">
        <v>736</v>
      </c>
      <c r="C4377" s="8" t="s">
        <v>737</v>
      </c>
      <c r="D4377" s="9">
        <v>11.0</v>
      </c>
      <c r="E4377" s="67">
        <f t="shared" si="11"/>
        <v>5500</v>
      </c>
      <c r="F4377" s="67" t="str">
        <f t="shared" si="12"/>
        <v>11 LeadGen Set Appointments</v>
      </c>
    </row>
    <row r="4378" hidden="1">
      <c r="A4378" s="6" t="s">
        <v>59</v>
      </c>
      <c r="B4378" s="8" t="s">
        <v>1547</v>
      </c>
      <c r="C4378" s="8" t="s">
        <v>1548</v>
      </c>
      <c r="D4378" s="9">
        <v>11.0</v>
      </c>
      <c r="E4378" s="67">
        <f t="shared" si="11"/>
        <v>5500</v>
      </c>
      <c r="F4378" s="67" t="str">
        <f t="shared" si="12"/>
        <v>11 LeadGen Set Appointments</v>
      </c>
    </row>
    <row r="4379" hidden="1">
      <c r="A4379" s="6" t="s">
        <v>59</v>
      </c>
      <c r="B4379" s="8" t="s">
        <v>1510</v>
      </c>
      <c r="C4379" s="8" t="s">
        <v>1511</v>
      </c>
      <c r="D4379" s="9">
        <v>11.0</v>
      </c>
      <c r="E4379" s="67">
        <f t="shared" si="11"/>
        <v>5500</v>
      </c>
      <c r="F4379" s="67" t="str">
        <f t="shared" si="12"/>
        <v>11 LeadGen Set Appointments</v>
      </c>
    </row>
    <row r="4380" hidden="1">
      <c r="A4380" s="6" t="s">
        <v>59</v>
      </c>
      <c r="B4380" s="8" t="s">
        <v>1415</v>
      </c>
      <c r="C4380" s="8" t="s">
        <v>1416</v>
      </c>
      <c r="D4380" s="9">
        <v>11.0</v>
      </c>
      <c r="E4380" s="67">
        <f t="shared" si="11"/>
        <v>5500</v>
      </c>
      <c r="F4380" s="67" t="str">
        <f t="shared" si="12"/>
        <v>11 LeadGen Set Appointments</v>
      </c>
    </row>
    <row r="4381" hidden="1">
      <c r="A4381" s="6" t="s">
        <v>59</v>
      </c>
      <c r="B4381" s="8" t="s">
        <v>1491</v>
      </c>
      <c r="C4381" s="8" t="s">
        <v>1492</v>
      </c>
      <c r="D4381" s="9">
        <v>11.0</v>
      </c>
      <c r="E4381" s="67">
        <f t="shared" si="11"/>
        <v>5500</v>
      </c>
      <c r="F4381" s="67" t="str">
        <f t="shared" si="12"/>
        <v>11 LeadGen Set Appointments</v>
      </c>
    </row>
    <row r="4382" hidden="1">
      <c r="A4382" s="6" t="s">
        <v>59</v>
      </c>
      <c r="B4382" s="8" t="s">
        <v>1039</v>
      </c>
      <c r="C4382" s="8" t="s">
        <v>1040</v>
      </c>
      <c r="D4382" s="9">
        <v>11.0</v>
      </c>
      <c r="E4382" s="67">
        <f t="shared" si="11"/>
        <v>5500</v>
      </c>
      <c r="F4382" s="67" t="str">
        <f t="shared" si="12"/>
        <v>11 LeadGen Set Appointments</v>
      </c>
    </row>
    <row r="4383" hidden="1">
      <c r="A4383" s="6" t="s">
        <v>59</v>
      </c>
      <c r="B4383" s="8" t="s">
        <v>766</v>
      </c>
      <c r="C4383" s="8" t="s">
        <v>767</v>
      </c>
      <c r="D4383" s="9">
        <v>11.0</v>
      </c>
      <c r="E4383" s="67">
        <f t="shared" si="11"/>
        <v>5500</v>
      </c>
      <c r="F4383" s="67" t="str">
        <f t="shared" si="12"/>
        <v>11 LeadGen Set Appointments</v>
      </c>
    </row>
    <row r="4384" hidden="1">
      <c r="A4384" s="6" t="s">
        <v>59</v>
      </c>
      <c r="B4384" s="8" t="s">
        <v>2006</v>
      </c>
      <c r="C4384" s="8" t="s">
        <v>2007</v>
      </c>
      <c r="D4384" s="9">
        <v>11.0</v>
      </c>
      <c r="E4384" s="67">
        <f t="shared" si="11"/>
        <v>5500</v>
      </c>
      <c r="F4384" s="67" t="str">
        <f t="shared" si="12"/>
        <v>11 LeadGen Set Appointments</v>
      </c>
    </row>
    <row r="4385" hidden="1">
      <c r="A4385" s="6" t="s">
        <v>59</v>
      </c>
      <c r="B4385" s="8" t="s">
        <v>1455</v>
      </c>
      <c r="C4385" s="8" t="s">
        <v>1456</v>
      </c>
      <c r="D4385" s="9">
        <v>10.0</v>
      </c>
      <c r="E4385" s="67">
        <f t="shared" si="11"/>
        <v>5000</v>
      </c>
      <c r="F4385" s="67" t="str">
        <f t="shared" si="12"/>
        <v>10 LeadGen Set Appointments</v>
      </c>
    </row>
    <row r="4386" hidden="1">
      <c r="A4386" s="6" t="s">
        <v>59</v>
      </c>
      <c r="B4386" s="8" t="s">
        <v>2145</v>
      </c>
      <c r="C4386" s="8" t="s">
        <v>2146</v>
      </c>
      <c r="D4386" s="9">
        <v>10.0</v>
      </c>
      <c r="E4386" s="67">
        <f t="shared" si="11"/>
        <v>5000</v>
      </c>
      <c r="F4386" s="67" t="str">
        <f t="shared" si="12"/>
        <v>10 LeadGen Set Appointments</v>
      </c>
    </row>
    <row r="4387" hidden="1">
      <c r="A4387" s="6" t="s">
        <v>59</v>
      </c>
      <c r="B4387" s="8" t="s">
        <v>1475</v>
      </c>
      <c r="C4387" s="8" t="s">
        <v>1476</v>
      </c>
      <c r="D4387" s="9">
        <v>10.0</v>
      </c>
      <c r="E4387" s="67">
        <f t="shared" si="11"/>
        <v>5000</v>
      </c>
      <c r="F4387" s="67" t="str">
        <f t="shared" si="12"/>
        <v>10 LeadGen Set Appointments</v>
      </c>
    </row>
    <row r="4388" hidden="1">
      <c r="A4388" s="6" t="s">
        <v>59</v>
      </c>
      <c r="B4388" s="8" t="s">
        <v>1426</v>
      </c>
      <c r="C4388" s="8" t="s">
        <v>1427</v>
      </c>
      <c r="D4388" s="9">
        <v>10.0</v>
      </c>
      <c r="E4388" s="67">
        <f t="shared" si="11"/>
        <v>5000</v>
      </c>
      <c r="F4388" s="67" t="str">
        <f t="shared" si="12"/>
        <v>10 LeadGen Set Appointments</v>
      </c>
    </row>
    <row r="4389" hidden="1">
      <c r="A4389" s="6" t="s">
        <v>59</v>
      </c>
      <c r="B4389" s="8" t="s">
        <v>502</v>
      </c>
      <c r="C4389" s="8" t="s">
        <v>503</v>
      </c>
      <c r="D4389" s="9">
        <v>10.0</v>
      </c>
      <c r="E4389" s="67">
        <f t="shared" si="11"/>
        <v>5000</v>
      </c>
      <c r="F4389" s="67" t="str">
        <f t="shared" si="12"/>
        <v>10 LeadGen Set Appointments</v>
      </c>
    </row>
    <row r="4390" hidden="1">
      <c r="A4390" s="6" t="s">
        <v>59</v>
      </c>
      <c r="B4390" s="8" t="s">
        <v>486</v>
      </c>
      <c r="C4390" s="8" t="s">
        <v>487</v>
      </c>
      <c r="D4390" s="9">
        <v>10.0</v>
      </c>
      <c r="E4390" s="67">
        <f t="shared" si="11"/>
        <v>5000</v>
      </c>
      <c r="F4390" s="67" t="str">
        <f t="shared" si="12"/>
        <v>10 LeadGen Set Appointments</v>
      </c>
    </row>
    <row r="4391" hidden="1">
      <c r="A4391" s="6" t="s">
        <v>59</v>
      </c>
      <c r="B4391" s="8" t="s">
        <v>1891</v>
      </c>
      <c r="C4391" s="8" t="s">
        <v>1892</v>
      </c>
      <c r="D4391" s="9">
        <v>10.0</v>
      </c>
      <c r="E4391" s="67">
        <f t="shared" si="11"/>
        <v>5000</v>
      </c>
      <c r="F4391" s="67" t="str">
        <f t="shared" si="12"/>
        <v>10 LeadGen Set Appointments</v>
      </c>
    </row>
    <row r="4392" hidden="1">
      <c r="A4392" s="6" t="s">
        <v>59</v>
      </c>
      <c r="B4392" s="8" t="s">
        <v>2069</v>
      </c>
      <c r="C4392" s="8" t="s">
        <v>2070</v>
      </c>
      <c r="D4392" s="9">
        <v>10.0</v>
      </c>
      <c r="E4392" s="67">
        <f t="shared" si="11"/>
        <v>5000</v>
      </c>
      <c r="F4392" s="67" t="str">
        <f t="shared" si="12"/>
        <v>10 LeadGen Set Appointments</v>
      </c>
    </row>
    <row r="4393" hidden="1">
      <c r="A4393" s="6" t="s">
        <v>59</v>
      </c>
      <c r="B4393" s="8" t="s">
        <v>699</v>
      </c>
      <c r="C4393" s="8" t="s">
        <v>700</v>
      </c>
      <c r="D4393" s="9">
        <v>10.0</v>
      </c>
      <c r="E4393" s="67">
        <f t="shared" si="11"/>
        <v>5000</v>
      </c>
      <c r="F4393" s="67" t="str">
        <f t="shared" si="12"/>
        <v>10 LeadGen Set Appointments</v>
      </c>
    </row>
    <row r="4394" hidden="1">
      <c r="A4394" s="6" t="s">
        <v>59</v>
      </c>
      <c r="B4394" s="8" t="s">
        <v>2147</v>
      </c>
      <c r="C4394" s="8" t="s">
        <v>2148</v>
      </c>
      <c r="D4394" s="9">
        <v>10.0</v>
      </c>
      <c r="E4394" s="67">
        <f t="shared" si="11"/>
        <v>5000</v>
      </c>
      <c r="F4394" s="67" t="str">
        <f t="shared" si="12"/>
        <v>10 LeadGen Set Appointments</v>
      </c>
    </row>
    <row r="4395" hidden="1">
      <c r="A4395" s="6" t="s">
        <v>59</v>
      </c>
      <c r="B4395" s="8" t="s">
        <v>1606</v>
      </c>
      <c r="C4395" s="8" t="s">
        <v>1607</v>
      </c>
      <c r="D4395" s="9">
        <v>9.0</v>
      </c>
      <c r="E4395" s="67">
        <f t="shared" si="11"/>
        <v>2250</v>
      </c>
      <c r="F4395" s="67" t="str">
        <f t="shared" si="12"/>
        <v>9 LeadGen Set Appointments</v>
      </c>
    </row>
    <row r="4396" hidden="1">
      <c r="A4396" s="6" t="s">
        <v>59</v>
      </c>
      <c r="B4396" s="8" t="s">
        <v>1467</v>
      </c>
      <c r="C4396" s="8" t="s">
        <v>1468</v>
      </c>
      <c r="D4396" s="9">
        <v>9.0</v>
      </c>
      <c r="E4396" s="67">
        <f t="shared" si="11"/>
        <v>2250</v>
      </c>
      <c r="F4396" s="67" t="str">
        <f t="shared" si="12"/>
        <v>9 LeadGen Set Appointments</v>
      </c>
    </row>
    <row r="4397" hidden="1">
      <c r="A4397" s="6" t="s">
        <v>59</v>
      </c>
      <c r="B4397" s="8" t="s">
        <v>1489</v>
      </c>
      <c r="C4397" s="8" t="s">
        <v>1490</v>
      </c>
      <c r="D4397" s="9">
        <v>9.0</v>
      </c>
      <c r="E4397" s="67">
        <f t="shared" si="11"/>
        <v>2250</v>
      </c>
      <c r="F4397" s="67" t="str">
        <f t="shared" si="12"/>
        <v>9 LeadGen Set Appointments</v>
      </c>
    </row>
    <row r="4398" hidden="1">
      <c r="A4398" s="6" t="s">
        <v>59</v>
      </c>
      <c r="B4398" s="8" t="s">
        <v>1909</v>
      </c>
      <c r="C4398" s="8" t="s">
        <v>1910</v>
      </c>
      <c r="D4398" s="9">
        <v>9.0</v>
      </c>
      <c r="E4398" s="67">
        <f t="shared" si="11"/>
        <v>2250</v>
      </c>
      <c r="F4398" s="67" t="str">
        <f t="shared" si="12"/>
        <v>9 LeadGen Set Appointments</v>
      </c>
    </row>
    <row r="4399" hidden="1">
      <c r="A4399" s="6" t="s">
        <v>59</v>
      </c>
      <c r="B4399" s="8" t="s">
        <v>628</v>
      </c>
      <c r="C4399" s="8" t="s">
        <v>629</v>
      </c>
      <c r="D4399" s="9">
        <v>8.0</v>
      </c>
      <c r="E4399" s="67">
        <f t="shared" si="11"/>
        <v>2000</v>
      </c>
      <c r="F4399" s="67" t="str">
        <f t="shared" si="12"/>
        <v>8 LeadGen Set Appointments</v>
      </c>
    </row>
    <row r="4400" hidden="1">
      <c r="A4400" s="6" t="s">
        <v>59</v>
      </c>
      <c r="B4400" s="8" t="s">
        <v>1508</v>
      </c>
      <c r="C4400" s="8" t="s">
        <v>1509</v>
      </c>
      <c r="D4400" s="9">
        <v>8.0</v>
      </c>
      <c r="E4400" s="67">
        <f t="shared" si="11"/>
        <v>2000</v>
      </c>
      <c r="F4400" s="67" t="str">
        <f t="shared" si="12"/>
        <v>8 LeadGen Set Appointments</v>
      </c>
    </row>
    <row r="4401" hidden="1">
      <c r="A4401" s="6" t="s">
        <v>59</v>
      </c>
      <c r="B4401" s="8" t="s">
        <v>1859</v>
      </c>
      <c r="C4401" s="8" t="s">
        <v>1860</v>
      </c>
      <c r="D4401" s="9">
        <v>8.0</v>
      </c>
      <c r="E4401" s="67">
        <f t="shared" si="11"/>
        <v>2000</v>
      </c>
      <c r="F4401" s="67" t="str">
        <f t="shared" si="12"/>
        <v>8 LeadGen Set Appointments</v>
      </c>
    </row>
    <row r="4402" hidden="1">
      <c r="A4402" s="6" t="s">
        <v>59</v>
      </c>
      <c r="B4402" s="8" t="s">
        <v>2081</v>
      </c>
      <c r="C4402" s="8" t="s">
        <v>2082</v>
      </c>
      <c r="D4402" s="9">
        <v>8.0</v>
      </c>
      <c r="E4402" s="67">
        <f t="shared" si="11"/>
        <v>2000</v>
      </c>
      <c r="F4402" s="67" t="str">
        <f t="shared" si="12"/>
        <v>8 LeadGen Set Appointments</v>
      </c>
    </row>
    <row r="4403" hidden="1">
      <c r="A4403" s="6" t="s">
        <v>59</v>
      </c>
      <c r="B4403" s="8" t="s">
        <v>1465</v>
      </c>
      <c r="C4403" s="8" t="s">
        <v>1466</v>
      </c>
      <c r="D4403" s="9">
        <v>7.0</v>
      </c>
      <c r="E4403" s="67">
        <f t="shared" si="11"/>
        <v>1750</v>
      </c>
      <c r="F4403" s="67" t="str">
        <f t="shared" si="12"/>
        <v>7 LeadGen Set Appointments</v>
      </c>
    </row>
    <row r="4404" hidden="1">
      <c r="A4404" s="6" t="s">
        <v>59</v>
      </c>
      <c r="B4404" s="8" t="s">
        <v>500</v>
      </c>
      <c r="C4404" s="8" t="s">
        <v>501</v>
      </c>
      <c r="D4404" s="9">
        <v>7.0</v>
      </c>
      <c r="E4404" s="67">
        <f t="shared" si="11"/>
        <v>1750</v>
      </c>
      <c r="F4404" s="67" t="str">
        <f t="shared" si="12"/>
        <v>7 LeadGen Set Appointments</v>
      </c>
    </row>
    <row r="4405" hidden="1">
      <c r="A4405" s="6" t="s">
        <v>59</v>
      </c>
      <c r="B4405" s="8" t="s">
        <v>1459</v>
      </c>
      <c r="C4405" s="8" t="s">
        <v>1460</v>
      </c>
      <c r="D4405" s="9">
        <v>7.0</v>
      </c>
      <c r="E4405" s="67">
        <f t="shared" si="11"/>
        <v>1750</v>
      </c>
      <c r="F4405" s="67" t="str">
        <f t="shared" si="12"/>
        <v>7 LeadGen Set Appointments</v>
      </c>
    </row>
    <row r="4406" hidden="1">
      <c r="A4406" s="6" t="s">
        <v>59</v>
      </c>
      <c r="B4406" s="8" t="s">
        <v>1893</v>
      </c>
      <c r="C4406" s="8" t="s">
        <v>1894</v>
      </c>
      <c r="D4406" s="9">
        <v>7.0</v>
      </c>
      <c r="E4406" s="67">
        <f t="shared" si="11"/>
        <v>1750</v>
      </c>
      <c r="F4406" s="67" t="str">
        <f t="shared" si="12"/>
        <v>7 LeadGen Set Appointments</v>
      </c>
    </row>
    <row r="4407" hidden="1">
      <c r="A4407" s="6" t="s">
        <v>59</v>
      </c>
      <c r="B4407" s="8" t="s">
        <v>1543</v>
      </c>
      <c r="C4407" s="8" t="s">
        <v>1544</v>
      </c>
      <c r="D4407" s="9">
        <v>7.0</v>
      </c>
      <c r="E4407" s="67">
        <f t="shared" si="11"/>
        <v>1750</v>
      </c>
      <c r="F4407" s="67" t="str">
        <f t="shared" si="12"/>
        <v>7 LeadGen Set Appointments</v>
      </c>
    </row>
    <row r="4408" hidden="1">
      <c r="A4408" s="6" t="s">
        <v>59</v>
      </c>
      <c r="B4408" s="8" t="s">
        <v>560</v>
      </c>
      <c r="C4408" s="8" t="s">
        <v>561</v>
      </c>
      <c r="D4408" s="9">
        <v>7.0</v>
      </c>
      <c r="E4408" s="67">
        <f t="shared" si="11"/>
        <v>1750</v>
      </c>
      <c r="F4408" s="67" t="str">
        <f t="shared" si="12"/>
        <v>7 LeadGen Set Appointments</v>
      </c>
    </row>
    <row r="4409" hidden="1">
      <c r="A4409" s="6" t="s">
        <v>59</v>
      </c>
      <c r="B4409" s="8" t="s">
        <v>240</v>
      </c>
      <c r="C4409" s="8" t="s">
        <v>241</v>
      </c>
      <c r="D4409" s="9">
        <v>7.0</v>
      </c>
      <c r="E4409" s="67">
        <f t="shared" si="11"/>
        <v>1750</v>
      </c>
      <c r="F4409" s="67" t="str">
        <f t="shared" si="12"/>
        <v>7 LeadGen Set Appointments</v>
      </c>
    </row>
    <row r="4410" hidden="1">
      <c r="A4410" s="6" t="s">
        <v>59</v>
      </c>
      <c r="B4410" s="8" t="s">
        <v>1334</v>
      </c>
      <c r="C4410" s="8" t="s">
        <v>553</v>
      </c>
      <c r="D4410" s="9">
        <v>7.0</v>
      </c>
      <c r="E4410" s="67">
        <f t="shared" si="11"/>
        <v>1750</v>
      </c>
      <c r="F4410" s="67" t="str">
        <f t="shared" si="12"/>
        <v>7 LeadGen Set Appointments</v>
      </c>
    </row>
    <row r="4411" hidden="1">
      <c r="A4411" s="6" t="s">
        <v>59</v>
      </c>
      <c r="B4411" s="8" t="s">
        <v>572</v>
      </c>
      <c r="C4411" s="8" t="s">
        <v>573</v>
      </c>
      <c r="D4411" s="9">
        <v>7.0</v>
      </c>
      <c r="E4411" s="67">
        <f t="shared" si="11"/>
        <v>1750</v>
      </c>
      <c r="F4411" s="67" t="str">
        <f t="shared" si="12"/>
        <v>7 LeadGen Set Appointments</v>
      </c>
    </row>
    <row r="4412" hidden="1">
      <c r="A4412" s="6" t="s">
        <v>59</v>
      </c>
      <c r="B4412" s="8" t="s">
        <v>1664</v>
      </c>
      <c r="C4412" s="8" t="s">
        <v>1665</v>
      </c>
      <c r="D4412" s="9">
        <v>7.0</v>
      </c>
      <c r="E4412" s="67">
        <f t="shared" si="11"/>
        <v>1750</v>
      </c>
      <c r="F4412" s="67" t="str">
        <f t="shared" si="12"/>
        <v>7 LeadGen Set Appointments</v>
      </c>
    </row>
    <row r="4413" hidden="1">
      <c r="A4413" s="6" t="s">
        <v>59</v>
      </c>
      <c r="B4413" s="8" t="s">
        <v>2149</v>
      </c>
      <c r="C4413" s="8" t="s">
        <v>2150</v>
      </c>
      <c r="D4413" s="9">
        <v>7.0</v>
      </c>
      <c r="E4413" s="67">
        <f t="shared" si="11"/>
        <v>1750</v>
      </c>
      <c r="F4413" s="67" t="str">
        <f t="shared" si="12"/>
        <v>7 LeadGen Set Appointments</v>
      </c>
    </row>
    <row r="4414" hidden="1">
      <c r="A4414" s="6" t="s">
        <v>59</v>
      </c>
      <c r="B4414" s="8" t="s">
        <v>2151</v>
      </c>
      <c r="C4414" s="8" t="s">
        <v>2152</v>
      </c>
      <c r="D4414" s="9">
        <v>7.0</v>
      </c>
      <c r="E4414" s="67">
        <f t="shared" si="11"/>
        <v>1750</v>
      </c>
      <c r="F4414" s="67" t="str">
        <f t="shared" si="12"/>
        <v>7 LeadGen Set Appointments</v>
      </c>
    </row>
    <row r="4415" hidden="1">
      <c r="A4415" s="6" t="s">
        <v>59</v>
      </c>
      <c r="B4415" s="8" t="s">
        <v>701</v>
      </c>
      <c r="C4415" s="8" t="s">
        <v>702</v>
      </c>
      <c r="D4415" s="9">
        <v>7.0</v>
      </c>
      <c r="E4415" s="67">
        <f t="shared" si="11"/>
        <v>1750</v>
      </c>
      <c r="F4415" s="67" t="str">
        <f t="shared" si="12"/>
        <v>7 LeadGen Set Appointments</v>
      </c>
    </row>
    <row r="4416" hidden="1">
      <c r="A4416" s="6" t="s">
        <v>59</v>
      </c>
      <c r="B4416" s="8" t="s">
        <v>1473</v>
      </c>
      <c r="C4416" s="8" t="s">
        <v>1474</v>
      </c>
      <c r="D4416" s="9">
        <v>6.0</v>
      </c>
      <c r="E4416" s="67">
        <f t="shared" si="11"/>
        <v>1500</v>
      </c>
      <c r="F4416" s="67" t="str">
        <f t="shared" si="12"/>
        <v>6 LeadGen Set Appointments</v>
      </c>
    </row>
    <row r="4417" hidden="1">
      <c r="A4417" s="6" t="s">
        <v>59</v>
      </c>
      <c r="B4417" s="8" t="s">
        <v>1646</v>
      </c>
      <c r="C4417" s="8" t="s">
        <v>1647</v>
      </c>
      <c r="D4417" s="9">
        <v>6.0</v>
      </c>
      <c r="E4417" s="67">
        <f t="shared" si="11"/>
        <v>1500</v>
      </c>
      <c r="F4417" s="67" t="str">
        <f t="shared" si="12"/>
        <v>6 LeadGen Set Appointments</v>
      </c>
    </row>
    <row r="4418" hidden="1">
      <c r="A4418" s="6" t="s">
        <v>59</v>
      </c>
      <c r="B4418" s="8" t="s">
        <v>1871</v>
      </c>
      <c r="C4418" s="8" t="s">
        <v>1872</v>
      </c>
      <c r="D4418" s="9">
        <v>6.0</v>
      </c>
      <c r="E4418" s="67">
        <f t="shared" si="11"/>
        <v>1500</v>
      </c>
      <c r="F4418" s="67" t="str">
        <f t="shared" si="12"/>
        <v>6 LeadGen Set Appointments</v>
      </c>
    </row>
    <row r="4419" hidden="1">
      <c r="A4419" s="6" t="s">
        <v>59</v>
      </c>
      <c r="B4419" s="8" t="s">
        <v>1688</v>
      </c>
      <c r="C4419" s="8" t="s">
        <v>1689</v>
      </c>
      <c r="D4419" s="9">
        <v>6.0</v>
      </c>
      <c r="E4419" s="67">
        <f t="shared" si="11"/>
        <v>1500</v>
      </c>
      <c r="F4419" s="67" t="str">
        <f t="shared" si="12"/>
        <v>6 LeadGen Set Appointments</v>
      </c>
    </row>
    <row r="4420" hidden="1">
      <c r="A4420" s="6" t="s">
        <v>59</v>
      </c>
      <c r="B4420" s="8" t="s">
        <v>1784</v>
      </c>
      <c r="C4420" s="8" t="s">
        <v>1785</v>
      </c>
      <c r="D4420" s="9">
        <v>6.0</v>
      </c>
      <c r="E4420" s="67">
        <f t="shared" si="11"/>
        <v>1500</v>
      </c>
      <c r="F4420" s="67" t="str">
        <f t="shared" si="12"/>
        <v>6 LeadGen Set Appointments</v>
      </c>
    </row>
    <row r="4421" hidden="1">
      <c r="A4421" s="6" t="s">
        <v>59</v>
      </c>
      <c r="B4421" s="8" t="s">
        <v>518</v>
      </c>
      <c r="C4421" s="8" t="s">
        <v>519</v>
      </c>
      <c r="D4421" s="9">
        <v>6.0</v>
      </c>
      <c r="E4421" s="67">
        <f t="shared" si="11"/>
        <v>1500</v>
      </c>
      <c r="F4421" s="67" t="str">
        <f t="shared" si="12"/>
        <v>6 LeadGen Set Appointments</v>
      </c>
    </row>
    <row r="4422" hidden="1">
      <c r="A4422" s="6" t="s">
        <v>59</v>
      </c>
      <c r="B4422" s="8" t="s">
        <v>1825</v>
      </c>
      <c r="C4422" s="8" t="s">
        <v>1826</v>
      </c>
      <c r="D4422" s="9">
        <v>6.0</v>
      </c>
      <c r="E4422" s="67">
        <f t="shared" si="11"/>
        <v>1500</v>
      </c>
      <c r="F4422" s="67" t="str">
        <f t="shared" si="12"/>
        <v>6 LeadGen Set Appointments</v>
      </c>
    </row>
    <row r="4423" hidden="1">
      <c r="A4423" s="6" t="s">
        <v>59</v>
      </c>
      <c r="B4423" s="8" t="s">
        <v>624</v>
      </c>
      <c r="C4423" s="8" t="s">
        <v>625</v>
      </c>
      <c r="D4423" s="9">
        <v>6.0</v>
      </c>
      <c r="E4423" s="67">
        <f t="shared" si="11"/>
        <v>1500</v>
      </c>
      <c r="F4423" s="67" t="str">
        <f t="shared" si="12"/>
        <v>6 LeadGen Set Appointments</v>
      </c>
    </row>
    <row r="4424" hidden="1">
      <c r="A4424" s="6" t="s">
        <v>59</v>
      </c>
      <c r="B4424" s="8" t="s">
        <v>2153</v>
      </c>
      <c r="C4424" s="8" t="s">
        <v>2154</v>
      </c>
      <c r="D4424" s="9">
        <v>6.0</v>
      </c>
      <c r="E4424" s="67">
        <f t="shared" si="11"/>
        <v>1500</v>
      </c>
      <c r="F4424" s="67" t="str">
        <f t="shared" si="12"/>
        <v>6 LeadGen Set Appointments</v>
      </c>
    </row>
    <row r="4425" hidden="1">
      <c r="A4425" s="6" t="s">
        <v>59</v>
      </c>
      <c r="B4425" s="8" t="s">
        <v>1573</v>
      </c>
      <c r="C4425" s="8" t="s">
        <v>1574</v>
      </c>
      <c r="D4425" s="9">
        <v>6.0</v>
      </c>
      <c r="E4425" s="67">
        <f t="shared" si="11"/>
        <v>1500</v>
      </c>
      <c r="F4425" s="67" t="str">
        <f t="shared" si="12"/>
        <v>6 LeadGen Set Appointments</v>
      </c>
    </row>
    <row r="4426" hidden="1">
      <c r="A4426" s="6" t="s">
        <v>59</v>
      </c>
      <c r="B4426" s="8" t="s">
        <v>2077</v>
      </c>
      <c r="C4426" s="8" t="s">
        <v>2078</v>
      </c>
      <c r="D4426" s="9">
        <v>6.0</v>
      </c>
      <c r="E4426" s="67">
        <f t="shared" si="11"/>
        <v>1500</v>
      </c>
      <c r="F4426" s="67" t="str">
        <f t="shared" si="12"/>
        <v>6 LeadGen Set Appointments</v>
      </c>
    </row>
    <row r="4427" hidden="1">
      <c r="A4427" s="6" t="s">
        <v>59</v>
      </c>
      <c r="B4427" s="8" t="s">
        <v>1463</v>
      </c>
      <c r="C4427" s="8" t="s">
        <v>1464</v>
      </c>
      <c r="D4427" s="9">
        <v>5.0</v>
      </c>
      <c r="E4427" s="67">
        <f t="shared" si="11"/>
        <v>1250</v>
      </c>
      <c r="F4427" s="67" t="str">
        <f t="shared" si="12"/>
        <v>5 LeadGen Set Appointments</v>
      </c>
    </row>
    <row r="4428" hidden="1">
      <c r="A4428" s="6" t="s">
        <v>59</v>
      </c>
      <c r="B4428" s="8" t="s">
        <v>1600</v>
      </c>
      <c r="C4428" s="8" t="s">
        <v>1601</v>
      </c>
      <c r="D4428" s="9">
        <v>5.0</v>
      </c>
      <c r="E4428" s="67">
        <f t="shared" si="11"/>
        <v>1250</v>
      </c>
      <c r="F4428" s="67" t="str">
        <f t="shared" si="12"/>
        <v>5 LeadGen Set Appointments</v>
      </c>
    </row>
    <row r="4429" hidden="1">
      <c r="A4429" s="6" t="s">
        <v>59</v>
      </c>
      <c r="B4429" s="8" t="s">
        <v>1545</v>
      </c>
      <c r="C4429" s="8" t="s">
        <v>1546</v>
      </c>
      <c r="D4429" s="9">
        <v>5.0</v>
      </c>
      <c r="E4429" s="67">
        <f t="shared" si="11"/>
        <v>1250</v>
      </c>
      <c r="F4429" s="67" t="str">
        <f t="shared" si="12"/>
        <v>5 LeadGen Set Appointments</v>
      </c>
    </row>
    <row r="4430" hidden="1">
      <c r="A4430" s="6" t="s">
        <v>59</v>
      </c>
      <c r="B4430" s="8" t="s">
        <v>752</v>
      </c>
      <c r="C4430" s="8" t="s">
        <v>753</v>
      </c>
      <c r="D4430" s="9">
        <v>5.0</v>
      </c>
      <c r="E4430" s="67">
        <f t="shared" si="11"/>
        <v>1250</v>
      </c>
      <c r="F4430" s="67" t="str">
        <f t="shared" si="12"/>
        <v>5 LeadGen Set Appointments</v>
      </c>
    </row>
    <row r="4431" hidden="1">
      <c r="A4431" s="6" t="s">
        <v>59</v>
      </c>
      <c r="B4431" s="8" t="s">
        <v>1325</v>
      </c>
      <c r="C4431" s="8" t="s">
        <v>1326</v>
      </c>
      <c r="D4431" s="9">
        <v>5.0</v>
      </c>
      <c r="E4431" s="67">
        <f t="shared" si="11"/>
        <v>1250</v>
      </c>
      <c r="F4431" s="67" t="str">
        <f t="shared" si="12"/>
        <v>5 LeadGen Set Appointments</v>
      </c>
    </row>
    <row r="4432" hidden="1">
      <c r="A4432" s="6" t="s">
        <v>59</v>
      </c>
      <c r="B4432" s="8" t="s">
        <v>626</v>
      </c>
      <c r="C4432" s="8" t="s">
        <v>627</v>
      </c>
      <c r="D4432" s="9">
        <v>5.0</v>
      </c>
      <c r="E4432" s="67">
        <f t="shared" si="11"/>
        <v>1250</v>
      </c>
      <c r="F4432" s="67" t="str">
        <f t="shared" si="12"/>
        <v>5 LeadGen Set Appointments</v>
      </c>
    </row>
    <row r="4433" hidden="1">
      <c r="A4433" s="6" t="s">
        <v>59</v>
      </c>
      <c r="B4433" s="8" t="s">
        <v>242</v>
      </c>
      <c r="C4433" s="8" t="s">
        <v>1887</v>
      </c>
      <c r="D4433" s="9">
        <v>5.0</v>
      </c>
      <c r="E4433" s="67">
        <f t="shared" si="11"/>
        <v>1250</v>
      </c>
      <c r="F4433" s="67" t="str">
        <f t="shared" si="12"/>
        <v>5 LeadGen Set Appointments</v>
      </c>
    </row>
    <row r="4434" hidden="1">
      <c r="A4434" s="6" t="s">
        <v>59</v>
      </c>
      <c r="B4434" s="8" t="s">
        <v>2010</v>
      </c>
      <c r="C4434" s="8" t="s">
        <v>2011</v>
      </c>
      <c r="D4434" s="9">
        <v>5.0</v>
      </c>
      <c r="E4434" s="67">
        <f t="shared" si="11"/>
        <v>1250</v>
      </c>
      <c r="F4434" s="67" t="str">
        <f t="shared" si="12"/>
        <v>5 LeadGen Set Appointments</v>
      </c>
    </row>
    <row r="4435" hidden="1">
      <c r="A4435" s="6" t="s">
        <v>59</v>
      </c>
      <c r="B4435" s="8" t="s">
        <v>1736</v>
      </c>
      <c r="C4435" s="8" t="s">
        <v>1737</v>
      </c>
      <c r="D4435" s="9">
        <v>5.0</v>
      </c>
      <c r="E4435" s="67">
        <f t="shared" si="11"/>
        <v>1250</v>
      </c>
      <c r="F4435" s="67" t="str">
        <f t="shared" si="12"/>
        <v>5 LeadGen Set Appointments</v>
      </c>
    </row>
    <row r="4436" hidden="1">
      <c r="A4436" s="6" t="s">
        <v>59</v>
      </c>
      <c r="B4436" s="8" t="s">
        <v>1935</v>
      </c>
      <c r="C4436" s="8" t="s">
        <v>1936</v>
      </c>
      <c r="D4436" s="9">
        <v>5.0</v>
      </c>
      <c r="E4436" s="67">
        <f t="shared" si="11"/>
        <v>1250</v>
      </c>
      <c r="F4436" s="67" t="str">
        <f t="shared" si="12"/>
        <v>5 LeadGen Set Appointments</v>
      </c>
    </row>
    <row r="4437" hidden="1">
      <c r="A4437" s="6" t="s">
        <v>59</v>
      </c>
      <c r="B4437" s="8" t="s">
        <v>1093</v>
      </c>
      <c r="C4437" s="8" t="s">
        <v>1760</v>
      </c>
      <c r="D4437" s="9">
        <v>5.0</v>
      </c>
      <c r="E4437" s="67">
        <f t="shared" si="11"/>
        <v>1250</v>
      </c>
      <c r="F4437" s="67" t="str">
        <f t="shared" si="12"/>
        <v>5 LeadGen Set Appointments</v>
      </c>
    </row>
    <row r="4438" hidden="1">
      <c r="A4438" s="6" t="s">
        <v>59</v>
      </c>
      <c r="B4438" s="8" t="s">
        <v>302</v>
      </c>
      <c r="C4438" s="8" t="s">
        <v>2110</v>
      </c>
      <c r="D4438" s="9">
        <v>5.0</v>
      </c>
      <c r="E4438" s="67">
        <f t="shared" si="11"/>
        <v>1250</v>
      </c>
      <c r="F4438" s="67" t="str">
        <f t="shared" si="12"/>
        <v>5 LeadGen Set Appointments</v>
      </c>
    </row>
    <row r="4439" hidden="1">
      <c r="A4439" s="6" t="s">
        <v>59</v>
      </c>
      <c r="B4439" s="8" t="s">
        <v>1955</v>
      </c>
      <c r="C4439" s="8" t="s">
        <v>1956</v>
      </c>
      <c r="D4439" s="9">
        <v>5.0</v>
      </c>
      <c r="E4439" s="67">
        <f t="shared" si="11"/>
        <v>1250</v>
      </c>
      <c r="F4439" s="67" t="str">
        <f t="shared" si="12"/>
        <v>5 LeadGen Set Appointments</v>
      </c>
    </row>
    <row r="4440" hidden="1">
      <c r="A4440" s="6" t="s">
        <v>59</v>
      </c>
      <c r="B4440" s="8" t="s">
        <v>1716</v>
      </c>
      <c r="C4440" s="8" t="s">
        <v>30</v>
      </c>
      <c r="D4440" s="9">
        <v>5.0</v>
      </c>
      <c r="E4440" s="67">
        <f t="shared" si="11"/>
        <v>1250</v>
      </c>
      <c r="F4440" s="67" t="str">
        <f t="shared" si="12"/>
        <v>5 LeadGen Set Appointments</v>
      </c>
    </row>
    <row r="4441" hidden="1">
      <c r="A4441" s="6" t="s">
        <v>59</v>
      </c>
      <c r="B4441" s="8" t="s">
        <v>622</v>
      </c>
      <c r="C4441" s="8" t="s">
        <v>623</v>
      </c>
      <c r="D4441" s="9">
        <v>5.0</v>
      </c>
      <c r="E4441" s="67">
        <f t="shared" si="11"/>
        <v>1250</v>
      </c>
      <c r="F4441" s="67" t="str">
        <f t="shared" si="12"/>
        <v>5 LeadGen Set Appointments</v>
      </c>
    </row>
    <row r="4442" hidden="1">
      <c r="A4442" s="6" t="s">
        <v>59</v>
      </c>
      <c r="B4442" s="8" t="s">
        <v>2083</v>
      </c>
      <c r="C4442" s="8" t="s">
        <v>2084</v>
      </c>
      <c r="D4442" s="9">
        <v>5.0</v>
      </c>
      <c r="E4442" s="67">
        <f t="shared" si="11"/>
        <v>1250</v>
      </c>
      <c r="F4442" s="67" t="str">
        <f t="shared" si="12"/>
        <v>5 LeadGen Set Appointments</v>
      </c>
    </row>
    <row r="4443" hidden="1">
      <c r="A4443" s="6" t="s">
        <v>59</v>
      </c>
      <c r="B4443" s="8" t="s">
        <v>1283</v>
      </c>
      <c r="C4443" s="8" t="s">
        <v>404</v>
      </c>
      <c r="D4443" s="9">
        <v>5.0</v>
      </c>
      <c r="E4443" s="67">
        <f t="shared" si="11"/>
        <v>1250</v>
      </c>
      <c r="F4443" s="67" t="str">
        <f t="shared" si="12"/>
        <v>5 LeadGen Set Appointments</v>
      </c>
    </row>
    <row r="4444" hidden="1">
      <c r="A4444" s="6" t="s">
        <v>59</v>
      </c>
      <c r="B4444" s="8" t="s">
        <v>746</v>
      </c>
      <c r="C4444" s="8" t="s">
        <v>747</v>
      </c>
      <c r="D4444" s="9">
        <v>5.0</v>
      </c>
      <c r="E4444" s="67">
        <f t="shared" si="11"/>
        <v>1250</v>
      </c>
      <c r="F4444" s="67" t="str">
        <f t="shared" si="12"/>
        <v>5 LeadGen Set Appointments</v>
      </c>
    </row>
    <row r="4445" hidden="1">
      <c r="A4445" s="6" t="s">
        <v>59</v>
      </c>
      <c r="B4445" s="8" t="s">
        <v>1941</v>
      </c>
      <c r="C4445" s="8" t="s">
        <v>1942</v>
      </c>
      <c r="D4445" s="9">
        <v>5.0</v>
      </c>
      <c r="E4445" s="67">
        <f t="shared" si="11"/>
        <v>1250</v>
      </c>
      <c r="F4445" s="67" t="str">
        <f t="shared" si="12"/>
        <v>5 LeadGen Set Appointments</v>
      </c>
    </row>
    <row r="4446" hidden="1">
      <c r="A4446" s="6" t="s">
        <v>59</v>
      </c>
      <c r="B4446" s="8" t="s">
        <v>1577</v>
      </c>
      <c r="C4446" s="8" t="s">
        <v>1578</v>
      </c>
      <c r="D4446" s="9">
        <v>4.0</v>
      </c>
      <c r="E4446" s="67">
        <f t="shared" si="11"/>
        <v>1000</v>
      </c>
      <c r="F4446" s="67" t="str">
        <f t="shared" si="12"/>
        <v>4 LeadGen Set Appointments</v>
      </c>
    </row>
    <row r="4447" hidden="1">
      <c r="A4447" s="6" t="s">
        <v>59</v>
      </c>
      <c r="B4447" s="8" t="s">
        <v>1704</v>
      </c>
      <c r="C4447" s="8" t="s">
        <v>1705</v>
      </c>
      <c r="D4447" s="9">
        <v>4.0</v>
      </c>
      <c r="E4447" s="67">
        <f t="shared" si="11"/>
        <v>1000</v>
      </c>
      <c r="F4447" s="67" t="str">
        <f t="shared" si="12"/>
        <v>4 LeadGen Set Appointments</v>
      </c>
    </row>
    <row r="4448" hidden="1">
      <c r="A4448" s="6" t="s">
        <v>59</v>
      </c>
      <c r="B4448" s="8" t="s">
        <v>2155</v>
      </c>
      <c r="C4448" s="8" t="s">
        <v>2156</v>
      </c>
      <c r="D4448" s="9">
        <v>4.0</v>
      </c>
      <c r="E4448" s="67">
        <f t="shared" si="11"/>
        <v>1000</v>
      </c>
      <c r="F4448" s="67" t="str">
        <f t="shared" si="12"/>
        <v>4 LeadGen Set Appointments</v>
      </c>
    </row>
    <row r="4449" hidden="1">
      <c r="A4449" s="6" t="s">
        <v>59</v>
      </c>
      <c r="B4449" s="8" t="s">
        <v>1861</v>
      </c>
      <c r="C4449" s="8" t="s">
        <v>1862</v>
      </c>
      <c r="D4449" s="9">
        <v>4.0</v>
      </c>
      <c r="E4449" s="67">
        <f t="shared" si="11"/>
        <v>1000</v>
      </c>
      <c r="F4449" s="67" t="str">
        <f t="shared" si="12"/>
        <v>4 LeadGen Set Appointments</v>
      </c>
    </row>
    <row r="4450" hidden="1">
      <c r="A4450" s="6" t="s">
        <v>59</v>
      </c>
      <c r="B4450" s="8" t="s">
        <v>1448</v>
      </c>
      <c r="C4450" s="8" t="s">
        <v>1449</v>
      </c>
      <c r="D4450" s="9">
        <v>4.0</v>
      </c>
      <c r="E4450" s="67">
        <f t="shared" si="11"/>
        <v>1000</v>
      </c>
      <c r="F4450" s="67" t="str">
        <f t="shared" si="12"/>
        <v>4 LeadGen Set Appointments</v>
      </c>
    </row>
    <row r="4451" hidden="1">
      <c r="A4451" s="6" t="s">
        <v>59</v>
      </c>
      <c r="B4451" s="8" t="s">
        <v>2119</v>
      </c>
      <c r="C4451" s="8" t="s">
        <v>2120</v>
      </c>
      <c r="D4451" s="9">
        <v>4.0</v>
      </c>
      <c r="E4451" s="67">
        <f t="shared" si="11"/>
        <v>1000</v>
      </c>
      <c r="F4451" s="67" t="str">
        <f t="shared" si="12"/>
        <v>4 LeadGen Set Appointments</v>
      </c>
    </row>
    <row r="4452" hidden="1">
      <c r="A4452" s="6" t="s">
        <v>59</v>
      </c>
      <c r="B4452" s="8" t="s">
        <v>1732</v>
      </c>
      <c r="C4452" s="8" t="s">
        <v>1733</v>
      </c>
      <c r="D4452" s="9">
        <v>4.0</v>
      </c>
      <c r="E4452" s="67">
        <f t="shared" si="11"/>
        <v>1000</v>
      </c>
      <c r="F4452" s="67" t="str">
        <f t="shared" si="12"/>
        <v>4 LeadGen Set Appointments</v>
      </c>
    </row>
    <row r="4453" hidden="1">
      <c r="A4453" s="6" t="s">
        <v>59</v>
      </c>
      <c r="B4453" s="8" t="s">
        <v>684</v>
      </c>
      <c r="C4453" s="8" t="s">
        <v>685</v>
      </c>
      <c r="D4453" s="9">
        <v>4.0</v>
      </c>
      <c r="E4453" s="67">
        <f t="shared" si="11"/>
        <v>1000</v>
      </c>
      <c r="F4453" s="67" t="str">
        <f t="shared" si="12"/>
        <v>4 LeadGen Set Appointments</v>
      </c>
    </row>
    <row r="4454" hidden="1">
      <c r="A4454" s="6" t="s">
        <v>59</v>
      </c>
      <c r="B4454" s="8" t="s">
        <v>1512</v>
      </c>
      <c r="C4454" s="8" t="s">
        <v>1513</v>
      </c>
      <c r="D4454" s="9">
        <v>4.0</v>
      </c>
      <c r="E4454" s="67">
        <f t="shared" si="11"/>
        <v>1000</v>
      </c>
      <c r="F4454" s="67" t="str">
        <f t="shared" si="12"/>
        <v>4 LeadGen Set Appointments</v>
      </c>
    </row>
    <row r="4455" hidden="1">
      <c r="A4455" s="6" t="s">
        <v>59</v>
      </c>
      <c r="B4455" s="8" t="s">
        <v>582</v>
      </c>
      <c r="C4455" s="8" t="s">
        <v>583</v>
      </c>
      <c r="D4455" s="9">
        <v>4.0</v>
      </c>
      <c r="E4455" s="67">
        <f t="shared" si="11"/>
        <v>1000</v>
      </c>
      <c r="F4455" s="67" t="str">
        <f t="shared" si="12"/>
        <v>4 LeadGen Set Appointments</v>
      </c>
    </row>
    <row r="4456" hidden="1">
      <c r="A4456" s="6" t="s">
        <v>59</v>
      </c>
      <c r="B4456" s="8" t="s">
        <v>1393</v>
      </c>
      <c r="C4456" s="8" t="s">
        <v>1394</v>
      </c>
      <c r="D4456" s="9">
        <v>4.0</v>
      </c>
      <c r="E4456" s="67">
        <f t="shared" si="11"/>
        <v>1000</v>
      </c>
      <c r="F4456" s="67" t="str">
        <f t="shared" si="12"/>
        <v>4 LeadGen Set Appointments</v>
      </c>
    </row>
    <row r="4457" hidden="1">
      <c r="A4457" s="6" t="s">
        <v>59</v>
      </c>
      <c r="B4457" s="8" t="s">
        <v>2141</v>
      </c>
      <c r="C4457" s="8" t="s">
        <v>2142</v>
      </c>
      <c r="D4457" s="9">
        <v>4.0</v>
      </c>
      <c r="E4457" s="67">
        <f t="shared" si="11"/>
        <v>1000</v>
      </c>
      <c r="F4457" s="67" t="str">
        <f t="shared" si="12"/>
        <v>4 LeadGen Set Appointments</v>
      </c>
    </row>
    <row r="4458" hidden="1">
      <c r="A4458" s="6" t="s">
        <v>59</v>
      </c>
      <c r="B4458" s="8" t="s">
        <v>590</v>
      </c>
      <c r="C4458" s="8" t="s">
        <v>2041</v>
      </c>
      <c r="D4458" s="9">
        <v>4.0</v>
      </c>
      <c r="E4458" s="67">
        <f t="shared" si="11"/>
        <v>1000</v>
      </c>
      <c r="F4458" s="67" t="str">
        <f t="shared" si="12"/>
        <v>4 LeadGen Set Appointments</v>
      </c>
    </row>
    <row r="4459" hidden="1">
      <c r="A4459" s="6" t="s">
        <v>59</v>
      </c>
      <c r="B4459" s="8" t="s">
        <v>2100</v>
      </c>
      <c r="C4459" s="8" t="s">
        <v>2101</v>
      </c>
      <c r="D4459" s="9">
        <v>4.0</v>
      </c>
      <c r="E4459" s="67">
        <f t="shared" si="11"/>
        <v>1000</v>
      </c>
      <c r="F4459" s="67" t="str">
        <f t="shared" si="12"/>
        <v>4 LeadGen Set Appointments</v>
      </c>
    </row>
    <row r="4460" hidden="1">
      <c r="A4460" s="6" t="s">
        <v>59</v>
      </c>
      <c r="B4460" s="8" t="s">
        <v>1563</v>
      </c>
      <c r="C4460" s="8" t="s">
        <v>1564</v>
      </c>
      <c r="D4460" s="9">
        <v>4.0</v>
      </c>
      <c r="E4460" s="67">
        <f t="shared" si="11"/>
        <v>1000</v>
      </c>
      <c r="F4460" s="67" t="str">
        <f t="shared" si="12"/>
        <v>4 LeadGen Set Appointments</v>
      </c>
    </row>
    <row r="4461" hidden="1">
      <c r="A4461" s="6" t="s">
        <v>59</v>
      </c>
      <c r="B4461" s="8" t="s">
        <v>1960</v>
      </c>
      <c r="C4461" s="8" t="s">
        <v>1961</v>
      </c>
      <c r="D4461" s="9">
        <v>4.0</v>
      </c>
      <c r="E4461" s="67">
        <f t="shared" si="11"/>
        <v>1000</v>
      </c>
      <c r="F4461" s="67" t="str">
        <f t="shared" si="12"/>
        <v>4 LeadGen Set Appointments</v>
      </c>
    </row>
    <row r="4462" hidden="1">
      <c r="A4462" s="6" t="s">
        <v>59</v>
      </c>
      <c r="B4462" s="8" t="s">
        <v>1567</v>
      </c>
      <c r="C4462" s="8" t="s">
        <v>1568</v>
      </c>
      <c r="D4462" s="9">
        <v>4.0</v>
      </c>
      <c r="E4462" s="67">
        <f t="shared" si="11"/>
        <v>1000</v>
      </c>
      <c r="F4462" s="67" t="str">
        <f t="shared" si="12"/>
        <v>4 LeadGen Set Appointments</v>
      </c>
    </row>
    <row r="4463" hidden="1">
      <c r="A4463" s="6" t="s">
        <v>59</v>
      </c>
      <c r="B4463" s="8" t="s">
        <v>532</v>
      </c>
      <c r="C4463" s="8" t="s">
        <v>533</v>
      </c>
      <c r="D4463" s="9">
        <v>4.0</v>
      </c>
      <c r="E4463" s="67">
        <f t="shared" si="11"/>
        <v>1000</v>
      </c>
      <c r="F4463" s="67" t="str">
        <f t="shared" si="12"/>
        <v>4 LeadGen Set Appointments</v>
      </c>
    </row>
    <row r="4464" hidden="1">
      <c r="A4464" s="6" t="s">
        <v>59</v>
      </c>
      <c r="B4464" s="8" t="s">
        <v>1786</v>
      </c>
      <c r="C4464" s="8" t="s">
        <v>1787</v>
      </c>
      <c r="D4464" s="9">
        <v>4.0</v>
      </c>
      <c r="E4464" s="67">
        <f t="shared" si="11"/>
        <v>1000</v>
      </c>
      <c r="F4464" s="67" t="str">
        <f t="shared" si="12"/>
        <v>4 LeadGen Set Appointments</v>
      </c>
    </row>
    <row r="4465" hidden="1">
      <c r="A4465" s="6" t="s">
        <v>59</v>
      </c>
      <c r="B4465" s="8" t="s">
        <v>1625</v>
      </c>
      <c r="C4465" s="8" t="s">
        <v>1626</v>
      </c>
      <c r="D4465" s="9">
        <v>4.0</v>
      </c>
      <c r="E4465" s="67">
        <f t="shared" si="11"/>
        <v>1000</v>
      </c>
      <c r="F4465" s="67" t="str">
        <f t="shared" si="12"/>
        <v>4 LeadGen Set Appointments</v>
      </c>
    </row>
    <row r="4466" hidden="1">
      <c r="A4466" s="6" t="s">
        <v>59</v>
      </c>
      <c r="B4466" s="8" t="s">
        <v>566</v>
      </c>
      <c r="C4466" s="8" t="s">
        <v>567</v>
      </c>
      <c r="D4466" s="9">
        <v>4.0</v>
      </c>
      <c r="E4466" s="67">
        <f t="shared" si="11"/>
        <v>1000</v>
      </c>
      <c r="F4466" s="67" t="str">
        <f t="shared" si="12"/>
        <v>4 LeadGen Set Appointments</v>
      </c>
    </row>
    <row r="4467" hidden="1">
      <c r="A4467" s="6" t="s">
        <v>59</v>
      </c>
      <c r="B4467" s="8" t="s">
        <v>1776</v>
      </c>
      <c r="C4467" s="8" t="s">
        <v>1777</v>
      </c>
      <c r="D4467" s="9">
        <v>4.0</v>
      </c>
      <c r="E4467" s="67">
        <f t="shared" si="11"/>
        <v>1000</v>
      </c>
      <c r="F4467" s="67" t="str">
        <f t="shared" si="12"/>
        <v>4 LeadGen Set Appointments</v>
      </c>
    </row>
    <row r="4468" hidden="1">
      <c r="A4468" s="6" t="s">
        <v>59</v>
      </c>
      <c r="B4468" s="8" t="s">
        <v>445</v>
      </c>
      <c r="C4468" s="8" t="s">
        <v>446</v>
      </c>
      <c r="D4468" s="9">
        <v>4.0</v>
      </c>
      <c r="E4468" s="67">
        <f t="shared" si="11"/>
        <v>1000</v>
      </c>
      <c r="F4468" s="67" t="str">
        <f t="shared" si="12"/>
        <v>4 LeadGen Set Appointments</v>
      </c>
    </row>
    <row r="4469" hidden="1">
      <c r="A4469" s="6" t="s">
        <v>59</v>
      </c>
      <c r="B4469" s="8" t="s">
        <v>2139</v>
      </c>
      <c r="C4469" s="8" t="s">
        <v>2140</v>
      </c>
      <c r="D4469" s="9">
        <v>4.0</v>
      </c>
      <c r="E4469" s="67">
        <f t="shared" si="11"/>
        <v>1000</v>
      </c>
      <c r="F4469" s="67" t="str">
        <f t="shared" si="12"/>
        <v>4 LeadGen Set Appointments</v>
      </c>
    </row>
    <row r="4470" hidden="1">
      <c r="A4470" s="6" t="s">
        <v>59</v>
      </c>
      <c r="B4470" s="8" t="s">
        <v>1682</v>
      </c>
      <c r="C4470" s="8" t="s">
        <v>1683</v>
      </c>
      <c r="D4470" s="9">
        <v>4.0</v>
      </c>
      <c r="E4470" s="67">
        <f t="shared" si="11"/>
        <v>1000</v>
      </c>
      <c r="F4470" s="67" t="str">
        <f t="shared" si="12"/>
        <v>4 LeadGen Set Appointments</v>
      </c>
    </row>
    <row r="4471" hidden="1">
      <c r="A4471" s="6" t="s">
        <v>59</v>
      </c>
      <c r="B4471" s="8" t="s">
        <v>447</v>
      </c>
      <c r="C4471" s="8" t="s">
        <v>448</v>
      </c>
      <c r="D4471" s="9">
        <v>3.0</v>
      </c>
      <c r="E4471" s="67">
        <f t="shared" si="11"/>
        <v>750</v>
      </c>
      <c r="F4471" s="67" t="str">
        <f t="shared" si="12"/>
        <v>3 LeadGen Set Appointments</v>
      </c>
    </row>
    <row r="4472" hidden="1">
      <c r="A4472" s="6" t="s">
        <v>59</v>
      </c>
      <c r="B4472" s="8" t="s">
        <v>2157</v>
      </c>
      <c r="C4472" s="8" t="s">
        <v>2158</v>
      </c>
      <c r="D4472" s="9">
        <v>3.0</v>
      </c>
      <c r="E4472" s="67">
        <f t="shared" si="11"/>
        <v>750</v>
      </c>
      <c r="F4472" s="67" t="str">
        <f t="shared" si="12"/>
        <v>3 LeadGen Set Appointments</v>
      </c>
    </row>
    <row r="4473" hidden="1">
      <c r="A4473" s="6" t="s">
        <v>59</v>
      </c>
      <c r="B4473" s="8" t="s">
        <v>1895</v>
      </c>
      <c r="C4473" s="8" t="s">
        <v>1896</v>
      </c>
      <c r="D4473" s="9">
        <v>3.0</v>
      </c>
      <c r="E4473" s="67">
        <f t="shared" si="11"/>
        <v>750</v>
      </c>
      <c r="F4473" s="67" t="str">
        <f t="shared" si="12"/>
        <v>3 LeadGen Set Appointments</v>
      </c>
    </row>
    <row r="4474" hidden="1">
      <c r="A4474" s="6" t="s">
        <v>59</v>
      </c>
      <c r="B4474" s="8" t="s">
        <v>2159</v>
      </c>
      <c r="C4474" s="8" t="s">
        <v>2160</v>
      </c>
      <c r="D4474" s="9">
        <v>3.0</v>
      </c>
      <c r="E4474" s="67">
        <f t="shared" si="11"/>
        <v>750</v>
      </c>
      <c r="F4474" s="67" t="str">
        <f t="shared" si="12"/>
        <v>3 LeadGen Set Appointments</v>
      </c>
    </row>
    <row r="4475" hidden="1">
      <c r="A4475" s="6" t="s">
        <v>59</v>
      </c>
      <c r="B4475" s="8" t="s">
        <v>1579</v>
      </c>
      <c r="C4475" s="8" t="s">
        <v>1580</v>
      </c>
      <c r="D4475" s="9">
        <v>3.0</v>
      </c>
      <c r="E4475" s="67">
        <f t="shared" si="11"/>
        <v>750</v>
      </c>
      <c r="F4475" s="67" t="str">
        <f t="shared" si="12"/>
        <v>3 LeadGen Set Appointments</v>
      </c>
    </row>
    <row r="4476" hidden="1">
      <c r="A4476" s="6" t="s">
        <v>59</v>
      </c>
      <c r="B4476" s="8" t="s">
        <v>2034</v>
      </c>
      <c r="C4476" s="8" t="s">
        <v>416</v>
      </c>
      <c r="D4476" s="9">
        <v>3.0</v>
      </c>
      <c r="E4476" s="67">
        <f t="shared" si="11"/>
        <v>750</v>
      </c>
      <c r="F4476" s="67" t="str">
        <f t="shared" si="12"/>
        <v>3 LeadGen Set Appointments</v>
      </c>
    </row>
    <row r="4477" hidden="1">
      <c r="A4477" s="6" t="s">
        <v>59</v>
      </c>
      <c r="B4477" s="8" t="s">
        <v>2035</v>
      </c>
      <c r="C4477" s="8" t="s">
        <v>2036</v>
      </c>
      <c r="D4477" s="9">
        <v>3.0</v>
      </c>
      <c r="E4477" s="67">
        <f t="shared" si="11"/>
        <v>750</v>
      </c>
      <c r="F4477" s="67" t="str">
        <f t="shared" si="12"/>
        <v>3 LeadGen Set Appointments</v>
      </c>
    </row>
    <row r="4478" hidden="1">
      <c r="A4478" s="6" t="s">
        <v>59</v>
      </c>
      <c r="B4478" s="8" t="s">
        <v>2117</v>
      </c>
      <c r="C4478" s="8" t="s">
        <v>2118</v>
      </c>
      <c r="D4478" s="9">
        <v>3.0</v>
      </c>
      <c r="E4478" s="67">
        <f t="shared" si="11"/>
        <v>750</v>
      </c>
      <c r="F4478" s="67" t="str">
        <f t="shared" si="12"/>
        <v>3 LeadGen Set Appointments</v>
      </c>
    </row>
    <row r="4479" hidden="1">
      <c r="A4479" s="6" t="s">
        <v>59</v>
      </c>
      <c r="B4479" s="8" t="s">
        <v>431</v>
      </c>
      <c r="C4479" s="8" t="s">
        <v>432</v>
      </c>
      <c r="D4479" s="9">
        <v>3.0</v>
      </c>
      <c r="E4479" s="67">
        <f t="shared" si="11"/>
        <v>750</v>
      </c>
      <c r="F4479" s="67" t="str">
        <f t="shared" si="12"/>
        <v>3 LeadGen Set Appointments</v>
      </c>
    </row>
    <row r="4480" hidden="1">
      <c r="A4480" s="6" t="s">
        <v>59</v>
      </c>
      <c r="B4480" s="8" t="s">
        <v>1408</v>
      </c>
      <c r="C4480" s="8" t="s">
        <v>675</v>
      </c>
      <c r="D4480" s="9">
        <v>3.0</v>
      </c>
      <c r="E4480" s="67">
        <f t="shared" si="11"/>
        <v>750</v>
      </c>
      <c r="F4480" s="67" t="str">
        <f t="shared" si="12"/>
        <v>3 LeadGen Set Appointments</v>
      </c>
    </row>
    <row r="4481" hidden="1">
      <c r="A4481" s="6" t="s">
        <v>59</v>
      </c>
      <c r="B4481" s="8" t="s">
        <v>1885</v>
      </c>
      <c r="C4481" s="8" t="s">
        <v>1886</v>
      </c>
      <c r="D4481" s="9">
        <v>3.0</v>
      </c>
      <c r="E4481" s="67">
        <f t="shared" si="11"/>
        <v>750</v>
      </c>
      <c r="F4481" s="67" t="str">
        <f t="shared" si="12"/>
        <v>3 LeadGen Set Appointments</v>
      </c>
    </row>
    <row r="4482" hidden="1">
      <c r="A4482" s="6" t="s">
        <v>59</v>
      </c>
      <c r="B4482" s="8" t="s">
        <v>2093</v>
      </c>
      <c r="C4482" s="8" t="s">
        <v>2094</v>
      </c>
      <c r="D4482" s="9">
        <v>3.0</v>
      </c>
      <c r="E4482" s="67">
        <f t="shared" si="11"/>
        <v>750</v>
      </c>
      <c r="F4482" s="67" t="str">
        <f t="shared" si="12"/>
        <v>3 LeadGen Set Appointments</v>
      </c>
    </row>
    <row r="4483" hidden="1">
      <c r="A4483" s="6" t="s">
        <v>59</v>
      </c>
      <c r="B4483" s="8" t="s">
        <v>2095</v>
      </c>
      <c r="C4483" s="8" t="s">
        <v>2096</v>
      </c>
      <c r="D4483" s="9">
        <v>3.0</v>
      </c>
      <c r="E4483" s="67">
        <f t="shared" si="11"/>
        <v>750</v>
      </c>
      <c r="F4483" s="67" t="str">
        <f t="shared" si="12"/>
        <v>3 LeadGen Set Appointments</v>
      </c>
    </row>
    <row r="4484" hidden="1">
      <c r="A4484" s="6" t="s">
        <v>59</v>
      </c>
      <c r="B4484" s="8" t="s">
        <v>2097</v>
      </c>
      <c r="C4484" s="8" t="s">
        <v>828</v>
      </c>
      <c r="D4484" s="9">
        <v>3.0</v>
      </c>
      <c r="E4484" s="67">
        <f t="shared" si="11"/>
        <v>750</v>
      </c>
      <c r="F4484" s="67" t="str">
        <f t="shared" si="12"/>
        <v>3 LeadGen Set Appointments</v>
      </c>
    </row>
    <row r="4485" hidden="1">
      <c r="A4485" s="6" t="s">
        <v>59</v>
      </c>
      <c r="B4485" s="8" t="s">
        <v>1551</v>
      </c>
      <c r="C4485" s="8" t="s">
        <v>1552</v>
      </c>
      <c r="D4485" s="9">
        <v>3.0</v>
      </c>
      <c r="E4485" s="67">
        <f t="shared" si="11"/>
        <v>750</v>
      </c>
      <c r="F4485" s="67" t="str">
        <f t="shared" si="12"/>
        <v>3 LeadGen Set Appointments</v>
      </c>
    </row>
    <row r="4486" hidden="1">
      <c r="A4486" s="6" t="s">
        <v>59</v>
      </c>
      <c r="B4486" s="8" t="s">
        <v>1514</v>
      </c>
      <c r="C4486" s="8" t="s">
        <v>1515</v>
      </c>
      <c r="D4486" s="9">
        <v>3.0</v>
      </c>
      <c r="E4486" s="67">
        <f t="shared" si="11"/>
        <v>750</v>
      </c>
      <c r="F4486" s="67" t="str">
        <f t="shared" si="12"/>
        <v>3 LeadGen Set Appointments</v>
      </c>
    </row>
    <row r="4487" hidden="1">
      <c r="A4487" s="6" t="s">
        <v>59</v>
      </c>
      <c r="B4487" s="8" t="s">
        <v>693</v>
      </c>
      <c r="C4487" s="8" t="s">
        <v>694</v>
      </c>
      <c r="D4487" s="9">
        <v>3.0</v>
      </c>
      <c r="E4487" s="67">
        <f t="shared" si="11"/>
        <v>750</v>
      </c>
      <c r="F4487" s="67" t="str">
        <f t="shared" si="12"/>
        <v>3 LeadGen Set Appointments</v>
      </c>
    </row>
    <row r="4488" hidden="1">
      <c r="A4488" s="6" t="s">
        <v>59</v>
      </c>
      <c r="B4488" s="8" t="s">
        <v>2000</v>
      </c>
      <c r="C4488" s="8" t="s">
        <v>2001</v>
      </c>
      <c r="D4488" s="9">
        <v>3.0</v>
      </c>
      <c r="E4488" s="67">
        <f t="shared" si="11"/>
        <v>750</v>
      </c>
      <c r="F4488" s="67" t="str">
        <f t="shared" si="12"/>
        <v>3 LeadGen Set Appointments</v>
      </c>
    </row>
    <row r="4489" hidden="1">
      <c r="A4489" s="6" t="s">
        <v>59</v>
      </c>
      <c r="B4489" s="8" t="s">
        <v>717</v>
      </c>
      <c r="C4489" s="8" t="s">
        <v>718</v>
      </c>
      <c r="D4489" s="9">
        <v>3.0</v>
      </c>
      <c r="E4489" s="67">
        <f t="shared" si="11"/>
        <v>750</v>
      </c>
      <c r="F4489" s="67" t="str">
        <f t="shared" si="12"/>
        <v>3 LeadGen Set Appointments</v>
      </c>
    </row>
    <row r="4490" hidden="1">
      <c r="A4490" s="6" t="s">
        <v>59</v>
      </c>
      <c r="B4490" s="8" t="s">
        <v>1867</v>
      </c>
      <c r="C4490" s="8" t="s">
        <v>1868</v>
      </c>
      <c r="D4490" s="9">
        <v>3.0</v>
      </c>
      <c r="E4490" s="67">
        <f t="shared" si="11"/>
        <v>750</v>
      </c>
      <c r="F4490" s="67" t="str">
        <f t="shared" si="12"/>
        <v>3 LeadGen Set Appointments</v>
      </c>
    </row>
    <row r="4491" hidden="1">
      <c r="A4491" s="6" t="s">
        <v>59</v>
      </c>
      <c r="B4491" s="8" t="s">
        <v>1421</v>
      </c>
      <c r="C4491" s="8" t="s">
        <v>712</v>
      </c>
      <c r="D4491" s="9">
        <v>3.0</v>
      </c>
      <c r="E4491" s="67">
        <f t="shared" si="11"/>
        <v>750</v>
      </c>
      <c r="F4491" s="67" t="str">
        <f t="shared" si="12"/>
        <v>3 LeadGen Set Appointments</v>
      </c>
    </row>
    <row r="4492" hidden="1">
      <c r="A4492" s="6" t="s">
        <v>59</v>
      </c>
      <c r="B4492" s="8" t="s">
        <v>1657</v>
      </c>
      <c r="C4492" s="8" t="s">
        <v>1658</v>
      </c>
      <c r="D4492" s="9">
        <v>3.0</v>
      </c>
      <c r="E4492" s="67">
        <f t="shared" si="11"/>
        <v>750</v>
      </c>
      <c r="F4492" s="67" t="str">
        <f t="shared" si="12"/>
        <v>3 LeadGen Set Appointments</v>
      </c>
    </row>
    <row r="4493" hidden="1">
      <c r="A4493" s="6" t="s">
        <v>59</v>
      </c>
      <c r="B4493" s="8" t="s">
        <v>2102</v>
      </c>
      <c r="C4493" s="8" t="s">
        <v>2103</v>
      </c>
      <c r="D4493" s="9">
        <v>3.0</v>
      </c>
      <c r="E4493" s="67">
        <f t="shared" si="11"/>
        <v>750</v>
      </c>
      <c r="F4493" s="67" t="str">
        <f t="shared" si="12"/>
        <v>3 LeadGen Set Appointments</v>
      </c>
    </row>
    <row r="4494" hidden="1">
      <c r="A4494" s="6" t="s">
        <v>59</v>
      </c>
      <c r="B4494" s="8" t="s">
        <v>1157</v>
      </c>
      <c r="C4494" s="8" t="s">
        <v>1158</v>
      </c>
      <c r="D4494" s="9">
        <v>3.0</v>
      </c>
      <c r="E4494" s="67">
        <f t="shared" si="11"/>
        <v>750</v>
      </c>
      <c r="F4494" s="67" t="str">
        <f t="shared" si="12"/>
        <v>3 LeadGen Set Appointments</v>
      </c>
    </row>
    <row r="4495" hidden="1">
      <c r="A4495" s="6" t="s">
        <v>59</v>
      </c>
      <c r="B4495" s="8" t="s">
        <v>1569</v>
      </c>
      <c r="C4495" s="8" t="s">
        <v>1570</v>
      </c>
      <c r="D4495" s="9">
        <v>3.0</v>
      </c>
      <c r="E4495" s="67">
        <f t="shared" si="11"/>
        <v>750</v>
      </c>
      <c r="F4495" s="67" t="str">
        <f t="shared" si="12"/>
        <v>3 LeadGen Set Appointments</v>
      </c>
    </row>
    <row r="4496" hidden="1">
      <c r="A4496" s="6" t="s">
        <v>59</v>
      </c>
      <c r="B4496" s="8" t="s">
        <v>2135</v>
      </c>
      <c r="C4496" s="8" t="s">
        <v>2136</v>
      </c>
      <c r="D4496" s="9">
        <v>3.0</v>
      </c>
      <c r="E4496" s="67">
        <f t="shared" si="11"/>
        <v>750</v>
      </c>
      <c r="F4496" s="67" t="str">
        <f t="shared" si="12"/>
        <v>3 LeadGen Set Appointments</v>
      </c>
    </row>
    <row r="4497" hidden="1">
      <c r="A4497" s="6" t="s">
        <v>59</v>
      </c>
      <c r="B4497" s="8" t="s">
        <v>1933</v>
      </c>
      <c r="C4497" s="8" t="s">
        <v>1934</v>
      </c>
      <c r="D4497" s="9">
        <v>3.0</v>
      </c>
      <c r="E4497" s="67">
        <f t="shared" si="11"/>
        <v>750</v>
      </c>
      <c r="F4497" s="67" t="str">
        <f t="shared" si="12"/>
        <v>3 LeadGen Set Appointments</v>
      </c>
    </row>
    <row r="4498" hidden="1">
      <c r="A4498" s="6" t="s">
        <v>59</v>
      </c>
      <c r="B4498" s="8" t="s">
        <v>1351</v>
      </c>
      <c r="C4498" s="8" t="s">
        <v>1352</v>
      </c>
      <c r="D4498" s="9">
        <v>3.0</v>
      </c>
      <c r="E4498" s="67">
        <f t="shared" si="11"/>
        <v>750</v>
      </c>
      <c r="F4498" s="67" t="str">
        <f t="shared" si="12"/>
        <v>3 LeadGen Set Appointments</v>
      </c>
    </row>
    <row r="4499" hidden="1">
      <c r="A4499" s="6" t="s">
        <v>59</v>
      </c>
      <c r="B4499" s="8" t="s">
        <v>2046</v>
      </c>
      <c r="C4499" s="8" t="s">
        <v>2047</v>
      </c>
      <c r="D4499" s="9">
        <v>3.0</v>
      </c>
      <c r="E4499" s="67">
        <f t="shared" si="11"/>
        <v>750</v>
      </c>
      <c r="F4499" s="67" t="str">
        <f t="shared" si="12"/>
        <v>3 LeadGen Set Appointments</v>
      </c>
    </row>
    <row r="4500" hidden="1">
      <c r="A4500" s="6" t="s">
        <v>59</v>
      </c>
      <c r="B4500" s="8" t="s">
        <v>1684</v>
      </c>
      <c r="C4500" s="8" t="s">
        <v>1685</v>
      </c>
      <c r="D4500" s="9">
        <v>3.0</v>
      </c>
      <c r="E4500" s="67">
        <f t="shared" si="11"/>
        <v>750</v>
      </c>
      <c r="F4500" s="67" t="str">
        <f t="shared" si="12"/>
        <v>3 LeadGen Set Appointments</v>
      </c>
    </row>
    <row r="4501" hidden="1">
      <c r="A4501" s="6" t="s">
        <v>59</v>
      </c>
      <c r="B4501" s="8" t="s">
        <v>1483</v>
      </c>
      <c r="C4501" s="8" t="s">
        <v>1484</v>
      </c>
      <c r="D4501" s="9">
        <v>3.0</v>
      </c>
      <c r="E4501" s="67">
        <f t="shared" si="11"/>
        <v>750</v>
      </c>
      <c r="F4501" s="67" t="str">
        <f t="shared" si="12"/>
        <v>3 LeadGen Set Appointments</v>
      </c>
    </row>
    <row r="4502" hidden="1">
      <c r="A4502" s="6" t="s">
        <v>59</v>
      </c>
      <c r="B4502" s="8" t="s">
        <v>2113</v>
      </c>
      <c r="C4502" s="8" t="s">
        <v>2114</v>
      </c>
      <c r="D4502" s="9">
        <v>3.0</v>
      </c>
      <c r="E4502" s="67">
        <f t="shared" si="11"/>
        <v>750</v>
      </c>
      <c r="F4502" s="67" t="str">
        <f t="shared" si="12"/>
        <v>3 LeadGen Set Appointments</v>
      </c>
    </row>
    <row r="4503" hidden="1">
      <c r="A4503" s="6" t="s">
        <v>59</v>
      </c>
      <c r="B4503" s="8" t="s">
        <v>1945</v>
      </c>
      <c r="C4503" s="8" t="s">
        <v>1946</v>
      </c>
      <c r="D4503" s="9">
        <v>3.0</v>
      </c>
      <c r="E4503" s="67">
        <f t="shared" si="11"/>
        <v>750</v>
      </c>
      <c r="F4503" s="67" t="str">
        <f t="shared" si="12"/>
        <v>3 LeadGen Set Appointments</v>
      </c>
    </row>
    <row r="4504" hidden="1">
      <c r="A4504" s="6" t="s">
        <v>59</v>
      </c>
      <c r="B4504" s="8" t="s">
        <v>744</v>
      </c>
      <c r="C4504" s="8" t="s">
        <v>745</v>
      </c>
      <c r="D4504" s="9">
        <v>2.0</v>
      </c>
      <c r="E4504" s="67">
        <f t="shared" si="11"/>
        <v>500</v>
      </c>
      <c r="F4504" s="67" t="str">
        <f t="shared" si="12"/>
        <v>2 LeadGen Set Appointments</v>
      </c>
    </row>
    <row r="4505" hidden="1">
      <c r="A4505" s="6" t="s">
        <v>59</v>
      </c>
      <c r="B4505" s="8" t="s">
        <v>2161</v>
      </c>
      <c r="C4505" s="8" t="s">
        <v>2162</v>
      </c>
      <c r="D4505" s="9">
        <v>2.0</v>
      </c>
      <c r="E4505" s="67">
        <f t="shared" si="11"/>
        <v>500</v>
      </c>
      <c r="F4505" s="67" t="str">
        <f t="shared" si="12"/>
        <v>2 LeadGen Set Appointments</v>
      </c>
    </row>
    <row r="4506" hidden="1">
      <c r="A4506" s="6" t="s">
        <v>59</v>
      </c>
      <c r="B4506" s="8" t="s">
        <v>462</v>
      </c>
      <c r="C4506" s="8" t="s">
        <v>463</v>
      </c>
      <c r="D4506" s="9">
        <v>2.0</v>
      </c>
      <c r="E4506" s="67">
        <f t="shared" si="11"/>
        <v>500</v>
      </c>
      <c r="F4506" s="67" t="str">
        <f t="shared" si="12"/>
        <v>2 LeadGen Set Appointments</v>
      </c>
    </row>
    <row r="4507" hidden="1">
      <c r="A4507" s="6" t="s">
        <v>59</v>
      </c>
      <c r="B4507" s="8" t="s">
        <v>2089</v>
      </c>
      <c r="C4507" s="8" t="s">
        <v>2090</v>
      </c>
      <c r="D4507" s="9">
        <v>2.0</v>
      </c>
      <c r="E4507" s="67">
        <f t="shared" si="11"/>
        <v>500</v>
      </c>
      <c r="F4507" s="67" t="str">
        <f t="shared" si="12"/>
        <v>2 LeadGen Set Appointments</v>
      </c>
    </row>
    <row r="4508" hidden="1">
      <c r="A4508" s="6" t="s">
        <v>59</v>
      </c>
      <c r="B4508" s="8" t="s">
        <v>1728</v>
      </c>
      <c r="C4508" s="8" t="s">
        <v>1729</v>
      </c>
      <c r="D4508" s="9">
        <v>2.0</v>
      </c>
      <c r="E4508" s="67">
        <f t="shared" si="11"/>
        <v>500</v>
      </c>
      <c r="F4508" s="67" t="str">
        <f t="shared" si="12"/>
        <v>2 LeadGen Set Appointments</v>
      </c>
    </row>
    <row r="4509" hidden="1">
      <c r="A4509" s="6" t="s">
        <v>59</v>
      </c>
      <c r="B4509" s="8" t="s">
        <v>2091</v>
      </c>
      <c r="C4509" s="8" t="s">
        <v>2092</v>
      </c>
      <c r="D4509" s="9">
        <v>2.0</v>
      </c>
      <c r="E4509" s="67">
        <f t="shared" si="11"/>
        <v>500</v>
      </c>
      <c r="F4509" s="67" t="str">
        <f t="shared" si="12"/>
        <v>2 LeadGen Set Appointments</v>
      </c>
    </row>
    <row r="4510" hidden="1">
      <c r="A4510" s="6" t="s">
        <v>59</v>
      </c>
      <c r="B4510" s="8" t="s">
        <v>1583</v>
      </c>
      <c r="C4510" s="8" t="s">
        <v>1584</v>
      </c>
      <c r="D4510" s="9">
        <v>2.0</v>
      </c>
      <c r="E4510" s="67">
        <f t="shared" si="11"/>
        <v>500</v>
      </c>
      <c r="F4510" s="67" t="str">
        <f t="shared" si="12"/>
        <v>2 LeadGen Set Appointments</v>
      </c>
    </row>
    <row r="4511" hidden="1">
      <c r="A4511" s="6" t="s">
        <v>59</v>
      </c>
      <c r="B4511" s="8" t="s">
        <v>2123</v>
      </c>
      <c r="C4511" s="8" t="s">
        <v>2124</v>
      </c>
      <c r="D4511" s="9">
        <v>2.0</v>
      </c>
      <c r="E4511" s="67">
        <f t="shared" si="11"/>
        <v>500</v>
      </c>
      <c r="F4511" s="67" t="str">
        <f t="shared" si="12"/>
        <v>2 LeadGen Set Appointments</v>
      </c>
    </row>
    <row r="4512" hidden="1">
      <c r="A4512" s="6" t="s">
        <v>59</v>
      </c>
      <c r="B4512" s="8" t="s">
        <v>1612</v>
      </c>
      <c r="C4512" s="8" t="s">
        <v>1613</v>
      </c>
      <c r="D4512" s="9">
        <v>2.0</v>
      </c>
      <c r="E4512" s="67">
        <f t="shared" si="11"/>
        <v>500</v>
      </c>
      <c r="F4512" s="67" t="str">
        <f t="shared" si="12"/>
        <v>2 LeadGen Set Appointments</v>
      </c>
    </row>
    <row r="4513" hidden="1">
      <c r="A4513" s="6" t="s">
        <v>59</v>
      </c>
      <c r="B4513" s="8" t="s">
        <v>2125</v>
      </c>
      <c r="C4513" s="8" t="s">
        <v>2126</v>
      </c>
      <c r="D4513" s="9">
        <v>2.0</v>
      </c>
      <c r="E4513" s="67">
        <f t="shared" si="11"/>
        <v>500</v>
      </c>
      <c r="F4513" s="67" t="str">
        <f t="shared" si="12"/>
        <v>2 LeadGen Set Appointments</v>
      </c>
    </row>
    <row r="4514" hidden="1">
      <c r="A4514" s="6" t="s">
        <v>59</v>
      </c>
      <c r="B4514" s="8" t="s">
        <v>2127</v>
      </c>
      <c r="C4514" s="8" t="s">
        <v>2128</v>
      </c>
      <c r="D4514" s="9">
        <v>2.0</v>
      </c>
      <c r="E4514" s="67">
        <f t="shared" si="11"/>
        <v>500</v>
      </c>
      <c r="F4514" s="67" t="str">
        <f t="shared" si="12"/>
        <v>2 LeadGen Set Appointments</v>
      </c>
    </row>
    <row r="4515" hidden="1">
      <c r="A4515" s="6" t="s">
        <v>59</v>
      </c>
      <c r="B4515" s="8" t="s">
        <v>1937</v>
      </c>
      <c r="C4515" s="8" t="s">
        <v>1938</v>
      </c>
      <c r="D4515" s="9">
        <v>2.0</v>
      </c>
      <c r="E4515" s="67">
        <f t="shared" si="11"/>
        <v>500</v>
      </c>
      <c r="F4515" s="67" t="str">
        <f t="shared" si="12"/>
        <v>2 LeadGen Set Appointments</v>
      </c>
    </row>
    <row r="4516" hidden="1">
      <c r="A4516" s="6" t="s">
        <v>59</v>
      </c>
      <c r="B4516" s="8" t="s">
        <v>2163</v>
      </c>
      <c r="C4516" s="8" t="s">
        <v>2164</v>
      </c>
      <c r="D4516" s="9">
        <v>2.0</v>
      </c>
      <c r="E4516" s="67">
        <f t="shared" si="11"/>
        <v>500</v>
      </c>
      <c r="F4516" s="67" t="str">
        <f t="shared" si="12"/>
        <v>2 LeadGen Set Appointments</v>
      </c>
    </row>
    <row r="4517" hidden="1">
      <c r="A4517" s="6" t="s">
        <v>59</v>
      </c>
      <c r="B4517" s="8" t="s">
        <v>2131</v>
      </c>
      <c r="C4517" s="8" t="s">
        <v>2132</v>
      </c>
      <c r="D4517" s="9">
        <v>2.0</v>
      </c>
      <c r="E4517" s="67">
        <f t="shared" si="11"/>
        <v>500</v>
      </c>
      <c r="F4517" s="67" t="str">
        <f t="shared" si="12"/>
        <v>2 LeadGen Set Appointments</v>
      </c>
    </row>
    <row r="4518" hidden="1">
      <c r="A4518" s="6" t="s">
        <v>59</v>
      </c>
      <c r="B4518" s="8" t="s">
        <v>1493</v>
      </c>
      <c r="C4518" s="8" t="s">
        <v>1494</v>
      </c>
      <c r="D4518" s="9">
        <v>2.0</v>
      </c>
      <c r="E4518" s="67">
        <f t="shared" si="11"/>
        <v>500</v>
      </c>
      <c r="F4518" s="67" t="str">
        <f t="shared" si="12"/>
        <v>2 LeadGen Set Appointments</v>
      </c>
    </row>
    <row r="4519" hidden="1">
      <c r="A4519" s="6" t="s">
        <v>59</v>
      </c>
      <c r="B4519" s="8" t="s">
        <v>1674</v>
      </c>
      <c r="C4519" s="8" t="s">
        <v>1675</v>
      </c>
      <c r="D4519" s="9">
        <v>2.0</v>
      </c>
      <c r="E4519" s="67">
        <f t="shared" si="11"/>
        <v>500</v>
      </c>
      <c r="F4519" s="67" t="str">
        <f t="shared" si="12"/>
        <v>2 LeadGen Set Appointments</v>
      </c>
    </row>
    <row r="4520" hidden="1">
      <c r="A4520" s="6" t="s">
        <v>59</v>
      </c>
      <c r="B4520" s="8" t="s">
        <v>2165</v>
      </c>
      <c r="C4520" s="8" t="s">
        <v>2166</v>
      </c>
      <c r="D4520" s="9">
        <v>2.0</v>
      </c>
      <c r="E4520" s="67">
        <f t="shared" si="11"/>
        <v>500</v>
      </c>
      <c r="F4520" s="67" t="str">
        <f t="shared" si="12"/>
        <v>2 LeadGen Set Appointments</v>
      </c>
    </row>
    <row r="4521" hidden="1">
      <c r="A4521" s="6" t="s">
        <v>59</v>
      </c>
      <c r="B4521" s="8" t="s">
        <v>2111</v>
      </c>
      <c r="C4521" s="8" t="s">
        <v>2112</v>
      </c>
      <c r="D4521" s="9">
        <v>2.0</v>
      </c>
      <c r="E4521" s="67">
        <f t="shared" si="11"/>
        <v>500</v>
      </c>
      <c r="F4521" s="67" t="str">
        <f t="shared" si="12"/>
        <v>2 LeadGen Set Appointments</v>
      </c>
    </row>
    <row r="4522" hidden="1">
      <c r="A4522" s="6" t="s">
        <v>59</v>
      </c>
      <c r="B4522" s="8" t="s">
        <v>2167</v>
      </c>
      <c r="C4522" s="8" t="s">
        <v>2168</v>
      </c>
      <c r="D4522" s="9">
        <v>2.0</v>
      </c>
      <c r="E4522" s="67">
        <f t="shared" si="11"/>
        <v>500</v>
      </c>
      <c r="F4522" s="67" t="str">
        <f t="shared" si="12"/>
        <v>2 LeadGen Set Appointments</v>
      </c>
    </row>
    <row r="4523" hidden="1">
      <c r="A4523" s="6" t="s">
        <v>59</v>
      </c>
      <c r="B4523" s="8" t="s">
        <v>1435</v>
      </c>
      <c r="C4523" s="8" t="s">
        <v>741</v>
      </c>
      <c r="D4523" s="9">
        <v>1.0</v>
      </c>
      <c r="E4523" s="67">
        <f t="shared" si="11"/>
        <v>250</v>
      </c>
      <c r="F4523" s="67" t="str">
        <f t="shared" si="12"/>
        <v>1 LeadGen Set Appointments</v>
      </c>
    </row>
    <row r="4524" hidden="1">
      <c r="A4524" s="6" t="s">
        <v>59</v>
      </c>
      <c r="B4524" s="8" t="s">
        <v>1033</v>
      </c>
      <c r="C4524" s="8" t="s">
        <v>1034</v>
      </c>
      <c r="D4524" s="9">
        <v>1.0</v>
      </c>
      <c r="E4524" s="67">
        <f t="shared" si="11"/>
        <v>250</v>
      </c>
      <c r="F4524" s="67" t="str">
        <f t="shared" si="12"/>
        <v>1 LeadGen Set Appointments</v>
      </c>
    </row>
    <row r="4525" hidden="1">
      <c r="A4525" s="6" t="s">
        <v>59</v>
      </c>
      <c r="B4525" s="8" t="s">
        <v>900</v>
      </c>
      <c r="C4525" s="8" t="s">
        <v>901</v>
      </c>
      <c r="D4525" s="9">
        <v>1.0</v>
      </c>
      <c r="E4525" s="67">
        <f t="shared" si="11"/>
        <v>250</v>
      </c>
      <c r="F4525" s="67" t="str">
        <f t="shared" si="12"/>
        <v>1 LeadGen Set Appointments</v>
      </c>
    </row>
    <row r="4526" hidden="1">
      <c r="A4526" s="6" t="s">
        <v>59</v>
      </c>
      <c r="B4526" s="8" t="s">
        <v>2169</v>
      </c>
      <c r="C4526" s="8" t="s">
        <v>2170</v>
      </c>
      <c r="D4526" s="9">
        <v>1.0</v>
      </c>
      <c r="E4526" s="67">
        <f t="shared" si="11"/>
        <v>250</v>
      </c>
      <c r="F4526" s="67" t="str">
        <f t="shared" si="12"/>
        <v>1 LeadGen Set Appointments</v>
      </c>
    </row>
    <row r="4527" hidden="1">
      <c r="A4527" s="6" t="s">
        <v>59</v>
      </c>
      <c r="B4527" s="8" t="s">
        <v>2171</v>
      </c>
      <c r="C4527" s="8" t="s">
        <v>2172</v>
      </c>
      <c r="D4527" s="9">
        <v>1.0</v>
      </c>
      <c r="E4527" s="67">
        <f t="shared" si="11"/>
        <v>250</v>
      </c>
      <c r="F4527" s="67" t="str">
        <f t="shared" si="12"/>
        <v>1 LeadGen Set Appointments</v>
      </c>
    </row>
    <row r="4528" hidden="1">
      <c r="A4528" s="6" t="s">
        <v>59</v>
      </c>
      <c r="B4528" s="8" t="s">
        <v>2079</v>
      </c>
      <c r="C4528" s="8" t="s">
        <v>2080</v>
      </c>
      <c r="D4528" s="9">
        <v>1.0</v>
      </c>
      <c r="E4528" s="67">
        <f t="shared" si="11"/>
        <v>250</v>
      </c>
      <c r="F4528" s="67" t="str">
        <f t="shared" si="12"/>
        <v>1 LeadGen Set Appointments</v>
      </c>
    </row>
    <row r="4529" hidden="1">
      <c r="A4529" s="6" t="s">
        <v>59</v>
      </c>
      <c r="B4529" s="8" t="s">
        <v>2173</v>
      </c>
      <c r="C4529" s="8" t="s">
        <v>2174</v>
      </c>
      <c r="D4529" s="9">
        <v>1.0</v>
      </c>
      <c r="E4529" s="67">
        <f t="shared" si="11"/>
        <v>250</v>
      </c>
      <c r="F4529" s="67" t="str">
        <f t="shared" si="12"/>
        <v>1 LeadGen Set Appointments</v>
      </c>
    </row>
    <row r="4530" hidden="1">
      <c r="A4530" s="6" t="s">
        <v>59</v>
      </c>
      <c r="B4530" s="8" t="s">
        <v>2175</v>
      </c>
      <c r="C4530" s="8" t="s">
        <v>2176</v>
      </c>
      <c r="D4530" s="9">
        <v>1.0</v>
      </c>
      <c r="E4530" s="67">
        <f t="shared" si="11"/>
        <v>250</v>
      </c>
      <c r="F4530" s="67" t="str">
        <f t="shared" si="12"/>
        <v>1 LeadGen Set Appointments</v>
      </c>
    </row>
    <row r="4531" hidden="1">
      <c r="A4531" s="6" t="s">
        <v>59</v>
      </c>
      <c r="B4531" s="8" t="s">
        <v>2177</v>
      </c>
      <c r="C4531" s="8" t="s">
        <v>2178</v>
      </c>
      <c r="D4531" s="9">
        <v>1.0</v>
      </c>
      <c r="E4531" s="67">
        <f t="shared" si="11"/>
        <v>250</v>
      </c>
      <c r="F4531" s="67" t="str">
        <f t="shared" si="12"/>
        <v>1 LeadGen Set Appointments</v>
      </c>
    </row>
    <row r="4532" hidden="1">
      <c r="A4532" s="6" t="s">
        <v>59</v>
      </c>
      <c r="B4532" s="8" t="s">
        <v>1778</v>
      </c>
      <c r="C4532" s="8" t="s">
        <v>1779</v>
      </c>
      <c r="D4532" s="9">
        <v>1.0</v>
      </c>
      <c r="E4532" s="67">
        <f t="shared" si="11"/>
        <v>250</v>
      </c>
      <c r="F4532" s="67" t="str">
        <f t="shared" si="12"/>
        <v>1 LeadGen Set Appointments</v>
      </c>
    </row>
    <row r="4533" hidden="1">
      <c r="A4533" s="6" t="s">
        <v>59</v>
      </c>
      <c r="B4533" s="8" t="s">
        <v>494</v>
      </c>
      <c r="C4533" s="8" t="s">
        <v>495</v>
      </c>
      <c r="D4533" s="9">
        <v>1.0</v>
      </c>
      <c r="E4533" s="67">
        <f t="shared" si="11"/>
        <v>250</v>
      </c>
      <c r="F4533" s="67" t="str">
        <f t="shared" si="12"/>
        <v>1 LeadGen Set Appointments</v>
      </c>
    </row>
    <row r="4534" hidden="1">
      <c r="A4534" s="6" t="s">
        <v>59</v>
      </c>
      <c r="B4534" s="8" t="s">
        <v>2179</v>
      </c>
      <c r="C4534" s="8" t="s">
        <v>2180</v>
      </c>
      <c r="D4534" s="9">
        <v>1.0</v>
      </c>
      <c r="E4534" s="67">
        <f t="shared" si="11"/>
        <v>250</v>
      </c>
      <c r="F4534" s="67" t="str">
        <f t="shared" si="12"/>
        <v>1 LeadGen Set Appointments</v>
      </c>
    </row>
    <row r="4535" hidden="1">
      <c r="A4535" s="6" t="s">
        <v>59</v>
      </c>
      <c r="B4535" s="8" t="s">
        <v>2098</v>
      </c>
      <c r="C4535" s="8" t="s">
        <v>2099</v>
      </c>
      <c r="D4535" s="9">
        <v>1.0</v>
      </c>
      <c r="E4535" s="67">
        <f t="shared" si="11"/>
        <v>250</v>
      </c>
      <c r="F4535" s="67" t="str">
        <f t="shared" si="12"/>
        <v>1 LeadGen Set Appointments</v>
      </c>
    </row>
    <row r="4536" hidden="1">
      <c r="A4536" s="6" t="s">
        <v>59</v>
      </c>
      <c r="B4536" s="8" t="s">
        <v>1653</v>
      </c>
      <c r="C4536" s="8" t="s">
        <v>1654</v>
      </c>
      <c r="D4536" s="9">
        <v>1.0</v>
      </c>
      <c r="E4536" s="67">
        <f t="shared" si="11"/>
        <v>250</v>
      </c>
      <c r="F4536" s="67" t="str">
        <f t="shared" si="12"/>
        <v>1 LeadGen Set Appointments</v>
      </c>
    </row>
    <row r="4537" hidden="1">
      <c r="A4537" s="6" t="s">
        <v>59</v>
      </c>
      <c r="B4537" s="8" t="s">
        <v>1477</v>
      </c>
      <c r="C4537" s="8" t="s">
        <v>1478</v>
      </c>
      <c r="D4537" s="9">
        <v>1.0</v>
      </c>
      <c r="E4537" s="67">
        <f t="shared" si="11"/>
        <v>250</v>
      </c>
      <c r="F4537" s="67" t="str">
        <f t="shared" si="12"/>
        <v>1 LeadGen Set Appointments</v>
      </c>
    </row>
    <row r="4538" hidden="1">
      <c r="A4538" s="6" t="s">
        <v>59</v>
      </c>
      <c r="B4538" s="8" t="s">
        <v>2181</v>
      </c>
      <c r="C4538" s="8" t="s">
        <v>2182</v>
      </c>
      <c r="D4538" s="9">
        <v>1.0</v>
      </c>
      <c r="E4538" s="67">
        <f t="shared" si="11"/>
        <v>250</v>
      </c>
      <c r="F4538" s="67" t="str">
        <f t="shared" si="12"/>
        <v>1 LeadGen Set Appointments</v>
      </c>
    </row>
    <row r="4539" hidden="1">
      <c r="A4539" s="6" t="s">
        <v>59</v>
      </c>
      <c r="B4539" s="8" t="s">
        <v>1051</v>
      </c>
      <c r="C4539" s="8" t="s">
        <v>1052</v>
      </c>
      <c r="D4539" s="9">
        <v>1.0</v>
      </c>
      <c r="E4539" s="67">
        <f t="shared" si="11"/>
        <v>250</v>
      </c>
      <c r="F4539" s="67" t="str">
        <f t="shared" si="12"/>
        <v>1 LeadGen Set Appointments</v>
      </c>
    </row>
    <row r="4540" hidden="1">
      <c r="A4540" s="6" t="s">
        <v>59</v>
      </c>
      <c r="B4540" s="8" t="s">
        <v>2183</v>
      </c>
      <c r="C4540" s="8" t="s">
        <v>2184</v>
      </c>
      <c r="D4540" s="9">
        <v>1.0</v>
      </c>
      <c r="E4540" s="67">
        <f t="shared" si="11"/>
        <v>250</v>
      </c>
      <c r="F4540" s="67" t="str">
        <f t="shared" si="12"/>
        <v>1 LeadGen Set Appointments</v>
      </c>
    </row>
    <row r="4541" hidden="1">
      <c r="A4541" s="6" t="s">
        <v>59</v>
      </c>
      <c r="B4541" s="8" t="s">
        <v>2185</v>
      </c>
      <c r="C4541" s="8" t="s">
        <v>2186</v>
      </c>
      <c r="D4541" s="9">
        <v>1.0</v>
      </c>
      <c r="E4541" s="67">
        <f t="shared" si="11"/>
        <v>250</v>
      </c>
      <c r="F4541" s="67" t="str">
        <f t="shared" si="12"/>
        <v>1 LeadGen Set Appointments</v>
      </c>
    </row>
    <row r="4542" hidden="1">
      <c r="A4542" s="6" t="s">
        <v>59</v>
      </c>
      <c r="B4542" s="8" t="s">
        <v>1929</v>
      </c>
      <c r="C4542" s="8" t="s">
        <v>1930</v>
      </c>
      <c r="D4542" s="9">
        <v>1.0</v>
      </c>
      <c r="E4542" s="67">
        <f t="shared" si="11"/>
        <v>250</v>
      </c>
      <c r="F4542" s="67" t="str">
        <f t="shared" si="12"/>
        <v>1 LeadGen Set Appointments</v>
      </c>
    </row>
    <row r="4543" hidden="1">
      <c r="A4543" s="6" t="s">
        <v>59</v>
      </c>
      <c r="B4543" s="8" t="s">
        <v>2187</v>
      </c>
      <c r="C4543" s="8" t="s">
        <v>2188</v>
      </c>
      <c r="D4543" s="9">
        <v>1.0</v>
      </c>
      <c r="E4543" s="67">
        <f t="shared" si="11"/>
        <v>250</v>
      </c>
      <c r="F4543" s="67" t="str">
        <f t="shared" si="12"/>
        <v>1 LeadGen Set Appointments</v>
      </c>
    </row>
    <row r="4544" hidden="1">
      <c r="A4544" s="6" t="s">
        <v>59</v>
      </c>
      <c r="B4544" s="8" t="s">
        <v>2189</v>
      </c>
      <c r="C4544" s="8" t="s">
        <v>2190</v>
      </c>
      <c r="D4544" s="9">
        <v>1.0</v>
      </c>
      <c r="E4544" s="67">
        <f t="shared" si="11"/>
        <v>250</v>
      </c>
      <c r="F4544" s="67" t="str">
        <f t="shared" si="12"/>
        <v>1 LeadGen Set Appointments</v>
      </c>
    </row>
    <row r="4545" hidden="1">
      <c r="A4545" s="6" t="s">
        <v>59</v>
      </c>
      <c r="B4545" s="8" t="s">
        <v>2191</v>
      </c>
      <c r="C4545" s="8" t="s">
        <v>2192</v>
      </c>
      <c r="D4545" s="9">
        <v>4.0</v>
      </c>
      <c r="E4545" s="67">
        <f t="shared" si="11"/>
        <v>1000</v>
      </c>
      <c r="F4545" s="67" t="str">
        <f t="shared" si="12"/>
        <v>4 LeadGen Set Appointments</v>
      </c>
    </row>
    <row r="4546" hidden="1">
      <c r="A4546" s="6" t="s">
        <v>59</v>
      </c>
      <c r="B4546" s="8" t="s">
        <v>2193</v>
      </c>
      <c r="C4546" s="8" t="s">
        <v>2194</v>
      </c>
      <c r="D4546" s="9">
        <v>4.0</v>
      </c>
      <c r="E4546" s="67">
        <f t="shared" si="11"/>
        <v>1000</v>
      </c>
      <c r="F4546" s="67" t="str">
        <f t="shared" si="12"/>
        <v>4 LeadGen Set Appointments</v>
      </c>
    </row>
    <row r="4547" hidden="1">
      <c r="A4547" s="6" t="s">
        <v>59</v>
      </c>
      <c r="B4547" s="8" t="s">
        <v>2195</v>
      </c>
      <c r="C4547" s="8" t="s">
        <v>2196</v>
      </c>
      <c r="D4547" s="9">
        <v>2.0</v>
      </c>
      <c r="E4547" s="67">
        <f t="shared" si="11"/>
        <v>500</v>
      </c>
      <c r="F4547" s="67" t="str">
        <f t="shared" si="12"/>
        <v>2 LeadGen Set Appointments</v>
      </c>
    </row>
    <row r="4548" hidden="1">
      <c r="A4548" s="6" t="s">
        <v>59</v>
      </c>
      <c r="B4548" s="8" t="s">
        <v>2197</v>
      </c>
      <c r="C4548" s="8" t="s">
        <v>2198</v>
      </c>
      <c r="D4548" s="9">
        <v>2.0</v>
      </c>
      <c r="E4548" s="67">
        <f t="shared" si="11"/>
        <v>500</v>
      </c>
      <c r="F4548" s="67" t="str">
        <f t="shared" si="12"/>
        <v>2 LeadGen Set Appointments</v>
      </c>
    </row>
    <row r="4549" hidden="1">
      <c r="A4549" s="40" t="s">
        <v>62</v>
      </c>
      <c r="B4549" s="77" t="s">
        <v>476</v>
      </c>
      <c r="C4549" s="77" t="s">
        <v>477</v>
      </c>
      <c r="D4549" s="78">
        <v>25.0</v>
      </c>
      <c r="E4549" s="79">
        <f t="shared" ref="E4549:E4560" si="13">D4549*500</f>
        <v>12500</v>
      </c>
      <c r="F4549" s="79" t="str">
        <f t="shared" si="12"/>
        <v>25 LeadGen Set Appointments</v>
      </c>
    </row>
    <row r="4550" hidden="1">
      <c r="A4550" s="40" t="s">
        <v>62</v>
      </c>
      <c r="B4550" s="77" t="s">
        <v>1025</v>
      </c>
      <c r="C4550" s="77" t="s">
        <v>1026</v>
      </c>
      <c r="D4550" s="78">
        <v>13.0</v>
      </c>
      <c r="E4550" s="79">
        <f t="shared" si="13"/>
        <v>6500</v>
      </c>
      <c r="F4550" s="79" t="str">
        <f t="shared" si="12"/>
        <v>13 LeadGen Set Appointments</v>
      </c>
    </row>
    <row r="4551" hidden="1">
      <c r="A4551" s="40" t="s">
        <v>62</v>
      </c>
      <c r="B4551" s="77" t="s">
        <v>411</v>
      </c>
      <c r="C4551" s="77" t="s">
        <v>412</v>
      </c>
      <c r="D4551" s="78">
        <v>11.0</v>
      </c>
      <c r="E4551" s="79">
        <f t="shared" si="13"/>
        <v>5500</v>
      </c>
      <c r="F4551" s="79" t="str">
        <f t="shared" si="12"/>
        <v>11 LeadGen Set Appointments</v>
      </c>
    </row>
    <row r="4552" hidden="1">
      <c r="A4552" s="40" t="s">
        <v>62</v>
      </c>
      <c r="B4552" s="77" t="s">
        <v>644</v>
      </c>
      <c r="C4552" s="77" t="s">
        <v>645</v>
      </c>
      <c r="D4552" s="78">
        <v>10.0</v>
      </c>
      <c r="E4552" s="79">
        <f t="shared" si="13"/>
        <v>5000</v>
      </c>
      <c r="F4552" s="79" t="str">
        <f t="shared" si="12"/>
        <v>10 LeadGen Set Appointments</v>
      </c>
    </row>
    <row r="4553" hidden="1">
      <c r="A4553" s="40" t="s">
        <v>62</v>
      </c>
      <c r="B4553" s="77" t="s">
        <v>1557</v>
      </c>
      <c r="C4553" s="77" t="s">
        <v>1558</v>
      </c>
      <c r="D4553" s="78">
        <v>10.0</v>
      </c>
      <c r="E4553" s="79">
        <f t="shared" si="13"/>
        <v>5000</v>
      </c>
      <c r="F4553" s="79" t="str">
        <f t="shared" si="12"/>
        <v>10 LeadGen Set Appointments</v>
      </c>
    </row>
    <row r="4554" hidden="1">
      <c r="A4554" s="40" t="s">
        <v>62</v>
      </c>
      <c r="B4554" s="77" t="s">
        <v>540</v>
      </c>
      <c r="C4554" s="77" t="s">
        <v>1454</v>
      </c>
      <c r="D4554" s="78">
        <v>10.0</v>
      </c>
      <c r="E4554" s="79">
        <f t="shared" si="13"/>
        <v>5000</v>
      </c>
      <c r="F4554" s="79" t="str">
        <f t="shared" si="12"/>
        <v>10 LeadGen Set Appointments</v>
      </c>
    </row>
    <row r="4555" hidden="1">
      <c r="A4555" s="40" t="s">
        <v>62</v>
      </c>
      <c r="B4555" s="77" t="s">
        <v>699</v>
      </c>
      <c r="C4555" s="77" t="s">
        <v>700</v>
      </c>
      <c r="D4555" s="78">
        <v>10.0</v>
      </c>
      <c r="E4555" s="79">
        <f t="shared" si="13"/>
        <v>5000</v>
      </c>
      <c r="F4555" s="79" t="str">
        <f t="shared" si="12"/>
        <v>10 LeadGen Set Appointments</v>
      </c>
    </row>
    <row r="4556" hidden="1">
      <c r="A4556" s="40" t="s">
        <v>62</v>
      </c>
      <c r="B4556" s="77" t="s">
        <v>1471</v>
      </c>
      <c r="C4556" s="77" t="s">
        <v>1472</v>
      </c>
      <c r="D4556" s="78">
        <v>9.0</v>
      </c>
      <c r="E4556" s="79">
        <f t="shared" si="13"/>
        <v>4500</v>
      </c>
      <c r="F4556" s="79" t="str">
        <f t="shared" si="12"/>
        <v>9 LeadGen Set Appointments</v>
      </c>
    </row>
    <row r="4557" hidden="1">
      <c r="A4557" s="40" t="s">
        <v>62</v>
      </c>
      <c r="B4557" s="80" t="s">
        <v>1455</v>
      </c>
      <c r="C4557" s="80" t="s">
        <v>1456</v>
      </c>
      <c r="D4557" s="81">
        <v>8.0</v>
      </c>
      <c r="E4557" s="82">
        <f t="shared" si="13"/>
        <v>4000</v>
      </c>
      <c r="F4557" s="82" t="str">
        <f t="shared" si="12"/>
        <v>8 LeadGen Set Appointments</v>
      </c>
    </row>
    <row r="4558" hidden="1">
      <c r="A4558" s="40" t="s">
        <v>62</v>
      </c>
      <c r="B4558" s="80" t="s">
        <v>1927</v>
      </c>
      <c r="C4558" s="80" t="s">
        <v>1928</v>
      </c>
      <c r="D4558" s="81">
        <v>8.0</v>
      </c>
      <c r="E4558" s="82">
        <f t="shared" si="13"/>
        <v>4000</v>
      </c>
      <c r="F4558" s="82" t="str">
        <f t="shared" si="12"/>
        <v>8 LeadGen Set Appointments</v>
      </c>
    </row>
    <row r="4559" hidden="1">
      <c r="A4559" s="40" t="s">
        <v>62</v>
      </c>
      <c r="B4559" s="80" t="s">
        <v>1461</v>
      </c>
      <c r="C4559" s="80" t="s">
        <v>1462</v>
      </c>
      <c r="D4559" s="81">
        <v>8.0</v>
      </c>
      <c r="E4559" s="82">
        <f t="shared" si="13"/>
        <v>4000</v>
      </c>
      <c r="F4559" s="82" t="str">
        <f t="shared" si="12"/>
        <v>8 LeadGen Set Appointments</v>
      </c>
    </row>
    <row r="4560" hidden="1">
      <c r="A4560" s="40" t="s">
        <v>62</v>
      </c>
      <c r="B4560" s="77" t="s">
        <v>1426</v>
      </c>
      <c r="C4560" s="77" t="s">
        <v>1427</v>
      </c>
      <c r="D4560" s="78">
        <v>8.0</v>
      </c>
      <c r="E4560" s="79">
        <f t="shared" si="13"/>
        <v>4000</v>
      </c>
      <c r="F4560" s="79" t="str">
        <f t="shared" si="12"/>
        <v>8 LeadGen Set Appointments</v>
      </c>
    </row>
    <row r="4561" hidden="1">
      <c r="A4561" s="6" t="s">
        <v>62</v>
      </c>
      <c r="B4561" s="8" t="s">
        <v>1459</v>
      </c>
      <c r="C4561" s="8" t="s">
        <v>1460</v>
      </c>
      <c r="D4561" s="9">
        <v>7.0</v>
      </c>
      <c r="E4561" s="67">
        <f t="shared" ref="E4561:E4700" si="14">IF(D4561&lt;10, D4561*250, D4561*500)</f>
        <v>1750</v>
      </c>
      <c r="F4561" s="67" t="str">
        <f t="shared" si="12"/>
        <v>7 LeadGen Set Appointments</v>
      </c>
    </row>
    <row r="4562" hidden="1">
      <c r="A4562" s="6" t="s">
        <v>62</v>
      </c>
      <c r="B4562" s="8" t="s">
        <v>1653</v>
      </c>
      <c r="C4562" s="8" t="s">
        <v>1654</v>
      </c>
      <c r="D4562" s="9">
        <v>7.0</v>
      </c>
      <c r="E4562" s="67">
        <f t="shared" si="14"/>
        <v>1750</v>
      </c>
      <c r="F4562" s="67" t="str">
        <f t="shared" si="12"/>
        <v>7 LeadGen Set Appointments</v>
      </c>
    </row>
    <row r="4563" hidden="1">
      <c r="A4563" s="6" t="s">
        <v>62</v>
      </c>
      <c r="B4563" s="8" t="s">
        <v>510</v>
      </c>
      <c r="C4563" s="8" t="s">
        <v>511</v>
      </c>
      <c r="D4563" s="9">
        <v>7.0</v>
      </c>
      <c r="E4563" s="67">
        <f t="shared" si="14"/>
        <v>1750</v>
      </c>
      <c r="F4563" s="67" t="str">
        <f t="shared" si="12"/>
        <v>7 LeadGen Set Appointments</v>
      </c>
    </row>
    <row r="4564" hidden="1">
      <c r="A4564" s="6" t="s">
        <v>62</v>
      </c>
      <c r="B4564" s="8" t="s">
        <v>744</v>
      </c>
      <c r="C4564" s="8" t="s">
        <v>745</v>
      </c>
      <c r="D4564" s="9">
        <v>6.0</v>
      </c>
      <c r="E4564" s="67">
        <f t="shared" si="14"/>
        <v>1500</v>
      </c>
      <c r="F4564" s="67" t="str">
        <f t="shared" si="12"/>
        <v>6 LeadGen Set Appointments</v>
      </c>
    </row>
    <row r="4565" hidden="1">
      <c r="A4565" s="6" t="s">
        <v>62</v>
      </c>
      <c r="B4565" s="8" t="s">
        <v>640</v>
      </c>
      <c r="C4565" s="8" t="s">
        <v>641</v>
      </c>
      <c r="D4565" s="9">
        <v>6.0</v>
      </c>
      <c r="E4565" s="67">
        <f t="shared" si="14"/>
        <v>1500</v>
      </c>
      <c r="F4565" s="67" t="str">
        <f t="shared" si="12"/>
        <v>6 LeadGen Set Appointments</v>
      </c>
    </row>
    <row r="4566" hidden="1">
      <c r="A4566" s="6" t="s">
        <v>62</v>
      </c>
      <c r="B4566" s="8" t="s">
        <v>1415</v>
      </c>
      <c r="C4566" s="8" t="s">
        <v>1416</v>
      </c>
      <c r="D4566" s="9">
        <v>6.0</v>
      </c>
      <c r="E4566" s="67">
        <f t="shared" si="14"/>
        <v>1500</v>
      </c>
      <c r="F4566" s="67" t="str">
        <f t="shared" si="12"/>
        <v>6 LeadGen Set Appointments</v>
      </c>
    </row>
    <row r="4567" hidden="1">
      <c r="A4567" s="6" t="s">
        <v>62</v>
      </c>
      <c r="B4567" s="8" t="s">
        <v>1891</v>
      </c>
      <c r="C4567" s="8" t="s">
        <v>1892</v>
      </c>
      <c r="D4567" s="9">
        <v>6.0</v>
      </c>
      <c r="E4567" s="67">
        <f t="shared" si="14"/>
        <v>1500</v>
      </c>
      <c r="F4567" s="67" t="str">
        <f t="shared" si="12"/>
        <v>6 LeadGen Set Appointments</v>
      </c>
    </row>
    <row r="4568" hidden="1">
      <c r="A4568" s="6" t="s">
        <v>62</v>
      </c>
      <c r="B4568" s="8" t="s">
        <v>518</v>
      </c>
      <c r="C4568" s="8" t="s">
        <v>519</v>
      </c>
      <c r="D4568" s="9">
        <v>6.0</v>
      </c>
      <c r="E4568" s="67">
        <f t="shared" si="14"/>
        <v>1500</v>
      </c>
      <c r="F4568" s="67" t="str">
        <f t="shared" si="12"/>
        <v>6 LeadGen Set Appointments</v>
      </c>
    </row>
    <row r="4569" hidden="1">
      <c r="A4569" s="6" t="s">
        <v>62</v>
      </c>
      <c r="B4569" s="8" t="s">
        <v>1909</v>
      </c>
      <c r="C4569" s="8" t="s">
        <v>1910</v>
      </c>
      <c r="D4569" s="9">
        <v>6.0</v>
      </c>
      <c r="E4569" s="67">
        <f t="shared" si="14"/>
        <v>1500</v>
      </c>
      <c r="F4569" s="67" t="str">
        <f t="shared" si="12"/>
        <v>6 LeadGen Set Appointments</v>
      </c>
    </row>
    <row r="4570" hidden="1">
      <c r="A4570" s="6" t="s">
        <v>62</v>
      </c>
      <c r="B4570" s="8" t="s">
        <v>624</v>
      </c>
      <c r="C4570" s="8" t="s">
        <v>625</v>
      </c>
      <c r="D4570" s="9">
        <v>6.0</v>
      </c>
      <c r="E4570" s="67">
        <f t="shared" si="14"/>
        <v>1500</v>
      </c>
      <c r="F4570" s="67" t="str">
        <f t="shared" si="12"/>
        <v>6 LeadGen Set Appointments</v>
      </c>
    </row>
    <row r="4571" hidden="1">
      <c r="A4571" s="6" t="s">
        <v>62</v>
      </c>
      <c r="B4571" s="8" t="s">
        <v>435</v>
      </c>
      <c r="C4571" s="8" t="s">
        <v>436</v>
      </c>
      <c r="D4571" s="9">
        <v>6.0</v>
      </c>
      <c r="E4571" s="67">
        <f t="shared" si="14"/>
        <v>1500</v>
      </c>
      <c r="F4571" s="67" t="str">
        <f t="shared" si="12"/>
        <v>6 LeadGen Set Appointments</v>
      </c>
    </row>
    <row r="4572" hidden="1">
      <c r="A4572" s="6" t="s">
        <v>62</v>
      </c>
      <c r="B4572" s="8" t="s">
        <v>1861</v>
      </c>
      <c r="C4572" s="8" t="s">
        <v>1862</v>
      </c>
      <c r="D4572" s="9">
        <v>5.0</v>
      </c>
      <c r="E4572" s="67">
        <f t="shared" si="14"/>
        <v>1250</v>
      </c>
      <c r="F4572" s="67" t="str">
        <f t="shared" si="12"/>
        <v>5 LeadGen Set Appointments</v>
      </c>
    </row>
    <row r="4573" hidden="1">
      <c r="A4573" s="6" t="s">
        <v>62</v>
      </c>
      <c r="B4573" s="8" t="s">
        <v>2145</v>
      </c>
      <c r="C4573" s="8" t="s">
        <v>2146</v>
      </c>
      <c r="D4573" s="9">
        <v>5.0</v>
      </c>
      <c r="E4573" s="67">
        <f t="shared" si="14"/>
        <v>1250</v>
      </c>
      <c r="F4573" s="67" t="str">
        <f t="shared" si="12"/>
        <v>5 LeadGen Set Appointments</v>
      </c>
    </row>
    <row r="4574" hidden="1">
      <c r="A4574" s="6" t="s">
        <v>62</v>
      </c>
      <c r="B4574" s="8" t="s">
        <v>1583</v>
      </c>
      <c r="C4574" s="8" t="s">
        <v>1584</v>
      </c>
      <c r="D4574" s="9">
        <v>5.0</v>
      </c>
      <c r="E4574" s="67">
        <f t="shared" si="14"/>
        <v>1250</v>
      </c>
      <c r="F4574" s="67" t="str">
        <f t="shared" si="12"/>
        <v>5 LeadGen Set Appointments</v>
      </c>
    </row>
    <row r="4575" hidden="1">
      <c r="A4575" s="6" t="s">
        <v>62</v>
      </c>
      <c r="B4575" s="8" t="s">
        <v>2147</v>
      </c>
      <c r="C4575" s="8" t="s">
        <v>2148</v>
      </c>
      <c r="D4575" s="9">
        <v>5.0</v>
      </c>
      <c r="E4575" s="67">
        <f t="shared" si="14"/>
        <v>1250</v>
      </c>
      <c r="F4575" s="67" t="str">
        <f t="shared" si="12"/>
        <v>5 LeadGen Set Appointments</v>
      </c>
    </row>
    <row r="4576" hidden="1">
      <c r="A4576" s="6" t="s">
        <v>62</v>
      </c>
      <c r="B4576" s="8" t="s">
        <v>2191</v>
      </c>
      <c r="C4576" s="8" t="s">
        <v>2192</v>
      </c>
      <c r="D4576" s="9">
        <v>5.0</v>
      </c>
      <c r="E4576" s="67">
        <f t="shared" si="14"/>
        <v>1250</v>
      </c>
      <c r="F4576" s="67" t="str">
        <f t="shared" si="12"/>
        <v>5 LeadGen Set Appointments</v>
      </c>
    </row>
    <row r="4577" hidden="1">
      <c r="A4577" s="6" t="s">
        <v>62</v>
      </c>
      <c r="B4577" s="8" t="s">
        <v>1510</v>
      </c>
      <c r="C4577" s="8" t="s">
        <v>1511</v>
      </c>
      <c r="D4577" s="9">
        <v>5.0</v>
      </c>
      <c r="E4577" s="67">
        <f t="shared" si="14"/>
        <v>1250</v>
      </c>
      <c r="F4577" s="67" t="str">
        <f t="shared" si="12"/>
        <v>5 LeadGen Set Appointments</v>
      </c>
    </row>
    <row r="4578" hidden="1">
      <c r="A4578" s="6" t="s">
        <v>62</v>
      </c>
      <c r="B4578" s="8" t="s">
        <v>1489</v>
      </c>
      <c r="C4578" s="8" t="s">
        <v>1490</v>
      </c>
      <c r="D4578" s="9">
        <v>5.0</v>
      </c>
      <c r="E4578" s="67">
        <f t="shared" si="14"/>
        <v>1250</v>
      </c>
      <c r="F4578" s="67" t="str">
        <f t="shared" si="12"/>
        <v>5 LeadGen Set Appointments</v>
      </c>
    </row>
    <row r="4579" hidden="1">
      <c r="A4579" s="6" t="s">
        <v>62</v>
      </c>
      <c r="B4579" s="8" t="s">
        <v>1325</v>
      </c>
      <c r="C4579" s="8" t="s">
        <v>1326</v>
      </c>
      <c r="D4579" s="9">
        <v>5.0</v>
      </c>
      <c r="E4579" s="67">
        <f t="shared" si="14"/>
        <v>1250</v>
      </c>
      <c r="F4579" s="67" t="str">
        <f t="shared" si="12"/>
        <v>5 LeadGen Set Appointments</v>
      </c>
    </row>
    <row r="4580" hidden="1">
      <c r="A4580" s="6" t="s">
        <v>62</v>
      </c>
      <c r="B4580" s="8" t="s">
        <v>572</v>
      </c>
      <c r="C4580" s="8" t="s">
        <v>573</v>
      </c>
      <c r="D4580" s="9">
        <v>5.0</v>
      </c>
      <c r="E4580" s="67">
        <f t="shared" si="14"/>
        <v>1250</v>
      </c>
      <c r="F4580" s="67" t="str">
        <f t="shared" si="12"/>
        <v>5 LeadGen Set Appointments</v>
      </c>
    </row>
    <row r="4581" hidden="1">
      <c r="A4581" s="6" t="s">
        <v>62</v>
      </c>
      <c r="B4581" s="8" t="s">
        <v>626</v>
      </c>
      <c r="C4581" s="8" t="s">
        <v>627</v>
      </c>
      <c r="D4581" s="9">
        <v>5.0</v>
      </c>
      <c r="E4581" s="67">
        <f t="shared" si="14"/>
        <v>1250</v>
      </c>
      <c r="F4581" s="67" t="str">
        <f t="shared" si="12"/>
        <v>5 LeadGen Set Appointments</v>
      </c>
    </row>
    <row r="4582" hidden="1">
      <c r="A4582" s="6" t="s">
        <v>62</v>
      </c>
      <c r="B4582" s="8" t="s">
        <v>242</v>
      </c>
      <c r="C4582" s="8" t="s">
        <v>1887</v>
      </c>
      <c r="D4582" s="9">
        <v>5.0</v>
      </c>
      <c r="E4582" s="67">
        <f t="shared" si="14"/>
        <v>1250</v>
      </c>
      <c r="F4582" s="67" t="str">
        <f t="shared" si="12"/>
        <v>5 LeadGen Set Appointments</v>
      </c>
    </row>
    <row r="4583" hidden="1">
      <c r="A4583" s="6" t="s">
        <v>62</v>
      </c>
      <c r="B4583" s="8" t="s">
        <v>1491</v>
      </c>
      <c r="C4583" s="8" t="s">
        <v>1492</v>
      </c>
      <c r="D4583" s="9">
        <v>5.0</v>
      </c>
      <c r="E4583" s="67">
        <f t="shared" si="14"/>
        <v>1250</v>
      </c>
      <c r="F4583" s="67" t="str">
        <f t="shared" si="12"/>
        <v>5 LeadGen Set Appointments</v>
      </c>
    </row>
    <row r="4584" hidden="1">
      <c r="A4584" s="6" t="s">
        <v>62</v>
      </c>
      <c r="B4584" s="8" t="s">
        <v>2199</v>
      </c>
      <c r="C4584" s="8" t="s">
        <v>2200</v>
      </c>
      <c r="D4584" s="9">
        <v>5.0</v>
      </c>
      <c r="E4584" s="67">
        <f t="shared" si="14"/>
        <v>1250</v>
      </c>
      <c r="F4584" s="67" t="str">
        <f t="shared" si="12"/>
        <v>5 LeadGen Set Appointments</v>
      </c>
    </row>
    <row r="4585" hidden="1">
      <c r="A4585" s="6" t="s">
        <v>62</v>
      </c>
      <c r="B4585" s="8" t="s">
        <v>532</v>
      </c>
      <c r="C4585" s="8" t="s">
        <v>533</v>
      </c>
      <c r="D4585" s="9">
        <v>5.0</v>
      </c>
      <c r="E4585" s="67">
        <f t="shared" si="14"/>
        <v>1250</v>
      </c>
      <c r="F4585" s="67" t="str">
        <f t="shared" si="12"/>
        <v>5 LeadGen Set Appointments</v>
      </c>
    </row>
    <row r="4586" hidden="1">
      <c r="A4586" s="6" t="s">
        <v>62</v>
      </c>
      <c r="B4586" s="8" t="s">
        <v>1825</v>
      </c>
      <c r="C4586" s="8" t="s">
        <v>1826</v>
      </c>
      <c r="D4586" s="9">
        <v>5.0</v>
      </c>
      <c r="E4586" s="67">
        <f t="shared" si="14"/>
        <v>1250</v>
      </c>
      <c r="F4586" s="67" t="str">
        <f t="shared" si="12"/>
        <v>5 LeadGen Set Appointments</v>
      </c>
    </row>
    <row r="4587" hidden="1">
      <c r="A4587" s="6" t="s">
        <v>62</v>
      </c>
      <c r="B4587" s="8" t="s">
        <v>1716</v>
      </c>
      <c r="C4587" s="8" t="s">
        <v>30</v>
      </c>
      <c r="D4587" s="9">
        <v>5.0</v>
      </c>
      <c r="E4587" s="67">
        <f t="shared" si="14"/>
        <v>1250</v>
      </c>
      <c r="F4587" s="67" t="str">
        <f t="shared" si="12"/>
        <v>5 LeadGen Set Appointments</v>
      </c>
    </row>
    <row r="4588" hidden="1">
      <c r="A4588" s="6" t="s">
        <v>62</v>
      </c>
      <c r="B4588" s="8" t="s">
        <v>766</v>
      </c>
      <c r="C4588" s="8" t="s">
        <v>767</v>
      </c>
      <c r="D4588" s="9">
        <v>5.0</v>
      </c>
      <c r="E4588" s="67">
        <f t="shared" si="14"/>
        <v>1250</v>
      </c>
      <c r="F4588" s="67" t="str">
        <f t="shared" si="12"/>
        <v>5 LeadGen Set Appointments</v>
      </c>
    </row>
    <row r="4589" hidden="1">
      <c r="A4589" s="6" t="s">
        <v>62</v>
      </c>
      <c r="B4589" s="8" t="s">
        <v>746</v>
      </c>
      <c r="C4589" s="8" t="s">
        <v>747</v>
      </c>
      <c r="D4589" s="9">
        <v>5.0</v>
      </c>
      <c r="E4589" s="67">
        <f t="shared" si="14"/>
        <v>1250</v>
      </c>
      <c r="F4589" s="67" t="str">
        <f t="shared" si="12"/>
        <v>5 LeadGen Set Appointments</v>
      </c>
    </row>
    <row r="4590" hidden="1">
      <c r="A4590" s="6" t="s">
        <v>62</v>
      </c>
      <c r="B4590" s="8" t="s">
        <v>736</v>
      </c>
      <c r="C4590" s="8" t="s">
        <v>737</v>
      </c>
      <c r="D4590" s="9">
        <v>4.0</v>
      </c>
      <c r="E4590" s="67">
        <f t="shared" si="14"/>
        <v>1000</v>
      </c>
      <c r="F4590" s="67" t="str">
        <f t="shared" si="12"/>
        <v>4 LeadGen Set Appointments</v>
      </c>
    </row>
    <row r="4591" hidden="1">
      <c r="A4591" s="6" t="s">
        <v>62</v>
      </c>
      <c r="B4591" s="8" t="s">
        <v>546</v>
      </c>
      <c r="C4591" s="8" t="s">
        <v>547</v>
      </c>
      <c r="D4591" s="9">
        <v>4.0</v>
      </c>
      <c r="E4591" s="67">
        <f t="shared" si="14"/>
        <v>1000</v>
      </c>
      <c r="F4591" s="67" t="str">
        <f t="shared" si="12"/>
        <v>4 LeadGen Set Appointments</v>
      </c>
    </row>
    <row r="4592" hidden="1">
      <c r="A4592" s="6" t="s">
        <v>62</v>
      </c>
      <c r="B4592" s="8" t="s">
        <v>684</v>
      </c>
      <c r="C4592" s="8" t="s">
        <v>685</v>
      </c>
      <c r="D4592" s="9">
        <v>4.0</v>
      </c>
      <c r="E4592" s="67">
        <f t="shared" si="14"/>
        <v>1000</v>
      </c>
      <c r="F4592" s="67" t="str">
        <f t="shared" si="12"/>
        <v>4 LeadGen Set Appointments</v>
      </c>
    </row>
    <row r="4593" hidden="1">
      <c r="A4593" s="6" t="s">
        <v>62</v>
      </c>
      <c r="B4593" s="8" t="s">
        <v>752</v>
      </c>
      <c r="C4593" s="8" t="s">
        <v>753</v>
      </c>
      <c r="D4593" s="9">
        <v>4.0</v>
      </c>
      <c r="E4593" s="67">
        <f t="shared" si="14"/>
        <v>1000</v>
      </c>
      <c r="F4593" s="67" t="str">
        <f t="shared" si="12"/>
        <v>4 LeadGen Set Appointments</v>
      </c>
    </row>
    <row r="4594" hidden="1">
      <c r="A4594" s="6" t="s">
        <v>62</v>
      </c>
      <c r="B4594" s="8" t="s">
        <v>1508</v>
      </c>
      <c r="C4594" s="8" t="s">
        <v>1509</v>
      </c>
      <c r="D4594" s="9">
        <v>4.0</v>
      </c>
      <c r="E4594" s="67">
        <f t="shared" si="14"/>
        <v>1000</v>
      </c>
      <c r="F4594" s="67" t="str">
        <f t="shared" si="12"/>
        <v>4 LeadGen Set Appointments</v>
      </c>
    </row>
    <row r="4595" hidden="1">
      <c r="A4595" s="6" t="s">
        <v>62</v>
      </c>
      <c r="B4595" s="8" t="s">
        <v>1512</v>
      </c>
      <c r="C4595" s="8" t="s">
        <v>1513</v>
      </c>
      <c r="D4595" s="9">
        <v>4.0</v>
      </c>
      <c r="E4595" s="67">
        <f t="shared" si="14"/>
        <v>1000</v>
      </c>
      <c r="F4595" s="67" t="str">
        <f t="shared" si="12"/>
        <v>4 LeadGen Set Appointments</v>
      </c>
    </row>
    <row r="4596" hidden="1">
      <c r="A4596" s="6" t="s">
        <v>62</v>
      </c>
      <c r="B4596" s="8" t="s">
        <v>693</v>
      </c>
      <c r="C4596" s="8" t="s">
        <v>694</v>
      </c>
      <c r="D4596" s="9">
        <v>4.0</v>
      </c>
      <c r="E4596" s="67">
        <f t="shared" si="14"/>
        <v>1000</v>
      </c>
      <c r="F4596" s="67" t="str">
        <f t="shared" si="12"/>
        <v>4 LeadGen Set Appointments</v>
      </c>
    </row>
    <row r="4597" hidden="1">
      <c r="A4597" s="6" t="s">
        <v>62</v>
      </c>
      <c r="B4597" s="8" t="s">
        <v>486</v>
      </c>
      <c r="C4597" s="8" t="s">
        <v>487</v>
      </c>
      <c r="D4597" s="9">
        <v>4.0</v>
      </c>
      <c r="E4597" s="67">
        <f t="shared" si="14"/>
        <v>1000</v>
      </c>
      <c r="F4597" s="67" t="str">
        <f t="shared" si="12"/>
        <v>4 LeadGen Set Appointments</v>
      </c>
    </row>
    <row r="4598" hidden="1">
      <c r="A4598" s="6" t="s">
        <v>62</v>
      </c>
      <c r="B4598" s="8" t="s">
        <v>1724</v>
      </c>
      <c r="C4598" s="8" t="s">
        <v>1725</v>
      </c>
      <c r="D4598" s="9">
        <v>4.0</v>
      </c>
      <c r="E4598" s="67">
        <f t="shared" si="14"/>
        <v>1000</v>
      </c>
      <c r="F4598" s="67" t="str">
        <f t="shared" si="12"/>
        <v>4 LeadGen Set Appointments</v>
      </c>
    </row>
    <row r="4599" hidden="1">
      <c r="A4599" s="6" t="s">
        <v>62</v>
      </c>
      <c r="B4599" s="8" t="s">
        <v>1421</v>
      </c>
      <c r="C4599" s="8" t="s">
        <v>712</v>
      </c>
      <c r="D4599" s="9">
        <v>4.0</v>
      </c>
      <c r="E4599" s="67">
        <f t="shared" si="14"/>
        <v>1000</v>
      </c>
      <c r="F4599" s="67" t="str">
        <f t="shared" si="12"/>
        <v>4 LeadGen Set Appointments</v>
      </c>
    </row>
    <row r="4600" hidden="1">
      <c r="A4600" s="6" t="s">
        <v>62</v>
      </c>
      <c r="B4600" s="8" t="s">
        <v>2195</v>
      </c>
      <c r="C4600" s="8" t="s">
        <v>2196</v>
      </c>
      <c r="D4600" s="9">
        <v>4.0</v>
      </c>
      <c r="E4600" s="67">
        <f t="shared" si="14"/>
        <v>1000</v>
      </c>
      <c r="F4600" s="67" t="str">
        <f t="shared" si="12"/>
        <v>4 LeadGen Set Appointments</v>
      </c>
    </row>
    <row r="4601" hidden="1">
      <c r="A4601" s="6" t="s">
        <v>62</v>
      </c>
      <c r="B4601" s="8" t="s">
        <v>1784</v>
      </c>
      <c r="C4601" s="8" t="s">
        <v>1785</v>
      </c>
      <c r="D4601" s="9">
        <v>4.0</v>
      </c>
      <c r="E4601" s="67">
        <f t="shared" si="14"/>
        <v>1000</v>
      </c>
      <c r="F4601" s="67" t="str">
        <f t="shared" si="12"/>
        <v>4 LeadGen Set Appointments</v>
      </c>
    </row>
    <row r="4602" hidden="1">
      <c r="A4602" s="6" t="s">
        <v>62</v>
      </c>
      <c r="B4602" s="8" t="s">
        <v>723</v>
      </c>
      <c r="C4602" s="8" t="s">
        <v>724</v>
      </c>
      <c r="D4602" s="9">
        <v>4.0</v>
      </c>
      <c r="E4602" s="67">
        <f t="shared" si="14"/>
        <v>1000</v>
      </c>
      <c r="F4602" s="67" t="str">
        <f t="shared" si="12"/>
        <v>4 LeadGen Set Appointments</v>
      </c>
    </row>
    <row r="4603" hidden="1">
      <c r="A4603" s="6" t="s">
        <v>62</v>
      </c>
      <c r="B4603" s="8" t="s">
        <v>1481</v>
      </c>
      <c r="C4603" s="8" t="s">
        <v>1482</v>
      </c>
      <c r="D4603" s="9">
        <v>4.0</v>
      </c>
      <c r="E4603" s="67">
        <f t="shared" si="14"/>
        <v>1000</v>
      </c>
      <c r="F4603" s="67" t="str">
        <f t="shared" si="12"/>
        <v>4 LeadGen Set Appointments</v>
      </c>
    </row>
    <row r="4604" hidden="1">
      <c r="A4604" s="6" t="s">
        <v>62</v>
      </c>
      <c r="B4604" s="8" t="s">
        <v>1483</v>
      </c>
      <c r="C4604" s="8" t="s">
        <v>1484</v>
      </c>
      <c r="D4604" s="9">
        <v>4.0</v>
      </c>
      <c r="E4604" s="67">
        <f t="shared" si="14"/>
        <v>1000</v>
      </c>
      <c r="F4604" s="67" t="str">
        <f t="shared" si="12"/>
        <v>4 LeadGen Set Appointments</v>
      </c>
    </row>
    <row r="4605" hidden="1">
      <c r="A4605" s="6" t="s">
        <v>62</v>
      </c>
      <c r="B4605" s="8" t="s">
        <v>2113</v>
      </c>
      <c r="C4605" s="8" t="s">
        <v>2114</v>
      </c>
      <c r="D4605" s="9">
        <v>4.0</v>
      </c>
      <c r="E4605" s="67">
        <f t="shared" si="14"/>
        <v>1000</v>
      </c>
      <c r="F4605" s="67" t="str">
        <f t="shared" si="12"/>
        <v>4 LeadGen Set Appointments</v>
      </c>
    </row>
    <row r="4606" hidden="1">
      <c r="A4606" s="6" t="s">
        <v>62</v>
      </c>
      <c r="B4606" s="8" t="s">
        <v>1465</v>
      </c>
      <c r="C4606" s="8" t="s">
        <v>1466</v>
      </c>
      <c r="D4606" s="9">
        <v>3.0</v>
      </c>
      <c r="E4606" s="67">
        <f t="shared" si="14"/>
        <v>750</v>
      </c>
      <c r="F4606" s="67" t="str">
        <f t="shared" si="12"/>
        <v>3 LeadGen Set Appointments</v>
      </c>
    </row>
    <row r="4607" hidden="1">
      <c r="A4607" s="6" t="s">
        <v>62</v>
      </c>
      <c r="B4607" s="8" t="s">
        <v>1893</v>
      </c>
      <c r="C4607" s="8" t="s">
        <v>1894</v>
      </c>
      <c r="D4607" s="9">
        <v>3.0</v>
      </c>
      <c r="E4607" s="67">
        <f t="shared" si="14"/>
        <v>750</v>
      </c>
      <c r="F4607" s="67" t="str">
        <f t="shared" si="12"/>
        <v>3 LeadGen Set Appointments</v>
      </c>
    </row>
    <row r="4608" hidden="1">
      <c r="A4608" s="6" t="s">
        <v>62</v>
      </c>
      <c r="B4608" s="8" t="s">
        <v>1543</v>
      </c>
      <c r="C4608" s="8" t="s">
        <v>1544</v>
      </c>
      <c r="D4608" s="9">
        <v>3.0</v>
      </c>
      <c r="E4608" s="67">
        <f t="shared" si="14"/>
        <v>750</v>
      </c>
      <c r="F4608" s="67" t="str">
        <f t="shared" si="12"/>
        <v>3 LeadGen Set Appointments</v>
      </c>
    </row>
    <row r="4609" hidden="1">
      <c r="A4609" s="6" t="s">
        <v>62</v>
      </c>
      <c r="B4609" s="8" t="s">
        <v>1547</v>
      </c>
      <c r="C4609" s="8" t="s">
        <v>1548</v>
      </c>
      <c r="D4609" s="9">
        <v>3.0</v>
      </c>
      <c r="E4609" s="67">
        <f t="shared" si="14"/>
        <v>750</v>
      </c>
      <c r="F4609" s="67" t="str">
        <f t="shared" si="12"/>
        <v>3 LeadGen Set Appointments</v>
      </c>
    </row>
    <row r="4610" hidden="1">
      <c r="A4610" s="6" t="s">
        <v>62</v>
      </c>
      <c r="B4610" s="8" t="s">
        <v>1612</v>
      </c>
      <c r="C4610" s="8" t="s">
        <v>1613</v>
      </c>
      <c r="D4610" s="9">
        <v>3.0</v>
      </c>
      <c r="E4610" s="67">
        <f t="shared" si="14"/>
        <v>750</v>
      </c>
      <c r="F4610" s="67" t="str">
        <f t="shared" si="12"/>
        <v>3 LeadGen Set Appointments</v>
      </c>
    </row>
    <row r="4611" hidden="1">
      <c r="A4611" s="6" t="s">
        <v>62</v>
      </c>
      <c r="B4611" s="8" t="s">
        <v>2093</v>
      </c>
      <c r="C4611" s="8" t="s">
        <v>2094</v>
      </c>
      <c r="D4611" s="9">
        <v>3.0</v>
      </c>
      <c r="E4611" s="67">
        <f t="shared" si="14"/>
        <v>750</v>
      </c>
      <c r="F4611" s="67" t="str">
        <f t="shared" si="12"/>
        <v>3 LeadGen Set Appointments</v>
      </c>
    </row>
    <row r="4612" hidden="1">
      <c r="A4612" s="6" t="s">
        <v>62</v>
      </c>
      <c r="B4612" s="8" t="s">
        <v>1688</v>
      </c>
      <c r="C4612" s="8" t="s">
        <v>1689</v>
      </c>
      <c r="D4612" s="9">
        <v>3.0</v>
      </c>
      <c r="E4612" s="67">
        <f t="shared" si="14"/>
        <v>750</v>
      </c>
      <c r="F4612" s="67" t="str">
        <f t="shared" si="12"/>
        <v>3 LeadGen Set Appointments</v>
      </c>
    </row>
    <row r="4613" hidden="1">
      <c r="A4613" s="6" t="s">
        <v>62</v>
      </c>
      <c r="B4613" s="8" t="s">
        <v>1477</v>
      </c>
      <c r="C4613" s="8" t="s">
        <v>1478</v>
      </c>
      <c r="D4613" s="9">
        <v>3.0</v>
      </c>
      <c r="E4613" s="67">
        <f t="shared" si="14"/>
        <v>750</v>
      </c>
      <c r="F4613" s="67" t="str">
        <f t="shared" si="12"/>
        <v>3 LeadGen Set Appointments</v>
      </c>
    </row>
    <row r="4614" hidden="1">
      <c r="A4614" s="6" t="s">
        <v>62</v>
      </c>
      <c r="B4614" s="8" t="s">
        <v>1514</v>
      </c>
      <c r="C4614" s="8" t="s">
        <v>1515</v>
      </c>
      <c r="D4614" s="9">
        <v>3.0</v>
      </c>
      <c r="E4614" s="67">
        <f t="shared" si="14"/>
        <v>750</v>
      </c>
      <c r="F4614" s="67" t="str">
        <f t="shared" si="12"/>
        <v>3 LeadGen Set Appointments</v>
      </c>
    </row>
    <row r="4615" hidden="1">
      <c r="A4615" s="6" t="s">
        <v>62</v>
      </c>
      <c r="B4615" s="8" t="s">
        <v>502</v>
      </c>
      <c r="C4615" s="8" t="s">
        <v>503</v>
      </c>
      <c r="D4615" s="9">
        <v>3.0</v>
      </c>
      <c r="E4615" s="67">
        <f t="shared" si="14"/>
        <v>750</v>
      </c>
      <c r="F4615" s="67" t="str">
        <f t="shared" si="12"/>
        <v>3 LeadGen Set Appointments</v>
      </c>
    </row>
    <row r="4616" hidden="1">
      <c r="A4616" s="6" t="s">
        <v>62</v>
      </c>
      <c r="B4616" s="8" t="s">
        <v>1567</v>
      </c>
      <c r="C4616" s="8" t="s">
        <v>1568</v>
      </c>
      <c r="D4616" s="9">
        <v>3.0</v>
      </c>
      <c r="E4616" s="67">
        <f t="shared" si="14"/>
        <v>750</v>
      </c>
      <c r="F4616" s="67" t="str">
        <f t="shared" si="12"/>
        <v>3 LeadGen Set Appointments</v>
      </c>
    </row>
    <row r="4617" hidden="1">
      <c r="A4617" s="6" t="s">
        <v>62</v>
      </c>
      <c r="B4617" s="8" t="s">
        <v>1039</v>
      </c>
      <c r="C4617" s="8" t="s">
        <v>1040</v>
      </c>
      <c r="D4617" s="9">
        <v>3.0</v>
      </c>
      <c r="E4617" s="67">
        <f t="shared" si="14"/>
        <v>750</v>
      </c>
      <c r="F4617" s="67" t="str">
        <f t="shared" si="12"/>
        <v>3 LeadGen Set Appointments</v>
      </c>
    </row>
    <row r="4618" hidden="1">
      <c r="A4618" s="6" t="s">
        <v>62</v>
      </c>
      <c r="B4618" s="8" t="s">
        <v>1493</v>
      </c>
      <c r="C4618" s="8" t="s">
        <v>1494</v>
      </c>
      <c r="D4618" s="9">
        <v>3.0</v>
      </c>
      <c r="E4618" s="67">
        <f t="shared" si="14"/>
        <v>750</v>
      </c>
      <c r="F4618" s="67" t="str">
        <f t="shared" si="12"/>
        <v>3 LeadGen Set Appointments</v>
      </c>
    </row>
    <row r="4619" hidden="1">
      <c r="A4619" s="6" t="s">
        <v>62</v>
      </c>
      <c r="B4619" s="8" t="s">
        <v>910</v>
      </c>
      <c r="C4619" s="8" t="s">
        <v>911</v>
      </c>
      <c r="D4619" s="9">
        <v>3.0</v>
      </c>
      <c r="E4619" s="67">
        <f t="shared" si="14"/>
        <v>750</v>
      </c>
      <c r="F4619" s="67" t="str">
        <f t="shared" si="12"/>
        <v>3 LeadGen Set Appointments</v>
      </c>
    </row>
    <row r="4620" hidden="1">
      <c r="A4620" s="6" t="s">
        <v>62</v>
      </c>
      <c r="B4620" s="8" t="s">
        <v>1283</v>
      </c>
      <c r="C4620" s="8" t="s">
        <v>404</v>
      </c>
      <c r="D4620" s="9">
        <v>3.0</v>
      </c>
      <c r="E4620" s="67">
        <f t="shared" si="14"/>
        <v>750</v>
      </c>
      <c r="F4620" s="67" t="str">
        <f t="shared" si="12"/>
        <v>3 LeadGen Set Appointments</v>
      </c>
    </row>
    <row r="4621" hidden="1">
      <c r="A4621" s="6" t="s">
        <v>62</v>
      </c>
      <c r="B4621" s="8" t="s">
        <v>2187</v>
      </c>
      <c r="C4621" s="8" t="s">
        <v>2188</v>
      </c>
      <c r="D4621" s="9">
        <v>3.0</v>
      </c>
      <c r="E4621" s="67">
        <f t="shared" si="14"/>
        <v>750</v>
      </c>
      <c r="F4621" s="67" t="str">
        <f t="shared" si="12"/>
        <v>3 LeadGen Set Appointments</v>
      </c>
    </row>
    <row r="4622" hidden="1">
      <c r="A4622" s="6" t="s">
        <v>62</v>
      </c>
      <c r="B4622" s="8" t="s">
        <v>1943</v>
      </c>
      <c r="C4622" s="8" t="s">
        <v>1944</v>
      </c>
      <c r="D4622" s="9">
        <v>3.0</v>
      </c>
      <c r="E4622" s="67">
        <f t="shared" si="14"/>
        <v>750</v>
      </c>
      <c r="F4622" s="67" t="str">
        <f t="shared" si="12"/>
        <v>3 LeadGen Set Appointments</v>
      </c>
    </row>
    <row r="4623" hidden="1">
      <c r="A4623" s="6" t="s">
        <v>62</v>
      </c>
      <c r="B4623" s="8" t="s">
        <v>2169</v>
      </c>
      <c r="C4623" s="8" t="s">
        <v>2170</v>
      </c>
      <c r="D4623" s="9">
        <v>2.0</v>
      </c>
      <c r="E4623" s="67">
        <f t="shared" si="14"/>
        <v>500</v>
      </c>
      <c r="F4623" s="67" t="str">
        <f t="shared" si="12"/>
        <v>2 LeadGen Set Appointments</v>
      </c>
    </row>
    <row r="4624" hidden="1">
      <c r="A4624" s="6" t="s">
        <v>62</v>
      </c>
      <c r="B4624" s="8" t="s">
        <v>2161</v>
      </c>
      <c r="C4624" s="8" t="s">
        <v>2162</v>
      </c>
      <c r="D4624" s="9">
        <v>2.0</v>
      </c>
      <c r="E4624" s="67">
        <f t="shared" si="14"/>
        <v>500</v>
      </c>
      <c r="F4624" s="67" t="str">
        <f t="shared" si="12"/>
        <v>2 LeadGen Set Appointments</v>
      </c>
    </row>
    <row r="4625" hidden="1">
      <c r="A4625" s="6" t="s">
        <v>62</v>
      </c>
      <c r="B4625" s="8" t="s">
        <v>2171</v>
      </c>
      <c r="C4625" s="8" t="s">
        <v>2172</v>
      </c>
      <c r="D4625" s="9">
        <v>2.0</v>
      </c>
      <c r="E4625" s="67">
        <f t="shared" si="14"/>
        <v>500</v>
      </c>
      <c r="F4625" s="67" t="str">
        <f t="shared" si="12"/>
        <v>2 LeadGen Set Appointments</v>
      </c>
    </row>
    <row r="4626" hidden="1">
      <c r="A4626" s="6" t="s">
        <v>62</v>
      </c>
      <c r="B4626" s="8" t="s">
        <v>2193</v>
      </c>
      <c r="C4626" s="8" t="s">
        <v>2194</v>
      </c>
      <c r="D4626" s="9">
        <v>2.0</v>
      </c>
      <c r="E4626" s="67">
        <f t="shared" si="14"/>
        <v>500</v>
      </c>
      <c r="F4626" s="67" t="str">
        <f t="shared" si="12"/>
        <v>2 LeadGen Set Appointments</v>
      </c>
    </row>
    <row r="4627" hidden="1">
      <c r="A4627" s="6" t="s">
        <v>62</v>
      </c>
      <c r="B4627" s="8" t="s">
        <v>500</v>
      </c>
      <c r="C4627" s="8" t="s">
        <v>501</v>
      </c>
      <c r="D4627" s="9">
        <v>2.0</v>
      </c>
      <c r="E4627" s="67">
        <f t="shared" si="14"/>
        <v>500</v>
      </c>
      <c r="F4627" s="67" t="str">
        <f t="shared" si="12"/>
        <v>2 LeadGen Set Appointments</v>
      </c>
    </row>
    <row r="4628" hidden="1">
      <c r="A4628" s="6" t="s">
        <v>62</v>
      </c>
      <c r="B4628" s="8" t="s">
        <v>2201</v>
      </c>
      <c r="C4628" s="8" t="s">
        <v>2202</v>
      </c>
      <c r="D4628" s="9">
        <v>2.0</v>
      </c>
      <c r="E4628" s="67">
        <f t="shared" si="14"/>
        <v>500</v>
      </c>
      <c r="F4628" s="67" t="str">
        <f t="shared" si="12"/>
        <v>2 LeadGen Set Appointments</v>
      </c>
    </row>
    <row r="4629" hidden="1">
      <c r="A4629" s="6" t="s">
        <v>62</v>
      </c>
      <c r="B4629" s="8" t="s">
        <v>1600</v>
      </c>
      <c r="C4629" s="8" t="s">
        <v>1601</v>
      </c>
      <c r="D4629" s="9">
        <v>2.0</v>
      </c>
      <c r="E4629" s="67">
        <f t="shared" si="14"/>
        <v>500</v>
      </c>
      <c r="F4629" s="67" t="str">
        <f t="shared" si="12"/>
        <v>2 LeadGen Set Appointments</v>
      </c>
    </row>
    <row r="4630" hidden="1">
      <c r="A4630" s="6" t="s">
        <v>62</v>
      </c>
      <c r="B4630" s="8" t="s">
        <v>628</v>
      </c>
      <c r="C4630" s="8" t="s">
        <v>629</v>
      </c>
      <c r="D4630" s="9">
        <v>2.0</v>
      </c>
      <c r="E4630" s="67">
        <f t="shared" si="14"/>
        <v>500</v>
      </c>
      <c r="F4630" s="67" t="str">
        <f t="shared" si="12"/>
        <v>2 LeadGen Set Appointments</v>
      </c>
    </row>
    <row r="4631" hidden="1">
      <c r="A4631" s="6" t="s">
        <v>62</v>
      </c>
      <c r="B4631" s="8" t="s">
        <v>1579</v>
      </c>
      <c r="C4631" s="8" t="s">
        <v>1580</v>
      </c>
      <c r="D4631" s="9">
        <v>2.0</v>
      </c>
      <c r="E4631" s="67">
        <f t="shared" si="14"/>
        <v>500</v>
      </c>
      <c r="F4631" s="67" t="str">
        <f t="shared" si="12"/>
        <v>2 LeadGen Set Appointments</v>
      </c>
    </row>
    <row r="4632" hidden="1">
      <c r="A4632" s="6" t="s">
        <v>62</v>
      </c>
      <c r="B4632" s="8" t="s">
        <v>431</v>
      </c>
      <c r="C4632" s="8" t="s">
        <v>432</v>
      </c>
      <c r="D4632" s="9">
        <v>2.0</v>
      </c>
      <c r="E4632" s="67">
        <f t="shared" si="14"/>
        <v>500</v>
      </c>
      <c r="F4632" s="67" t="str">
        <f t="shared" si="12"/>
        <v>2 LeadGen Set Appointments</v>
      </c>
    </row>
    <row r="4633" hidden="1">
      <c r="A4633" s="6" t="s">
        <v>62</v>
      </c>
      <c r="B4633" s="8" t="s">
        <v>1467</v>
      </c>
      <c r="C4633" s="8" t="s">
        <v>1468</v>
      </c>
      <c r="D4633" s="9">
        <v>2.0</v>
      </c>
      <c r="E4633" s="67">
        <f t="shared" si="14"/>
        <v>500</v>
      </c>
      <c r="F4633" s="67" t="str">
        <f t="shared" si="12"/>
        <v>2 LeadGen Set Appointments</v>
      </c>
    </row>
    <row r="4634" hidden="1">
      <c r="A4634" s="6" t="s">
        <v>62</v>
      </c>
      <c r="B4634" s="8" t="s">
        <v>1475</v>
      </c>
      <c r="C4634" s="8" t="s">
        <v>1476</v>
      </c>
      <c r="D4634" s="9">
        <v>2.0</v>
      </c>
      <c r="E4634" s="67">
        <f t="shared" si="14"/>
        <v>500</v>
      </c>
      <c r="F4634" s="67" t="str">
        <f t="shared" si="12"/>
        <v>2 LeadGen Set Appointments</v>
      </c>
    </row>
    <row r="4635" hidden="1">
      <c r="A4635" s="6" t="s">
        <v>62</v>
      </c>
      <c r="B4635" s="8" t="s">
        <v>2123</v>
      </c>
      <c r="C4635" s="8" t="s">
        <v>2124</v>
      </c>
      <c r="D4635" s="9">
        <v>2.0</v>
      </c>
      <c r="E4635" s="67">
        <f t="shared" si="14"/>
        <v>500</v>
      </c>
      <c r="F4635" s="67" t="str">
        <f t="shared" si="12"/>
        <v>2 LeadGen Set Appointments</v>
      </c>
    </row>
    <row r="4636" hidden="1">
      <c r="A4636" s="6" t="s">
        <v>62</v>
      </c>
      <c r="B4636" s="8" t="s">
        <v>1334</v>
      </c>
      <c r="C4636" s="8" t="s">
        <v>553</v>
      </c>
      <c r="D4636" s="9">
        <v>2.0</v>
      </c>
      <c r="E4636" s="67">
        <f t="shared" si="14"/>
        <v>500</v>
      </c>
      <c r="F4636" s="67" t="str">
        <f t="shared" si="12"/>
        <v>2 LeadGen Set Appointments</v>
      </c>
    </row>
    <row r="4637" hidden="1">
      <c r="A4637" s="6" t="s">
        <v>62</v>
      </c>
      <c r="B4637" s="8" t="s">
        <v>2177</v>
      </c>
      <c r="C4637" s="8" t="s">
        <v>2178</v>
      </c>
      <c r="D4637" s="9">
        <v>2.0</v>
      </c>
      <c r="E4637" s="67">
        <f t="shared" si="14"/>
        <v>500</v>
      </c>
      <c r="F4637" s="67" t="str">
        <f t="shared" si="12"/>
        <v>2 LeadGen Set Appointments</v>
      </c>
    </row>
    <row r="4638" hidden="1">
      <c r="A4638" s="6" t="s">
        <v>62</v>
      </c>
      <c r="B4638" s="8" t="s">
        <v>494</v>
      </c>
      <c r="C4638" s="8" t="s">
        <v>495</v>
      </c>
      <c r="D4638" s="9">
        <v>2.0</v>
      </c>
      <c r="E4638" s="67">
        <f t="shared" si="14"/>
        <v>500</v>
      </c>
      <c r="F4638" s="67" t="str">
        <f t="shared" si="12"/>
        <v>2 LeadGen Set Appointments</v>
      </c>
    </row>
    <row r="4639" hidden="1">
      <c r="A4639" s="6" t="s">
        <v>62</v>
      </c>
      <c r="B4639" s="8" t="s">
        <v>2179</v>
      </c>
      <c r="C4639" s="8" t="s">
        <v>2180</v>
      </c>
      <c r="D4639" s="9">
        <v>2.0</v>
      </c>
      <c r="E4639" s="67">
        <f t="shared" si="14"/>
        <v>500</v>
      </c>
      <c r="F4639" s="67" t="str">
        <f t="shared" si="12"/>
        <v>2 LeadGen Set Appointments</v>
      </c>
    </row>
    <row r="4640" hidden="1">
      <c r="A4640" s="6" t="s">
        <v>62</v>
      </c>
      <c r="B4640" s="8" t="s">
        <v>2097</v>
      </c>
      <c r="C4640" s="8" t="s">
        <v>828</v>
      </c>
      <c r="D4640" s="9">
        <v>2.0</v>
      </c>
      <c r="E4640" s="67">
        <f t="shared" si="14"/>
        <v>500</v>
      </c>
      <c r="F4640" s="67" t="str">
        <f t="shared" si="12"/>
        <v>2 LeadGen Set Appointments</v>
      </c>
    </row>
    <row r="4641" hidden="1">
      <c r="A4641" s="6" t="s">
        <v>62</v>
      </c>
      <c r="B4641" s="8" t="s">
        <v>1551</v>
      </c>
      <c r="C4641" s="8" t="s">
        <v>1552</v>
      </c>
      <c r="D4641" s="9">
        <v>2.0</v>
      </c>
      <c r="E4641" s="67">
        <f t="shared" si="14"/>
        <v>500</v>
      </c>
      <c r="F4641" s="67" t="str">
        <f t="shared" si="12"/>
        <v>2 LeadGen Set Appointments</v>
      </c>
    </row>
    <row r="4642" hidden="1">
      <c r="A4642" s="6" t="s">
        <v>62</v>
      </c>
      <c r="B4642" s="8" t="s">
        <v>1937</v>
      </c>
      <c r="C4642" s="8" t="s">
        <v>1938</v>
      </c>
      <c r="D4642" s="9">
        <v>2.0</v>
      </c>
      <c r="E4642" s="67">
        <f t="shared" si="14"/>
        <v>500</v>
      </c>
      <c r="F4642" s="67" t="str">
        <f t="shared" si="12"/>
        <v>2 LeadGen Set Appointments</v>
      </c>
    </row>
    <row r="4643" hidden="1">
      <c r="A4643" s="6" t="s">
        <v>62</v>
      </c>
      <c r="B4643" s="8" t="s">
        <v>717</v>
      </c>
      <c r="C4643" s="8" t="s">
        <v>718</v>
      </c>
      <c r="D4643" s="9">
        <v>2.0</v>
      </c>
      <c r="E4643" s="67">
        <f t="shared" si="14"/>
        <v>500</v>
      </c>
      <c r="F4643" s="67" t="str">
        <f t="shared" si="12"/>
        <v>2 LeadGen Set Appointments</v>
      </c>
    </row>
    <row r="4644" hidden="1">
      <c r="A4644" s="6" t="s">
        <v>62</v>
      </c>
      <c r="B4644" s="8" t="s">
        <v>2141</v>
      </c>
      <c r="C4644" s="8" t="s">
        <v>2142</v>
      </c>
      <c r="D4644" s="9">
        <v>2.0</v>
      </c>
      <c r="E4644" s="67">
        <f t="shared" si="14"/>
        <v>500</v>
      </c>
      <c r="F4644" s="67" t="str">
        <f t="shared" si="12"/>
        <v>2 LeadGen Set Appointments</v>
      </c>
    </row>
    <row r="4645" hidden="1">
      <c r="A4645" s="6" t="s">
        <v>62</v>
      </c>
      <c r="B4645" s="8" t="s">
        <v>590</v>
      </c>
      <c r="C4645" s="8" t="s">
        <v>2041</v>
      </c>
      <c r="D4645" s="9">
        <v>2.0</v>
      </c>
      <c r="E4645" s="67">
        <f t="shared" si="14"/>
        <v>500</v>
      </c>
      <c r="F4645" s="67" t="str">
        <f t="shared" si="12"/>
        <v>2 LeadGen Set Appointments</v>
      </c>
    </row>
    <row r="4646" hidden="1">
      <c r="A4646" s="6" t="s">
        <v>62</v>
      </c>
      <c r="B4646" s="8" t="s">
        <v>1657</v>
      </c>
      <c r="C4646" s="8" t="s">
        <v>1658</v>
      </c>
      <c r="D4646" s="9">
        <v>2.0</v>
      </c>
      <c r="E4646" s="67">
        <f t="shared" si="14"/>
        <v>500</v>
      </c>
      <c r="F4646" s="67" t="str">
        <f t="shared" si="12"/>
        <v>2 LeadGen Set Appointments</v>
      </c>
    </row>
    <row r="4647" hidden="1">
      <c r="A4647" s="6" t="s">
        <v>62</v>
      </c>
      <c r="B4647" s="8" t="s">
        <v>1157</v>
      </c>
      <c r="C4647" s="8" t="s">
        <v>1158</v>
      </c>
      <c r="D4647" s="9">
        <v>2.0</v>
      </c>
      <c r="E4647" s="67">
        <f t="shared" si="14"/>
        <v>500</v>
      </c>
      <c r="F4647" s="67" t="str">
        <f t="shared" si="12"/>
        <v>2 LeadGen Set Appointments</v>
      </c>
    </row>
    <row r="4648" hidden="1">
      <c r="A4648" s="6" t="s">
        <v>62</v>
      </c>
      <c r="B4648" s="8" t="s">
        <v>1935</v>
      </c>
      <c r="C4648" s="8" t="s">
        <v>1936</v>
      </c>
      <c r="D4648" s="9">
        <v>2.0</v>
      </c>
      <c r="E4648" s="67">
        <f t="shared" si="14"/>
        <v>500</v>
      </c>
      <c r="F4648" s="67" t="str">
        <f t="shared" si="12"/>
        <v>2 LeadGen Set Appointments</v>
      </c>
    </row>
    <row r="4649" hidden="1">
      <c r="A4649" s="6" t="s">
        <v>62</v>
      </c>
      <c r="B4649" s="8" t="s">
        <v>1865</v>
      </c>
      <c r="C4649" s="8" t="s">
        <v>1866</v>
      </c>
      <c r="D4649" s="9">
        <v>2.0</v>
      </c>
      <c r="E4649" s="67">
        <f t="shared" si="14"/>
        <v>500</v>
      </c>
      <c r="F4649" s="67" t="str">
        <f t="shared" si="12"/>
        <v>2 LeadGen Set Appointments</v>
      </c>
    </row>
    <row r="4650" hidden="1">
      <c r="A4650" s="6" t="s">
        <v>62</v>
      </c>
      <c r="B4650" s="8" t="s">
        <v>2203</v>
      </c>
      <c r="C4650" s="8" t="s">
        <v>2204</v>
      </c>
      <c r="D4650" s="9">
        <v>2.0</v>
      </c>
      <c r="E4650" s="67">
        <f t="shared" si="14"/>
        <v>500</v>
      </c>
      <c r="F4650" s="67" t="str">
        <f t="shared" si="12"/>
        <v>2 LeadGen Set Appointments</v>
      </c>
    </row>
    <row r="4651" hidden="1">
      <c r="A4651" s="6" t="s">
        <v>62</v>
      </c>
      <c r="B4651" s="8" t="s">
        <v>2167</v>
      </c>
      <c r="C4651" s="8" t="s">
        <v>2168</v>
      </c>
      <c r="D4651" s="9">
        <v>2.0</v>
      </c>
      <c r="E4651" s="67">
        <f t="shared" si="14"/>
        <v>500</v>
      </c>
      <c r="F4651" s="67" t="str">
        <f t="shared" si="12"/>
        <v>2 LeadGen Set Appointments</v>
      </c>
    </row>
    <row r="4652" hidden="1">
      <c r="A4652" s="6" t="s">
        <v>62</v>
      </c>
      <c r="B4652" s="8" t="s">
        <v>701</v>
      </c>
      <c r="C4652" s="8" t="s">
        <v>702</v>
      </c>
      <c r="D4652" s="9">
        <v>2.0</v>
      </c>
      <c r="E4652" s="67">
        <f t="shared" si="14"/>
        <v>500</v>
      </c>
      <c r="F4652" s="67" t="str">
        <f t="shared" si="12"/>
        <v>2 LeadGen Set Appointments</v>
      </c>
    </row>
    <row r="4653" hidden="1">
      <c r="A4653" s="6" t="s">
        <v>62</v>
      </c>
      <c r="B4653" s="8" t="s">
        <v>566</v>
      </c>
      <c r="C4653" s="8" t="s">
        <v>567</v>
      </c>
      <c r="D4653" s="9">
        <v>2.0</v>
      </c>
      <c r="E4653" s="67">
        <f t="shared" si="14"/>
        <v>500</v>
      </c>
      <c r="F4653" s="67" t="str">
        <f t="shared" si="12"/>
        <v>2 LeadGen Set Appointments</v>
      </c>
    </row>
    <row r="4654" hidden="1">
      <c r="A4654" s="6" t="s">
        <v>62</v>
      </c>
      <c r="B4654" s="8" t="s">
        <v>1933</v>
      </c>
      <c r="C4654" s="8" t="s">
        <v>1934</v>
      </c>
      <c r="D4654" s="9">
        <v>2.0</v>
      </c>
      <c r="E4654" s="67">
        <f t="shared" si="14"/>
        <v>500</v>
      </c>
      <c r="F4654" s="67" t="str">
        <f t="shared" si="12"/>
        <v>2 LeadGen Set Appointments</v>
      </c>
    </row>
    <row r="4655" hidden="1">
      <c r="A4655" s="6" t="s">
        <v>62</v>
      </c>
      <c r="B4655" s="8" t="s">
        <v>1941</v>
      </c>
      <c r="C4655" s="8" t="s">
        <v>1942</v>
      </c>
      <c r="D4655" s="9">
        <v>2.0</v>
      </c>
      <c r="E4655" s="67">
        <f t="shared" si="14"/>
        <v>500</v>
      </c>
      <c r="F4655" s="67" t="str">
        <f t="shared" si="12"/>
        <v>2 LeadGen Set Appointments</v>
      </c>
    </row>
    <row r="4656" hidden="1">
      <c r="A4656" s="6" t="s">
        <v>62</v>
      </c>
      <c r="B4656" s="8" t="s">
        <v>2139</v>
      </c>
      <c r="C4656" s="8" t="s">
        <v>2140</v>
      </c>
      <c r="D4656" s="9">
        <v>2.0</v>
      </c>
      <c r="E4656" s="67">
        <f t="shared" si="14"/>
        <v>500</v>
      </c>
      <c r="F4656" s="67" t="str">
        <f t="shared" si="12"/>
        <v>2 LeadGen Set Appointments</v>
      </c>
    </row>
    <row r="4657" hidden="1">
      <c r="A4657" s="6" t="s">
        <v>62</v>
      </c>
      <c r="B4657" s="8" t="s">
        <v>1682</v>
      </c>
      <c r="C4657" s="8" t="s">
        <v>1683</v>
      </c>
      <c r="D4657" s="9">
        <v>2.0</v>
      </c>
      <c r="E4657" s="67">
        <f t="shared" si="14"/>
        <v>500</v>
      </c>
      <c r="F4657" s="67" t="str">
        <f t="shared" si="12"/>
        <v>2 LeadGen Set Appointments</v>
      </c>
    </row>
    <row r="4658" hidden="1">
      <c r="A4658" s="6" t="s">
        <v>62</v>
      </c>
      <c r="B4658" s="8" t="s">
        <v>1945</v>
      </c>
      <c r="C4658" s="8" t="s">
        <v>1946</v>
      </c>
      <c r="D4658" s="9">
        <v>2.0</v>
      </c>
      <c r="E4658" s="67">
        <f t="shared" si="14"/>
        <v>500</v>
      </c>
      <c r="F4658" s="67" t="str">
        <f t="shared" si="12"/>
        <v>2 LeadGen Set Appointments</v>
      </c>
    </row>
    <row r="4659" hidden="1">
      <c r="A4659" s="6" t="s">
        <v>62</v>
      </c>
      <c r="B4659" s="8" t="s">
        <v>1463</v>
      </c>
      <c r="C4659" s="8" t="s">
        <v>1464</v>
      </c>
      <c r="D4659" s="9">
        <v>1.0</v>
      </c>
      <c r="E4659" s="67">
        <f t="shared" si="14"/>
        <v>250</v>
      </c>
      <c r="F4659" s="67" t="str">
        <f t="shared" si="12"/>
        <v>1 LeadGen Set Appointments</v>
      </c>
    </row>
    <row r="4660" hidden="1">
      <c r="A4660" s="6" t="s">
        <v>62</v>
      </c>
      <c r="B4660" s="8" t="s">
        <v>1895</v>
      </c>
      <c r="C4660" s="8" t="s">
        <v>1896</v>
      </c>
      <c r="D4660" s="9">
        <v>1.0</v>
      </c>
      <c r="E4660" s="67">
        <f t="shared" si="14"/>
        <v>250</v>
      </c>
      <c r="F4660" s="67" t="str">
        <f t="shared" si="12"/>
        <v>1 LeadGen Set Appointments</v>
      </c>
    </row>
    <row r="4661" hidden="1">
      <c r="A4661" s="6" t="s">
        <v>62</v>
      </c>
      <c r="B4661" s="8" t="s">
        <v>2155</v>
      </c>
      <c r="C4661" s="8" t="s">
        <v>2156</v>
      </c>
      <c r="D4661" s="9">
        <v>1.0</v>
      </c>
      <c r="E4661" s="67">
        <f t="shared" si="14"/>
        <v>250</v>
      </c>
      <c r="F4661" s="67" t="str">
        <f t="shared" si="12"/>
        <v>1 LeadGen Set Appointments</v>
      </c>
    </row>
    <row r="4662" hidden="1">
      <c r="A4662" s="6" t="s">
        <v>62</v>
      </c>
      <c r="B4662" s="8" t="s">
        <v>2205</v>
      </c>
      <c r="C4662" s="8" t="s">
        <v>2206</v>
      </c>
      <c r="D4662" s="9">
        <v>1.0</v>
      </c>
      <c r="E4662" s="67">
        <f t="shared" si="14"/>
        <v>250</v>
      </c>
      <c r="F4662" s="67" t="str">
        <f t="shared" si="12"/>
        <v>1 LeadGen Set Appointments</v>
      </c>
    </row>
    <row r="4663" hidden="1">
      <c r="A4663" s="6" t="s">
        <v>62</v>
      </c>
      <c r="B4663" s="8" t="s">
        <v>1473</v>
      </c>
      <c r="C4663" s="8" t="s">
        <v>1474</v>
      </c>
      <c r="D4663" s="9">
        <v>1.0</v>
      </c>
      <c r="E4663" s="67">
        <f t="shared" si="14"/>
        <v>250</v>
      </c>
      <c r="F4663" s="67" t="str">
        <f t="shared" si="12"/>
        <v>1 LeadGen Set Appointments</v>
      </c>
    </row>
    <row r="4664" hidden="1">
      <c r="A4664" s="6" t="s">
        <v>62</v>
      </c>
      <c r="B4664" s="8" t="s">
        <v>1448</v>
      </c>
      <c r="C4664" s="8" t="s">
        <v>1449</v>
      </c>
      <c r="D4664" s="9">
        <v>1.0</v>
      </c>
      <c r="E4664" s="67">
        <f t="shared" si="14"/>
        <v>250</v>
      </c>
      <c r="F4664" s="67" t="str">
        <f t="shared" si="12"/>
        <v>1 LeadGen Set Appointments</v>
      </c>
    </row>
    <row r="4665" hidden="1">
      <c r="A4665" s="6" t="s">
        <v>62</v>
      </c>
      <c r="B4665" s="8" t="s">
        <v>1732</v>
      </c>
      <c r="C4665" s="8" t="s">
        <v>1733</v>
      </c>
      <c r="D4665" s="9">
        <v>1.0</v>
      </c>
      <c r="E4665" s="67">
        <f t="shared" si="14"/>
        <v>250</v>
      </c>
      <c r="F4665" s="67" t="str">
        <f t="shared" si="12"/>
        <v>1 LeadGen Set Appointments</v>
      </c>
    </row>
    <row r="4666" hidden="1">
      <c r="A4666" s="6" t="s">
        <v>62</v>
      </c>
      <c r="B4666" s="8" t="s">
        <v>1545</v>
      </c>
      <c r="C4666" s="8" t="s">
        <v>1546</v>
      </c>
      <c r="D4666" s="9">
        <v>1.0</v>
      </c>
      <c r="E4666" s="67">
        <f t="shared" si="14"/>
        <v>250</v>
      </c>
      <c r="F4666" s="67" t="str">
        <f t="shared" si="12"/>
        <v>1 LeadGen Set Appointments</v>
      </c>
    </row>
    <row r="4667" hidden="1">
      <c r="A4667" s="6" t="s">
        <v>62</v>
      </c>
      <c r="B4667" s="8" t="s">
        <v>560</v>
      </c>
      <c r="C4667" s="8" t="s">
        <v>561</v>
      </c>
      <c r="D4667" s="9">
        <v>1.0</v>
      </c>
      <c r="E4667" s="67">
        <f t="shared" si="14"/>
        <v>250</v>
      </c>
      <c r="F4667" s="67" t="str">
        <f t="shared" si="12"/>
        <v>1 LeadGen Set Appointments</v>
      </c>
    </row>
    <row r="4668" hidden="1">
      <c r="A4668" s="6" t="s">
        <v>62</v>
      </c>
      <c r="B4668" s="8" t="s">
        <v>1871</v>
      </c>
      <c r="C4668" s="8" t="s">
        <v>1872</v>
      </c>
      <c r="D4668" s="9">
        <v>1.0</v>
      </c>
      <c r="E4668" s="67">
        <f t="shared" si="14"/>
        <v>250</v>
      </c>
      <c r="F4668" s="67" t="str">
        <f t="shared" si="12"/>
        <v>1 LeadGen Set Appointments</v>
      </c>
    </row>
    <row r="4669" hidden="1">
      <c r="A4669" s="6" t="s">
        <v>62</v>
      </c>
      <c r="B4669" s="8" t="s">
        <v>240</v>
      </c>
      <c r="C4669" s="8" t="s">
        <v>241</v>
      </c>
      <c r="D4669" s="9">
        <v>1.0</v>
      </c>
      <c r="E4669" s="67">
        <f t="shared" si="14"/>
        <v>250</v>
      </c>
      <c r="F4669" s="67" t="str">
        <f t="shared" si="12"/>
        <v>1 LeadGen Set Appointments</v>
      </c>
    </row>
    <row r="4670" hidden="1">
      <c r="A4670" s="6" t="s">
        <v>62</v>
      </c>
      <c r="B4670" s="8" t="s">
        <v>1408</v>
      </c>
      <c r="C4670" s="8" t="s">
        <v>675</v>
      </c>
      <c r="D4670" s="9">
        <v>1.0</v>
      </c>
      <c r="E4670" s="67">
        <f t="shared" si="14"/>
        <v>250</v>
      </c>
      <c r="F4670" s="67" t="str">
        <f t="shared" si="12"/>
        <v>1 LeadGen Set Appointments</v>
      </c>
    </row>
    <row r="4671" hidden="1">
      <c r="A4671" s="6" t="s">
        <v>62</v>
      </c>
      <c r="B4671" s="8" t="s">
        <v>606</v>
      </c>
      <c r="C4671" s="8" t="s">
        <v>607</v>
      </c>
      <c r="D4671" s="9">
        <v>1.0</v>
      </c>
      <c r="E4671" s="67">
        <f t="shared" si="14"/>
        <v>250</v>
      </c>
      <c r="F4671" s="67" t="str">
        <f t="shared" si="12"/>
        <v>1 LeadGen Set Appointments</v>
      </c>
    </row>
    <row r="4672" hidden="1">
      <c r="A4672" s="6" t="s">
        <v>62</v>
      </c>
      <c r="B4672" s="8" t="s">
        <v>900</v>
      </c>
      <c r="C4672" s="8" t="s">
        <v>901</v>
      </c>
      <c r="D4672" s="9">
        <v>1.0</v>
      </c>
      <c r="E4672" s="67">
        <f t="shared" si="14"/>
        <v>250</v>
      </c>
      <c r="F4672" s="67" t="str">
        <f t="shared" si="12"/>
        <v>1 LeadGen Set Appointments</v>
      </c>
    </row>
    <row r="4673" hidden="1">
      <c r="A4673" s="6" t="s">
        <v>62</v>
      </c>
      <c r="B4673" s="8" t="s">
        <v>2127</v>
      </c>
      <c r="C4673" s="8" t="s">
        <v>2128</v>
      </c>
      <c r="D4673" s="9">
        <v>1.0</v>
      </c>
      <c r="E4673" s="67">
        <f t="shared" si="14"/>
        <v>250</v>
      </c>
      <c r="F4673" s="67" t="str">
        <f t="shared" si="12"/>
        <v>1 LeadGen Set Appointments</v>
      </c>
    </row>
    <row r="4674" hidden="1">
      <c r="A4674" s="6" t="s">
        <v>62</v>
      </c>
      <c r="B4674" s="8" t="s">
        <v>1393</v>
      </c>
      <c r="C4674" s="8" t="s">
        <v>1394</v>
      </c>
      <c r="D4674" s="9">
        <v>1.0</v>
      </c>
      <c r="E4674" s="67">
        <f t="shared" si="14"/>
        <v>250</v>
      </c>
      <c r="F4674" s="67" t="str">
        <f t="shared" si="12"/>
        <v>1 LeadGen Set Appointments</v>
      </c>
    </row>
    <row r="4675" hidden="1">
      <c r="A4675" s="6" t="s">
        <v>62</v>
      </c>
      <c r="B4675" s="8" t="s">
        <v>1867</v>
      </c>
      <c r="C4675" s="8" t="s">
        <v>1868</v>
      </c>
      <c r="D4675" s="9">
        <v>1.0</v>
      </c>
      <c r="E4675" s="67">
        <f t="shared" si="14"/>
        <v>250</v>
      </c>
      <c r="F4675" s="67" t="str">
        <f t="shared" si="12"/>
        <v>1 LeadGen Set Appointments</v>
      </c>
    </row>
    <row r="4676" hidden="1">
      <c r="A4676" s="6" t="s">
        <v>62</v>
      </c>
      <c r="B4676" s="8" t="s">
        <v>2100</v>
      </c>
      <c r="C4676" s="8" t="s">
        <v>2101</v>
      </c>
      <c r="D4676" s="9">
        <v>1.0</v>
      </c>
      <c r="E4676" s="67">
        <f t="shared" si="14"/>
        <v>250</v>
      </c>
      <c r="F4676" s="67" t="str">
        <f t="shared" si="12"/>
        <v>1 LeadGen Set Appointments</v>
      </c>
    </row>
    <row r="4677" hidden="1">
      <c r="A4677" s="6" t="s">
        <v>62</v>
      </c>
      <c r="B4677" s="8" t="s">
        <v>1664</v>
      </c>
      <c r="C4677" s="8" t="s">
        <v>1665</v>
      </c>
      <c r="D4677" s="9">
        <v>1.0</v>
      </c>
      <c r="E4677" s="67">
        <f t="shared" si="14"/>
        <v>250</v>
      </c>
      <c r="F4677" s="67" t="str">
        <f t="shared" si="12"/>
        <v>1 LeadGen Set Appointments</v>
      </c>
    </row>
    <row r="4678" hidden="1">
      <c r="A4678" s="6" t="s">
        <v>62</v>
      </c>
      <c r="B4678" s="8" t="s">
        <v>1736</v>
      </c>
      <c r="C4678" s="8" t="s">
        <v>1737</v>
      </c>
      <c r="D4678" s="9">
        <v>1.0</v>
      </c>
      <c r="E4678" s="67">
        <f t="shared" si="14"/>
        <v>250</v>
      </c>
      <c r="F4678" s="67" t="str">
        <f t="shared" si="12"/>
        <v>1 LeadGen Set Appointments</v>
      </c>
    </row>
    <row r="4679" hidden="1">
      <c r="A4679" s="6" t="s">
        <v>62</v>
      </c>
      <c r="B4679" s="8" t="s">
        <v>302</v>
      </c>
      <c r="C4679" s="8" t="s">
        <v>2110</v>
      </c>
      <c r="D4679" s="9">
        <v>1.0</v>
      </c>
      <c r="E4679" s="67">
        <f t="shared" si="14"/>
        <v>250</v>
      </c>
      <c r="F4679" s="67" t="str">
        <f t="shared" si="12"/>
        <v>1 LeadGen Set Appointments</v>
      </c>
    </row>
    <row r="4680" hidden="1">
      <c r="A4680" s="6" t="s">
        <v>62</v>
      </c>
      <c r="B4680" s="8" t="s">
        <v>1625</v>
      </c>
      <c r="C4680" s="8" t="s">
        <v>1626</v>
      </c>
      <c r="D4680" s="9">
        <v>1.0</v>
      </c>
      <c r="E4680" s="67">
        <f t="shared" si="14"/>
        <v>250</v>
      </c>
      <c r="F4680" s="67" t="str">
        <f t="shared" si="12"/>
        <v>1 LeadGen Set Appointments</v>
      </c>
    </row>
    <row r="4681" hidden="1">
      <c r="A4681" s="6" t="s">
        <v>62</v>
      </c>
      <c r="B4681" s="8" t="s">
        <v>1674</v>
      </c>
      <c r="C4681" s="8" t="s">
        <v>1675</v>
      </c>
      <c r="D4681" s="9">
        <v>1.0</v>
      </c>
      <c r="E4681" s="67">
        <f t="shared" si="14"/>
        <v>250</v>
      </c>
      <c r="F4681" s="67" t="str">
        <f t="shared" si="12"/>
        <v>1 LeadGen Set Appointments</v>
      </c>
    </row>
    <row r="4682" hidden="1">
      <c r="A4682" s="6" t="s">
        <v>62</v>
      </c>
      <c r="B4682" s="8" t="s">
        <v>1955</v>
      </c>
      <c r="C4682" s="8" t="s">
        <v>1956</v>
      </c>
      <c r="D4682" s="9">
        <v>1.0</v>
      </c>
      <c r="E4682" s="67">
        <f t="shared" si="14"/>
        <v>250</v>
      </c>
      <c r="F4682" s="67" t="str">
        <f t="shared" si="12"/>
        <v>1 LeadGen Set Appointments</v>
      </c>
    </row>
    <row r="4683" hidden="1">
      <c r="A4683" s="6" t="s">
        <v>62</v>
      </c>
      <c r="B4683" s="8" t="s">
        <v>2165</v>
      </c>
      <c r="C4683" s="8" t="s">
        <v>2166</v>
      </c>
      <c r="D4683" s="9">
        <v>1.0</v>
      </c>
      <c r="E4683" s="67">
        <f t="shared" si="14"/>
        <v>250</v>
      </c>
      <c r="F4683" s="67" t="str">
        <f t="shared" si="12"/>
        <v>1 LeadGen Set Appointments</v>
      </c>
    </row>
    <row r="4684" hidden="1">
      <c r="A4684" s="6" t="s">
        <v>62</v>
      </c>
      <c r="B4684" s="8" t="s">
        <v>2111</v>
      </c>
      <c r="C4684" s="8" t="s">
        <v>2112</v>
      </c>
      <c r="D4684" s="9">
        <v>1.0</v>
      </c>
      <c r="E4684" s="67">
        <f t="shared" si="14"/>
        <v>250</v>
      </c>
      <c r="F4684" s="67" t="str">
        <f t="shared" si="12"/>
        <v>1 LeadGen Set Appointments</v>
      </c>
    </row>
    <row r="4685" hidden="1">
      <c r="A4685" s="6" t="s">
        <v>62</v>
      </c>
      <c r="B4685" s="8" t="s">
        <v>1569</v>
      </c>
      <c r="C4685" s="8" t="s">
        <v>1570</v>
      </c>
      <c r="D4685" s="9">
        <v>1.0</v>
      </c>
      <c r="E4685" s="67">
        <f t="shared" si="14"/>
        <v>250</v>
      </c>
      <c r="F4685" s="67" t="str">
        <f t="shared" si="12"/>
        <v>1 LeadGen Set Appointments</v>
      </c>
    </row>
    <row r="4686" hidden="1">
      <c r="A4686" s="6" t="s">
        <v>62</v>
      </c>
      <c r="B4686" s="8" t="s">
        <v>2151</v>
      </c>
      <c r="C4686" s="8" t="s">
        <v>2152</v>
      </c>
      <c r="D4686" s="9">
        <v>1.0</v>
      </c>
      <c r="E4686" s="67">
        <f t="shared" si="14"/>
        <v>250</v>
      </c>
      <c r="F4686" s="67" t="str">
        <f t="shared" si="12"/>
        <v>1 LeadGen Set Appointments</v>
      </c>
    </row>
    <row r="4687" hidden="1">
      <c r="A4687" s="6" t="s">
        <v>62</v>
      </c>
      <c r="B4687" s="8" t="s">
        <v>2081</v>
      </c>
      <c r="C4687" s="8" t="s">
        <v>2082</v>
      </c>
      <c r="D4687" s="9">
        <v>1.0</v>
      </c>
      <c r="E4687" s="67">
        <f t="shared" si="14"/>
        <v>250</v>
      </c>
      <c r="F4687" s="67" t="str">
        <f t="shared" si="12"/>
        <v>1 LeadGen Set Appointments</v>
      </c>
    </row>
    <row r="4688" hidden="1">
      <c r="A4688" s="6" t="s">
        <v>62</v>
      </c>
      <c r="B4688" s="8" t="s">
        <v>2207</v>
      </c>
      <c r="C4688" s="8" t="s">
        <v>2208</v>
      </c>
      <c r="D4688" s="9">
        <v>1.0</v>
      </c>
      <c r="E4688" s="67">
        <f t="shared" si="14"/>
        <v>250</v>
      </c>
      <c r="F4688" s="67" t="str">
        <f t="shared" si="12"/>
        <v>1 LeadGen Set Appointments</v>
      </c>
    </row>
    <row r="4689" hidden="1">
      <c r="A4689" s="6" t="s">
        <v>62</v>
      </c>
      <c r="B4689" s="8" t="s">
        <v>2183</v>
      </c>
      <c r="C4689" s="8" t="s">
        <v>2184</v>
      </c>
      <c r="D4689" s="9">
        <v>1.0</v>
      </c>
      <c r="E4689" s="67">
        <f t="shared" si="14"/>
        <v>250</v>
      </c>
      <c r="F4689" s="67" t="str">
        <f t="shared" si="12"/>
        <v>1 LeadGen Set Appointments</v>
      </c>
    </row>
    <row r="4690" hidden="1">
      <c r="A4690" s="6" t="s">
        <v>62</v>
      </c>
      <c r="B4690" s="8" t="s">
        <v>622</v>
      </c>
      <c r="C4690" s="8" t="s">
        <v>623</v>
      </c>
      <c r="D4690" s="9">
        <v>1.0</v>
      </c>
      <c r="E4690" s="67">
        <f t="shared" si="14"/>
        <v>250</v>
      </c>
      <c r="F4690" s="67" t="str">
        <f t="shared" si="12"/>
        <v>1 LeadGen Set Appointments</v>
      </c>
    </row>
    <row r="4691" hidden="1">
      <c r="A4691" s="6" t="s">
        <v>62</v>
      </c>
      <c r="B4691" s="8" t="s">
        <v>1351</v>
      </c>
      <c r="C4691" s="8" t="s">
        <v>1352</v>
      </c>
      <c r="D4691" s="9">
        <v>1.0</v>
      </c>
      <c r="E4691" s="67">
        <f t="shared" si="14"/>
        <v>250</v>
      </c>
      <c r="F4691" s="67" t="str">
        <f t="shared" si="12"/>
        <v>1 LeadGen Set Appointments</v>
      </c>
    </row>
    <row r="4692" hidden="1">
      <c r="A4692" s="6" t="s">
        <v>62</v>
      </c>
      <c r="B4692" s="8" t="s">
        <v>2077</v>
      </c>
      <c r="C4692" s="8" t="s">
        <v>2078</v>
      </c>
      <c r="D4692" s="9">
        <v>1.0</v>
      </c>
      <c r="E4692" s="67">
        <f t="shared" si="14"/>
        <v>250</v>
      </c>
      <c r="F4692" s="67" t="str">
        <f t="shared" si="12"/>
        <v>1 LeadGen Set Appointments</v>
      </c>
    </row>
    <row r="4693" hidden="1">
      <c r="A4693" s="6" t="s">
        <v>62</v>
      </c>
      <c r="B4693" s="8" t="s">
        <v>2209</v>
      </c>
      <c r="C4693" s="8" t="s">
        <v>2210</v>
      </c>
      <c r="D4693" s="9">
        <v>1.0</v>
      </c>
      <c r="E4693" s="67">
        <f t="shared" si="14"/>
        <v>250</v>
      </c>
      <c r="F4693" s="67" t="str">
        <f t="shared" si="12"/>
        <v>1 LeadGen Set Appointments</v>
      </c>
    </row>
    <row r="4694" hidden="1">
      <c r="A4694" s="6" t="s">
        <v>62</v>
      </c>
      <c r="B4694" s="8" t="s">
        <v>445</v>
      </c>
      <c r="C4694" s="8" t="s">
        <v>446</v>
      </c>
      <c r="D4694" s="9">
        <v>1.0</v>
      </c>
      <c r="E4694" s="67">
        <f t="shared" si="14"/>
        <v>250</v>
      </c>
      <c r="F4694" s="67" t="str">
        <f t="shared" si="12"/>
        <v>1 LeadGen Set Appointments</v>
      </c>
    </row>
    <row r="4695" hidden="1">
      <c r="A4695" s="6" t="s">
        <v>62</v>
      </c>
      <c r="B4695" s="8" t="s">
        <v>2056</v>
      </c>
      <c r="C4695" s="8" t="s">
        <v>2057</v>
      </c>
      <c r="D4695" s="9">
        <v>1.0</v>
      </c>
      <c r="E4695" s="67">
        <f t="shared" si="14"/>
        <v>250</v>
      </c>
      <c r="F4695" s="67" t="str">
        <f t="shared" si="12"/>
        <v>1 LeadGen Set Appointments</v>
      </c>
    </row>
    <row r="4696" hidden="1">
      <c r="A4696" s="6" t="s">
        <v>62</v>
      </c>
      <c r="B4696" s="8" t="s">
        <v>1694</v>
      </c>
      <c r="C4696" s="8" t="s">
        <v>2211</v>
      </c>
      <c r="D4696" s="9">
        <v>2.0</v>
      </c>
      <c r="E4696" s="67">
        <f t="shared" si="14"/>
        <v>500</v>
      </c>
      <c r="F4696" s="67" t="str">
        <f t="shared" si="12"/>
        <v>2 LeadGen Set Appointments</v>
      </c>
    </row>
    <row r="4697" hidden="1">
      <c r="A4697" s="6" t="s">
        <v>62</v>
      </c>
      <c r="B4697" s="8" t="s">
        <v>2048</v>
      </c>
      <c r="C4697" s="8" t="s">
        <v>2049</v>
      </c>
      <c r="D4697" s="9">
        <v>3.0</v>
      </c>
      <c r="E4697" s="67">
        <f t="shared" si="14"/>
        <v>750</v>
      </c>
      <c r="F4697" s="67" t="str">
        <f t="shared" si="12"/>
        <v>3 LeadGen Set Appointments</v>
      </c>
    </row>
    <row r="4698" hidden="1">
      <c r="A4698" s="6" t="s">
        <v>62</v>
      </c>
      <c r="B4698" s="8" t="s">
        <v>1911</v>
      </c>
      <c r="C4698" s="8" t="s">
        <v>1912</v>
      </c>
      <c r="D4698" s="9">
        <v>3.0</v>
      </c>
      <c r="E4698" s="67">
        <f t="shared" si="14"/>
        <v>750</v>
      </c>
      <c r="F4698" s="67" t="str">
        <f t="shared" si="12"/>
        <v>3 LeadGen Set Appointments</v>
      </c>
    </row>
    <row r="4699" hidden="1">
      <c r="A4699" s="6" t="s">
        <v>62</v>
      </c>
      <c r="B4699" s="8" t="s">
        <v>1761</v>
      </c>
      <c r="C4699" s="8" t="s">
        <v>1762</v>
      </c>
      <c r="D4699" s="9">
        <v>1.0</v>
      </c>
      <c r="E4699" s="67">
        <f t="shared" si="14"/>
        <v>250</v>
      </c>
      <c r="F4699" s="67" t="str">
        <f t="shared" si="12"/>
        <v>1 LeadGen Set Appointments</v>
      </c>
    </row>
    <row r="4700" hidden="1">
      <c r="A4700" s="6" t="s">
        <v>62</v>
      </c>
      <c r="B4700" s="8" t="s">
        <v>1526</v>
      </c>
      <c r="C4700" s="8" t="s">
        <v>1527</v>
      </c>
      <c r="D4700" s="9">
        <v>1.0</v>
      </c>
      <c r="E4700" s="67">
        <f t="shared" si="14"/>
        <v>250</v>
      </c>
      <c r="F4700" s="67" t="str">
        <f t="shared" si="12"/>
        <v>1 LeadGen Set Appointments</v>
      </c>
    </row>
    <row r="4701" hidden="1">
      <c r="A4701" s="6" t="s">
        <v>63</v>
      </c>
      <c r="B4701" s="77" t="s">
        <v>476</v>
      </c>
      <c r="C4701" s="77" t="s">
        <v>477</v>
      </c>
      <c r="D4701" s="78">
        <v>8.0</v>
      </c>
      <c r="E4701" s="79">
        <f t="shared" ref="E4701:E4721" si="15">D4701*500</f>
        <v>4000</v>
      </c>
      <c r="F4701" s="79" t="str">
        <f t="shared" si="12"/>
        <v>8 LeadGen Set Appointments</v>
      </c>
    </row>
    <row r="4702" hidden="1">
      <c r="A4702" s="6" t="s">
        <v>63</v>
      </c>
      <c r="B4702" s="77" t="s">
        <v>540</v>
      </c>
      <c r="C4702" s="77" t="s">
        <v>1454</v>
      </c>
      <c r="D4702" s="78">
        <v>6.0</v>
      </c>
      <c r="E4702" s="79">
        <f t="shared" si="15"/>
        <v>3000</v>
      </c>
      <c r="F4702" s="79" t="str">
        <f t="shared" si="12"/>
        <v>6 LeadGen Set Appointments</v>
      </c>
    </row>
    <row r="4703" hidden="1">
      <c r="A4703" s="6" t="s">
        <v>63</v>
      </c>
      <c r="B4703" s="77" t="s">
        <v>1491</v>
      </c>
      <c r="C4703" s="77" t="s">
        <v>1492</v>
      </c>
      <c r="D4703" s="78">
        <v>6.0</v>
      </c>
      <c r="E4703" s="79">
        <f t="shared" si="15"/>
        <v>3000</v>
      </c>
      <c r="F4703" s="79" t="str">
        <f t="shared" si="12"/>
        <v>6 LeadGen Set Appointments</v>
      </c>
    </row>
    <row r="4704" hidden="1">
      <c r="A4704" s="6" t="s">
        <v>63</v>
      </c>
      <c r="B4704" s="77" t="s">
        <v>1865</v>
      </c>
      <c r="C4704" s="77" t="s">
        <v>1866</v>
      </c>
      <c r="D4704" s="78">
        <v>6.0</v>
      </c>
      <c r="E4704" s="79">
        <f t="shared" si="15"/>
        <v>3000</v>
      </c>
      <c r="F4704" s="79" t="str">
        <f t="shared" si="12"/>
        <v>6 LeadGen Set Appointments</v>
      </c>
    </row>
    <row r="4705" hidden="1">
      <c r="A4705" s="6" t="s">
        <v>63</v>
      </c>
      <c r="B4705" s="77" t="s">
        <v>1471</v>
      </c>
      <c r="C4705" s="77" t="s">
        <v>1472</v>
      </c>
      <c r="D4705" s="78">
        <v>6.0</v>
      </c>
      <c r="E4705" s="79">
        <f t="shared" si="15"/>
        <v>3000</v>
      </c>
      <c r="F4705" s="79" t="str">
        <f t="shared" si="12"/>
        <v>6 LeadGen Set Appointments</v>
      </c>
    </row>
    <row r="4706" hidden="1">
      <c r="A4706" s="6" t="s">
        <v>63</v>
      </c>
      <c r="B4706" s="77" t="s">
        <v>1455</v>
      </c>
      <c r="C4706" s="77" t="s">
        <v>1456</v>
      </c>
      <c r="D4706" s="78">
        <v>5.0</v>
      </c>
      <c r="E4706" s="79">
        <f t="shared" si="15"/>
        <v>2500</v>
      </c>
      <c r="F4706" s="79" t="str">
        <f t="shared" si="12"/>
        <v>5 LeadGen Set Appointments</v>
      </c>
    </row>
    <row r="4707" hidden="1">
      <c r="A4707" s="6" t="s">
        <v>63</v>
      </c>
      <c r="B4707" s="77" t="s">
        <v>640</v>
      </c>
      <c r="C4707" s="77" t="s">
        <v>641</v>
      </c>
      <c r="D4707" s="78">
        <v>5.0</v>
      </c>
      <c r="E4707" s="79">
        <f t="shared" si="15"/>
        <v>2500</v>
      </c>
      <c r="F4707" s="79" t="str">
        <f t="shared" si="12"/>
        <v>5 LeadGen Set Appointments</v>
      </c>
    </row>
    <row r="4708" hidden="1">
      <c r="A4708" s="6" t="s">
        <v>63</v>
      </c>
      <c r="B4708" s="77" t="s">
        <v>411</v>
      </c>
      <c r="C4708" s="77" t="s">
        <v>412</v>
      </c>
      <c r="D4708" s="78">
        <v>5.0</v>
      </c>
      <c r="E4708" s="79">
        <f t="shared" si="15"/>
        <v>2500</v>
      </c>
      <c r="F4708" s="79" t="str">
        <f t="shared" si="12"/>
        <v>5 LeadGen Set Appointments</v>
      </c>
    </row>
    <row r="4709" hidden="1">
      <c r="A4709" s="6" t="s">
        <v>63</v>
      </c>
      <c r="B4709" s="77" t="s">
        <v>1025</v>
      </c>
      <c r="C4709" s="77" t="s">
        <v>1026</v>
      </c>
      <c r="D4709" s="78">
        <v>5.0</v>
      </c>
      <c r="E4709" s="79">
        <f t="shared" si="15"/>
        <v>2500</v>
      </c>
      <c r="F4709" s="79" t="str">
        <f t="shared" si="12"/>
        <v>5 LeadGen Set Appointments</v>
      </c>
    </row>
    <row r="4710" hidden="1">
      <c r="A4710" s="6" t="s">
        <v>63</v>
      </c>
      <c r="B4710" s="77" t="s">
        <v>1943</v>
      </c>
      <c r="C4710" s="77" t="s">
        <v>1944</v>
      </c>
      <c r="D4710" s="78">
        <v>5.0</v>
      </c>
      <c r="E4710" s="79">
        <f t="shared" si="15"/>
        <v>2500</v>
      </c>
      <c r="F4710" s="79" t="str">
        <f t="shared" si="12"/>
        <v>5 LeadGen Set Appointments</v>
      </c>
    </row>
    <row r="4711" hidden="1">
      <c r="A4711" s="6" t="s">
        <v>63</v>
      </c>
      <c r="B4711" s="77" t="s">
        <v>546</v>
      </c>
      <c r="C4711" s="77" t="s">
        <v>547</v>
      </c>
      <c r="D4711" s="78">
        <v>4.0</v>
      </c>
      <c r="E4711" s="79">
        <f t="shared" si="15"/>
        <v>2000</v>
      </c>
      <c r="F4711" s="79" t="str">
        <f t="shared" si="12"/>
        <v>4 LeadGen Set Appointments</v>
      </c>
    </row>
    <row r="4712" hidden="1">
      <c r="A4712" s="6" t="s">
        <v>63</v>
      </c>
      <c r="B4712" s="77" t="s">
        <v>1467</v>
      </c>
      <c r="C4712" s="77" t="s">
        <v>1468</v>
      </c>
      <c r="D4712" s="78">
        <v>4.0</v>
      </c>
      <c r="E4712" s="79">
        <f t="shared" si="15"/>
        <v>2000</v>
      </c>
      <c r="F4712" s="79" t="str">
        <f t="shared" si="12"/>
        <v>4 LeadGen Set Appointments</v>
      </c>
    </row>
    <row r="4713" hidden="1">
      <c r="A4713" s="6" t="s">
        <v>63</v>
      </c>
      <c r="B4713" s="77" t="s">
        <v>1510</v>
      </c>
      <c r="C4713" s="77" t="s">
        <v>1511</v>
      </c>
      <c r="D4713" s="78">
        <v>4.0</v>
      </c>
      <c r="E4713" s="79">
        <f t="shared" si="15"/>
        <v>2000</v>
      </c>
      <c r="F4713" s="79" t="str">
        <f t="shared" si="12"/>
        <v>4 LeadGen Set Appointments</v>
      </c>
    </row>
    <row r="4714" hidden="1">
      <c r="A4714" s="6" t="s">
        <v>63</v>
      </c>
      <c r="B4714" s="77" t="s">
        <v>1477</v>
      </c>
      <c r="C4714" s="77" t="s">
        <v>1478</v>
      </c>
      <c r="D4714" s="78">
        <v>4.0</v>
      </c>
      <c r="E4714" s="79">
        <f t="shared" si="15"/>
        <v>2000</v>
      </c>
      <c r="F4714" s="79" t="str">
        <f t="shared" si="12"/>
        <v>4 LeadGen Set Appointments</v>
      </c>
    </row>
    <row r="4715" hidden="1">
      <c r="A4715" s="6" t="s">
        <v>63</v>
      </c>
      <c r="B4715" s="77" t="s">
        <v>1415</v>
      </c>
      <c r="C4715" s="77" t="s">
        <v>1416</v>
      </c>
      <c r="D4715" s="78">
        <v>4.0</v>
      </c>
      <c r="E4715" s="79">
        <f t="shared" si="15"/>
        <v>2000</v>
      </c>
      <c r="F4715" s="79" t="str">
        <f t="shared" si="12"/>
        <v>4 LeadGen Set Appointments</v>
      </c>
    </row>
    <row r="4716" hidden="1">
      <c r="A4716" s="6" t="s">
        <v>63</v>
      </c>
      <c r="B4716" s="77" t="s">
        <v>1724</v>
      </c>
      <c r="C4716" s="77" t="s">
        <v>1725</v>
      </c>
      <c r="D4716" s="78">
        <v>4.0</v>
      </c>
      <c r="E4716" s="79">
        <f t="shared" si="15"/>
        <v>2000</v>
      </c>
      <c r="F4716" s="79" t="str">
        <f t="shared" si="12"/>
        <v>4 LeadGen Set Appointments</v>
      </c>
    </row>
    <row r="4717" hidden="1">
      <c r="A4717" s="6" t="s">
        <v>63</v>
      </c>
      <c r="B4717" s="77" t="s">
        <v>699</v>
      </c>
      <c r="C4717" s="77" t="s">
        <v>700</v>
      </c>
      <c r="D4717" s="78">
        <v>4.0</v>
      </c>
      <c r="E4717" s="79">
        <f t="shared" si="15"/>
        <v>2000</v>
      </c>
      <c r="F4717" s="79" t="str">
        <f t="shared" si="12"/>
        <v>4 LeadGen Set Appointments</v>
      </c>
    </row>
    <row r="4718" hidden="1">
      <c r="A4718" s="6" t="s">
        <v>63</v>
      </c>
      <c r="B4718" s="77" t="s">
        <v>723</v>
      </c>
      <c r="C4718" s="77" t="s">
        <v>724</v>
      </c>
      <c r="D4718" s="78">
        <v>4.0</v>
      </c>
      <c r="E4718" s="79">
        <f t="shared" si="15"/>
        <v>2000</v>
      </c>
      <c r="F4718" s="79" t="str">
        <f t="shared" si="12"/>
        <v>4 LeadGen Set Appointments</v>
      </c>
    </row>
    <row r="4719" hidden="1">
      <c r="A4719" s="6" t="s">
        <v>63</v>
      </c>
      <c r="B4719" s="77" t="s">
        <v>1481</v>
      </c>
      <c r="C4719" s="77" t="s">
        <v>1482</v>
      </c>
      <c r="D4719" s="78">
        <v>4.0</v>
      </c>
      <c r="E4719" s="79">
        <f t="shared" si="15"/>
        <v>2000</v>
      </c>
      <c r="F4719" s="79" t="str">
        <f t="shared" si="12"/>
        <v>4 LeadGen Set Appointments</v>
      </c>
    </row>
    <row r="4720" hidden="1">
      <c r="A4720" s="6" t="s">
        <v>63</v>
      </c>
      <c r="B4720" s="77" t="s">
        <v>622</v>
      </c>
      <c r="C4720" s="77" t="s">
        <v>623</v>
      </c>
      <c r="D4720" s="78">
        <v>4.0</v>
      </c>
      <c r="E4720" s="79">
        <f t="shared" si="15"/>
        <v>2000</v>
      </c>
      <c r="F4720" s="79" t="str">
        <f t="shared" si="12"/>
        <v>4 LeadGen Set Appointments</v>
      </c>
    </row>
    <row r="4721" hidden="1">
      <c r="A4721" s="6" t="s">
        <v>63</v>
      </c>
      <c r="B4721" s="77" t="s">
        <v>435</v>
      </c>
      <c r="C4721" s="77" t="s">
        <v>436</v>
      </c>
      <c r="D4721" s="78">
        <v>4.0</v>
      </c>
      <c r="E4721" s="79">
        <f t="shared" si="15"/>
        <v>2000</v>
      </c>
      <c r="F4721" s="79" t="str">
        <f t="shared" si="12"/>
        <v>4 LeadGen Set Appointments</v>
      </c>
    </row>
    <row r="4722" hidden="1">
      <c r="A4722" s="6" t="s">
        <v>63</v>
      </c>
      <c r="B4722" s="13" t="s">
        <v>2161</v>
      </c>
      <c r="C4722" s="13" t="s">
        <v>2162</v>
      </c>
      <c r="D4722" s="15">
        <v>3.0</v>
      </c>
      <c r="E4722" s="67">
        <f t="shared" ref="E4722:E5391" si="16">IF(D4722&lt;10, D4722*250, D4722*500)</f>
        <v>750</v>
      </c>
      <c r="F4722" s="67" t="str">
        <f t="shared" si="12"/>
        <v>3 LeadGen Set Appointments</v>
      </c>
    </row>
    <row r="4723" hidden="1">
      <c r="A4723" s="6" t="s">
        <v>63</v>
      </c>
      <c r="B4723" s="13" t="s">
        <v>1473</v>
      </c>
      <c r="C4723" s="13" t="s">
        <v>1474</v>
      </c>
      <c r="D4723" s="15">
        <v>3.0</v>
      </c>
      <c r="E4723" s="67">
        <f t="shared" si="16"/>
        <v>750</v>
      </c>
      <c r="F4723" s="67" t="str">
        <f t="shared" si="12"/>
        <v>3 LeadGen Set Appointments</v>
      </c>
    </row>
    <row r="4724" hidden="1">
      <c r="A4724" s="6" t="s">
        <v>63</v>
      </c>
      <c r="B4724" s="13" t="s">
        <v>1694</v>
      </c>
      <c r="C4724" s="13" t="s">
        <v>2211</v>
      </c>
      <c r="D4724" s="15">
        <v>3.0</v>
      </c>
      <c r="E4724" s="67">
        <f t="shared" si="16"/>
        <v>750</v>
      </c>
      <c r="F4724" s="67" t="str">
        <f t="shared" si="12"/>
        <v>3 LeadGen Set Appointments</v>
      </c>
    </row>
    <row r="4725" hidden="1">
      <c r="A4725" s="6" t="s">
        <v>63</v>
      </c>
      <c r="B4725" s="13" t="s">
        <v>1543</v>
      </c>
      <c r="C4725" s="13" t="s">
        <v>1544</v>
      </c>
      <c r="D4725" s="15">
        <v>3.0</v>
      </c>
      <c r="E4725" s="67">
        <f t="shared" si="16"/>
        <v>750</v>
      </c>
      <c r="F4725" s="67" t="str">
        <f t="shared" si="12"/>
        <v>3 LeadGen Set Appointments</v>
      </c>
    </row>
    <row r="4726" hidden="1">
      <c r="A4726" s="6" t="s">
        <v>63</v>
      </c>
      <c r="B4726" s="13" t="s">
        <v>240</v>
      </c>
      <c r="C4726" s="13" t="s">
        <v>241</v>
      </c>
      <c r="D4726" s="15">
        <v>3.0</v>
      </c>
      <c r="E4726" s="67">
        <f t="shared" si="16"/>
        <v>750</v>
      </c>
      <c r="F4726" s="67" t="str">
        <f t="shared" si="12"/>
        <v>3 LeadGen Set Appointments</v>
      </c>
    </row>
    <row r="4727" hidden="1">
      <c r="A4727" s="6" t="s">
        <v>63</v>
      </c>
      <c r="B4727" s="13" t="s">
        <v>1891</v>
      </c>
      <c r="C4727" s="13" t="s">
        <v>1892</v>
      </c>
      <c r="D4727" s="15">
        <v>3.0</v>
      </c>
      <c r="E4727" s="67">
        <f t="shared" si="16"/>
        <v>750</v>
      </c>
      <c r="F4727" s="67" t="str">
        <f t="shared" si="12"/>
        <v>3 LeadGen Set Appointments</v>
      </c>
    </row>
    <row r="4728" hidden="1">
      <c r="A4728" s="6" t="s">
        <v>63</v>
      </c>
      <c r="B4728" s="13" t="s">
        <v>626</v>
      </c>
      <c r="C4728" s="13" t="s">
        <v>627</v>
      </c>
      <c r="D4728" s="15">
        <v>3.0</v>
      </c>
      <c r="E4728" s="67">
        <f t="shared" si="16"/>
        <v>750</v>
      </c>
      <c r="F4728" s="67" t="str">
        <f t="shared" si="12"/>
        <v>3 LeadGen Set Appointments</v>
      </c>
    </row>
    <row r="4729" hidden="1">
      <c r="A4729" s="6" t="s">
        <v>63</v>
      </c>
      <c r="B4729" s="13" t="s">
        <v>242</v>
      </c>
      <c r="C4729" s="13" t="s">
        <v>1887</v>
      </c>
      <c r="D4729" s="15">
        <v>3.0</v>
      </c>
      <c r="E4729" s="67">
        <f t="shared" si="16"/>
        <v>750</v>
      </c>
      <c r="F4729" s="67" t="str">
        <f t="shared" si="12"/>
        <v>3 LeadGen Set Appointments</v>
      </c>
    </row>
    <row r="4730" hidden="1">
      <c r="A4730" s="6" t="s">
        <v>63</v>
      </c>
      <c r="B4730" s="13" t="s">
        <v>2163</v>
      </c>
      <c r="C4730" s="13" t="s">
        <v>2164</v>
      </c>
      <c r="D4730" s="15">
        <v>3.0</v>
      </c>
      <c r="E4730" s="67">
        <f t="shared" si="16"/>
        <v>750</v>
      </c>
      <c r="F4730" s="67" t="str">
        <f t="shared" si="12"/>
        <v>3 LeadGen Set Appointments</v>
      </c>
    </row>
    <row r="4731" hidden="1">
      <c r="A4731" s="6" t="s">
        <v>63</v>
      </c>
      <c r="B4731" s="13" t="s">
        <v>518</v>
      </c>
      <c r="C4731" s="13" t="s">
        <v>519</v>
      </c>
      <c r="D4731" s="15">
        <v>3.0</v>
      </c>
      <c r="E4731" s="67">
        <f t="shared" si="16"/>
        <v>750</v>
      </c>
      <c r="F4731" s="67" t="str">
        <f t="shared" si="12"/>
        <v>3 LeadGen Set Appointments</v>
      </c>
    </row>
    <row r="4732" hidden="1">
      <c r="A4732" s="6" t="s">
        <v>63</v>
      </c>
      <c r="B4732" s="13" t="s">
        <v>1157</v>
      </c>
      <c r="C4732" s="13" t="s">
        <v>1158</v>
      </c>
      <c r="D4732" s="15">
        <v>3.0</v>
      </c>
      <c r="E4732" s="67">
        <f t="shared" si="16"/>
        <v>750</v>
      </c>
      <c r="F4732" s="67" t="str">
        <f t="shared" si="12"/>
        <v>3 LeadGen Set Appointments</v>
      </c>
    </row>
    <row r="4733" hidden="1">
      <c r="A4733" s="6" t="s">
        <v>63</v>
      </c>
      <c r="B4733" s="13" t="s">
        <v>910</v>
      </c>
      <c r="C4733" s="13" t="s">
        <v>911</v>
      </c>
      <c r="D4733" s="15">
        <v>3.0</v>
      </c>
      <c r="E4733" s="67">
        <f t="shared" si="16"/>
        <v>750</v>
      </c>
      <c r="F4733" s="67" t="str">
        <f t="shared" si="12"/>
        <v>3 LeadGen Set Appointments</v>
      </c>
    </row>
    <row r="4734" hidden="1">
      <c r="A4734" s="6" t="s">
        <v>63</v>
      </c>
      <c r="B4734" s="13" t="s">
        <v>445</v>
      </c>
      <c r="C4734" s="13" t="s">
        <v>446</v>
      </c>
      <c r="D4734" s="15">
        <v>3.0</v>
      </c>
      <c r="E4734" s="67">
        <f t="shared" si="16"/>
        <v>750</v>
      </c>
      <c r="F4734" s="67" t="str">
        <f t="shared" si="12"/>
        <v>3 LeadGen Set Appointments</v>
      </c>
    </row>
    <row r="4735" hidden="1">
      <c r="A4735" s="6" t="s">
        <v>63</v>
      </c>
      <c r="B4735" s="13" t="s">
        <v>2048</v>
      </c>
      <c r="C4735" s="13" t="s">
        <v>2049</v>
      </c>
      <c r="D4735" s="15">
        <v>2.0</v>
      </c>
      <c r="E4735" s="67">
        <f t="shared" si="16"/>
        <v>500</v>
      </c>
      <c r="F4735" s="67" t="str">
        <f t="shared" si="12"/>
        <v>2 LeadGen Set Appointments</v>
      </c>
    </row>
    <row r="4736" hidden="1">
      <c r="A4736" s="6" t="s">
        <v>63</v>
      </c>
      <c r="B4736" s="13" t="s">
        <v>1465</v>
      </c>
      <c r="C4736" s="13" t="s">
        <v>1466</v>
      </c>
      <c r="D4736" s="15">
        <v>2.0</v>
      </c>
      <c r="E4736" s="67">
        <f t="shared" si="16"/>
        <v>500</v>
      </c>
      <c r="F4736" s="67" t="str">
        <f t="shared" si="12"/>
        <v>2 LeadGen Set Appointments</v>
      </c>
    </row>
    <row r="4737" hidden="1">
      <c r="A4737" s="6" t="s">
        <v>63</v>
      </c>
      <c r="B4737" s="13" t="s">
        <v>736</v>
      </c>
      <c r="C4737" s="13" t="s">
        <v>737</v>
      </c>
      <c r="D4737" s="15">
        <v>2.0</v>
      </c>
      <c r="E4737" s="67">
        <f t="shared" si="16"/>
        <v>500</v>
      </c>
      <c r="F4737" s="67" t="str">
        <f t="shared" si="12"/>
        <v>2 LeadGen Set Appointments</v>
      </c>
    </row>
    <row r="4738" hidden="1">
      <c r="A4738" s="6" t="s">
        <v>63</v>
      </c>
      <c r="B4738" s="13" t="s">
        <v>462</v>
      </c>
      <c r="C4738" s="13" t="s">
        <v>463</v>
      </c>
      <c r="D4738" s="15">
        <v>2.0</v>
      </c>
      <c r="E4738" s="67">
        <f t="shared" si="16"/>
        <v>500</v>
      </c>
      <c r="F4738" s="67" t="str">
        <f t="shared" si="12"/>
        <v>2 LeadGen Set Appointments</v>
      </c>
    </row>
    <row r="4739" hidden="1">
      <c r="A4739" s="6" t="s">
        <v>63</v>
      </c>
      <c r="B4739" s="13" t="s">
        <v>2193</v>
      </c>
      <c r="C4739" s="13" t="s">
        <v>2194</v>
      </c>
      <c r="D4739" s="15">
        <v>2.0</v>
      </c>
      <c r="E4739" s="67">
        <f t="shared" si="16"/>
        <v>500</v>
      </c>
      <c r="F4739" s="67" t="str">
        <f t="shared" si="12"/>
        <v>2 LeadGen Set Appointments</v>
      </c>
    </row>
    <row r="4740" hidden="1">
      <c r="A4740" s="6" t="s">
        <v>63</v>
      </c>
      <c r="B4740" s="13" t="s">
        <v>1448</v>
      </c>
      <c r="C4740" s="13" t="s">
        <v>1449</v>
      </c>
      <c r="D4740" s="15">
        <v>2.0</v>
      </c>
      <c r="E4740" s="67">
        <f t="shared" si="16"/>
        <v>500</v>
      </c>
      <c r="F4740" s="67" t="str">
        <f t="shared" si="12"/>
        <v>2 LeadGen Set Appointments</v>
      </c>
    </row>
    <row r="4741" hidden="1">
      <c r="A4741" s="6" t="s">
        <v>63</v>
      </c>
      <c r="B4741" s="13" t="s">
        <v>1927</v>
      </c>
      <c r="C4741" s="13" t="s">
        <v>1928</v>
      </c>
      <c r="D4741" s="15">
        <v>2.0</v>
      </c>
      <c r="E4741" s="67">
        <f t="shared" si="16"/>
        <v>500</v>
      </c>
      <c r="F4741" s="67" t="str">
        <f t="shared" si="12"/>
        <v>2 LeadGen Set Appointments</v>
      </c>
    </row>
    <row r="4742" hidden="1">
      <c r="A4742" s="6" t="s">
        <v>63</v>
      </c>
      <c r="B4742" s="13" t="s">
        <v>1545</v>
      </c>
      <c r="C4742" s="13" t="s">
        <v>1546</v>
      </c>
      <c r="D4742" s="15">
        <v>2.0</v>
      </c>
      <c r="E4742" s="67">
        <f t="shared" si="16"/>
        <v>500</v>
      </c>
      <c r="F4742" s="67" t="str">
        <f t="shared" si="12"/>
        <v>2 LeadGen Set Appointments</v>
      </c>
    </row>
    <row r="4743" hidden="1">
      <c r="A4743" s="6" t="s">
        <v>63</v>
      </c>
      <c r="B4743" s="13" t="s">
        <v>1547</v>
      </c>
      <c r="C4743" s="13" t="s">
        <v>1548</v>
      </c>
      <c r="D4743" s="15">
        <v>2.0</v>
      </c>
      <c r="E4743" s="67">
        <f t="shared" si="16"/>
        <v>500</v>
      </c>
      <c r="F4743" s="67" t="str">
        <f t="shared" si="12"/>
        <v>2 LeadGen Set Appointments</v>
      </c>
    </row>
    <row r="4744" hidden="1">
      <c r="A4744" s="6" t="s">
        <v>63</v>
      </c>
      <c r="B4744" s="13" t="s">
        <v>2145</v>
      </c>
      <c r="C4744" s="13" t="s">
        <v>2146</v>
      </c>
      <c r="D4744" s="15">
        <v>2.0</v>
      </c>
      <c r="E4744" s="67">
        <f t="shared" si="16"/>
        <v>500</v>
      </c>
      <c r="F4744" s="67" t="str">
        <f t="shared" si="12"/>
        <v>2 LeadGen Set Appointments</v>
      </c>
    </row>
    <row r="4745" hidden="1">
      <c r="A4745" s="6" t="s">
        <v>63</v>
      </c>
      <c r="B4745" s="13" t="s">
        <v>1583</v>
      </c>
      <c r="C4745" s="13" t="s">
        <v>1584</v>
      </c>
      <c r="D4745" s="15">
        <v>2.0</v>
      </c>
      <c r="E4745" s="67">
        <f t="shared" si="16"/>
        <v>500</v>
      </c>
      <c r="F4745" s="67" t="str">
        <f t="shared" si="12"/>
        <v>2 LeadGen Set Appointments</v>
      </c>
    </row>
    <row r="4746" hidden="1">
      <c r="A4746" s="6" t="s">
        <v>63</v>
      </c>
      <c r="B4746" s="13" t="s">
        <v>1408</v>
      </c>
      <c r="C4746" s="13" t="s">
        <v>675</v>
      </c>
      <c r="D4746" s="15">
        <v>2.0</v>
      </c>
      <c r="E4746" s="67">
        <f t="shared" si="16"/>
        <v>500</v>
      </c>
      <c r="F4746" s="67" t="str">
        <f t="shared" si="12"/>
        <v>2 LeadGen Set Appointments</v>
      </c>
    </row>
    <row r="4747" hidden="1">
      <c r="A4747" s="6" t="s">
        <v>63</v>
      </c>
      <c r="B4747" s="13" t="s">
        <v>1461</v>
      </c>
      <c r="C4747" s="13" t="s">
        <v>1462</v>
      </c>
      <c r="D4747" s="15">
        <v>2.0</v>
      </c>
      <c r="E4747" s="67">
        <f t="shared" si="16"/>
        <v>500</v>
      </c>
      <c r="F4747" s="67" t="str">
        <f t="shared" si="12"/>
        <v>2 LeadGen Set Appointments</v>
      </c>
    </row>
    <row r="4748" hidden="1">
      <c r="A4748" s="6" t="s">
        <v>63</v>
      </c>
      <c r="B4748" s="13" t="s">
        <v>2147</v>
      </c>
      <c r="C4748" s="13" t="s">
        <v>2148</v>
      </c>
      <c r="D4748" s="15">
        <v>2.0</v>
      </c>
      <c r="E4748" s="67">
        <f t="shared" si="16"/>
        <v>500</v>
      </c>
      <c r="F4748" s="67" t="str">
        <f t="shared" si="12"/>
        <v>2 LeadGen Set Appointments</v>
      </c>
    </row>
    <row r="4749" hidden="1">
      <c r="A4749" s="6" t="s">
        <v>63</v>
      </c>
      <c r="B4749" s="13" t="s">
        <v>1778</v>
      </c>
      <c r="C4749" s="13" t="s">
        <v>1779</v>
      </c>
      <c r="D4749" s="15">
        <v>2.0</v>
      </c>
      <c r="E4749" s="67">
        <f t="shared" si="16"/>
        <v>500</v>
      </c>
      <c r="F4749" s="67" t="str">
        <f t="shared" si="12"/>
        <v>2 LeadGen Set Appointments</v>
      </c>
    </row>
    <row r="4750" hidden="1">
      <c r="A4750" s="6" t="s">
        <v>63</v>
      </c>
      <c r="B4750" s="13" t="s">
        <v>2179</v>
      </c>
      <c r="C4750" s="13" t="s">
        <v>2180</v>
      </c>
      <c r="D4750" s="15">
        <v>2.0</v>
      </c>
      <c r="E4750" s="67">
        <f t="shared" si="16"/>
        <v>500</v>
      </c>
      <c r="F4750" s="67" t="str">
        <f t="shared" si="12"/>
        <v>2 LeadGen Set Appointments</v>
      </c>
    </row>
    <row r="4751" hidden="1">
      <c r="A4751" s="6" t="s">
        <v>63</v>
      </c>
      <c r="B4751" s="13" t="s">
        <v>1688</v>
      </c>
      <c r="C4751" s="13" t="s">
        <v>1689</v>
      </c>
      <c r="D4751" s="15">
        <v>2.0</v>
      </c>
      <c r="E4751" s="67">
        <f t="shared" si="16"/>
        <v>500</v>
      </c>
      <c r="F4751" s="67" t="str">
        <f t="shared" si="12"/>
        <v>2 LeadGen Set Appointments</v>
      </c>
    </row>
    <row r="4752" hidden="1">
      <c r="A4752" s="6" t="s">
        <v>63</v>
      </c>
      <c r="B4752" s="13" t="s">
        <v>1551</v>
      </c>
      <c r="C4752" s="13" t="s">
        <v>1552</v>
      </c>
      <c r="D4752" s="15">
        <v>2.0</v>
      </c>
      <c r="E4752" s="67">
        <f t="shared" si="16"/>
        <v>500</v>
      </c>
      <c r="F4752" s="67" t="str">
        <f t="shared" si="12"/>
        <v>2 LeadGen Set Appointments</v>
      </c>
    </row>
    <row r="4753" hidden="1">
      <c r="A4753" s="6" t="s">
        <v>63</v>
      </c>
      <c r="B4753" s="13" t="s">
        <v>2125</v>
      </c>
      <c r="C4753" s="13" t="s">
        <v>2126</v>
      </c>
      <c r="D4753" s="15">
        <v>2.0</v>
      </c>
      <c r="E4753" s="67">
        <f t="shared" si="16"/>
        <v>500</v>
      </c>
      <c r="F4753" s="67" t="str">
        <f t="shared" si="12"/>
        <v>2 LeadGen Set Appointments</v>
      </c>
    </row>
    <row r="4754" hidden="1">
      <c r="A4754" s="6" t="s">
        <v>63</v>
      </c>
      <c r="B4754" s="13" t="s">
        <v>1426</v>
      </c>
      <c r="C4754" s="13" t="s">
        <v>1427</v>
      </c>
      <c r="D4754" s="15">
        <v>2.0</v>
      </c>
      <c r="E4754" s="67">
        <f t="shared" si="16"/>
        <v>500</v>
      </c>
      <c r="F4754" s="67" t="str">
        <f t="shared" si="12"/>
        <v>2 LeadGen Set Appointments</v>
      </c>
    </row>
    <row r="4755" hidden="1">
      <c r="A4755" s="6" t="s">
        <v>63</v>
      </c>
      <c r="B4755" s="13" t="s">
        <v>486</v>
      </c>
      <c r="C4755" s="13" t="s">
        <v>487</v>
      </c>
      <c r="D4755" s="15">
        <v>2.0</v>
      </c>
      <c r="E4755" s="67">
        <f t="shared" si="16"/>
        <v>500</v>
      </c>
      <c r="F4755" s="67" t="str">
        <f t="shared" si="12"/>
        <v>2 LeadGen Set Appointments</v>
      </c>
    </row>
    <row r="4756" hidden="1">
      <c r="A4756" s="6" t="s">
        <v>63</v>
      </c>
      <c r="B4756" s="13" t="s">
        <v>1489</v>
      </c>
      <c r="C4756" s="13" t="s">
        <v>1490</v>
      </c>
      <c r="D4756" s="15">
        <v>2.0</v>
      </c>
      <c r="E4756" s="67">
        <f t="shared" si="16"/>
        <v>500</v>
      </c>
      <c r="F4756" s="67" t="str">
        <f t="shared" si="12"/>
        <v>2 LeadGen Set Appointments</v>
      </c>
    </row>
    <row r="4757" hidden="1">
      <c r="A4757" s="6" t="s">
        <v>63</v>
      </c>
      <c r="B4757" s="13" t="s">
        <v>644</v>
      </c>
      <c r="C4757" s="13" t="s">
        <v>645</v>
      </c>
      <c r="D4757" s="15">
        <v>2.0</v>
      </c>
      <c r="E4757" s="67">
        <f t="shared" si="16"/>
        <v>500</v>
      </c>
      <c r="F4757" s="67" t="str">
        <f t="shared" si="12"/>
        <v>2 LeadGen Set Appointments</v>
      </c>
    </row>
    <row r="4758" hidden="1">
      <c r="A4758" s="6" t="s">
        <v>63</v>
      </c>
      <c r="B4758" s="13" t="s">
        <v>1557</v>
      </c>
      <c r="C4758" s="13" t="s">
        <v>1558</v>
      </c>
      <c r="D4758" s="15">
        <v>2.0</v>
      </c>
      <c r="E4758" s="67">
        <f t="shared" si="16"/>
        <v>500</v>
      </c>
      <c r="F4758" s="67" t="str">
        <f t="shared" si="12"/>
        <v>2 LeadGen Set Appointments</v>
      </c>
    </row>
    <row r="4759" hidden="1">
      <c r="A4759" s="6" t="s">
        <v>63</v>
      </c>
      <c r="B4759" s="13" t="s">
        <v>524</v>
      </c>
      <c r="C4759" s="13" t="s">
        <v>525</v>
      </c>
      <c r="D4759" s="15">
        <v>2.0</v>
      </c>
      <c r="E4759" s="67">
        <f t="shared" si="16"/>
        <v>500</v>
      </c>
      <c r="F4759" s="67" t="str">
        <f t="shared" si="12"/>
        <v>2 LeadGen Set Appointments</v>
      </c>
    </row>
    <row r="4760" hidden="1">
      <c r="A4760" s="6" t="s">
        <v>63</v>
      </c>
      <c r="B4760" s="13" t="s">
        <v>1051</v>
      </c>
      <c r="C4760" s="13" t="s">
        <v>1052</v>
      </c>
      <c r="D4760" s="15">
        <v>2.0</v>
      </c>
      <c r="E4760" s="67">
        <f t="shared" si="16"/>
        <v>500</v>
      </c>
      <c r="F4760" s="67" t="str">
        <f t="shared" si="12"/>
        <v>2 LeadGen Set Appointments</v>
      </c>
    </row>
    <row r="4761" hidden="1">
      <c r="A4761" s="6" t="s">
        <v>63</v>
      </c>
      <c r="B4761" s="13" t="s">
        <v>510</v>
      </c>
      <c r="C4761" s="13" t="s">
        <v>511</v>
      </c>
      <c r="D4761" s="15">
        <v>2.0</v>
      </c>
      <c r="E4761" s="67">
        <f t="shared" si="16"/>
        <v>500</v>
      </c>
      <c r="F4761" s="67" t="str">
        <f t="shared" si="12"/>
        <v>2 LeadGen Set Appointments</v>
      </c>
    </row>
    <row r="4762" hidden="1">
      <c r="A4762" s="6" t="s">
        <v>63</v>
      </c>
      <c r="B4762" s="13" t="s">
        <v>1736</v>
      </c>
      <c r="C4762" s="13" t="s">
        <v>1737</v>
      </c>
      <c r="D4762" s="15">
        <v>2.0</v>
      </c>
      <c r="E4762" s="67">
        <f t="shared" si="16"/>
        <v>500</v>
      </c>
      <c r="F4762" s="67" t="str">
        <f t="shared" si="12"/>
        <v>2 LeadGen Set Appointments</v>
      </c>
    </row>
    <row r="4763" hidden="1">
      <c r="A4763" s="6" t="s">
        <v>63</v>
      </c>
      <c r="B4763" s="13" t="s">
        <v>1039</v>
      </c>
      <c r="C4763" s="13" t="s">
        <v>1040</v>
      </c>
      <c r="D4763" s="15">
        <v>2.0</v>
      </c>
      <c r="E4763" s="67">
        <f t="shared" si="16"/>
        <v>500</v>
      </c>
      <c r="F4763" s="67" t="str">
        <f t="shared" si="12"/>
        <v>2 LeadGen Set Appointments</v>
      </c>
    </row>
    <row r="4764" hidden="1">
      <c r="A4764" s="6" t="s">
        <v>63</v>
      </c>
      <c r="B4764" s="13" t="s">
        <v>701</v>
      </c>
      <c r="C4764" s="13" t="s">
        <v>702</v>
      </c>
      <c r="D4764" s="15">
        <v>2.0</v>
      </c>
      <c r="E4764" s="67">
        <f t="shared" si="16"/>
        <v>500</v>
      </c>
      <c r="F4764" s="67" t="str">
        <f t="shared" si="12"/>
        <v>2 LeadGen Set Appointments</v>
      </c>
    </row>
    <row r="4765" hidden="1">
      <c r="A4765" s="6" t="s">
        <v>63</v>
      </c>
      <c r="B4765" s="13" t="s">
        <v>566</v>
      </c>
      <c r="C4765" s="13" t="s">
        <v>567</v>
      </c>
      <c r="D4765" s="15">
        <v>2.0</v>
      </c>
      <c r="E4765" s="67">
        <f t="shared" si="16"/>
        <v>500</v>
      </c>
      <c r="F4765" s="67" t="str">
        <f t="shared" si="12"/>
        <v>2 LeadGen Set Appointments</v>
      </c>
    </row>
    <row r="4766" hidden="1">
      <c r="A4766" s="6" t="s">
        <v>63</v>
      </c>
      <c r="B4766" s="13" t="s">
        <v>1283</v>
      </c>
      <c r="C4766" s="13" t="s">
        <v>404</v>
      </c>
      <c r="D4766" s="15">
        <v>2.0</v>
      </c>
      <c r="E4766" s="67">
        <f t="shared" si="16"/>
        <v>500</v>
      </c>
      <c r="F4766" s="67" t="str">
        <f t="shared" si="12"/>
        <v>2 LeadGen Set Appointments</v>
      </c>
    </row>
    <row r="4767" hidden="1">
      <c r="A4767" s="6" t="s">
        <v>63</v>
      </c>
      <c r="B4767" s="13" t="s">
        <v>1351</v>
      </c>
      <c r="C4767" s="13" t="s">
        <v>1352</v>
      </c>
      <c r="D4767" s="15">
        <v>2.0</v>
      </c>
      <c r="E4767" s="67">
        <f t="shared" si="16"/>
        <v>500</v>
      </c>
      <c r="F4767" s="67" t="str">
        <f t="shared" si="12"/>
        <v>2 LeadGen Set Appointments</v>
      </c>
    </row>
    <row r="4768" hidden="1">
      <c r="A4768" s="6" t="s">
        <v>63</v>
      </c>
      <c r="B4768" s="13" t="s">
        <v>1941</v>
      </c>
      <c r="C4768" s="13" t="s">
        <v>1942</v>
      </c>
      <c r="D4768" s="15">
        <v>2.0</v>
      </c>
      <c r="E4768" s="67">
        <f t="shared" si="16"/>
        <v>500</v>
      </c>
      <c r="F4768" s="67" t="str">
        <f t="shared" si="12"/>
        <v>2 LeadGen Set Appointments</v>
      </c>
    </row>
    <row r="4769" hidden="1">
      <c r="A4769" s="6" t="s">
        <v>63</v>
      </c>
      <c r="B4769" s="13" t="s">
        <v>2139</v>
      </c>
      <c r="C4769" s="13" t="s">
        <v>2140</v>
      </c>
      <c r="D4769" s="15">
        <v>2.0</v>
      </c>
      <c r="E4769" s="67">
        <f t="shared" si="16"/>
        <v>500</v>
      </c>
      <c r="F4769" s="67" t="str">
        <f t="shared" si="12"/>
        <v>2 LeadGen Set Appointments</v>
      </c>
    </row>
    <row r="4770" hidden="1">
      <c r="A4770" s="6" t="s">
        <v>63</v>
      </c>
      <c r="B4770" s="13" t="s">
        <v>900</v>
      </c>
      <c r="C4770" s="13" t="s">
        <v>901</v>
      </c>
      <c r="D4770" s="15">
        <v>1.0</v>
      </c>
      <c r="E4770" s="67">
        <f t="shared" si="16"/>
        <v>250</v>
      </c>
      <c r="F4770" s="67" t="str">
        <f t="shared" si="12"/>
        <v>1 LeadGen Set Appointments</v>
      </c>
    </row>
    <row r="4771" hidden="1">
      <c r="A4771" s="6" t="s">
        <v>63</v>
      </c>
      <c r="B4771" s="13" t="s">
        <v>1463</v>
      </c>
      <c r="C4771" s="13" t="s">
        <v>1464</v>
      </c>
      <c r="D4771" s="15">
        <v>1.0</v>
      </c>
      <c r="E4771" s="67">
        <f t="shared" si="16"/>
        <v>250</v>
      </c>
      <c r="F4771" s="67" t="str">
        <f t="shared" si="12"/>
        <v>1 LeadGen Set Appointments</v>
      </c>
    </row>
    <row r="4772" hidden="1">
      <c r="A4772" s="6" t="s">
        <v>63</v>
      </c>
      <c r="B4772" s="13" t="s">
        <v>2212</v>
      </c>
      <c r="C4772" s="13" t="s">
        <v>2213</v>
      </c>
      <c r="D4772" s="15">
        <v>1.0</v>
      </c>
      <c r="E4772" s="67">
        <f t="shared" si="16"/>
        <v>250</v>
      </c>
      <c r="F4772" s="67" t="str">
        <f t="shared" si="12"/>
        <v>1 LeadGen Set Appointments</v>
      </c>
    </row>
    <row r="4773" hidden="1">
      <c r="A4773" s="6" t="s">
        <v>63</v>
      </c>
      <c r="B4773" s="13" t="s">
        <v>1577</v>
      </c>
      <c r="C4773" s="13" t="s">
        <v>1578</v>
      </c>
      <c r="D4773" s="15">
        <v>1.0</v>
      </c>
      <c r="E4773" s="67">
        <f t="shared" si="16"/>
        <v>250</v>
      </c>
      <c r="F4773" s="67" t="str">
        <f t="shared" si="12"/>
        <v>1 LeadGen Set Appointments</v>
      </c>
    </row>
    <row r="4774" hidden="1">
      <c r="A4774" s="6" t="s">
        <v>63</v>
      </c>
      <c r="B4774" s="13" t="s">
        <v>500</v>
      </c>
      <c r="C4774" s="13" t="s">
        <v>501</v>
      </c>
      <c r="D4774" s="15">
        <v>1.0</v>
      </c>
      <c r="E4774" s="67">
        <f t="shared" si="16"/>
        <v>250</v>
      </c>
      <c r="F4774" s="67" t="str">
        <f t="shared" si="12"/>
        <v>1 LeadGen Set Appointments</v>
      </c>
    </row>
    <row r="4775" hidden="1">
      <c r="A4775" s="6" t="s">
        <v>63</v>
      </c>
      <c r="B4775" s="13" t="s">
        <v>1459</v>
      </c>
      <c r="C4775" s="13" t="s">
        <v>1460</v>
      </c>
      <c r="D4775" s="15">
        <v>1.0</v>
      </c>
      <c r="E4775" s="67">
        <f t="shared" si="16"/>
        <v>250</v>
      </c>
      <c r="F4775" s="67" t="str">
        <f t="shared" si="12"/>
        <v>1 LeadGen Set Appointments</v>
      </c>
    </row>
    <row r="4776" hidden="1">
      <c r="A4776" s="6" t="s">
        <v>63</v>
      </c>
      <c r="B4776" s="13" t="s">
        <v>2155</v>
      </c>
      <c r="C4776" s="13" t="s">
        <v>2214</v>
      </c>
      <c r="D4776" s="15">
        <v>1.0</v>
      </c>
      <c r="E4776" s="67">
        <f t="shared" si="16"/>
        <v>250</v>
      </c>
      <c r="F4776" s="67" t="str">
        <f t="shared" si="12"/>
        <v>1 LeadGen Set Appointments</v>
      </c>
    </row>
    <row r="4777" hidden="1">
      <c r="A4777" s="6" t="s">
        <v>63</v>
      </c>
      <c r="B4777" s="13" t="s">
        <v>1600</v>
      </c>
      <c r="C4777" s="13" t="s">
        <v>1601</v>
      </c>
      <c r="D4777" s="15">
        <v>1.0</v>
      </c>
      <c r="E4777" s="67">
        <f t="shared" si="16"/>
        <v>250</v>
      </c>
      <c r="F4777" s="67" t="str">
        <f t="shared" si="12"/>
        <v>1 LeadGen Set Appointments</v>
      </c>
    </row>
    <row r="4778" hidden="1">
      <c r="A4778" s="6" t="s">
        <v>63</v>
      </c>
      <c r="B4778" s="13" t="s">
        <v>628</v>
      </c>
      <c r="C4778" s="13" t="s">
        <v>629</v>
      </c>
      <c r="D4778" s="15">
        <v>1.0</v>
      </c>
      <c r="E4778" s="67">
        <f t="shared" si="16"/>
        <v>250</v>
      </c>
      <c r="F4778" s="67" t="str">
        <f t="shared" si="12"/>
        <v>1 LeadGen Set Appointments</v>
      </c>
    </row>
    <row r="4779" hidden="1">
      <c r="A4779" s="6" t="s">
        <v>63</v>
      </c>
      <c r="B4779" s="13" t="s">
        <v>1579</v>
      </c>
      <c r="C4779" s="13" t="s">
        <v>1580</v>
      </c>
      <c r="D4779" s="15">
        <v>1.0</v>
      </c>
      <c r="E4779" s="67">
        <f t="shared" si="16"/>
        <v>250</v>
      </c>
      <c r="F4779" s="67" t="str">
        <f t="shared" si="12"/>
        <v>1 LeadGen Set Appointments</v>
      </c>
    </row>
    <row r="4780" hidden="1">
      <c r="A4780" s="6" t="s">
        <v>63</v>
      </c>
      <c r="B4780" s="13" t="s">
        <v>1986</v>
      </c>
      <c r="C4780" s="13" t="s">
        <v>1987</v>
      </c>
      <c r="D4780" s="15">
        <v>1.0</v>
      </c>
      <c r="E4780" s="67">
        <f t="shared" si="16"/>
        <v>250</v>
      </c>
      <c r="F4780" s="67" t="str">
        <f t="shared" si="12"/>
        <v>1 LeadGen Set Appointments</v>
      </c>
    </row>
    <row r="4781" hidden="1">
      <c r="A4781" s="6" t="s">
        <v>63</v>
      </c>
      <c r="B4781" s="13" t="s">
        <v>1732</v>
      </c>
      <c r="C4781" s="13" t="s">
        <v>1733</v>
      </c>
      <c r="D4781" s="15">
        <v>1.0</v>
      </c>
      <c r="E4781" s="67">
        <f t="shared" si="16"/>
        <v>250</v>
      </c>
      <c r="F4781" s="67" t="str">
        <f t="shared" si="12"/>
        <v>1 LeadGen Set Appointments</v>
      </c>
    </row>
    <row r="4782" hidden="1">
      <c r="A4782" s="6" t="s">
        <v>63</v>
      </c>
      <c r="B4782" s="13" t="s">
        <v>560</v>
      </c>
      <c r="C4782" s="13" t="s">
        <v>561</v>
      </c>
      <c r="D4782" s="15">
        <v>1.0</v>
      </c>
      <c r="E4782" s="67">
        <f t="shared" si="16"/>
        <v>250</v>
      </c>
      <c r="F4782" s="67" t="str">
        <f t="shared" si="12"/>
        <v>1 LeadGen Set Appointments</v>
      </c>
    </row>
    <row r="4783" hidden="1">
      <c r="A4783" s="6" t="s">
        <v>63</v>
      </c>
      <c r="B4783" s="13" t="s">
        <v>2215</v>
      </c>
      <c r="C4783" s="13" t="s">
        <v>2216</v>
      </c>
      <c r="D4783" s="15">
        <v>1.0</v>
      </c>
      <c r="E4783" s="67">
        <f t="shared" si="16"/>
        <v>250</v>
      </c>
      <c r="F4783" s="67" t="str">
        <f t="shared" si="12"/>
        <v>1 LeadGen Set Appointments</v>
      </c>
    </row>
    <row r="4784" hidden="1">
      <c r="A4784" s="6" t="s">
        <v>63</v>
      </c>
      <c r="B4784" s="13" t="s">
        <v>1057</v>
      </c>
      <c r="C4784" s="13" t="s">
        <v>1058</v>
      </c>
      <c r="D4784" s="15">
        <v>1.0</v>
      </c>
      <c r="E4784" s="67">
        <f t="shared" si="16"/>
        <v>250</v>
      </c>
      <c r="F4784" s="67" t="str">
        <f t="shared" si="12"/>
        <v>1 LeadGen Set Appointments</v>
      </c>
    </row>
    <row r="4785" hidden="1">
      <c r="A4785" s="6" t="s">
        <v>63</v>
      </c>
      <c r="B4785" s="13" t="s">
        <v>1508</v>
      </c>
      <c r="C4785" s="13" t="s">
        <v>1509</v>
      </c>
      <c r="D4785" s="15">
        <v>1.0</v>
      </c>
      <c r="E4785" s="67">
        <f t="shared" si="16"/>
        <v>250</v>
      </c>
      <c r="F4785" s="67" t="str">
        <f t="shared" si="12"/>
        <v>1 LeadGen Set Appointments</v>
      </c>
    </row>
    <row r="4786" hidden="1">
      <c r="A4786" s="6" t="s">
        <v>63</v>
      </c>
      <c r="B4786" s="13" t="s">
        <v>1612</v>
      </c>
      <c r="C4786" s="13" t="s">
        <v>1613</v>
      </c>
      <c r="D4786" s="15">
        <v>1.0</v>
      </c>
      <c r="E4786" s="67">
        <f t="shared" si="16"/>
        <v>250</v>
      </c>
      <c r="F4786" s="67" t="str">
        <f t="shared" si="12"/>
        <v>1 LeadGen Set Appointments</v>
      </c>
    </row>
    <row r="4787" hidden="1">
      <c r="A4787" s="6" t="s">
        <v>63</v>
      </c>
      <c r="B4787" s="13" t="s">
        <v>2191</v>
      </c>
      <c r="C4787" s="13" t="s">
        <v>2192</v>
      </c>
      <c r="D4787" s="15">
        <v>1.0</v>
      </c>
      <c r="E4787" s="67">
        <f t="shared" si="16"/>
        <v>250</v>
      </c>
      <c r="F4787" s="67" t="str">
        <f t="shared" si="12"/>
        <v>1 LeadGen Set Appointments</v>
      </c>
    </row>
    <row r="4788" hidden="1">
      <c r="A4788" s="6" t="s">
        <v>63</v>
      </c>
      <c r="B4788" s="13" t="s">
        <v>494</v>
      </c>
      <c r="C4788" s="13" t="s">
        <v>495</v>
      </c>
      <c r="D4788" s="15">
        <v>1.0</v>
      </c>
      <c r="E4788" s="67">
        <f t="shared" si="16"/>
        <v>250</v>
      </c>
      <c r="F4788" s="67" t="str">
        <f t="shared" si="12"/>
        <v>1 LeadGen Set Appointments</v>
      </c>
    </row>
    <row r="4789" hidden="1">
      <c r="A4789" s="6" t="s">
        <v>63</v>
      </c>
      <c r="B4789" s="13" t="s">
        <v>1968</v>
      </c>
      <c r="C4789" s="13" t="s">
        <v>895</v>
      </c>
      <c r="D4789" s="15">
        <v>1.0</v>
      </c>
      <c r="E4789" s="67">
        <f t="shared" si="16"/>
        <v>250</v>
      </c>
      <c r="F4789" s="67" t="str">
        <f t="shared" si="12"/>
        <v>1 LeadGen Set Appointments</v>
      </c>
    </row>
    <row r="4790" hidden="1">
      <c r="A4790" s="6" t="s">
        <v>63</v>
      </c>
      <c r="B4790" s="13" t="s">
        <v>2097</v>
      </c>
      <c r="C4790" s="13" t="s">
        <v>828</v>
      </c>
      <c r="D4790" s="15">
        <v>1.0</v>
      </c>
      <c r="E4790" s="67">
        <f t="shared" si="16"/>
        <v>250</v>
      </c>
      <c r="F4790" s="67" t="str">
        <f t="shared" si="12"/>
        <v>1 LeadGen Set Appointments</v>
      </c>
    </row>
    <row r="4791" hidden="1">
      <c r="A4791" s="6" t="s">
        <v>63</v>
      </c>
      <c r="B4791" s="13" t="s">
        <v>1512</v>
      </c>
      <c r="C4791" s="13" t="s">
        <v>1513</v>
      </c>
      <c r="D4791" s="15">
        <v>1.0</v>
      </c>
      <c r="E4791" s="67">
        <f t="shared" si="16"/>
        <v>250</v>
      </c>
      <c r="F4791" s="67" t="str">
        <f t="shared" si="12"/>
        <v>1 LeadGen Set Appointments</v>
      </c>
    </row>
    <row r="4792" hidden="1">
      <c r="A4792" s="6" t="s">
        <v>63</v>
      </c>
      <c r="B4792" s="13" t="s">
        <v>1653</v>
      </c>
      <c r="C4792" s="13" t="s">
        <v>1654</v>
      </c>
      <c r="D4792" s="15">
        <v>1.0</v>
      </c>
      <c r="E4792" s="67">
        <f t="shared" si="16"/>
        <v>250</v>
      </c>
      <c r="F4792" s="67" t="str">
        <f t="shared" si="12"/>
        <v>1 LeadGen Set Appointments</v>
      </c>
    </row>
    <row r="4793" hidden="1">
      <c r="A4793" s="6" t="s">
        <v>63</v>
      </c>
      <c r="B4793" s="13" t="s">
        <v>693</v>
      </c>
      <c r="C4793" s="13" t="s">
        <v>694</v>
      </c>
      <c r="D4793" s="15">
        <v>1.0</v>
      </c>
      <c r="E4793" s="67">
        <f t="shared" si="16"/>
        <v>250</v>
      </c>
      <c r="F4793" s="67" t="str">
        <f t="shared" si="12"/>
        <v>1 LeadGen Set Appointments</v>
      </c>
    </row>
    <row r="4794" hidden="1">
      <c r="A4794" s="6" t="s">
        <v>63</v>
      </c>
      <c r="B4794" s="13" t="s">
        <v>582</v>
      </c>
      <c r="C4794" s="13" t="s">
        <v>583</v>
      </c>
      <c r="D4794" s="15">
        <v>1.0</v>
      </c>
      <c r="E4794" s="67">
        <f t="shared" si="16"/>
        <v>250</v>
      </c>
      <c r="F4794" s="67" t="str">
        <f t="shared" si="12"/>
        <v>1 LeadGen Set Appointments</v>
      </c>
    </row>
    <row r="4795" hidden="1">
      <c r="A4795" s="6" t="s">
        <v>63</v>
      </c>
      <c r="B4795" s="13" t="s">
        <v>1393</v>
      </c>
      <c r="C4795" s="13" t="s">
        <v>1394</v>
      </c>
      <c r="D4795" s="15">
        <v>1.0</v>
      </c>
      <c r="E4795" s="67">
        <f t="shared" si="16"/>
        <v>250</v>
      </c>
      <c r="F4795" s="67" t="str">
        <f t="shared" si="12"/>
        <v>1 LeadGen Set Appointments</v>
      </c>
    </row>
    <row r="4796" hidden="1">
      <c r="A4796" s="6" t="s">
        <v>63</v>
      </c>
      <c r="B4796" s="13" t="s">
        <v>2141</v>
      </c>
      <c r="C4796" s="13" t="s">
        <v>2142</v>
      </c>
      <c r="D4796" s="15">
        <v>1.0</v>
      </c>
      <c r="E4796" s="67">
        <f t="shared" si="16"/>
        <v>250</v>
      </c>
      <c r="F4796" s="67" t="str">
        <f t="shared" si="12"/>
        <v>1 LeadGen Set Appointments</v>
      </c>
    </row>
    <row r="4797" hidden="1">
      <c r="A4797" s="6" t="s">
        <v>63</v>
      </c>
      <c r="B4797" s="13" t="s">
        <v>1325</v>
      </c>
      <c r="C4797" s="13" t="s">
        <v>1326</v>
      </c>
      <c r="D4797" s="15">
        <v>1.0</v>
      </c>
      <c r="E4797" s="67">
        <f t="shared" si="16"/>
        <v>250</v>
      </c>
      <c r="F4797" s="67" t="str">
        <f t="shared" si="12"/>
        <v>1 LeadGen Set Appointments</v>
      </c>
    </row>
    <row r="4798" hidden="1">
      <c r="A4798" s="6" t="s">
        <v>63</v>
      </c>
      <c r="B4798" s="13" t="s">
        <v>572</v>
      </c>
      <c r="C4798" s="13" t="s">
        <v>573</v>
      </c>
      <c r="D4798" s="15">
        <v>1.0</v>
      </c>
      <c r="E4798" s="67">
        <f t="shared" si="16"/>
        <v>250</v>
      </c>
      <c r="F4798" s="67" t="str">
        <f t="shared" si="12"/>
        <v>1 LeadGen Set Appointments</v>
      </c>
    </row>
    <row r="4799" hidden="1">
      <c r="A4799" s="6" t="s">
        <v>63</v>
      </c>
      <c r="B4799" s="13" t="s">
        <v>1587</v>
      </c>
      <c r="C4799" s="13" t="s">
        <v>2217</v>
      </c>
      <c r="D4799" s="15">
        <v>1.0</v>
      </c>
      <c r="E4799" s="67">
        <f t="shared" si="16"/>
        <v>250</v>
      </c>
      <c r="F4799" s="67" t="str">
        <f t="shared" si="12"/>
        <v>1 LeadGen Set Appointments</v>
      </c>
    </row>
    <row r="4800" hidden="1">
      <c r="A4800" s="6" t="s">
        <v>63</v>
      </c>
      <c r="B4800" s="13" t="s">
        <v>1664</v>
      </c>
      <c r="C4800" s="13" t="s">
        <v>1665</v>
      </c>
      <c r="D4800" s="15">
        <v>1.0</v>
      </c>
      <c r="E4800" s="67">
        <f t="shared" si="16"/>
        <v>250</v>
      </c>
      <c r="F4800" s="67" t="str">
        <f t="shared" si="12"/>
        <v>1 LeadGen Set Appointments</v>
      </c>
    </row>
    <row r="4801" hidden="1">
      <c r="A4801" s="6" t="s">
        <v>63</v>
      </c>
      <c r="B4801" s="13" t="s">
        <v>1784</v>
      </c>
      <c r="C4801" s="13" t="s">
        <v>1785</v>
      </c>
      <c r="D4801" s="15">
        <v>1.0</v>
      </c>
      <c r="E4801" s="67">
        <f t="shared" si="16"/>
        <v>250</v>
      </c>
      <c r="F4801" s="67" t="str">
        <f t="shared" si="12"/>
        <v>1 LeadGen Set Appointments</v>
      </c>
    </row>
    <row r="4802" hidden="1">
      <c r="A4802" s="6" t="s">
        <v>63</v>
      </c>
      <c r="B4802" s="13" t="s">
        <v>2199</v>
      </c>
      <c r="C4802" s="13" t="s">
        <v>2200</v>
      </c>
      <c r="D4802" s="15">
        <v>1.0</v>
      </c>
      <c r="E4802" s="67">
        <f t="shared" si="16"/>
        <v>250</v>
      </c>
      <c r="F4802" s="67" t="str">
        <f t="shared" si="12"/>
        <v>1 LeadGen Set Appointments</v>
      </c>
    </row>
    <row r="4803" hidden="1">
      <c r="A4803" s="6" t="s">
        <v>63</v>
      </c>
      <c r="B4803" s="13" t="s">
        <v>532</v>
      </c>
      <c r="C4803" s="13" t="s">
        <v>533</v>
      </c>
      <c r="D4803" s="15">
        <v>1.0</v>
      </c>
      <c r="E4803" s="67">
        <f t="shared" si="16"/>
        <v>250</v>
      </c>
      <c r="F4803" s="67" t="str">
        <f t="shared" si="12"/>
        <v>1 LeadGen Set Appointments</v>
      </c>
    </row>
    <row r="4804" hidden="1">
      <c r="A4804" s="6" t="s">
        <v>63</v>
      </c>
      <c r="B4804" s="13" t="s">
        <v>1935</v>
      </c>
      <c r="C4804" s="13" t="s">
        <v>1936</v>
      </c>
      <c r="D4804" s="15">
        <v>1.0</v>
      </c>
      <c r="E4804" s="67">
        <f t="shared" si="16"/>
        <v>250</v>
      </c>
      <c r="F4804" s="67" t="str">
        <f t="shared" si="12"/>
        <v>1 LeadGen Set Appointments</v>
      </c>
    </row>
    <row r="4805" hidden="1">
      <c r="A4805" s="6" t="s">
        <v>63</v>
      </c>
      <c r="B4805" s="13" t="s">
        <v>1493</v>
      </c>
      <c r="C4805" s="13" t="s">
        <v>1494</v>
      </c>
      <c r="D4805" s="15">
        <v>1.0</v>
      </c>
      <c r="E4805" s="67">
        <f t="shared" si="16"/>
        <v>250</v>
      </c>
      <c r="F4805" s="67" t="str">
        <f t="shared" si="12"/>
        <v>1 LeadGen Set Appointments</v>
      </c>
    </row>
    <row r="4806" hidden="1">
      <c r="A4806" s="6" t="s">
        <v>63</v>
      </c>
      <c r="B4806" s="13" t="s">
        <v>1625</v>
      </c>
      <c r="C4806" s="13" t="s">
        <v>1626</v>
      </c>
      <c r="D4806" s="15">
        <v>1.0</v>
      </c>
      <c r="E4806" s="67">
        <f t="shared" si="16"/>
        <v>250</v>
      </c>
      <c r="F4806" s="67" t="str">
        <f t="shared" si="12"/>
        <v>1 LeadGen Set Appointments</v>
      </c>
    </row>
    <row r="4807" hidden="1">
      <c r="A4807" s="6" t="s">
        <v>63</v>
      </c>
      <c r="B4807" s="13" t="s">
        <v>624</v>
      </c>
      <c r="C4807" s="13" t="s">
        <v>625</v>
      </c>
      <c r="D4807" s="15">
        <v>1.0</v>
      </c>
      <c r="E4807" s="67">
        <f t="shared" si="16"/>
        <v>250</v>
      </c>
      <c r="F4807" s="67" t="str">
        <f t="shared" si="12"/>
        <v>1 LeadGen Set Appointments</v>
      </c>
    </row>
    <row r="4808" hidden="1">
      <c r="A4808" s="6" t="s">
        <v>63</v>
      </c>
      <c r="B4808" s="13" t="s">
        <v>2151</v>
      </c>
      <c r="C4808" s="13" t="s">
        <v>2152</v>
      </c>
      <c r="D4808" s="15">
        <v>1.0</v>
      </c>
      <c r="E4808" s="67">
        <f t="shared" si="16"/>
        <v>250</v>
      </c>
      <c r="F4808" s="67" t="str">
        <f t="shared" si="12"/>
        <v>1 LeadGen Set Appointments</v>
      </c>
    </row>
    <row r="4809" hidden="1">
      <c r="A4809" s="6" t="s">
        <v>63</v>
      </c>
      <c r="B4809" s="13" t="s">
        <v>2081</v>
      </c>
      <c r="C4809" s="13" t="s">
        <v>2082</v>
      </c>
      <c r="D4809" s="15">
        <v>1.0</v>
      </c>
      <c r="E4809" s="67">
        <f t="shared" si="16"/>
        <v>250</v>
      </c>
      <c r="F4809" s="67" t="str">
        <f t="shared" si="12"/>
        <v>1 LeadGen Set Appointments</v>
      </c>
    </row>
    <row r="4810" hidden="1">
      <c r="A4810" s="6" t="s">
        <v>63</v>
      </c>
      <c r="B4810" s="13" t="s">
        <v>1933</v>
      </c>
      <c r="C4810" s="13" t="s">
        <v>1934</v>
      </c>
      <c r="D4810" s="15">
        <v>1.0</v>
      </c>
      <c r="E4810" s="67">
        <f t="shared" si="16"/>
        <v>250</v>
      </c>
      <c r="F4810" s="67" t="str">
        <f t="shared" si="12"/>
        <v>1 LeadGen Set Appointments</v>
      </c>
    </row>
    <row r="4811" hidden="1">
      <c r="A4811" s="6" t="s">
        <v>63</v>
      </c>
      <c r="B4811" s="13" t="s">
        <v>2218</v>
      </c>
      <c r="C4811" s="13" t="s">
        <v>2219</v>
      </c>
      <c r="D4811" s="15">
        <v>1.0</v>
      </c>
      <c r="E4811" s="67">
        <f t="shared" si="16"/>
        <v>250</v>
      </c>
      <c r="F4811" s="67" t="str">
        <f t="shared" si="12"/>
        <v>1 LeadGen Set Appointments</v>
      </c>
    </row>
    <row r="4812" hidden="1">
      <c r="A4812" s="6" t="s">
        <v>63</v>
      </c>
      <c r="B4812" s="13" t="s">
        <v>1776</v>
      </c>
      <c r="C4812" s="13" t="s">
        <v>1777</v>
      </c>
      <c r="D4812" s="15">
        <v>1.0</v>
      </c>
      <c r="E4812" s="67">
        <f t="shared" si="16"/>
        <v>250</v>
      </c>
      <c r="F4812" s="67" t="str">
        <f t="shared" si="12"/>
        <v>1 LeadGen Set Appointments</v>
      </c>
    </row>
    <row r="4813" hidden="1">
      <c r="A4813" s="6" t="s">
        <v>63</v>
      </c>
      <c r="B4813" s="13" t="s">
        <v>2077</v>
      </c>
      <c r="C4813" s="13" t="s">
        <v>2078</v>
      </c>
      <c r="D4813" s="15">
        <v>1.0</v>
      </c>
      <c r="E4813" s="67">
        <f t="shared" si="16"/>
        <v>250</v>
      </c>
      <c r="F4813" s="67" t="str">
        <f t="shared" si="12"/>
        <v>1 LeadGen Set Appointments</v>
      </c>
    </row>
    <row r="4814" hidden="1">
      <c r="A4814" s="6" t="s">
        <v>63</v>
      </c>
      <c r="B4814" s="13" t="s">
        <v>746</v>
      </c>
      <c r="C4814" s="13" t="s">
        <v>747</v>
      </c>
      <c r="D4814" s="15">
        <v>1.0</v>
      </c>
      <c r="E4814" s="67">
        <f t="shared" si="16"/>
        <v>250</v>
      </c>
      <c r="F4814" s="67" t="str">
        <f t="shared" si="12"/>
        <v>1 LeadGen Set Appointments</v>
      </c>
    </row>
    <row r="4815" hidden="1">
      <c r="A4815" s="6" t="s">
        <v>63</v>
      </c>
      <c r="B4815" s="13" t="s">
        <v>1483</v>
      </c>
      <c r="C4815" s="13" t="s">
        <v>1484</v>
      </c>
      <c r="D4815" s="15">
        <v>1.0</v>
      </c>
      <c r="E4815" s="67">
        <f t="shared" si="16"/>
        <v>250</v>
      </c>
      <c r="F4815" s="67" t="str">
        <f t="shared" si="12"/>
        <v>1 LeadGen Set Appointments</v>
      </c>
    </row>
    <row r="4816" hidden="1">
      <c r="A4816" s="6" t="s">
        <v>63</v>
      </c>
      <c r="B4816" s="13" t="s">
        <v>1682</v>
      </c>
      <c r="C4816" s="13" t="s">
        <v>1683</v>
      </c>
      <c r="D4816" s="15">
        <v>1.0</v>
      </c>
      <c r="E4816" s="67">
        <f t="shared" si="16"/>
        <v>250</v>
      </c>
      <c r="F4816" s="67" t="str">
        <f t="shared" si="12"/>
        <v>1 LeadGen Set Appointments</v>
      </c>
    </row>
    <row r="4817" hidden="1">
      <c r="A4817" s="6" t="s">
        <v>63</v>
      </c>
      <c r="B4817" s="13" t="s">
        <v>1945</v>
      </c>
      <c r="C4817" s="13" t="s">
        <v>1946</v>
      </c>
      <c r="D4817" s="15">
        <v>1.0</v>
      </c>
      <c r="E4817" s="67">
        <f t="shared" si="16"/>
        <v>250</v>
      </c>
      <c r="F4817" s="67" t="str">
        <f t="shared" si="12"/>
        <v>1 LeadGen Set Appointments</v>
      </c>
    </row>
    <row r="4818" hidden="1">
      <c r="A4818" s="16" t="s">
        <v>65</v>
      </c>
      <c r="B4818" s="13" t="s">
        <v>476</v>
      </c>
      <c r="C4818" s="13" t="s">
        <v>477</v>
      </c>
      <c r="D4818" s="13">
        <v>39.0</v>
      </c>
      <c r="E4818" s="67">
        <f t="shared" si="16"/>
        <v>19500</v>
      </c>
      <c r="F4818" s="67" t="str">
        <f t="shared" si="12"/>
        <v>39 LeadGen Set Appointments</v>
      </c>
    </row>
    <row r="4819" hidden="1">
      <c r="A4819" s="16" t="s">
        <v>65</v>
      </c>
      <c r="B4819" s="13" t="s">
        <v>540</v>
      </c>
      <c r="C4819" s="13" t="s">
        <v>1454</v>
      </c>
      <c r="D4819" s="13">
        <v>27.0</v>
      </c>
      <c r="E4819" s="67">
        <f t="shared" si="16"/>
        <v>13500</v>
      </c>
      <c r="F4819" s="67" t="str">
        <f t="shared" si="12"/>
        <v>27 LeadGen Set Appointments</v>
      </c>
    </row>
    <row r="4820" hidden="1">
      <c r="A4820" s="16" t="s">
        <v>65</v>
      </c>
      <c r="B4820" s="13" t="s">
        <v>644</v>
      </c>
      <c r="C4820" s="13" t="s">
        <v>645</v>
      </c>
      <c r="D4820" s="13">
        <v>23.0</v>
      </c>
      <c r="E4820" s="67">
        <f t="shared" si="16"/>
        <v>11500</v>
      </c>
      <c r="F4820" s="67" t="str">
        <f t="shared" si="12"/>
        <v>23 LeadGen Set Appointments</v>
      </c>
    </row>
    <row r="4821" hidden="1">
      <c r="A4821" s="16" t="s">
        <v>65</v>
      </c>
      <c r="B4821" s="13" t="s">
        <v>1025</v>
      </c>
      <c r="C4821" s="13" t="s">
        <v>1026</v>
      </c>
      <c r="D4821" s="13">
        <v>16.0</v>
      </c>
      <c r="E4821" s="67">
        <f t="shared" si="16"/>
        <v>8000</v>
      </c>
      <c r="F4821" s="67" t="str">
        <f t="shared" si="12"/>
        <v>16 LeadGen Set Appointments</v>
      </c>
    </row>
    <row r="4822" hidden="1">
      <c r="A4822" s="16" t="s">
        <v>65</v>
      </c>
      <c r="B4822" s="13" t="s">
        <v>1415</v>
      </c>
      <c r="C4822" s="13" t="s">
        <v>1416</v>
      </c>
      <c r="D4822" s="13">
        <v>15.0</v>
      </c>
      <c r="E4822" s="67">
        <f t="shared" si="16"/>
        <v>7500</v>
      </c>
      <c r="F4822" s="67" t="str">
        <f t="shared" si="12"/>
        <v>15 LeadGen Set Appointments</v>
      </c>
    </row>
    <row r="4823" hidden="1">
      <c r="A4823" s="16" t="s">
        <v>65</v>
      </c>
      <c r="B4823" s="13" t="s">
        <v>435</v>
      </c>
      <c r="C4823" s="13" t="s">
        <v>436</v>
      </c>
      <c r="D4823" s="13">
        <v>14.0</v>
      </c>
      <c r="E4823" s="67">
        <f t="shared" si="16"/>
        <v>7000</v>
      </c>
      <c r="F4823" s="67" t="str">
        <f t="shared" si="12"/>
        <v>14 LeadGen Set Appointments</v>
      </c>
    </row>
    <row r="4824" hidden="1">
      <c r="A4824" s="16" t="s">
        <v>65</v>
      </c>
      <c r="B4824" s="13" t="s">
        <v>723</v>
      </c>
      <c r="C4824" s="13" t="s">
        <v>724</v>
      </c>
      <c r="D4824" s="13">
        <v>13.0</v>
      </c>
      <c r="E4824" s="67">
        <f t="shared" si="16"/>
        <v>6500</v>
      </c>
      <c r="F4824" s="67" t="str">
        <f t="shared" si="12"/>
        <v>13 LeadGen Set Appointments</v>
      </c>
    </row>
    <row r="4825" hidden="1">
      <c r="A4825" s="16" t="s">
        <v>65</v>
      </c>
      <c r="B4825" s="13" t="s">
        <v>699</v>
      </c>
      <c r="C4825" s="13" t="s">
        <v>700</v>
      </c>
      <c r="D4825" s="13">
        <v>12.0</v>
      </c>
      <c r="E4825" s="67">
        <f t="shared" si="16"/>
        <v>6000</v>
      </c>
      <c r="F4825" s="67" t="str">
        <f t="shared" si="12"/>
        <v>12 LeadGen Set Appointments</v>
      </c>
    </row>
    <row r="4826" hidden="1">
      <c r="A4826" s="16" t="s">
        <v>65</v>
      </c>
      <c r="B4826" s="13" t="s">
        <v>1865</v>
      </c>
      <c r="C4826" s="13" t="s">
        <v>1866</v>
      </c>
      <c r="D4826" s="13">
        <v>11.0</v>
      </c>
      <c r="E4826" s="67">
        <f t="shared" si="16"/>
        <v>5500</v>
      </c>
      <c r="F4826" s="67" t="str">
        <f t="shared" si="12"/>
        <v>11 LeadGen Set Appointments</v>
      </c>
    </row>
    <row r="4827" hidden="1">
      <c r="A4827" s="16" t="s">
        <v>65</v>
      </c>
      <c r="B4827" s="13" t="s">
        <v>411</v>
      </c>
      <c r="C4827" s="13" t="s">
        <v>412</v>
      </c>
      <c r="D4827" s="13">
        <v>11.0</v>
      </c>
      <c r="E4827" s="67">
        <f t="shared" si="16"/>
        <v>5500</v>
      </c>
      <c r="F4827" s="67" t="str">
        <f t="shared" si="12"/>
        <v>11 LeadGen Set Appointments</v>
      </c>
    </row>
    <row r="4828" hidden="1">
      <c r="A4828" s="16" t="s">
        <v>65</v>
      </c>
      <c r="B4828" s="13" t="s">
        <v>736</v>
      </c>
      <c r="C4828" s="13" t="s">
        <v>737</v>
      </c>
      <c r="D4828" s="13">
        <v>10.0</v>
      </c>
      <c r="E4828" s="67">
        <f t="shared" si="16"/>
        <v>5000</v>
      </c>
      <c r="F4828" s="67" t="str">
        <f t="shared" si="12"/>
        <v>10 LeadGen Set Appointments</v>
      </c>
    </row>
    <row r="4829" hidden="1">
      <c r="A4829" s="16" t="s">
        <v>65</v>
      </c>
      <c r="B4829" s="13" t="s">
        <v>640</v>
      </c>
      <c r="C4829" s="13" t="s">
        <v>641</v>
      </c>
      <c r="D4829" s="13">
        <v>10.0</v>
      </c>
      <c r="E4829" s="67">
        <f t="shared" si="16"/>
        <v>5000</v>
      </c>
      <c r="F4829" s="67" t="str">
        <f t="shared" si="12"/>
        <v>10 LeadGen Set Appointments</v>
      </c>
    </row>
    <row r="4830" hidden="1">
      <c r="A4830" s="16" t="s">
        <v>65</v>
      </c>
      <c r="B4830" s="13" t="s">
        <v>1489</v>
      </c>
      <c r="C4830" s="13" t="s">
        <v>1490</v>
      </c>
      <c r="D4830" s="13">
        <v>10.0</v>
      </c>
      <c r="E4830" s="67">
        <f t="shared" si="16"/>
        <v>5000</v>
      </c>
      <c r="F4830" s="67" t="str">
        <f t="shared" si="12"/>
        <v>10 LeadGen Set Appointments</v>
      </c>
    </row>
    <row r="4831" hidden="1">
      <c r="A4831" s="16" t="s">
        <v>65</v>
      </c>
      <c r="B4831" s="13" t="s">
        <v>1891</v>
      </c>
      <c r="C4831" s="13" t="s">
        <v>1892</v>
      </c>
      <c r="D4831" s="13">
        <v>10.0</v>
      </c>
      <c r="E4831" s="67">
        <f t="shared" si="16"/>
        <v>5000</v>
      </c>
      <c r="F4831" s="67" t="str">
        <f t="shared" si="12"/>
        <v>10 LeadGen Set Appointments</v>
      </c>
    </row>
    <row r="4832" hidden="1">
      <c r="A4832" s="6" t="s">
        <v>65</v>
      </c>
      <c r="B4832" s="13" t="s">
        <v>1491</v>
      </c>
      <c r="C4832" s="13" t="s">
        <v>1492</v>
      </c>
      <c r="D4832" s="15">
        <v>10.0</v>
      </c>
      <c r="E4832" s="67">
        <f t="shared" si="16"/>
        <v>5000</v>
      </c>
      <c r="F4832" s="67" t="str">
        <f t="shared" si="12"/>
        <v>10 LeadGen Set Appointments</v>
      </c>
    </row>
    <row r="4833" hidden="1">
      <c r="A4833" s="6" t="s">
        <v>65</v>
      </c>
      <c r="B4833" s="13" t="s">
        <v>516</v>
      </c>
      <c r="C4833" s="13" t="s">
        <v>517</v>
      </c>
      <c r="D4833" s="15">
        <v>10.0</v>
      </c>
      <c r="E4833" s="67">
        <f t="shared" si="16"/>
        <v>5000</v>
      </c>
      <c r="F4833" s="67" t="str">
        <f t="shared" si="12"/>
        <v>10 LeadGen Set Appointments</v>
      </c>
    </row>
    <row r="4834" hidden="1">
      <c r="A4834" s="6" t="s">
        <v>65</v>
      </c>
      <c r="B4834" s="13" t="s">
        <v>1157</v>
      </c>
      <c r="C4834" s="13" t="s">
        <v>1158</v>
      </c>
      <c r="D4834" s="15">
        <v>10.0</v>
      </c>
      <c r="E4834" s="67">
        <f t="shared" si="16"/>
        <v>5000</v>
      </c>
      <c r="F4834" s="67" t="str">
        <f t="shared" si="12"/>
        <v>10 LeadGen Set Appointments</v>
      </c>
    </row>
    <row r="4835" hidden="1">
      <c r="A4835" s="6" t="s">
        <v>65</v>
      </c>
      <c r="B4835" s="13" t="s">
        <v>701</v>
      </c>
      <c r="C4835" s="13" t="s">
        <v>702</v>
      </c>
      <c r="D4835" s="15">
        <v>10.0</v>
      </c>
      <c r="E4835" s="67">
        <f t="shared" si="16"/>
        <v>5000</v>
      </c>
      <c r="F4835" s="67" t="str">
        <f t="shared" si="12"/>
        <v>10 LeadGen Set Appointments</v>
      </c>
    </row>
    <row r="4836" hidden="1">
      <c r="A4836" s="6" t="s">
        <v>65</v>
      </c>
      <c r="B4836" s="13" t="s">
        <v>1481</v>
      </c>
      <c r="C4836" s="13" t="s">
        <v>1482</v>
      </c>
      <c r="D4836" s="15">
        <v>10.0</v>
      </c>
      <c r="E4836" s="67">
        <f t="shared" si="16"/>
        <v>5000</v>
      </c>
      <c r="F4836" s="67" t="str">
        <f t="shared" si="12"/>
        <v>10 LeadGen Set Appointments</v>
      </c>
    </row>
    <row r="4837" hidden="1">
      <c r="A4837" s="6" t="s">
        <v>65</v>
      </c>
      <c r="B4837" s="13" t="s">
        <v>1471</v>
      </c>
      <c r="C4837" s="13" t="s">
        <v>1472</v>
      </c>
      <c r="D4837" s="15">
        <v>10.0</v>
      </c>
      <c r="E4837" s="67">
        <f t="shared" si="16"/>
        <v>5000</v>
      </c>
      <c r="F4837" s="67" t="str">
        <f t="shared" si="12"/>
        <v>10 LeadGen Set Appointments</v>
      </c>
    </row>
    <row r="4838" hidden="1">
      <c r="A4838" s="6" t="s">
        <v>65</v>
      </c>
      <c r="B4838" s="13" t="s">
        <v>1455</v>
      </c>
      <c r="C4838" s="13" t="s">
        <v>1456</v>
      </c>
      <c r="D4838" s="15">
        <v>9.0</v>
      </c>
      <c r="E4838" s="67">
        <f t="shared" si="16"/>
        <v>2250</v>
      </c>
      <c r="F4838" s="67" t="str">
        <f t="shared" si="12"/>
        <v>9 LeadGen Set Appointments</v>
      </c>
    </row>
    <row r="4839" hidden="1">
      <c r="A4839" s="6" t="s">
        <v>65</v>
      </c>
      <c r="B4839" s="13" t="s">
        <v>1473</v>
      </c>
      <c r="C4839" s="13" t="s">
        <v>1474</v>
      </c>
      <c r="D4839" s="15">
        <v>9.0</v>
      </c>
      <c r="E4839" s="67">
        <f t="shared" si="16"/>
        <v>2250</v>
      </c>
      <c r="F4839" s="67" t="str">
        <f t="shared" si="12"/>
        <v>9 LeadGen Set Appointments</v>
      </c>
    </row>
    <row r="4840" hidden="1">
      <c r="A4840" s="6" t="s">
        <v>65</v>
      </c>
      <c r="B4840" s="13" t="s">
        <v>502</v>
      </c>
      <c r="C4840" s="13" t="s">
        <v>503</v>
      </c>
      <c r="D4840" s="15">
        <v>9.0</v>
      </c>
      <c r="E4840" s="67">
        <f t="shared" si="16"/>
        <v>2250</v>
      </c>
      <c r="F4840" s="67" t="str">
        <f t="shared" si="12"/>
        <v>9 LeadGen Set Appointments</v>
      </c>
    </row>
    <row r="4841" hidden="1">
      <c r="A4841" s="6" t="s">
        <v>65</v>
      </c>
      <c r="B4841" s="13" t="s">
        <v>766</v>
      </c>
      <c r="C4841" s="13" t="s">
        <v>767</v>
      </c>
      <c r="D4841" s="15">
        <v>9.0</v>
      </c>
      <c r="E4841" s="67">
        <f t="shared" si="16"/>
        <v>2250</v>
      </c>
      <c r="F4841" s="67" t="str">
        <f t="shared" si="12"/>
        <v>9 LeadGen Set Appointments</v>
      </c>
    </row>
    <row r="4842" hidden="1">
      <c r="A4842" s="6" t="s">
        <v>65</v>
      </c>
      <c r="B4842" s="13" t="s">
        <v>1426</v>
      </c>
      <c r="C4842" s="13" t="s">
        <v>1427</v>
      </c>
      <c r="D4842" s="15">
        <v>8.0</v>
      </c>
      <c r="E4842" s="67">
        <f t="shared" si="16"/>
        <v>2000</v>
      </c>
      <c r="F4842" s="67" t="str">
        <f t="shared" si="12"/>
        <v>8 LeadGen Set Appointments</v>
      </c>
    </row>
    <row r="4843" hidden="1">
      <c r="A4843" s="6" t="s">
        <v>65</v>
      </c>
      <c r="B4843" s="13" t="s">
        <v>486</v>
      </c>
      <c r="C4843" s="13" t="s">
        <v>487</v>
      </c>
      <c r="D4843" s="15">
        <v>8.0</v>
      </c>
      <c r="E4843" s="67">
        <f t="shared" si="16"/>
        <v>2000</v>
      </c>
      <c r="F4843" s="67" t="str">
        <f t="shared" si="12"/>
        <v>8 LeadGen Set Appointments</v>
      </c>
    </row>
    <row r="4844" hidden="1">
      <c r="A4844" s="6" t="s">
        <v>65</v>
      </c>
      <c r="B4844" s="13" t="s">
        <v>510</v>
      </c>
      <c r="C4844" s="13" t="s">
        <v>511</v>
      </c>
      <c r="D4844" s="15">
        <v>8.0</v>
      </c>
      <c r="E4844" s="67">
        <f t="shared" si="16"/>
        <v>2000</v>
      </c>
      <c r="F4844" s="67" t="str">
        <f t="shared" si="12"/>
        <v>8 LeadGen Set Appointments</v>
      </c>
    </row>
    <row r="4845" hidden="1">
      <c r="A4845" s="6" t="s">
        <v>65</v>
      </c>
      <c r="B4845" s="13" t="s">
        <v>746</v>
      </c>
      <c r="C4845" s="13" t="s">
        <v>747</v>
      </c>
      <c r="D4845" s="15">
        <v>8.0</v>
      </c>
      <c r="E4845" s="67">
        <f t="shared" si="16"/>
        <v>2000</v>
      </c>
      <c r="F4845" s="67" t="str">
        <f t="shared" si="12"/>
        <v>8 LeadGen Set Appointments</v>
      </c>
    </row>
    <row r="4846" hidden="1">
      <c r="A4846" s="6" t="s">
        <v>65</v>
      </c>
      <c r="B4846" s="13" t="s">
        <v>2212</v>
      </c>
      <c r="C4846" s="13" t="s">
        <v>2213</v>
      </c>
      <c r="D4846" s="15">
        <v>7.0</v>
      </c>
      <c r="E4846" s="67">
        <f t="shared" si="16"/>
        <v>1750</v>
      </c>
      <c r="F4846" s="67" t="str">
        <f t="shared" si="12"/>
        <v>7 LeadGen Set Appointments</v>
      </c>
    </row>
    <row r="4847" hidden="1">
      <c r="A4847" s="6" t="s">
        <v>65</v>
      </c>
      <c r="B4847" s="13" t="s">
        <v>1732</v>
      </c>
      <c r="C4847" s="13" t="s">
        <v>1733</v>
      </c>
      <c r="D4847" s="15">
        <v>7.0</v>
      </c>
      <c r="E4847" s="67">
        <f t="shared" si="16"/>
        <v>1750</v>
      </c>
      <c r="F4847" s="67" t="str">
        <f t="shared" si="12"/>
        <v>7 LeadGen Set Appointments</v>
      </c>
    </row>
    <row r="4848" hidden="1">
      <c r="A4848" s="6" t="s">
        <v>65</v>
      </c>
      <c r="B4848" s="13" t="s">
        <v>752</v>
      </c>
      <c r="C4848" s="13" t="s">
        <v>753</v>
      </c>
      <c r="D4848" s="15">
        <v>7.0</v>
      </c>
      <c r="E4848" s="67">
        <f t="shared" si="16"/>
        <v>1750</v>
      </c>
      <c r="F4848" s="67" t="str">
        <f t="shared" si="12"/>
        <v>7 LeadGen Set Appointments</v>
      </c>
    </row>
    <row r="4849" hidden="1">
      <c r="A4849" s="6" t="s">
        <v>65</v>
      </c>
      <c r="B4849" s="13" t="s">
        <v>1688</v>
      </c>
      <c r="C4849" s="13" t="s">
        <v>1689</v>
      </c>
      <c r="D4849" s="15">
        <v>7.0</v>
      </c>
      <c r="E4849" s="67">
        <f t="shared" si="16"/>
        <v>1750</v>
      </c>
      <c r="F4849" s="67" t="str">
        <f t="shared" si="12"/>
        <v>7 LeadGen Set Appointments</v>
      </c>
    </row>
    <row r="4850" hidden="1">
      <c r="A4850" s="6" t="s">
        <v>65</v>
      </c>
      <c r="B4850" s="13" t="s">
        <v>582</v>
      </c>
      <c r="C4850" s="13" t="s">
        <v>583</v>
      </c>
      <c r="D4850" s="15">
        <v>7.0</v>
      </c>
      <c r="E4850" s="67">
        <f t="shared" si="16"/>
        <v>1750</v>
      </c>
      <c r="F4850" s="67" t="str">
        <f t="shared" si="12"/>
        <v>7 LeadGen Set Appointments</v>
      </c>
    </row>
    <row r="4851" hidden="1">
      <c r="A4851" s="6" t="s">
        <v>65</v>
      </c>
      <c r="B4851" s="13" t="s">
        <v>1724</v>
      </c>
      <c r="C4851" s="13" t="s">
        <v>1725</v>
      </c>
      <c r="D4851" s="15">
        <v>7.0</v>
      </c>
      <c r="E4851" s="67">
        <f t="shared" si="16"/>
        <v>1750</v>
      </c>
      <c r="F4851" s="67" t="str">
        <f t="shared" si="12"/>
        <v>7 LeadGen Set Appointments</v>
      </c>
    </row>
    <row r="4852" hidden="1">
      <c r="A4852" s="6" t="s">
        <v>65</v>
      </c>
      <c r="B4852" s="13" t="s">
        <v>524</v>
      </c>
      <c r="C4852" s="13" t="s">
        <v>525</v>
      </c>
      <c r="D4852" s="15">
        <v>7.0</v>
      </c>
      <c r="E4852" s="67">
        <f t="shared" si="16"/>
        <v>1750</v>
      </c>
      <c r="F4852" s="67" t="str">
        <f t="shared" si="12"/>
        <v>7 LeadGen Set Appointments</v>
      </c>
    </row>
    <row r="4853" hidden="1">
      <c r="A4853" s="6" t="s">
        <v>65</v>
      </c>
      <c r="B4853" s="13" t="s">
        <v>518</v>
      </c>
      <c r="C4853" s="13" t="s">
        <v>519</v>
      </c>
      <c r="D4853" s="15">
        <v>7.0</v>
      </c>
      <c r="E4853" s="67">
        <f t="shared" si="16"/>
        <v>1750</v>
      </c>
      <c r="F4853" s="67" t="str">
        <f t="shared" si="12"/>
        <v>7 LeadGen Set Appointments</v>
      </c>
    </row>
    <row r="4854" hidden="1">
      <c r="A4854" s="6" t="s">
        <v>65</v>
      </c>
      <c r="B4854" s="13" t="s">
        <v>532</v>
      </c>
      <c r="C4854" s="13" t="s">
        <v>533</v>
      </c>
      <c r="D4854" s="15">
        <v>7.0</v>
      </c>
      <c r="E4854" s="67">
        <f t="shared" si="16"/>
        <v>1750</v>
      </c>
      <c r="F4854" s="67" t="str">
        <f t="shared" si="12"/>
        <v>7 LeadGen Set Appointments</v>
      </c>
    </row>
    <row r="4855" hidden="1">
      <c r="A4855" s="6" t="s">
        <v>65</v>
      </c>
      <c r="B4855" s="13" t="s">
        <v>2220</v>
      </c>
      <c r="C4855" s="13" t="s">
        <v>2221</v>
      </c>
      <c r="D4855" s="15">
        <v>7.0</v>
      </c>
      <c r="E4855" s="67">
        <f t="shared" si="16"/>
        <v>1750</v>
      </c>
      <c r="F4855" s="67" t="str">
        <f t="shared" si="12"/>
        <v>7 LeadGen Set Appointments</v>
      </c>
    </row>
    <row r="4856" hidden="1">
      <c r="A4856" s="6" t="s">
        <v>65</v>
      </c>
      <c r="B4856" s="13" t="s">
        <v>2081</v>
      </c>
      <c r="C4856" s="13" t="s">
        <v>2082</v>
      </c>
      <c r="D4856" s="15">
        <v>7.0</v>
      </c>
      <c r="E4856" s="67">
        <f t="shared" si="16"/>
        <v>1750</v>
      </c>
      <c r="F4856" s="67" t="str">
        <f t="shared" si="12"/>
        <v>7 LeadGen Set Appointments</v>
      </c>
    </row>
    <row r="4857" hidden="1">
      <c r="A4857" s="6" t="s">
        <v>65</v>
      </c>
      <c r="B4857" s="13" t="s">
        <v>1465</v>
      </c>
      <c r="C4857" s="13" t="s">
        <v>1466</v>
      </c>
      <c r="D4857" s="15">
        <v>6.0</v>
      </c>
      <c r="E4857" s="67">
        <f t="shared" si="16"/>
        <v>1500</v>
      </c>
      <c r="F4857" s="67" t="str">
        <f t="shared" si="12"/>
        <v>6 LeadGen Set Appointments</v>
      </c>
    </row>
    <row r="4858" hidden="1">
      <c r="A4858" s="6" t="s">
        <v>65</v>
      </c>
      <c r="B4858" s="13" t="s">
        <v>2193</v>
      </c>
      <c r="C4858" s="13" t="s">
        <v>2194</v>
      </c>
      <c r="D4858" s="15">
        <v>6.0</v>
      </c>
      <c r="E4858" s="67">
        <f t="shared" si="16"/>
        <v>1500</v>
      </c>
      <c r="F4858" s="67" t="str">
        <f t="shared" si="12"/>
        <v>6 LeadGen Set Appointments</v>
      </c>
    </row>
    <row r="4859" hidden="1">
      <c r="A4859" s="6" t="s">
        <v>65</v>
      </c>
      <c r="B4859" s="13" t="s">
        <v>628</v>
      </c>
      <c r="C4859" s="13" t="s">
        <v>629</v>
      </c>
      <c r="D4859" s="15">
        <v>6.0</v>
      </c>
      <c r="E4859" s="67">
        <f t="shared" si="16"/>
        <v>1500</v>
      </c>
      <c r="F4859" s="67" t="str">
        <f t="shared" si="12"/>
        <v>6 LeadGen Set Appointments</v>
      </c>
    </row>
    <row r="4860" hidden="1">
      <c r="A4860" s="6" t="s">
        <v>65</v>
      </c>
      <c r="B4860" s="13" t="s">
        <v>1448</v>
      </c>
      <c r="C4860" s="13" t="s">
        <v>1449</v>
      </c>
      <c r="D4860" s="15">
        <v>6.0</v>
      </c>
      <c r="E4860" s="67">
        <f t="shared" si="16"/>
        <v>1500</v>
      </c>
      <c r="F4860" s="67" t="str">
        <f t="shared" si="12"/>
        <v>6 LeadGen Set Appointments</v>
      </c>
    </row>
    <row r="4861" hidden="1">
      <c r="A4861" s="6" t="s">
        <v>65</v>
      </c>
      <c r="B4861" s="13" t="s">
        <v>1461</v>
      </c>
      <c r="C4861" s="13" t="s">
        <v>1462</v>
      </c>
      <c r="D4861" s="15">
        <v>6.0</v>
      </c>
      <c r="E4861" s="67">
        <f t="shared" si="16"/>
        <v>1500</v>
      </c>
      <c r="F4861" s="67" t="str">
        <f t="shared" si="12"/>
        <v>6 LeadGen Set Appointments</v>
      </c>
    </row>
    <row r="4862" hidden="1">
      <c r="A4862" s="6" t="s">
        <v>65</v>
      </c>
      <c r="B4862" s="13" t="s">
        <v>1551</v>
      </c>
      <c r="C4862" s="13" t="s">
        <v>1552</v>
      </c>
      <c r="D4862" s="15">
        <v>6.0</v>
      </c>
      <c r="E4862" s="67">
        <f t="shared" si="16"/>
        <v>1500</v>
      </c>
      <c r="F4862" s="67" t="str">
        <f t="shared" si="12"/>
        <v>6 LeadGen Set Appointments</v>
      </c>
    </row>
    <row r="4863" hidden="1">
      <c r="A4863" s="6" t="s">
        <v>65</v>
      </c>
      <c r="B4863" s="13" t="s">
        <v>242</v>
      </c>
      <c r="C4863" s="13" t="s">
        <v>1887</v>
      </c>
      <c r="D4863" s="15">
        <v>6.0</v>
      </c>
      <c r="E4863" s="67">
        <f t="shared" si="16"/>
        <v>1500</v>
      </c>
      <c r="F4863" s="67" t="str">
        <f t="shared" si="12"/>
        <v>6 LeadGen Set Appointments</v>
      </c>
    </row>
    <row r="4864" hidden="1">
      <c r="A4864" s="6" t="s">
        <v>65</v>
      </c>
      <c r="B4864" s="13" t="s">
        <v>1784</v>
      </c>
      <c r="C4864" s="13" t="s">
        <v>1785</v>
      </c>
      <c r="D4864" s="15">
        <v>6.0</v>
      </c>
      <c r="E4864" s="67">
        <f t="shared" si="16"/>
        <v>1500</v>
      </c>
      <c r="F4864" s="67" t="str">
        <f t="shared" si="12"/>
        <v>6 LeadGen Set Appointments</v>
      </c>
    </row>
    <row r="4865" hidden="1">
      <c r="A4865" s="6" t="s">
        <v>65</v>
      </c>
      <c r="B4865" s="13" t="s">
        <v>1909</v>
      </c>
      <c r="C4865" s="13" t="s">
        <v>1910</v>
      </c>
      <c r="D4865" s="15">
        <v>6.0</v>
      </c>
      <c r="E4865" s="67">
        <f t="shared" si="16"/>
        <v>1500</v>
      </c>
      <c r="F4865" s="67" t="str">
        <f t="shared" si="12"/>
        <v>6 LeadGen Set Appointments</v>
      </c>
    </row>
    <row r="4866" hidden="1">
      <c r="A4866" s="6" t="s">
        <v>65</v>
      </c>
      <c r="B4866" s="13" t="s">
        <v>1736</v>
      </c>
      <c r="C4866" s="13" t="s">
        <v>1737</v>
      </c>
      <c r="D4866" s="15">
        <v>6.0</v>
      </c>
      <c r="E4866" s="67">
        <f t="shared" si="16"/>
        <v>1500</v>
      </c>
      <c r="F4866" s="67" t="str">
        <f t="shared" si="12"/>
        <v>6 LeadGen Set Appointments</v>
      </c>
    </row>
    <row r="4867" hidden="1">
      <c r="A4867" s="6" t="s">
        <v>65</v>
      </c>
      <c r="B4867" s="13" t="s">
        <v>1039</v>
      </c>
      <c r="C4867" s="13" t="s">
        <v>1040</v>
      </c>
      <c r="D4867" s="15">
        <v>6.0</v>
      </c>
      <c r="E4867" s="67">
        <f t="shared" si="16"/>
        <v>1500</v>
      </c>
      <c r="F4867" s="67" t="str">
        <f t="shared" si="12"/>
        <v>6 LeadGen Set Appointments</v>
      </c>
    </row>
    <row r="4868" hidden="1">
      <c r="A4868" s="6" t="s">
        <v>65</v>
      </c>
      <c r="B4868" s="13" t="s">
        <v>1943</v>
      </c>
      <c r="C4868" s="13" t="s">
        <v>1944</v>
      </c>
      <c r="D4868" s="15">
        <v>6.0</v>
      </c>
      <c r="E4868" s="67">
        <f t="shared" si="16"/>
        <v>1500</v>
      </c>
      <c r="F4868" s="67" t="str">
        <f t="shared" si="12"/>
        <v>6 LeadGen Set Appointments</v>
      </c>
    </row>
    <row r="4869" hidden="1">
      <c r="A4869" s="6" t="s">
        <v>65</v>
      </c>
      <c r="B4869" s="13" t="s">
        <v>1682</v>
      </c>
      <c r="C4869" s="13" t="s">
        <v>1683</v>
      </c>
      <c r="D4869" s="15">
        <v>6.0</v>
      </c>
      <c r="E4869" s="67">
        <f t="shared" si="16"/>
        <v>1500</v>
      </c>
      <c r="F4869" s="67" t="str">
        <f t="shared" si="12"/>
        <v>6 LeadGen Set Appointments</v>
      </c>
    </row>
    <row r="4870" hidden="1">
      <c r="A4870" s="6" t="s">
        <v>65</v>
      </c>
      <c r="B4870" s="13" t="s">
        <v>462</v>
      </c>
      <c r="C4870" s="13" t="s">
        <v>463</v>
      </c>
      <c r="D4870" s="15">
        <v>5.0</v>
      </c>
      <c r="E4870" s="67">
        <f t="shared" si="16"/>
        <v>1250</v>
      </c>
      <c r="F4870" s="67" t="str">
        <f t="shared" si="12"/>
        <v>5 LeadGen Set Appointments</v>
      </c>
    </row>
    <row r="4871" hidden="1">
      <c r="A4871" s="6" t="s">
        <v>65</v>
      </c>
      <c r="B4871" s="13" t="s">
        <v>2155</v>
      </c>
      <c r="C4871" s="13" t="s">
        <v>2214</v>
      </c>
      <c r="D4871" s="15">
        <v>5.0</v>
      </c>
      <c r="E4871" s="67">
        <f t="shared" si="16"/>
        <v>1250</v>
      </c>
      <c r="F4871" s="67" t="str">
        <f t="shared" si="12"/>
        <v>5 LeadGen Set Appointments</v>
      </c>
    </row>
    <row r="4872" hidden="1">
      <c r="A4872" s="6" t="s">
        <v>65</v>
      </c>
      <c r="B4872" s="13" t="s">
        <v>1600</v>
      </c>
      <c r="C4872" s="13" t="s">
        <v>1601</v>
      </c>
      <c r="D4872" s="15">
        <v>5.0</v>
      </c>
      <c r="E4872" s="67">
        <f t="shared" si="16"/>
        <v>1250</v>
      </c>
      <c r="F4872" s="67" t="str">
        <f t="shared" si="12"/>
        <v>5 LeadGen Set Appointments</v>
      </c>
    </row>
    <row r="4873" hidden="1">
      <c r="A4873" s="6" t="s">
        <v>65</v>
      </c>
      <c r="B4873" s="13" t="s">
        <v>2189</v>
      </c>
      <c r="C4873" s="13" t="s">
        <v>2190</v>
      </c>
      <c r="D4873" s="15">
        <v>5.0</v>
      </c>
      <c r="E4873" s="67">
        <f t="shared" si="16"/>
        <v>1250</v>
      </c>
      <c r="F4873" s="67" t="str">
        <f t="shared" si="12"/>
        <v>5 LeadGen Set Appointments</v>
      </c>
    </row>
    <row r="4874" hidden="1">
      <c r="A4874" s="6" t="s">
        <v>65</v>
      </c>
      <c r="B4874" s="13" t="s">
        <v>717</v>
      </c>
      <c r="C4874" s="13" t="s">
        <v>718</v>
      </c>
      <c r="D4874" s="15">
        <v>5.0</v>
      </c>
      <c r="E4874" s="67">
        <f t="shared" si="16"/>
        <v>1250</v>
      </c>
      <c r="F4874" s="67" t="str">
        <f t="shared" si="12"/>
        <v>5 LeadGen Set Appointments</v>
      </c>
    </row>
    <row r="4875" hidden="1">
      <c r="A4875" s="6" t="s">
        <v>65</v>
      </c>
      <c r="B4875" s="13" t="s">
        <v>1421</v>
      </c>
      <c r="C4875" s="13" t="s">
        <v>712</v>
      </c>
      <c r="D4875" s="15">
        <v>5.0</v>
      </c>
      <c r="E4875" s="67">
        <f t="shared" si="16"/>
        <v>1250</v>
      </c>
      <c r="F4875" s="67" t="str">
        <f t="shared" si="12"/>
        <v>5 LeadGen Set Appointments</v>
      </c>
    </row>
    <row r="4876" hidden="1">
      <c r="A4876" s="6" t="s">
        <v>65</v>
      </c>
      <c r="B4876" s="13" t="s">
        <v>1283</v>
      </c>
      <c r="C4876" s="13" t="s">
        <v>404</v>
      </c>
      <c r="D4876" s="15">
        <v>5.0</v>
      </c>
      <c r="E4876" s="67">
        <f t="shared" si="16"/>
        <v>1250</v>
      </c>
      <c r="F4876" s="67" t="str">
        <f t="shared" si="12"/>
        <v>5 LeadGen Set Appointments</v>
      </c>
    </row>
    <row r="4877" hidden="1">
      <c r="A4877" s="6" t="s">
        <v>65</v>
      </c>
      <c r="B4877" s="13" t="s">
        <v>1945</v>
      </c>
      <c r="C4877" s="13" t="s">
        <v>1946</v>
      </c>
      <c r="D4877" s="15">
        <v>5.0</v>
      </c>
      <c r="E4877" s="67">
        <f t="shared" si="16"/>
        <v>1250</v>
      </c>
      <c r="F4877" s="67" t="str">
        <f t="shared" si="12"/>
        <v>5 LeadGen Set Appointments</v>
      </c>
    </row>
    <row r="4878" hidden="1">
      <c r="A4878" s="6" t="s">
        <v>65</v>
      </c>
      <c r="B4878" s="13" t="s">
        <v>1577</v>
      </c>
      <c r="C4878" s="13" t="s">
        <v>1578</v>
      </c>
      <c r="D4878" s="15">
        <v>4.0</v>
      </c>
      <c r="E4878" s="67">
        <f t="shared" si="16"/>
        <v>1000</v>
      </c>
      <c r="F4878" s="67" t="str">
        <f t="shared" si="12"/>
        <v>4 LeadGen Set Appointments</v>
      </c>
    </row>
    <row r="4879" hidden="1">
      <c r="A4879" s="6" t="s">
        <v>65</v>
      </c>
      <c r="B4879" s="13" t="s">
        <v>1459</v>
      </c>
      <c r="C4879" s="13" t="s">
        <v>1460</v>
      </c>
      <c r="D4879" s="15">
        <v>4.0</v>
      </c>
      <c r="E4879" s="67">
        <f t="shared" si="16"/>
        <v>1000</v>
      </c>
      <c r="F4879" s="67" t="str">
        <f t="shared" si="12"/>
        <v>4 LeadGen Set Appointments</v>
      </c>
    </row>
    <row r="4880" hidden="1">
      <c r="A4880" s="6" t="s">
        <v>65</v>
      </c>
      <c r="B4880" s="13" t="s">
        <v>1893</v>
      </c>
      <c r="C4880" s="13" t="s">
        <v>1894</v>
      </c>
      <c r="D4880" s="15">
        <v>4.0</v>
      </c>
      <c r="E4880" s="67">
        <f t="shared" si="16"/>
        <v>1000</v>
      </c>
      <c r="F4880" s="67" t="str">
        <f t="shared" si="12"/>
        <v>4 LeadGen Set Appointments</v>
      </c>
    </row>
    <row r="4881" hidden="1">
      <c r="A4881" s="6" t="s">
        <v>65</v>
      </c>
      <c r="B4881" s="13" t="s">
        <v>2222</v>
      </c>
      <c r="C4881" s="13" t="s">
        <v>2223</v>
      </c>
      <c r="D4881" s="15">
        <v>4.0</v>
      </c>
      <c r="E4881" s="67">
        <f t="shared" si="16"/>
        <v>1000</v>
      </c>
      <c r="F4881" s="67" t="str">
        <f t="shared" si="12"/>
        <v>4 LeadGen Set Appointments</v>
      </c>
    </row>
    <row r="4882" hidden="1">
      <c r="A4882" s="6" t="s">
        <v>65</v>
      </c>
      <c r="B4882" s="13" t="s">
        <v>1545</v>
      </c>
      <c r="C4882" s="13" t="s">
        <v>1546</v>
      </c>
      <c r="D4882" s="15">
        <v>4.0</v>
      </c>
      <c r="E4882" s="67">
        <f t="shared" si="16"/>
        <v>1000</v>
      </c>
      <c r="F4882" s="67" t="str">
        <f t="shared" si="12"/>
        <v>4 LeadGen Set Appointments</v>
      </c>
    </row>
    <row r="4883" hidden="1">
      <c r="A4883" s="6" t="s">
        <v>65</v>
      </c>
      <c r="B4883" s="13" t="s">
        <v>1467</v>
      </c>
      <c r="C4883" s="13" t="s">
        <v>1468</v>
      </c>
      <c r="D4883" s="15">
        <v>4.0</v>
      </c>
      <c r="E4883" s="67">
        <f t="shared" si="16"/>
        <v>1000</v>
      </c>
      <c r="F4883" s="67" t="str">
        <f t="shared" si="12"/>
        <v>4 LeadGen Set Appointments</v>
      </c>
    </row>
    <row r="4884" hidden="1">
      <c r="A4884" s="6" t="s">
        <v>65</v>
      </c>
      <c r="B4884" s="13" t="s">
        <v>1334</v>
      </c>
      <c r="C4884" s="13" t="s">
        <v>553</v>
      </c>
      <c r="D4884" s="15">
        <v>4.0</v>
      </c>
      <c r="E4884" s="67">
        <f t="shared" si="16"/>
        <v>1000</v>
      </c>
      <c r="F4884" s="67" t="str">
        <f t="shared" si="12"/>
        <v>4 LeadGen Set Appointments</v>
      </c>
    </row>
    <row r="4885" hidden="1">
      <c r="A4885" s="6" t="s">
        <v>65</v>
      </c>
      <c r="B4885" s="13" t="s">
        <v>2093</v>
      </c>
      <c r="C4885" s="13" t="s">
        <v>2094</v>
      </c>
      <c r="D4885" s="15">
        <v>4.0</v>
      </c>
      <c r="E4885" s="67">
        <f t="shared" si="16"/>
        <v>1000</v>
      </c>
      <c r="F4885" s="67" t="str">
        <f t="shared" si="12"/>
        <v>4 LeadGen Set Appointments</v>
      </c>
    </row>
    <row r="4886" hidden="1">
      <c r="A4886" s="6" t="s">
        <v>65</v>
      </c>
      <c r="B4886" s="13" t="s">
        <v>2191</v>
      </c>
      <c r="C4886" s="13" t="s">
        <v>2192</v>
      </c>
      <c r="D4886" s="15">
        <v>4.0</v>
      </c>
      <c r="E4886" s="67">
        <f t="shared" si="16"/>
        <v>1000</v>
      </c>
      <c r="F4886" s="67" t="str">
        <f t="shared" si="12"/>
        <v>4 LeadGen Set Appointments</v>
      </c>
    </row>
    <row r="4887" hidden="1">
      <c r="A4887" s="6" t="s">
        <v>65</v>
      </c>
      <c r="B4887" s="13" t="s">
        <v>1510</v>
      </c>
      <c r="C4887" s="13" t="s">
        <v>1511</v>
      </c>
      <c r="D4887" s="15">
        <v>4.0</v>
      </c>
      <c r="E4887" s="67">
        <f t="shared" si="16"/>
        <v>1000</v>
      </c>
      <c r="F4887" s="67" t="str">
        <f t="shared" si="12"/>
        <v>4 LeadGen Set Appointments</v>
      </c>
    </row>
    <row r="4888" hidden="1">
      <c r="A4888" s="6" t="s">
        <v>65</v>
      </c>
      <c r="B4888" s="13" t="s">
        <v>1968</v>
      </c>
      <c r="C4888" s="13" t="s">
        <v>895</v>
      </c>
      <c r="D4888" s="15">
        <v>4.0</v>
      </c>
      <c r="E4888" s="67">
        <f t="shared" si="16"/>
        <v>1000</v>
      </c>
      <c r="F4888" s="67" t="str">
        <f t="shared" si="12"/>
        <v>4 LeadGen Set Appointments</v>
      </c>
    </row>
    <row r="4889" hidden="1">
      <c r="A4889" s="6" t="s">
        <v>65</v>
      </c>
      <c r="B4889" s="13" t="s">
        <v>1512</v>
      </c>
      <c r="C4889" s="13" t="s">
        <v>1513</v>
      </c>
      <c r="D4889" s="15">
        <v>4.0</v>
      </c>
      <c r="E4889" s="67">
        <f t="shared" si="16"/>
        <v>1000</v>
      </c>
      <c r="F4889" s="67" t="str">
        <f t="shared" si="12"/>
        <v>4 LeadGen Set Appointments</v>
      </c>
    </row>
    <row r="4890" hidden="1">
      <c r="A4890" s="6" t="s">
        <v>65</v>
      </c>
      <c r="B4890" s="13" t="s">
        <v>1653</v>
      </c>
      <c r="C4890" s="13" t="s">
        <v>1654</v>
      </c>
      <c r="D4890" s="15">
        <v>4.0</v>
      </c>
      <c r="E4890" s="67">
        <f t="shared" si="16"/>
        <v>1000</v>
      </c>
      <c r="F4890" s="67" t="str">
        <f t="shared" si="12"/>
        <v>4 LeadGen Set Appointments</v>
      </c>
    </row>
    <row r="4891" hidden="1">
      <c r="A4891" s="6" t="s">
        <v>65</v>
      </c>
      <c r="B4891" s="13" t="s">
        <v>693</v>
      </c>
      <c r="C4891" s="13" t="s">
        <v>694</v>
      </c>
      <c r="D4891" s="15">
        <v>4.0</v>
      </c>
      <c r="E4891" s="67">
        <f t="shared" si="16"/>
        <v>1000</v>
      </c>
      <c r="F4891" s="67" t="str">
        <f t="shared" si="12"/>
        <v>4 LeadGen Set Appointments</v>
      </c>
    </row>
    <row r="4892" hidden="1">
      <c r="A4892" s="6" t="s">
        <v>65</v>
      </c>
      <c r="B4892" s="13" t="s">
        <v>2100</v>
      </c>
      <c r="C4892" s="13" t="s">
        <v>2101</v>
      </c>
      <c r="D4892" s="15">
        <v>4.0</v>
      </c>
      <c r="E4892" s="67">
        <f t="shared" si="16"/>
        <v>1000</v>
      </c>
      <c r="F4892" s="67" t="str">
        <f t="shared" si="12"/>
        <v>4 LeadGen Set Appointments</v>
      </c>
    </row>
    <row r="4893" hidden="1">
      <c r="A4893" s="6" t="s">
        <v>65</v>
      </c>
      <c r="B4893" s="13" t="s">
        <v>2199</v>
      </c>
      <c r="C4893" s="13" t="s">
        <v>2200</v>
      </c>
      <c r="D4893" s="15">
        <v>4.0</v>
      </c>
      <c r="E4893" s="67">
        <f t="shared" si="16"/>
        <v>1000</v>
      </c>
      <c r="F4893" s="67" t="str">
        <f t="shared" si="12"/>
        <v>4 LeadGen Set Appointments</v>
      </c>
    </row>
    <row r="4894" hidden="1">
      <c r="A4894" s="6" t="s">
        <v>65</v>
      </c>
      <c r="B4894" s="13" t="s">
        <v>2111</v>
      </c>
      <c r="C4894" s="13" t="s">
        <v>2112</v>
      </c>
      <c r="D4894" s="15">
        <v>4.0</v>
      </c>
      <c r="E4894" s="67">
        <f t="shared" si="16"/>
        <v>1000</v>
      </c>
      <c r="F4894" s="67" t="str">
        <f t="shared" si="12"/>
        <v>4 LeadGen Set Appointments</v>
      </c>
    </row>
    <row r="4895" hidden="1">
      <c r="A4895" s="6" t="s">
        <v>65</v>
      </c>
      <c r="B4895" s="13" t="s">
        <v>2224</v>
      </c>
      <c r="C4895" s="13" t="s">
        <v>2225</v>
      </c>
      <c r="D4895" s="15">
        <v>4.0</v>
      </c>
      <c r="E4895" s="67">
        <f t="shared" si="16"/>
        <v>1000</v>
      </c>
      <c r="F4895" s="67" t="str">
        <f t="shared" si="12"/>
        <v>4 LeadGen Set Appointments</v>
      </c>
    </row>
    <row r="4896" hidden="1">
      <c r="A4896" s="6" t="s">
        <v>65</v>
      </c>
      <c r="B4896" s="13" t="s">
        <v>566</v>
      </c>
      <c r="C4896" s="13" t="s">
        <v>567</v>
      </c>
      <c r="D4896" s="15">
        <v>4.0</v>
      </c>
      <c r="E4896" s="67">
        <f t="shared" si="16"/>
        <v>1000</v>
      </c>
      <c r="F4896" s="67" t="str">
        <f t="shared" si="12"/>
        <v>4 LeadGen Set Appointments</v>
      </c>
    </row>
    <row r="4897" hidden="1">
      <c r="A4897" s="6" t="s">
        <v>65</v>
      </c>
      <c r="B4897" s="13" t="s">
        <v>2077</v>
      </c>
      <c r="C4897" s="13" t="s">
        <v>2078</v>
      </c>
      <c r="D4897" s="15">
        <v>4.0</v>
      </c>
      <c r="E4897" s="67">
        <f t="shared" si="16"/>
        <v>1000</v>
      </c>
      <c r="F4897" s="67" t="str">
        <f t="shared" si="12"/>
        <v>4 LeadGen Set Appointments</v>
      </c>
    </row>
    <row r="4898" hidden="1">
      <c r="A4898" s="6" t="s">
        <v>65</v>
      </c>
      <c r="B4898" s="13" t="s">
        <v>445</v>
      </c>
      <c r="C4898" s="13" t="s">
        <v>446</v>
      </c>
      <c r="D4898" s="15">
        <v>4.0</v>
      </c>
      <c r="E4898" s="67">
        <f t="shared" si="16"/>
        <v>1000</v>
      </c>
      <c r="F4898" s="67" t="str">
        <f t="shared" si="12"/>
        <v>4 LeadGen Set Appointments</v>
      </c>
    </row>
    <row r="4899" hidden="1">
      <c r="A4899" s="6" t="s">
        <v>65</v>
      </c>
      <c r="B4899" s="13" t="s">
        <v>1941</v>
      </c>
      <c r="C4899" s="13" t="s">
        <v>1942</v>
      </c>
      <c r="D4899" s="15">
        <v>4.0</v>
      </c>
      <c r="E4899" s="67">
        <f t="shared" si="16"/>
        <v>1000</v>
      </c>
      <c r="F4899" s="67" t="str">
        <f t="shared" si="12"/>
        <v>4 LeadGen Set Appointments</v>
      </c>
    </row>
    <row r="4900" hidden="1">
      <c r="A4900" s="6" t="s">
        <v>65</v>
      </c>
      <c r="B4900" s="13" t="s">
        <v>1171</v>
      </c>
      <c r="C4900" s="13" t="s">
        <v>1172</v>
      </c>
      <c r="D4900" s="15">
        <v>3.0</v>
      </c>
      <c r="E4900" s="67">
        <f t="shared" si="16"/>
        <v>750</v>
      </c>
      <c r="F4900" s="67" t="str">
        <f t="shared" si="12"/>
        <v>3 LeadGen Set Appointments</v>
      </c>
    </row>
    <row r="4901" hidden="1">
      <c r="A4901" s="6" t="s">
        <v>65</v>
      </c>
      <c r="B4901" s="13" t="s">
        <v>2226</v>
      </c>
      <c r="C4901" s="13" t="s">
        <v>2227</v>
      </c>
      <c r="D4901" s="15">
        <v>3.0</v>
      </c>
      <c r="E4901" s="67">
        <f t="shared" si="16"/>
        <v>750</v>
      </c>
      <c r="F4901" s="67" t="str">
        <f t="shared" si="12"/>
        <v>3 LeadGen Set Appointments</v>
      </c>
    </row>
    <row r="4902" hidden="1">
      <c r="A4902" s="6" t="s">
        <v>65</v>
      </c>
      <c r="B4902" s="13" t="s">
        <v>500</v>
      </c>
      <c r="C4902" s="13" t="s">
        <v>501</v>
      </c>
      <c r="D4902" s="15">
        <v>3.0</v>
      </c>
      <c r="E4902" s="67">
        <f t="shared" si="16"/>
        <v>750</v>
      </c>
      <c r="F4902" s="67" t="str">
        <f t="shared" si="12"/>
        <v>3 LeadGen Set Appointments</v>
      </c>
    </row>
    <row r="4903" hidden="1">
      <c r="A4903" s="6" t="s">
        <v>65</v>
      </c>
      <c r="B4903" s="13" t="s">
        <v>2205</v>
      </c>
      <c r="C4903" s="13" t="s">
        <v>2206</v>
      </c>
      <c r="D4903" s="15">
        <v>3.0</v>
      </c>
      <c r="E4903" s="67">
        <f t="shared" si="16"/>
        <v>750</v>
      </c>
      <c r="F4903" s="67" t="str">
        <f t="shared" si="12"/>
        <v>3 LeadGen Set Appointments</v>
      </c>
    </row>
    <row r="4904" hidden="1">
      <c r="A4904" s="6" t="s">
        <v>65</v>
      </c>
      <c r="B4904" s="13" t="s">
        <v>1986</v>
      </c>
      <c r="C4904" s="13" t="s">
        <v>1987</v>
      </c>
      <c r="D4904" s="15">
        <v>3.0</v>
      </c>
      <c r="E4904" s="67">
        <f t="shared" si="16"/>
        <v>750</v>
      </c>
      <c r="F4904" s="67" t="str">
        <f t="shared" si="12"/>
        <v>3 LeadGen Set Appointments</v>
      </c>
    </row>
    <row r="4905" hidden="1">
      <c r="A4905" s="6" t="s">
        <v>65</v>
      </c>
      <c r="B4905" s="13" t="s">
        <v>1927</v>
      </c>
      <c r="C4905" s="13" t="s">
        <v>1928</v>
      </c>
      <c r="D4905" s="15">
        <v>3.0</v>
      </c>
      <c r="E4905" s="67">
        <f t="shared" si="16"/>
        <v>750</v>
      </c>
      <c r="F4905" s="67" t="str">
        <f t="shared" si="12"/>
        <v>3 LeadGen Set Appointments</v>
      </c>
    </row>
    <row r="4906" hidden="1">
      <c r="A4906" s="6" t="s">
        <v>65</v>
      </c>
      <c r="B4906" s="13" t="s">
        <v>684</v>
      </c>
      <c r="C4906" s="13" t="s">
        <v>685</v>
      </c>
      <c r="D4906" s="15">
        <v>3.0</v>
      </c>
      <c r="E4906" s="67">
        <f t="shared" si="16"/>
        <v>750</v>
      </c>
      <c r="F4906" s="67" t="str">
        <f t="shared" si="12"/>
        <v>3 LeadGen Set Appointments</v>
      </c>
    </row>
    <row r="4907" hidden="1">
      <c r="A4907" s="6" t="s">
        <v>65</v>
      </c>
      <c r="B4907" s="13" t="s">
        <v>1547</v>
      </c>
      <c r="C4907" s="13" t="s">
        <v>1548</v>
      </c>
      <c r="D4907" s="15">
        <v>3.0</v>
      </c>
      <c r="E4907" s="67">
        <f t="shared" si="16"/>
        <v>750</v>
      </c>
      <c r="F4907" s="67" t="str">
        <f t="shared" si="12"/>
        <v>3 LeadGen Set Appointments</v>
      </c>
    </row>
    <row r="4908" hidden="1">
      <c r="A4908" s="6" t="s">
        <v>65</v>
      </c>
      <c r="B4908" s="13" t="s">
        <v>2215</v>
      </c>
      <c r="C4908" s="13" t="s">
        <v>2216</v>
      </c>
      <c r="D4908" s="15">
        <v>3.0</v>
      </c>
      <c r="E4908" s="67">
        <f t="shared" si="16"/>
        <v>750</v>
      </c>
      <c r="F4908" s="67" t="str">
        <f t="shared" si="12"/>
        <v>3 LeadGen Set Appointments</v>
      </c>
    </row>
    <row r="4909" hidden="1">
      <c r="A4909" s="6" t="s">
        <v>65</v>
      </c>
      <c r="B4909" s="13" t="s">
        <v>2145</v>
      </c>
      <c r="C4909" s="13" t="s">
        <v>2146</v>
      </c>
      <c r="D4909" s="15">
        <v>3.0</v>
      </c>
      <c r="E4909" s="67">
        <f t="shared" si="16"/>
        <v>750</v>
      </c>
      <c r="F4909" s="67" t="str">
        <f t="shared" si="12"/>
        <v>3 LeadGen Set Appointments</v>
      </c>
    </row>
    <row r="4910" hidden="1">
      <c r="A4910" s="6" t="s">
        <v>65</v>
      </c>
      <c r="B4910" s="13" t="s">
        <v>2228</v>
      </c>
      <c r="C4910" s="13" t="s">
        <v>2229</v>
      </c>
      <c r="D4910" s="15">
        <v>3.0</v>
      </c>
      <c r="E4910" s="67">
        <f t="shared" si="16"/>
        <v>750</v>
      </c>
      <c r="F4910" s="67" t="str">
        <f t="shared" si="12"/>
        <v>3 LeadGen Set Appointments</v>
      </c>
    </row>
    <row r="4911" hidden="1">
      <c r="A4911" s="6" t="s">
        <v>65</v>
      </c>
      <c r="B4911" s="13" t="s">
        <v>2230</v>
      </c>
      <c r="C4911" s="13" t="s">
        <v>2231</v>
      </c>
      <c r="D4911" s="15">
        <v>3.0</v>
      </c>
      <c r="E4911" s="67">
        <f t="shared" si="16"/>
        <v>750</v>
      </c>
      <c r="F4911" s="67" t="str">
        <f t="shared" si="12"/>
        <v>3 LeadGen Set Appointments</v>
      </c>
    </row>
    <row r="4912" hidden="1">
      <c r="A4912" s="6" t="s">
        <v>65</v>
      </c>
      <c r="B4912" s="13" t="s">
        <v>1583</v>
      </c>
      <c r="C4912" s="13" t="s">
        <v>1584</v>
      </c>
      <c r="D4912" s="15">
        <v>3.0</v>
      </c>
      <c r="E4912" s="67">
        <f t="shared" si="16"/>
        <v>750</v>
      </c>
      <c r="F4912" s="67" t="str">
        <f t="shared" si="12"/>
        <v>3 LeadGen Set Appointments</v>
      </c>
    </row>
    <row r="4913" hidden="1">
      <c r="A4913" s="6" t="s">
        <v>65</v>
      </c>
      <c r="B4913" s="13" t="s">
        <v>705</v>
      </c>
      <c r="C4913" s="13" t="s">
        <v>706</v>
      </c>
      <c r="D4913" s="15">
        <v>3.0</v>
      </c>
      <c r="E4913" s="67">
        <f t="shared" si="16"/>
        <v>750</v>
      </c>
      <c r="F4913" s="67" t="str">
        <f t="shared" si="12"/>
        <v>3 LeadGen Set Appointments</v>
      </c>
    </row>
    <row r="4914" hidden="1">
      <c r="A4914" s="6" t="s">
        <v>65</v>
      </c>
      <c r="B4914" s="13" t="s">
        <v>1612</v>
      </c>
      <c r="C4914" s="13" t="s">
        <v>1613</v>
      </c>
      <c r="D4914" s="15">
        <v>3.0</v>
      </c>
      <c r="E4914" s="67">
        <f t="shared" si="16"/>
        <v>750</v>
      </c>
      <c r="F4914" s="67" t="str">
        <f t="shared" si="12"/>
        <v>3 LeadGen Set Appointments</v>
      </c>
    </row>
    <row r="4915" hidden="1">
      <c r="A4915" s="6" t="s">
        <v>65</v>
      </c>
      <c r="B4915" s="13" t="s">
        <v>2147</v>
      </c>
      <c r="C4915" s="13" t="s">
        <v>2148</v>
      </c>
      <c r="D4915" s="15">
        <v>3.0</v>
      </c>
      <c r="E4915" s="67">
        <f t="shared" si="16"/>
        <v>750</v>
      </c>
      <c r="F4915" s="67" t="str">
        <f t="shared" si="12"/>
        <v>3 LeadGen Set Appointments</v>
      </c>
    </row>
    <row r="4916" hidden="1">
      <c r="A4916" s="6" t="s">
        <v>65</v>
      </c>
      <c r="B4916" s="13" t="s">
        <v>494</v>
      </c>
      <c r="C4916" s="13" t="s">
        <v>495</v>
      </c>
      <c r="D4916" s="15">
        <v>3.0</v>
      </c>
      <c r="E4916" s="67">
        <f t="shared" si="16"/>
        <v>750</v>
      </c>
      <c r="F4916" s="67" t="str">
        <f t="shared" si="12"/>
        <v>3 LeadGen Set Appointments</v>
      </c>
    </row>
    <row r="4917" hidden="1">
      <c r="A4917" s="6" t="s">
        <v>65</v>
      </c>
      <c r="B4917" s="13" t="s">
        <v>2127</v>
      </c>
      <c r="C4917" s="13" t="s">
        <v>2128</v>
      </c>
      <c r="D4917" s="15">
        <v>3.0</v>
      </c>
      <c r="E4917" s="67">
        <f t="shared" si="16"/>
        <v>750</v>
      </c>
      <c r="F4917" s="67" t="str">
        <f t="shared" si="12"/>
        <v>3 LeadGen Set Appointments</v>
      </c>
    </row>
    <row r="4918" hidden="1">
      <c r="A4918" s="6" t="s">
        <v>65</v>
      </c>
      <c r="B4918" s="13" t="s">
        <v>1937</v>
      </c>
      <c r="C4918" s="13" t="s">
        <v>1938</v>
      </c>
      <c r="D4918" s="15">
        <v>3.0</v>
      </c>
      <c r="E4918" s="67">
        <f t="shared" si="16"/>
        <v>750</v>
      </c>
      <c r="F4918" s="67" t="str">
        <f t="shared" si="12"/>
        <v>3 LeadGen Set Appointments</v>
      </c>
    </row>
    <row r="4919" hidden="1">
      <c r="A4919" s="6" t="s">
        <v>65</v>
      </c>
      <c r="B4919" s="13" t="s">
        <v>1325</v>
      </c>
      <c r="C4919" s="13" t="s">
        <v>1326</v>
      </c>
      <c r="D4919" s="15">
        <v>3.0</v>
      </c>
      <c r="E4919" s="67">
        <f t="shared" si="16"/>
        <v>750</v>
      </c>
      <c r="F4919" s="67" t="str">
        <f t="shared" si="12"/>
        <v>3 LeadGen Set Appointments</v>
      </c>
    </row>
    <row r="4920" hidden="1">
      <c r="A4920" s="6" t="s">
        <v>65</v>
      </c>
      <c r="B4920" s="13" t="s">
        <v>1557</v>
      </c>
      <c r="C4920" s="13" t="s">
        <v>1558</v>
      </c>
      <c r="D4920" s="15">
        <v>3.0</v>
      </c>
      <c r="E4920" s="67">
        <f t="shared" si="16"/>
        <v>750</v>
      </c>
      <c r="F4920" s="67" t="str">
        <f t="shared" si="12"/>
        <v>3 LeadGen Set Appointments</v>
      </c>
    </row>
    <row r="4921" hidden="1">
      <c r="A4921" s="6" t="s">
        <v>65</v>
      </c>
      <c r="B4921" s="13" t="s">
        <v>626</v>
      </c>
      <c r="C4921" s="13" t="s">
        <v>627</v>
      </c>
      <c r="D4921" s="15">
        <v>3.0</v>
      </c>
      <c r="E4921" s="67">
        <f t="shared" si="16"/>
        <v>750</v>
      </c>
      <c r="F4921" s="67" t="str">
        <f t="shared" si="12"/>
        <v>3 LeadGen Set Appointments</v>
      </c>
    </row>
    <row r="4922" hidden="1">
      <c r="A4922" s="6" t="s">
        <v>65</v>
      </c>
      <c r="B4922" s="13" t="s">
        <v>2232</v>
      </c>
      <c r="C4922" s="13" t="s">
        <v>2233</v>
      </c>
      <c r="D4922" s="15">
        <v>3.0</v>
      </c>
      <c r="E4922" s="67">
        <f t="shared" si="16"/>
        <v>750</v>
      </c>
      <c r="F4922" s="67" t="str">
        <f t="shared" si="12"/>
        <v>3 LeadGen Set Appointments</v>
      </c>
    </row>
    <row r="4923" hidden="1">
      <c r="A4923" s="6" t="s">
        <v>65</v>
      </c>
      <c r="B4923" s="13" t="s">
        <v>2056</v>
      </c>
      <c r="C4923" s="13" t="s">
        <v>2057</v>
      </c>
      <c r="D4923" s="15">
        <v>3.0</v>
      </c>
      <c r="E4923" s="67">
        <f t="shared" si="16"/>
        <v>750</v>
      </c>
      <c r="F4923" s="67" t="str">
        <f t="shared" si="12"/>
        <v>3 LeadGen Set Appointments</v>
      </c>
    </row>
    <row r="4924" hidden="1">
      <c r="A4924" s="6" t="s">
        <v>65</v>
      </c>
      <c r="B4924" s="13" t="s">
        <v>2234</v>
      </c>
      <c r="C4924" s="13" t="s">
        <v>2235</v>
      </c>
      <c r="D4924" s="15">
        <v>3.0</v>
      </c>
      <c r="E4924" s="67">
        <f t="shared" si="16"/>
        <v>750</v>
      </c>
      <c r="F4924" s="67" t="str">
        <f t="shared" si="12"/>
        <v>3 LeadGen Set Appointments</v>
      </c>
    </row>
    <row r="4925" hidden="1">
      <c r="A4925" s="6" t="s">
        <v>65</v>
      </c>
      <c r="B4925" s="13" t="s">
        <v>1567</v>
      </c>
      <c r="C4925" s="13" t="s">
        <v>1568</v>
      </c>
      <c r="D4925" s="15">
        <v>3.0</v>
      </c>
      <c r="E4925" s="67">
        <f t="shared" si="16"/>
        <v>750</v>
      </c>
      <c r="F4925" s="67" t="str">
        <f t="shared" si="12"/>
        <v>3 LeadGen Set Appointments</v>
      </c>
    </row>
    <row r="4926" hidden="1">
      <c r="A4926" s="6" t="s">
        <v>65</v>
      </c>
      <c r="B4926" s="13" t="s">
        <v>1051</v>
      </c>
      <c r="C4926" s="13" t="s">
        <v>1052</v>
      </c>
      <c r="D4926" s="15">
        <v>3.0</v>
      </c>
      <c r="E4926" s="67">
        <f t="shared" si="16"/>
        <v>750</v>
      </c>
      <c r="F4926" s="67" t="str">
        <f t="shared" si="12"/>
        <v>3 LeadGen Set Appointments</v>
      </c>
    </row>
    <row r="4927" hidden="1">
      <c r="A4927" s="6" t="s">
        <v>65</v>
      </c>
      <c r="B4927" s="13" t="s">
        <v>1493</v>
      </c>
      <c r="C4927" s="13" t="s">
        <v>1494</v>
      </c>
      <c r="D4927" s="15">
        <v>3.0</v>
      </c>
      <c r="E4927" s="67">
        <f t="shared" si="16"/>
        <v>750</v>
      </c>
      <c r="F4927" s="67" t="str">
        <f t="shared" si="12"/>
        <v>3 LeadGen Set Appointments</v>
      </c>
    </row>
    <row r="4928" hidden="1">
      <c r="A4928" s="6" t="s">
        <v>65</v>
      </c>
      <c r="B4928" s="13" t="s">
        <v>302</v>
      </c>
      <c r="C4928" s="13" t="s">
        <v>2110</v>
      </c>
      <c r="D4928" s="15">
        <v>3.0</v>
      </c>
      <c r="E4928" s="67">
        <f t="shared" si="16"/>
        <v>750</v>
      </c>
      <c r="F4928" s="67" t="str">
        <f t="shared" si="12"/>
        <v>3 LeadGen Set Appointments</v>
      </c>
    </row>
    <row r="4929" hidden="1">
      <c r="A4929" s="6" t="s">
        <v>65</v>
      </c>
      <c r="B4929" s="13" t="s">
        <v>1674</v>
      </c>
      <c r="C4929" s="13" t="s">
        <v>1675</v>
      </c>
      <c r="D4929" s="15">
        <v>3.0</v>
      </c>
      <c r="E4929" s="67">
        <f t="shared" si="16"/>
        <v>750</v>
      </c>
      <c r="F4929" s="67" t="str">
        <f t="shared" si="12"/>
        <v>3 LeadGen Set Appointments</v>
      </c>
    </row>
    <row r="4930" hidden="1">
      <c r="A4930" s="6" t="s">
        <v>65</v>
      </c>
      <c r="B4930" s="13" t="s">
        <v>2236</v>
      </c>
      <c r="C4930" s="13" t="s">
        <v>2237</v>
      </c>
      <c r="D4930" s="15">
        <v>3.0</v>
      </c>
      <c r="E4930" s="67">
        <f t="shared" si="16"/>
        <v>750</v>
      </c>
      <c r="F4930" s="67" t="str">
        <f t="shared" si="12"/>
        <v>3 LeadGen Set Appointments</v>
      </c>
    </row>
    <row r="4931" hidden="1">
      <c r="A4931" s="6" t="s">
        <v>65</v>
      </c>
      <c r="B4931" s="13" t="s">
        <v>624</v>
      </c>
      <c r="C4931" s="13" t="s">
        <v>625</v>
      </c>
      <c r="D4931" s="15">
        <v>3.0</v>
      </c>
      <c r="E4931" s="67">
        <f t="shared" si="16"/>
        <v>750</v>
      </c>
      <c r="F4931" s="67" t="str">
        <f t="shared" si="12"/>
        <v>3 LeadGen Set Appointments</v>
      </c>
    </row>
    <row r="4932" hidden="1">
      <c r="A4932" s="6" t="s">
        <v>65</v>
      </c>
      <c r="B4932" s="13" t="s">
        <v>2167</v>
      </c>
      <c r="C4932" s="13" t="s">
        <v>2168</v>
      </c>
      <c r="D4932" s="15">
        <v>3.0</v>
      </c>
      <c r="E4932" s="67">
        <f t="shared" si="16"/>
        <v>750</v>
      </c>
      <c r="F4932" s="67" t="str">
        <f t="shared" si="12"/>
        <v>3 LeadGen Set Appointments</v>
      </c>
    </row>
    <row r="4933" hidden="1">
      <c r="A4933" s="6" t="s">
        <v>65</v>
      </c>
      <c r="B4933" s="13" t="s">
        <v>1911</v>
      </c>
      <c r="C4933" s="13" t="s">
        <v>1912</v>
      </c>
      <c r="D4933" s="15">
        <v>3.0</v>
      </c>
      <c r="E4933" s="67">
        <f t="shared" si="16"/>
        <v>750</v>
      </c>
      <c r="F4933" s="67" t="str">
        <f t="shared" si="12"/>
        <v>3 LeadGen Set Appointments</v>
      </c>
    </row>
    <row r="4934" hidden="1">
      <c r="A4934" s="6" t="s">
        <v>65</v>
      </c>
      <c r="B4934" s="13" t="s">
        <v>2183</v>
      </c>
      <c r="C4934" s="13" t="s">
        <v>2184</v>
      </c>
      <c r="D4934" s="15">
        <v>3.0</v>
      </c>
      <c r="E4934" s="67">
        <f t="shared" si="16"/>
        <v>750</v>
      </c>
      <c r="F4934" s="67" t="str">
        <f t="shared" si="12"/>
        <v>3 LeadGen Set Appointments</v>
      </c>
    </row>
    <row r="4935" hidden="1">
      <c r="A4935" s="6" t="s">
        <v>65</v>
      </c>
      <c r="B4935" s="13" t="s">
        <v>2185</v>
      </c>
      <c r="C4935" s="13" t="s">
        <v>2186</v>
      </c>
      <c r="D4935" s="15">
        <v>3.0</v>
      </c>
      <c r="E4935" s="67">
        <f t="shared" si="16"/>
        <v>750</v>
      </c>
      <c r="F4935" s="67" t="str">
        <f t="shared" si="12"/>
        <v>3 LeadGen Set Appointments</v>
      </c>
    </row>
    <row r="4936" hidden="1">
      <c r="A4936" s="6" t="s">
        <v>65</v>
      </c>
      <c r="B4936" s="13" t="s">
        <v>622</v>
      </c>
      <c r="C4936" s="13" t="s">
        <v>623</v>
      </c>
      <c r="D4936" s="15">
        <v>3.0</v>
      </c>
      <c r="E4936" s="67">
        <f t="shared" si="16"/>
        <v>750</v>
      </c>
      <c r="F4936" s="67" t="str">
        <f t="shared" si="12"/>
        <v>3 LeadGen Set Appointments</v>
      </c>
    </row>
    <row r="4937" hidden="1">
      <c r="A4937" s="6" t="s">
        <v>65</v>
      </c>
      <c r="B4937" s="13" t="s">
        <v>1351</v>
      </c>
      <c r="C4937" s="13" t="s">
        <v>1352</v>
      </c>
      <c r="D4937" s="15">
        <v>3.0</v>
      </c>
      <c r="E4937" s="67">
        <f t="shared" si="16"/>
        <v>750</v>
      </c>
      <c r="F4937" s="67" t="str">
        <f t="shared" si="12"/>
        <v>3 LeadGen Set Appointments</v>
      </c>
    </row>
    <row r="4938" hidden="1">
      <c r="A4938" s="6" t="s">
        <v>65</v>
      </c>
      <c r="B4938" s="13" t="s">
        <v>2209</v>
      </c>
      <c r="C4938" s="13" t="s">
        <v>2210</v>
      </c>
      <c r="D4938" s="15">
        <v>3.0</v>
      </c>
      <c r="E4938" s="67">
        <f t="shared" si="16"/>
        <v>750</v>
      </c>
      <c r="F4938" s="67" t="str">
        <f t="shared" si="12"/>
        <v>3 LeadGen Set Appointments</v>
      </c>
    </row>
    <row r="4939" hidden="1">
      <c r="A4939" s="6" t="s">
        <v>65</v>
      </c>
      <c r="B4939" s="13" t="s">
        <v>1483</v>
      </c>
      <c r="C4939" s="13" t="s">
        <v>1484</v>
      </c>
      <c r="D4939" s="15">
        <v>3.0</v>
      </c>
      <c r="E4939" s="67">
        <f t="shared" si="16"/>
        <v>750</v>
      </c>
      <c r="F4939" s="67" t="str">
        <f t="shared" si="12"/>
        <v>3 LeadGen Set Appointments</v>
      </c>
    </row>
    <row r="4940" hidden="1">
      <c r="A4940" s="6" t="s">
        <v>65</v>
      </c>
      <c r="B4940" s="13" t="s">
        <v>922</v>
      </c>
      <c r="C4940" s="13" t="s">
        <v>923</v>
      </c>
      <c r="D4940" s="15">
        <v>2.0</v>
      </c>
      <c r="E4940" s="67">
        <f t="shared" si="16"/>
        <v>500</v>
      </c>
      <c r="F4940" s="67" t="str">
        <f t="shared" si="12"/>
        <v>2 LeadGen Set Appointments</v>
      </c>
    </row>
    <row r="4941" hidden="1">
      <c r="A4941" s="6" t="s">
        <v>65</v>
      </c>
      <c r="B4941" s="13" t="s">
        <v>1895</v>
      </c>
      <c r="C4941" s="13" t="s">
        <v>1896</v>
      </c>
      <c r="D4941" s="15">
        <v>2.0</v>
      </c>
      <c r="E4941" s="67">
        <f t="shared" si="16"/>
        <v>500</v>
      </c>
      <c r="F4941" s="67" t="str">
        <f t="shared" si="12"/>
        <v>2 LeadGen Set Appointments</v>
      </c>
    </row>
    <row r="4942" hidden="1">
      <c r="A4942" s="6" t="s">
        <v>65</v>
      </c>
      <c r="B4942" s="13" t="s">
        <v>1761</v>
      </c>
      <c r="C4942" s="13" t="s">
        <v>1762</v>
      </c>
      <c r="D4942" s="15">
        <v>2.0</v>
      </c>
      <c r="E4942" s="67">
        <f t="shared" si="16"/>
        <v>500</v>
      </c>
      <c r="F4942" s="67" t="str">
        <f t="shared" si="12"/>
        <v>2 LeadGen Set Appointments</v>
      </c>
    </row>
    <row r="4943" hidden="1">
      <c r="A4943" s="6" t="s">
        <v>65</v>
      </c>
      <c r="B4943" s="13" t="s">
        <v>2161</v>
      </c>
      <c r="C4943" s="13" t="s">
        <v>2162</v>
      </c>
      <c r="D4943" s="15">
        <v>2.0</v>
      </c>
      <c r="E4943" s="67">
        <f t="shared" si="16"/>
        <v>500</v>
      </c>
      <c r="F4943" s="67" t="str">
        <f t="shared" si="12"/>
        <v>2 LeadGen Set Appointments</v>
      </c>
    </row>
    <row r="4944" hidden="1">
      <c r="A4944" s="6" t="s">
        <v>65</v>
      </c>
      <c r="B4944" s="13" t="s">
        <v>1209</v>
      </c>
      <c r="C4944" s="13" t="s">
        <v>2238</v>
      </c>
      <c r="D4944" s="15">
        <v>2.0</v>
      </c>
      <c r="E4944" s="67">
        <f t="shared" si="16"/>
        <v>500</v>
      </c>
      <c r="F4944" s="67" t="str">
        <f t="shared" si="12"/>
        <v>2 LeadGen Set Appointments</v>
      </c>
    </row>
    <row r="4945" hidden="1">
      <c r="A4945" s="6" t="s">
        <v>65</v>
      </c>
      <c r="B4945" s="13" t="s">
        <v>546</v>
      </c>
      <c r="C4945" s="13" t="s">
        <v>547</v>
      </c>
      <c r="D4945" s="15">
        <v>2.0</v>
      </c>
      <c r="E4945" s="67">
        <f t="shared" si="16"/>
        <v>500</v>
      </c>
      <c r="F4945" s="67" t="str">
        <f t="shared" si="12"/>
        <v>2 LeadGen Set Appointments</v>
      </c>
    </row>
    <row r="4946" hidden="1">
      <c r="A4946" s="6" t="s">
        <v>65</v>
      </c>
      <c r="B4946" s="13" t="s">
        <v>560</v>
      </c>
      <c r="C4946" s="13" t="s">
        <v>561</v>
      </c>
      <c r="D4946" s="15">
        <v>2.0</v>
      </c>
      <c r="E4946" s="67">
        <f t="shared" si="16"/>
        <v>500</v>
      </c>
      <c r="F4946" s="67" t="str">
        <f t="shared" si="12"/>
        <v>2 LeadGen Set Appointments</v>
      </c>
    </row>
    <row r="4947" hidden="1">
      <c r="A4947" s="6" t="s">
        <v>65</v>
      </c>
      <c r="B4947" s="13" t="s">
        <v>2239</v>
      </c>
      <c r="C4947" s="13" t="s">
        <v>2240</v>
      </c>
      <c r="D4947" s="15">
        <v>2.0</v>
      </c>
      <c r="E4947" s="67">
        <f t="shared" si="16"/>
        <v>500</v>
      </c>
      <c r="F4947" s="67" t="str">
        <f t="shared" si="12"/>
        <v>2 LeadGen Set Appointments</v>
      </c>
    </row>
    <row r="4948" hidden="1">
      <c r="A4948" s="6" t="s">
        <v>65</v>
      </c>
      <c r="B4948" s="13" t="s">
        <v>240</v>
      </c>
      <c r="C4948" s="13" t="s">
        <v>241</v>
      </c>
      <c r="D4948" s="15">
        <v>2.0</v>
      </c>
      <c r="E4948" s="67">
        <f t="shared" si="16"/>
        <v>500</v>
      </c>
      <c r="F4948" s="67" t="str">
        <f t="shared" si="12"/>
        <v>2 LeadGen Set Appointments</v>
      </c>
    </row>
    <row r="4949" hidden="1">
      <c r="A4949" s="6" t="s">
        <v>65</v>
      </c>
      <c r="B4949" s="13" t="s">
        <v>1508</v>
      </c>
      <c r="C4949" s="13" t="s">
        <v>1509</v>
      </c>
      <c r="D4949" s="15">
        <v>2.0</v>
      </c>
      <c r="E4949" s="67">
        <f t="shared" si="16"/>
        <v>500</v>
      </c>
      <c r="F4949" s="67" t="str">
        <f t="shared" si="12"/>
        <v>2 LeadGen Set Appointments</v>
      </c>
    </row>
    <row r="4950" hidden="1">
      <c r="A4950" s="6" t="s">
        <v>65</v>
      </c>
      <c r="B4950" s="13" t="s">
        <v>2179</v>
      </c>
      <c r="C4950" s="13" t="s">
        <v>2180</v>
      </c>
      <c r="D4950" s="15">
        <v>2.0</v>
      </c>
      <c r="E4950" s="67">
        <f t="shared" si="16"/>
        <v>500</v>
      </c>
      <c r="F4950" s="67" t="str">
        <f t="shared" si="12"/>
        <v>2 LeadGen Set Appointments</v>
      </c>
    </row>
    <row r="4951" hidden="1">
      <c r="A4951" s="6" t="s">
        <v>65</v>
      </c>
      <c r="B4951" s="13" t="s">
        <v>1477</v>
      </c>
      <c r="C4951" s="13" t="s">
        <v>1478</v>
      </c>
      <c r="D4951" s="15">
        <v>2.0</v>
      </c>
      <c r="E4951" s="67">
        <f t="shared" si="16"/>
        <v>500</v>
      </c>
      <c r="F4951" s="67" t="str">
        <f t="shared" si="12"/>
        <v>2 LeadGen Set Appointments</v>
      </c>
    </row>
    <row r="4952" hidden="1">
      <c r="A4952" s="6" t="s">
        <v>65</v>
      </c>
      <c r="B4952" s="13" t="s">
        <v>2125</v>
      </c>
      <c r="C4952" s="13" t="s">
        <v>2126</v>
      </c>
      <c r="D4952" s="15">
        <v>2.0</v>
      </c>
      <c r="E4952" s="67">
        <f t="shared" si="16"/>
        <v>500</v>
      </c>
      <c r="F4952" s="67" t="str">
        <f t="shared" si="12"/>
        <v>2 LeadGen Set Appointments</v>
      </c>
    </row>
    <row r="4953" hidden="1">
      <c r="A4953" s="6" t="s">
        <v>65</v>
      </c>
      <c r="B4953" s="13" t="s">
        <v>1514</v>
      </c>
      <c r="C4953" s="13" t="s">
        <v>1515</v>
      </c>
      <c r="D4953" s="15">
        <v>2.0</v>
      </c>
      <c r="E4953" s="67">
        <f t="shared" si="16"/>
        <v>500</v>
      </c>
      <c r="F4953" s="67" t="str">
        <f t="shared" si="12"/>
        <v>2 LeadGen Set Appointments</v>
      </c>
    </row>
    <row r="4954" hidden="1">
      <c r="A4954" s="6" t="s">
        <v>65</v>
      </c>
      <c r="B4954" s="13" t="s">
        <v>2241</v>
      </c>
      <c r="C4954" s="13" t="s">
        <v>2242</v>
      </c>
      <c r="D4954" s="15">
        <v>2.0</v>
      </c>
      <c r="E4954" s="67">
        <f t="shared" si="16"/>
        <v>500</v>
      </c>
      <c r="F4954" s="67" t="str">
        <f t="shared" si="12"/>
        <v>2 LeadGen Set Appointments</v>
      </c>
    </row>
    <row r="4955" hidden="1">
      <c r="A4955" s="6" t="s">
        <v>65</v>
      </c>
      <c r="B4955" s="13" t="s">
        <v>2141</v>
      </c>
      <c r="C4955" s="13" t="s">
        <v>2142</v>
      </c>
      <c r="D4955" s="15">
        <v>2.0</v>
      </c>
      <c r="E4955" s="67">
        <f t="shared" si="16"/>
        <v>500</v>
      </c>
      <c r="F4955" s="67" t="str">
        <f t="shared" si="12"/>
        <v>2 LeadGen Set Appointments</v>
      </c>
    </row>
    <row r="4956" hidden="1">
      <c r="A4956" s="6" t="s">
        <v>65</v>
      </c>
      <c r="B4956" s="13" t="s">
        <v>572</v>
      </c>
      <c r="C4956" s="13" t="s">
        <v>573</v>
      </c>
      <c r="D4956" s="15">
        <v>2.0</v>
      </c>
      <c r="E4956" s="67">
        <f t="shared" si="16"/>
        <v>500</v>
      </c>
      <c r="F4956" s="67" t="str">
        <f t="shared" si="12"/>
        <v>2 LeadGen Set Appointments</v>
      </c>
    </row>
    <row r="4957" hidden="1">
      <c r="A4957" s="6" t="s">
        <v>65</v>
      </c>
      <c r="B4957" s="13" t="s">
        <v>1657</v>
      </c>
      <c r="C4957" s="13" t="s">
        <v>1658</v>
      </c>
      <c r="D4957" s="15">
        <v>2.0</v>
      </c>
      <c r="E4957" s="67">
        <f t="shared" si="16"/>
        <v>500</v>
      </c>
      <c r="F4957" s="67" t="str">
        <f t="shared" si="12"/>
        <v>2 LeadGen Set Appointments</v>
      </c>
    </row>
    <row r="4958" hidden="1">
      <c r="A4958" s="6" t="s">
        <v>65</v>
      </c>
      <c r="B4958" s="13" t="s">
        <v>1664</v>
      </c>
      <c r="C4958" s="13" t="s">
        <v>1665</v>
      </c>
      <c r="D4958" s="15">
        <v>2.0</v>
      </c>
      <c r="E4958" s="67">
        <f t="shared" si="16"/>
        <v>500</v>
      </c>
      <c r="F4958" s="67" t="str">
        <f t="shared" si="12"/>
        <v>2 LeadGen Set Appointments</v>
      </c>
    </row>
    <row r="4959" hidden="1">
      <c r="A4959" s="6" t="s">
        <v>65</v>
      </c>
      <c r="B4959" s="13" t="s">
        <v>1960</v>
      </c>
      <c r="C4959" s="13" t="s">
        <v>1961</v>
      </c>
      <c r="D4959" s="15">
        <v>2.0</v>
      </c>
      <c r="E4959" s="67">
        <f t="shared" si="16"/>
        <v>500</v>
      </c>
      <c r="F4959" s="67" t="str">
        <f t="shared" si="12"/>
        <v>2 LeadGen Set Appointments</v>
      </c>
    </row>
    <row r="4960" hidden="1">
      <c r="A4960" s="6" t="s">
        <v>65</v>
      </c>
      <c r="B4960" s="13" t="s">
        <v>1625</v>
      </c>
      <c r="C4960" s="13" t="s">
        <v>1626</v>
      </c>
      <c r="D4960" s="15">
        <v>2.0</v>
      </c>
      <c r="E4960" s="67">
        <f t="shared" si="16"/>
        <v>500</v>
      </c>
      <c r="F4960" s="67" t="str">
        <f t="shared" si="12"/>
        <v>2 LeadGen Set Appointments</v>
      </c>
    </row>
    <row r="4961" hidden="1">
      <c r="A4961" s="6" t="s">
        <v>65</v>
      </c>
      <c r="B4961" s="13" t="s">
        <v>1955</v>
      </c>
      <c r="C4961" s="13" t="s">
        <v>1956</v>
      </c>
      <c r="D4961" s="15">
        <v>2.0</v>
      </c>
      <c r="E4961" s="67">
        <f t="shared" si="16"/>
        <v>500</v>
      </c>
      <c r="F4961" s="67" t="str">
        <f t="shared" si="12"/>
        <v>2 LeadGen Set Appointments</v>
      </c>
    </row>
    <row r="4962" hidden="1">
      <c r="A4962" s="6" t="s">
        <v>65</v>
      </c>
      <c r="B4962" s="13" t="s">
        <v>1716</v>
      </c>
      <c r="C4962" s="13" t="s">
        <v>30</v>
      </c>
      <c r="D4962" s="15">
        <v>2.0</v>
      </c>
      <c r="E4962" s="67">
        <f t="shared" si="16"/>
        <v>500</v>
      </c>
      <c r="F4962" s="67" t="str">
        <f t="shared" si="12"/>
        <v>2 LeadGen Set Appointments</v>
      </c>
    </row>
    <row r="4963" hidden="1">
      <c r="A4963" s="6" t="s">
        <v>65</v>
      </c>
      <c r="B4963" s="13" t="s">
        <v>2243</v>
      </c>
      <c r="C4963" s="13" t="s">
        <v>2244</v>
      </c>
      <c r="D4963" s="15">
        <v>2.0</v>
      </c>
      <c r="E4963" s="67">
        <f t="shared" si="16"/>
        <v>500</v>
      </c>
      <c r="F4963" s="67" t="str">
        <f t="shared" si="12"/>
        <v>2 LeadGen Set Appointments</v>
      </c>
    </row>
    <row r="4964" hidden="1">
      <c r="A4964" s="6" t="s">
        <v>65</v>
      </c>
      <c r="B4964" s="13" t="s">
        <v>910</v>
      </c>
      <c r="C4964" s="13" t="s">
        <v>911</v>
      </c>
      <c r="D4964" s="15">
        <v>2.0</v>
      </c>
      <c r="E4964" s="67">
        <f t="shared" si="16"/>
        <v>500</v>
      </c>
      <c r="F4964" s="67" t="str">
        <f t="shared" si="12"/>
        <v>2 LeadGen Set Appointments</v>
      </c>
    </row>
    <row r="4965" hidden="1">
      <c r="A4965" s="6" t="s">
        <v>65</v>
      </c>
      <c r="B4965" s="13" t="s">
        <v>604</v>
      </c>
      <c r="C4965" s="13" t="s">
        <v>605</v>
      </c>
      <c r="D4965" s="15">
        <v>2.0</v>
      </c>
      <c r="E4965" s="67">
        <f t="shared" si="16"/>
        <v>500</v>
      </c>
      <c r="F4965" s="67" t="str">
        <f t="shared" si="12"/>
        <v>2 LeadGen Set Appointments</v>
      </c>
    </row>
    <row r="4966" hidden="1">
      <c r="A4966" s="6" t="s">
        <v>65</v>
      </c>
      <c r="B4966" s="13" t="s">
        <v>2151</v>
      </c>
      <c r="C4966" s="13" t="s">
        <v>2152</v>
      </c>
      <c r="D4966" s="15">
        <v>2.0</v>
      </c>
      <c r="E4966" s="67">
        <f t="shared" si="16"/>
        <v>500</v>
      </c>
      <c r="F4966" s="67" t="str">
        <f t="shared" si="12"/>
        <v>2 LeadGen Set Appointments</v>
      </c>
    </row>
    <row r="4967" hidden="1">
      <c r="A4967" s="6" t="s">
        <v>65</v>
      </c>
      <c r="B4967" s="13" t="s">
        <v>2187</v>
      </c>
      <c r="C4967" s="13" t="s">
        <v>2188</v>
      </c>
      <c r="D4967" s="15">
        <v>2.0</v>
      </c>
      <c r="E4967" s="67">
        <f t="shared" si="16"/>
        <v>500</v>
      </c>
      <c r="F4967" s="67" t="str">
        <f t="shared" si="12"/>
        <v>2 LeadGen Set Appointments</v>
      </c>
    </row>
    <row r="4968" hidden="1">
      <c r="A4968" s="6" t="s">
        <v>65</v>
      </c>
      <c r="B4968" s="13" t="s">
        <v>2245</v>
      </c>
      <c r="C4968" s="13" t="s">
        <v>2246</v>
      </c>
      <c r="D4968" s="15">
        <v>2.0</v>
      </c>
      <c r="E4968" s="67">
        <f t="shared" si="16"/>
        <v>500</v>
      </c>
      <c r="F4968" s="67" t="str">
        <f t="shared" si="12"/>
        <v>2 LeadGen Set Appointments</v>
      </c>
    </row>
    <row r="4969" hidden="1">
      <c r="A4969" s="6" t="s">
        <v>65</v>
      </c>
      <c r="B4969" s="13" t="s">
        <v>1859</v>
      </c>
      <c r="C4969" s="13" t="s">
        <v>2247</v>
      </c>
      <c r="D4969" s="15">
        <v>2.0</v>
      </c>
      <c r="E4969" s="67">
        <f t="shared" si="16"/>
        <v>500</v>
      </c>
      <c r="F4969" s="67" t="str">
        <f t="shared" si="12"/>
        <v>2 LeadGen Set Appointments</v>
      </c>
    </row>
    <row r="4970" hidden="1">
      <c r="A4970" s="6" t="s">
        <v>65</v>
      </c>
      <c r="B4970" s="13" t="s">
        <v>2139</v>
      </c>
      <c r="C4970" s="13" t="s">
        <v>2140</v>
      </c>
      <c r="D4970" s="15">
        <v>2.0</v>
      </c>
      <c r="E4970" s="67">
        <f t="shared" si="16"/>
        <v>500</v>
      </c>
      <c r="F4970" s="67" t="str">
        <f t="shared" si="12"/>
        <v>2 LeadGen Set Appointments</v>
      </c>
    </row>
    <row r="4971" hidden="1">
      <c r="A4971" s="6" t="s">
        <v>65</v>
      </c>
      <c r="B4971" s="13" t="s">
        <v>2248</v>
      </c>
      <c r="C4971" s="13" t="s">
        <v>2249</v>
      </c>
      <c r="D4971" s="15">
        <v>1.0</v>
      </c>
      <c r="E4971" s="67">
        <f t="shared" si="16"/>
        <v>250</v>
      </c>
      <c r="F4971" s="67" t="str">
        <f t="shared" si="12"/>
        <v>1 LeadGen Set Appointments</v>
      </c>
    </row>
    <row r="4972" hidden="1">
      <c r="A4972" s="6" t="s">
        <v>65</v>
      </c>
      <c r="B4972" s="13" t="s">
        <v>2048</v>
      </c>
      <c r="C4972" s="13" t="s">
        <v>2049</v>
      </c>
      <c r="D4972" s="15">
        <v>1.0</v>
      </c>
      <c r="E4972" s="67">
        <f t="shared" si="16"/>
        <v>250</v>
      </c>
      <c r="F4972" s="67" t="str">
        <f t="shared" si="12"/>
        <v>1 LeadGen Set Appointments</v>
      </c>
    </row>
    <row r="4973" hidden="1">
      <c r="A4973" s="6" t="s">
        <v>65</v>
      </c>
      <c r="B4973" s="13" t="s">
        <v>1463</v>
      </c>
      <c r="C4973" s="13" t="s">
        <v>1464</v>
      </c>
      <c r="D4973" s="15">
        <v>1.0</v>
      </c>
      <c r="E4973" s="67">
        <f t="shared" si="16"/>
        <v>250</v>
      </c>
      <c r="F4973" s="67" t="str">
        <f t="shared" si="12"/>
        <v>1 LeadGen Set Appointments</v>
      </c>
    </row>
    <row r="4974" hidden="1">
      <c r="A4974" s="6" t="s">
        <v>65</v>
      </c>
      <c r="B4974" s="13" t="s">
        <v>447</v>
      </c>
      <c r="C4974" s="13" t="s">
        <v>448</v>
      </c>
      <c r="D4974" s="15">
        <v>1.0</v>
      </c>
      <c r="E4974" s="67">
        <f t="shared" si="16"/>
        <v>250</v>
      </c>
      <c r="F4974" s="67" t="str">
        <f t="shared" si="12"/>
        <v>1 LeadGen Set Appointments</v>
      </c>
    </row>
    <row r="4975" hidden="1">
      <c r="A4975" s="6" t="s">
        <v>65</v>
      </c>
      <c r="B4975" s="13" t="s">
        <v>2169</v>
      </c>
      <c r="C4975" s="13" t="s">
        <v>2170</v>
      </c>
      <c r="D4975" s="15">
        <v>1.0</v>
      </c>
      <c r="E4975" s="67">
        <f t="shared" si="16"/>
        <v>250</v>
      </c>
      <c r="F4975" s="67" t="str">
        <f t="shared" si="12"/>
        <v>1 LeadGen Set Appointments</v>
      </c>
    </row>
    <row r="4976" hidden="1">
      <c r="A4976" s="6" t="s">
        <v>65</v>
      </c>
      <c r="B4976" s="13" t="s">
        <v>744</v>
      </c>
      <c r="C4976" s="13" t="s">
        <v>745</v>
      </c>
      <c r="D4976" s="15">
        <v>1.0</v>
      </c>
      <c r="E4976" s="67">
        <f t="shared" si="16"/>
        <v>250</v>
      </c>
      <c r="F4976" s="67" t="str">
        <f t="shared" si="12"/>
        <v>1 LeadGen Set Appointments</v>
      </c>
    </row>
    <row r="4977" hidden="1">
      <c r="A4977" s="6" t="s">
        <v>65</v>
      </c>
      <c r="B4977" s="13" t="s">
        <v>2250</v>
      </c>
      <c r="C4977" s="13" t="s">
        <v>2251</v>
      </c>
      <c r="D4977" s="15">
        <v>1.0</v>
      </c>
      <c r="E4977" s="67">
        <f t="shared" si="16"/>
        <v>250</v>
      </c>
      <c r="F4977" s="67" t="str">
        <f t="shared" si="12"/>
        <v>1 LeadGen Set Appointments</v>
      </c>
    </row>
    <row r="4978" hidden="1">
      <c r="A4978" s="6" t="s">
        <v>65</v>
      </c>
      <c r="B4978" s="13" t="s">
        <v>2201</v>
      </c>
      <c r="C4978" s="13" t="s">
        <v>2202</v>
      </c>
      <c r="D4978" s="15">
        <v>1.0</v>
      </c>
      <c r="E4978" s="67">
        <f t="shared" si="16"/>
        <v>250</v>
      </c>
      <c r="F4978" s="67" t="str">
        <f t="shared" si="12"/>
        <v>1 LeadGen Set Appointments</v>
      </c>
    </row>
    <row r="4979" hidden="1">
      <c r="A4979" s="6" t="s">
        <v>65</v>
      </c>
      <c r="B4979" s="13" t="s">
        <v>1579</v>
      </c>
      <c r="C4979" s="13" t="s">
        <v>1580</v>
      </c>
      <c r="D4979" s="15">
        <v>1.0</v>
      </c>
      <c r="E4979" s="67">
        <f t="shared" si="16"/>
        <v>250</v>
      </c>
      <c r="F4979" s="67" t="str">
        <f t="shared" si="12"/>
        <v>1 LeadGen Set Appointments</v>
      </c>
    </row>
    <row r="4980" hidden="1">
      <c r="A4980" s="6" t="s">
        <v>65</v>
      </c>
      <c r="B4980" s="13" t="s">
        <v>1694</v>
      </c>
      <c r="C4980" s="13" t="s">
        <v>2211</v>
      </c>
      <c r="D4980" s="15">
        <v>1.0</v>
      </c>
      <c r="E4980" s="67">
        <f t="shared" si="16"/>
        <v>250</v>
      </c>
      <c r="F4980" s="67" t="str">
        <f t="shared" si="12"/>
        <v>1 LeadGen Set Appointments</v>
      </c>
    </row>
    <row r="4981" hidden="1">
      <c r="A4981" s="6" t="s">
        <v>65</v>
      </c>
      <c r="B4981" s="13" t="s">
        <v>2252</v>
      </c>
      <c r="C4981" s="13" t="s">
        <v>2253</v>
      </c>
      <c r="D4981" s="15">
        <v>1.0</v>
      </c>
      <c r="E4981" s="67">
        <f t="shared" si="16"/>
        <v>250</v>
      </c>
      <c r="F4981" s="67" t="str">
        <f t="shared" si="12"/>
        <v>1 LeadGen Set Appointments</v>
      </c>
    </row>
    <row r="4982" hidden="1">
      <c r="A4982" s="6" t="s">
        <v>65</v>
      </c>
      <c r="B4982" s="13" t="s">
        <v>1543</v>
      </c>
      <c r="C4982" s="13" t="s">
        <v>1544</v>
      </c>
      <c r="D4982" s="15">
        <v>1.0</v>
      </c>
      <c r="E4982" s="67">
        <f t="shared" si="16"/>
        <v>250</v>
      </c>
      <c r="F4982" s="67" t="str">
        <f t="shared" si="12"/>
        <v>1 LeadGen Set Appointments</v>
      </c>
    </row>
    <row r="4983" hidden="1">
      <c r="A4983" s="6" t="s">
        <v>65</v>
      </c>
      <c r="B4983" s="13" t="s">
        <v>431</v>
      </c>
      <c r="C4983" s="13" t="s">
        <v>432</v>
      </c>
      <c r="D4983" s="15">
        <v>1.0</v>
      </c>
      <c r="E4983" s="67">
        <f t="shared" si="16"/>
        <v>250</v>
      </c>
      <c r="F4983" s="67" t="str">
        <f t="shared" si="12"/>
        <v>1 LeadGen Set Appointments</v>
      </c>
    </row>
    <row r="4984" hidden="1">
      <c r="A4984" s="6" t="s">
        <v>65</v>
      </c>
      <c r="B4984" s="13" t="s">
        <v>1057</v>
      </c>
      <c r="C4984" s="13" t="s">
        <v>1058</v>
      </c>
      <c r="D4984" s="15">
        <v>1.0</v>
      </c>
      <c r="E4984" s="67">
        <f t="shared" si="16"/>
        <v>250</v>
      </c>
      <c r="F4984" s="67" t="str">
        <f t="shared" si="12"/>
        <v>1 LeadGen Set Appointments</v>
      </c>
    </row>
    <row r="4985" hidden="1">
      <c r="A4985" s="6" t="s">
        <v>65</v>
      </c>
      <c r="B4985" s="13" t="s">
        <v>2254</v>
      </c>
      <c r="C4985" s="13" t="s">
        <v>2255</v>
      </c>
      <c r="D4985" s="15">
        <v>1.0</v>
      </c>
      <c r="E4985" s="67">
        <f t="shared" si="16"/>
        <v>250</v>
      </c>
      <c r="F4985" s="67" t="str">
        <f t="shared" si="12"/>
        <v>1 LeadGen Set Appointments</v>
      </c>
    </row>
    <row r="4986" hidden="1">
      <c r="A4986" s="6" t="s">
        <v>65</v>
      </c>
      <c r="B4986" s="13" t="s">
        <v>2097</v>
      </c>
      <c r="C4986" s="13" t="s">
        <v>828</v>
      </c>
      <c r="D4986" s="15">
        <v>1.0</v>
      </c>
      <c r="E4986" s="67">
        <f t="shared" si="16"/>
        <v>250</v>
      </c>
      <c r="F4986" s="67" t="str">
        <f t="shared" si="12"/>
        <v>1 LeadGen Set Appointments</v>
      </c>
    </row>
    <row r="4987" hidden="1">
      <c r="A4987" s="6" t="s">
        <v>65</v>
      </c>
      <c r="B4987" s="13" t="s">
        <v>1393</v>
      </c>
      <c r="C4987" s="13" t="s">
        <v>1394</v>
      </c>
      <c r="D4987" s="15">
        <v>1.0</v>
      </c>
      <c r="E4987" s="67">
        <f t="shared" si="16"/>
        <v>250</v>
      </c>
      <c r="F4987" s="67" t="str">
        <f t="shared" si="12"/>
        <v>1 LeadGen Set Appointments</v>
      </c>
    </row>
    <row r="4988" hidden="1">
      <c r="A4988" s="6" t="s">
        <v>65</v>
      </c>
      <c r="B4988" s="13" t="s">
        <v>1587</v>
      </c>
      <c r="C4988" s="13" t="s">
        <v>2217</v>
      </c>
      <c r="D4988" s="15">
        <v>1.0</v>
      </c>
      <c r="E4988" s="67">
        <f t="shared" si="16"/>
        <v>250</v>
      </c>
      <c r="F4988" s="67" t="str">
        <f t="shared" si="12"/>
        <v>1 LeadGen Set Appointments</v>
      </c>
    </row>
    <row r="4989" hidden="1">
      <c r="A4989" s="6" t="s">
        <v>65</v>
      </c>
      <c r="B4989" s="13" t="s">
        <v>2163</v>
      </c>
      <c r="C4989" s="13" t="s">
        <v>2164</v>
      </c>
      <c r="D4989" s="15">
        <v>1.0</v>
      </c>
      <c r="E4989" s="67">
        <f t="shared" si="16"/>
        <v>250</v>
      </c>
      <c r="F4989" s="67" t="str">
        <f t="shared" si="12"/>
        <v>1 LeadGen Set Appointments</v>
      </c>
    </row>
    <row r="4990" hidden="1">
      <c r="A4990" s="6" t="s">
        <v>65</v>
      </c>
      <c r="B4990" s="13" t="s">
        <v>1935</v>
      </c>
      <c r="C4990" s="13" t="s">
        <v>1936</v>
      </c>
      <c r="D4990" s="15">
        <v>1.0</v>
      </c>
      <c r="E4990" s="67">
        <f t="shared" si="16"/>
        <v>250</v>
      </c>
      <c r="F4990" s="67" t="str">
        <f t="shared" si="12"/>
        <v>1 LeadGen Set Appointments</v>
      </c>
    </row>
    <row r="4991" hidden="1">
      <c r="A4991" s="6" t="s">
        <v>65</v>
      </c>
      <c r="B4991" s="13" t="s">
        <v>1526</v>
      </c>
      <c r="C4991" s="13" t="s">
        <v>1527</v>
      </c>
      <c r="D4991" s="15">
        <v>1.0</v>
      </c>
      <c r="E4991" s="67">
        <f t="shared" si="16"/>
        <v>250</v>
      </c>
      <c r="F4991" s="67" t="str">
        <f t="shared" si="12"/>
        <v>1 LeadGen Set Appointments</v>
      </c>
    </row>
    <row r="4992" hidden="1">
      <c r="A4992" s="6" t="s">
        <v>65</v>
      </c>
      <c r="B4992" s="13" t="s">
        <v>2165</v>
      </c>
      <c r="C4992" s="13" t="s">
        <v>2166</v>
      </c>
      <c r="D4992" s="15">
        <v>1.0</v>
      </c>
      <c r="E4992" s="67">
        <f t="shared" si="16"/>
        <v>250</v>
      </c>
      <c r="F4992" s="67" t="str">
        <f t="shared" si="12"/>
        <v>1 LeadGen Set Appointments</v>
      </c>
    </row>
    <row r="4993" hidden="1">
      <c r="A4993" s="6" t="s">
        <v>65</v>
      </c>
      <c r="B4993" s="13" t="s">
        <v>1933</v>
      </c>
      <c r="C4993" s="13" t="s">
        <v>1934</v>
      </c>
      <c r="D4993" s="15">
        <v>1.0</v>
      </c>
      <c r="E4993" s="67">
        <f t="shared" si="16"/>
        <v>250</v>
      </c>
      <c r="F4993" s="67" t="str">
        <f t="shared" si="12"/>
        <v>1 LeadGen Set Appointments</v>
      </c>
    </row>
    <row r="4994" hidden="1">
      <c r="A4994" s="6" t="s">
        <v>65</v>
      </c>
      <c r="B4994" s="13" t="s">
        <v>2218</v>
      </c>
      <c r="C4994" s="13" t="s">
        <v>2219</v>
      </c>
      <c r="D4994" s="15">
        <v>1.0</v>
      </c>
      <c r="E4994" s="67">
        <f t="shared" si="16"/>
        <v>250</v>
      </c>
      <c r="F4994" s="67" t="str">
        <f t="shared" si="12"/>
        <v>1 LeadGen Set Appointments</v>
      </c>
    </row>
    <row r="4995" hidden="1">
      <c r="A4995" s="6" t="s">
        <v>65</v>
      </c>
      <c r="B4995" s="13" t="s">
        <v>2256</v>
      </c>
      <c r="C4995" s="13" t="s">
        <v>2257</v>
      </c>
      <c r="D4995" s="15">
        <v>1.0</v>
      </c>
      <c r="E4995" s="67">
        <f t="shared" si="16"/>
        <v>250</v>
      </c>
      <c r="F4995" s="67" t="str">
        <f t="shared" si="12"/>
        <v>1 LeadGen Set Appointments</v>
      </c>
    </row>
    <row r="4996" hidden="1">
      <c r="A4996" s="6" t="s">
        <v>65</v>
      </c>
      <c r="B4996" s="13" t="s">
        <v>2113</v>
      </c>
      <c r="C4996" s="13" t="s">
        <v>2114</v>
      </c>
      <c r="D4996" s="15">
        <v>1.0</v>
      </c>
      <c r="E4996" s="67">
        <f t="shared" si="16"/>
        <v>250</v>
      </c>
      <c r="F4996" s="67" t="str">
        <f t="shared" si="12"/>
        <v>1 LeadGen Set Appointments</v>
      </c>
    </row>
    <row r="4997" hidden="1">
      <c r="A4997" s="6" t="s">
        <v>65</v>
      </c>
      <c r="B4997" s="13" t="s">
        <v>2258</v>
      </c>
      <c r="C4997" s="13" t="s">
        <v>2259</v>
      </c>
      <c r="D4997" s="15">
        <v>1.0</v>
      </c>
      <c r="E4997" s="67">
        <f t="shared" si="16"/>
        <v>250</v>
      </c>
      <c r="F4997" s="67" t="str">
        <f t="shared" si="12"/>
        <v>1 LeadGen Set Appointments</v>
      </c>
    </row>
    <row r="4998" hidden="1">
      <c r="A4998" s="6" t="s">
        <v>65</v>
      </c>
      <c r="B4998" s="13" t="s">
        <v>2260</v>
      </c>
      <c r="C4998" s="13" t="s">
        <v>2261</v>
      </c>
      <c r="D4998" s="15">
        <v>4.0</v>
      </c>
      <c r="E4998" s="67">
        <f t="shared" si="16"/>
        <v>1000</v>
      </c>
      <c r="F4998" s="67" t="str">
        <f t="shared" si="12"/>
        <v>4 LeadGen Set Appointments</v>
      </c>
    </row>
    <row r="4999" hidden="1">
      <c r="A4999" s="6" t="s">
        <v>65</v>
      </c>
      <c r="B4999" s="13" t="s">
        <v>2262</v>
      </c>
      <c r="C4999" s="13" t="s">
        <v>2263</v>
      </c>
      <c r="D4999" s="15">
        <v>2.0</v>
      </c>
      <c r="E4999" s="67">
        <f t="shared" si="16"/>
        <v>500</v>
      </c>
      <c r="F4999" s="67" t="str">
        <f t="shared" si="12"/>
        <v>2 LeadGen Set Appointments</v>
      </c>
    </row>
    <row r="5000" hidden="1">
      <c r="A5000" s="6" t="s">
        <v>65</v>
      </c>
      <c r="B5000" s="13" t="s">
        <v>2264</v>
      </c>
      <c r="C5000" s="13" t="s">
        <v>2265</v>
      </c>
      <c r="D5000" s="15">
        <v>3.0</v>
      </c>
      <c r="E5000" s="67">
        <f t="shared" si="16"/>
        <v>750</v>
      </c>
      <c r="F5000" s="67" t="str">
        <f t="shared" si="12"/>
        <v>3 LeadGen Set Appointments</v>
      </c>
    </row>
    <row r="5001" hidden="1">
      <c r="A5001" s="6" t="s">
        <v>65</v>
      </c>
      <c r="B5001" s="13" t="s">
        <v>2266</v>
      </c>
      <c r="C5001" s="13" t="s">
        <v>2267</v>
      </c>
      <c r="D5001" s="15">
        <v>4.0</v>
      </c>
      <c r="E5001" s="67">
        <f t="shared" si="16"/>
        <v>1000</v>
      </c>
      <c r="F5001" s="67" t="str">
        <f t="shared" si="12"/>
        <v>4 LeadGen Set Appointments</v>
      </c>
    </row>
    <row r="5002" hidden="1">
      <c r="A5002" s="6" t="s">
        <v>65</v>
      </c>
      <c r="B5002" s="13" t="s">
        <v>2268</v>
      </c>
      <c r="C5002" s="13" t="s">
        <v>2269</v>
      </c>
      <c r="D5002" s="15">
        <v>3.0</v>
      </c>
      <c r="E5002" s="67">
        <f t="shared" si="16"/>
        <v>750</v>
      </c>
      <c r="F5002" s="67" t="str">
        <f t="shared" si="12"/>
        <v>3 LeadGen Set Appointments</v>
      </c>
    </row>
    <row r="5003" hidden="1">
      <c r="A5003" s="6" t="s">
        <v>65</v>
      </c>
      <c r="B5003" s="13" t="s">
        <v>2270</v>
      </c>
      <c r="C5003" s="13" t="s">
        <v>2271</v>
      </c>
      <c r="D5003" s="15">
        <v>4.0</v>
      </c>
      <c r="E5003" s="67">
        <f t="shared" si="16"/>
        <v>1000</v>
      </c>
      <c r="F5003" s="67" t="str">
        <f t="shared" si="12"/>
        <v>4 LeadGen Set Appointments</v>
      </c>
    </row>
    <row r="5004" hidden="1">
      <c r="A5004" s="6" t="s">
        <v>65</v>
      </c>
      <c r="B5004" s="13" t="s">
        <v>2272</v>
      </c>
      <c r="C5004" s="13" t="s">
        <v>2273</v>
      </c>
      <c r="D5004" s="15">
        <v>2.0</v>
      </c>
      <c r="E5004" s="67">
        <f t="shared" si="16"/>
        <v>500</v>
      </c>
      <c r="F5004" s="67" t="str">
        <f t="shared" si="12"/>
        <v>2 LeadGen Set Appointments</v>
      </c>
    </row>
    <row r="5005" hidden="1">
      <c r="A5005" s="6" t="s">
        <v>65</v>
      </c>
      <c r="B5005" s="13" t="s">
        <v>2274</v>
      </c>
      <c r="C5005" s="13" t="s">
        <v>2275</v>
      </c>
      <c r="D5005" s="15">
        <v>3.0</v>
      </c>
      <c r="E5005" s="67">
        <f t="shared" si="16"/>
        <v>750</v>
      </c>
      <c r="F5005" s="67" t="str">
        <f t="shared" si="12"/>
        <v>3 LeadGen Set Appointments</v>
      </c>
    </row>
    <row r="5006" hidden="1">
      <c r="A5006" s="6" t="s">
        <v>67</v>
      </c>
      <c r="B5006" s="13" t="s">
        <v>476</v>
      </c>
      <c r="C5006" s="13" t="s">
        <v>477</v>
      </c>
      <c r="D5006" s="15">
        <v>35.0</v>
      </c>
      <c r="E5006" s="67">
        <f t="shared" si="16"/>
        <v>17500</v>
      </c>
      <c r="F5006" s="67" t="str">
        <f t="shared" si="12"/>
        <v>35 LeadGen Set Appointments</v>
      </c>
    </row>
    <row r="5007" hidden="1">
      <c r="A5007" s="6" t="s">
        <v>67</v>
      </c>
      <c r="B5007" s="13" t="s">
        <v>540</v>
      </c>
      <c r="C5007" s="13" t="s">
        <v>1454</v>
      </c>
      <c r="D5007" s="15">
        <v>30.0</v>
      </c>
      <c r="E5007" s="67">
        <f t="shared" si="16"/>
        <v>15000</v>
      </c>
      <c r="F5007" s="67" t="str">
        <f t="shared" si="12"/>
        <v>30 LeadGen Set Appointments</v>
      </c>
    </row>
    <row r="5008" hidden="1">
      <c r="A5008" s="6" t="s">
        <v>67</v>
      </c>
      <c r="B5008" s="13" t="s">
        <v>644</v>
      </c>
      <c r="C5008" s="13" t="s">
        <v>645</v>
      </c>
      <c r="D5008" s="15">
        <v>22.0</v>
      </c>
      <c r="E5008" s="67">
        <f t="shared" si="16"/>
        <v>11000</v>
      </c>
      <c r="F5008" s="67" t="str">
        <f t="shared" si="12"/>
        <v>22 LeadGen Set Appointments</v>
      </c>
    </row>
    <row r="5009" hidden="1">
      <c r="A5009" s="6" t="s">
        <v>67</v>
      </c>
      <c r="B5009" s="13" t="s">
        <v>1471</v>
      </c>
      <c r="C5009" s="13" t="s">
        <v>1472</v>
      </c>
      <c r="D5009" s="15">
        <v>20.0</v>
      </c>
      <c r="E5009" s="67">
        <f t="shared" si="16"/>
        <v>10000</v>
      </c>
      <c r="F5009" s="67" t="str">
        <f t="shared" si="12"/>
        <v>20 LeadGen Set Appointments</v>
      </c>
    </row>
    <row r="5010" hidden="1">
      <c r="A5010" s="6" t="s">
        <v>67</v>
      </c>
      <c r="B5010" s="13" t="s">
        <v>510</v>
      </c>
      <c r="C5010" s="13" t="s">
        <v>511</v>
      </c>
      <c r="D5010" s="15">
        <v>18.0</v>
      </c>
      <c r="E5010" s="67">
        <f t="shared" si="16"/>
        <v>9000</v>
      </c>
      <c r="F5010" s="67" t="str">
        <f t="shared" si="12"/>
        <v>18 LeadGen Set Appointments</v>
      </c>
    </row>
    <row r="5011" hidden="1">
      <c r="A5011" s="6" t="s">
        <v>67</v>
      </c>
      <c r="B5011" s="13" t="s">
        <v>516</v>
      </c>
      <c r="C5011" s="13" t="s">
        <v>517</v>
      </c>
      <c r="D5011" s="15">
        <v>16.0</v>
      </c>
      <c r="E5011" s="67">
        <f t="shared" si="16"/>
        <v>8000</v>
      </c>
      <c r="F5011" s="67" t="str">
        <f t="shared" si="12"/>
        <v>16 LeadGen Set Appointments</v>
      </c>
    </row>
    <row r="5012" hidden="1">
      <c r="A5012" s="6" t="s">
        <v>67</v>
      </c>
      <c r="B5012" s="13" t="s">
        <v>1865</v>
      </c>
      <c r="C5012" s="13" t="s">
        <v>1866</v>
      </c>
      <c r="D5012" s="15">
        <v>16.0</v>
      </c>
      <c r="E5012" s="67">
        <f t="shared" si="16"/>
        <v>8000</v>
      </c>
      <c r="F5012" s="67" t="str">
        <f t="shared" si="12"/>
        <v>16 LeadGen Set Appointments</v>
      </c>
    </row>
    <row r="5013" hidden="1">
      <c r="A5013" s="6" t="s">
        <v>67</v>
      </c>
      <c r="B5013" s="13" t="s">
        <v>1426</v>
      </c>
      <c r="C5013" s="13" t="s">
        <v>1427</v>
      </c>
      <c r="D5013" s="15">
        <v>13.0</v>
      </c>
      <c r="E5013" s="67">
        <f t="shared" si="16"/>
        <v>6500</v>
      </c>
      <c r="F5013" s="67" t="str">
        <f t="shared" si="12"/>
        <v>13 LeadGen Set Appointments</v>
      </c>
    </row>
    <row r="5014" hidden="1">
      <c r="A5014" s="6" t="s">
        <v>67</v>
      </c>
      <c r="B5014" s="13" t="s">
        <v>746</v>
      </c>
      <c r="C5014" s="13" t="s">
        <v>747</v>
      </c>
      <c r="D5014" s="15">
        <v>13.0</v>
      </c>
      <c r="E5014" s="67">
        <f t="shared" si="16"/>
        <v>6500</v>
      </c>
      <c r="F5014" s="67" t="str">
        <f t="shared" si="12"/>
        <v>13 LeadGen Set Appointments</v>
      </c>
    </row>
    <row r="5015" hidden="1">
      <c r="A5015" s="6" t="s">
        <v>67</v>
      </c>
      <c r="B5015" s="13" t="s">
        <v>1461</v>
      </c>
      <c r="C5015" s="13" t="s">
        <v>1462</v>
      </c>
      <c r="D5015" s="15">
        <v>12.0</v>
      </c>
      <c r="E5015" s="67">
        <f t="shared" si="16"/>
        <v>6000</v>
      </c>
      <c r="F5015" s="67" t="str">
        <f t="shared" si="12"/>
        <v>12 LeadGen Set Appointments</v>
      </c>
    </row>
    <row r="5016" hidden="1">
      <c r="A5016" s="6" t="s">
        <v>67</v>
      </c>
      <c r="B5016" s="13" t="s">
        <v>486</v>
      </c>
      <c r="C5016" s="13" t="s">
        <v>487</v>
      </c>
      <c r="D5016" s="15">
        <v>12.0</v>
      </c>
      <c r="E5016" s="67">
        <f t="shared" si="16"/>
        <v>6000</v>
      </c>
      <c r="F5016" s="67" t="str">
        <f t="shared" si="12"/>
        <v>12 LeadGen Set Appointments</v>
      </c>
    </row>
    <row r="5017" hidden="1">
      <c r="A5017" s="6" t="s">
        <v>67</v>
      </c>
      <c r="B5017" s="13" t="s">
        <v>1489</v>
      </c>
      <c r="C5017" s="13" t="s">
        <v>1490</v>
      </c>
      <c r="D5017" s="15">
        <v>12.0</v>
      </c>
      <c r="E5017" s="67">
        <f t="shared" si="16"/>
        <v>6000</v>
      </c>
      <c r="F5017" s="67" t="str">
        <f t="shared" si="12"/>
        <v>12 LeadGen Set Appointments</v>
      </c>
    </row>
    <row r="5018" hidden="1">
      <c r="A5018" s="6" t="s">
        <v>67</v>
      </c>
      <c r="B5018" s="13" t="s">
        <v>1025</v>
      </c>
      <c r="C5018" s="13" t="s">
        <v>1026</v>
      </c>
      <c r="D5018" s="15">
        <v>12.0</v>
      </c>
      <c r="E5018" s="67">
        <f t="shared" si="16"/>
        <v>6000</v>
      </c>
      <c r="F5018" s="67" t="str">
        <f t="shared" si="12"/>
        <v>12 LeadGen Set Appointments</v>
      </c>
    </row>
    <row r="5019" hidden="1">
      <c r="A5019" s="6" t="s">
        <v>67</v>
      </c>
      <c r="B5019" s="13" t="s">
        <v>1510</v>
      </c>
      <c r="C5019" s="13" t="s">
        <v>1511</v>
      </c>
      <c r="D5019" s="15">
        <v>11.0</v>
      </c>
      <c r="E5019" s="67">
        <f t="shared" si="16"/>
        <v>5500</v>
      </c>
      <c r="F5019" s="67" t="str">
        <f t="shared" si="12"/>
        <v>11 LeadGen Set Appointments</v>
      </c>
    </row>
    <row r="5020" hidden="1">
      <c r="A5020" s="6" t="s">
        <v>67</v>
      </c>
      <c r="B5020" s="13" t="s">
        <v>502</v>
      </c>
      <c r="C5020" s="13" t="s">
        <v>503</v>
      </c>
      <c r="D5020" s="15">
        <v>11.0</v>
      </c>
      <c r="E5020" s="67">
        <f t="shared" si="16"/>
        <v>5500</v>
      </c>
      <c r="F5020" s="67" t="str">
        <f t="shared" si="12"/>
        <v>11 LeadGen Set Appointments</v>
      </c>
    </row>
    <row r="5021" hidden="1">
      <c r="A5021" s="6" t="s">
        <v>67</v>
      </c>
      <c r="B5021" s="13" t="s">
        <v>411</v>
      </c>
      <c r="C5021" s="13" t="s">
        <v>412</v>
      </c>
      <c r="D5021" s="15">
        <v>11.0</v>
      </c>
      <c r="E5021" s="67">
        <f t="shared" si="16"/>
        <v>5500</v>
      </c>
      <c r="F5021" s="67" t="str">
        <f t="shared" si="12"/>
        <v>11 LeadGen Set Appointments</v>
      </c>
    </row>
    <row r="5022" hidden="1">
      <c r="A5022" s="6" t="s">
        <v>67</v>
      </c>
      <c r="B5022" s="13" t="s">
        <v>723</v>
      </c>
      <c r="C5022" s="13" t="s">
        <v>724</v>
      </c>
      <c r="D5022" s="15">
        <v>11.0</v>
      </c>
      <c r="E5022" s="67">
        <f t="shared" si="16"/>
        <v>5500</v>
      </c>
      <c r="F5022" s="67" t="str">
        <f t="shared" si="12"/>
        <v>11 LeadGen Set Appointments</v>
      </c>
    </row>
    <row r="5023" hidden="1">
      <c r="A5023" s="6" t="s">
        <v>67</v>
      </c>
      <c r="B5023" s="13" t="s">
        <v>736</v>
      </c>
      <c r="C5023" s="13" t="s">
        <v>737</v>
      </c>
      <c r="D5023" s="15">
        <v>10.0</v>
      </c>
      <c r="E5023" s="67">
        <f t="shared" si="16"/>
        <v>5000</v>
      </c>
      <c r="F5023" s="67" t="str">
        <f t="shared" si="12"/>
        <v>10 LeadGen Set Appointments</v>
      </c>
    </row>
    <row r="5024" hidden="1">
      <c r="A5024" s="6" t="s">
        <v>67</v>
      </c>
      <c r="B5024" s="13" t="s">
        <v>500</v>
      </c>
      <c r="C5024" s="13" t="s">
        <v>501</v>
      </c>
      <c r="D5024" s="15">
        <v>10.0</v>
      </c>
      <c r="E5024" s="67">
        <f t="shared" si="16"/>
        <v>5000</v>
      </c>
      <c r="F5024" s="67" t="str">
        <f t="shared" si="12"/>
        <v>10 LeadGen Set Appointments</v>
      </c>
    </row>
    <row r="5025" hidden="1">
      <c r="A5025" s="6" t="s">
        <v>67</v>
      </c>
      <c r="B5025" s="13" t="s">
        <v>1467</v>
      </c>
      <c r="C5025" s="13" t="s">
        <v>1468</v>
      </c>
      <c r="D5025" s="15">
        <v>10.0</v>
      </c>
      <c r="E5025" s="67">
        <f t="shared" si="16"/>
        <v>5000</v>
      </c>
      <c r="F5025" s="67" t="str">
        <f t="shared" si="12"/>
        <v>10 LeadGen Set Appointments</v>
      </c>
    </row>
    <row r="5026" hidden="1">
      <c r="A5026" s="6" t="s">
        <v>67</v>
      </c>
      <c r="B5026" s="13" t="s">
        <v>640</v>
      </c>
      <c r="C5026" s="13" t="s">
        <v>641</v>
      </c>
      <c r="D5026" s="15">
        <v>10.0</v>
      </c>
      <c r="E5026" s="67">
        <f t="shared" si="16"/>
        <v>5000</v>
      </c>
      <c r="F5026" s="67" t="str">
        <f t="shared" si="12"/>
        <v>10 LeadGen Set Appointments</v>
      </c>
    </row>
    <row r="5027" hidden="1">
      <c r="A5027" s="6" t="s">
        <v>67</v>
      </c>
      <c r="B5027" s="13" t="s">
        <v>2270</v>
      </c>
      <c r="C5027" s="13" t="s">
        <v>2271</v>
      </c>
      <c r="D5027" s="15">
        <v>10.0</v>
      </c>
      <c r="E5027" s="67">
        <f t="shared" si="16"/>
        <v>5000</v>
      </c>
      <c r="F5027" s="67" t="str">
        <f t="shared" si="12"/>
        <v>10 LeadGen Set Appointments</v>
      </c>
    </row>
    <row r="5028" hidden="1">
      <c r="A5028" s="6" t="s">
        <v>67</v>
      </c>
      <c r="B5028" s="13" t="s">
        <v>1393</v>
      </c>
      <c r="C5028" s="13" t="s">
        <v>1394</v>
      </c>
      <c r="D5028" s="15">
        <v>10.0</v>
      </c>
      <c r="E5028" s="67">
        <f t="shared" si="16"/>
        <v>5000</v>
      </c>
      <c r="F5028" s="67" t="str">
        <f t="shared" si="12"/>
        <v>10 LeadGen Set Appointments</v>
      </c>
    </row>
    <row r="5029" hidden="1">
      <c r="A5029" s="6" t="s">
        <v>67</v>
      </c>
      <c r="B5029" s="13" t="s">
        <v>699</v>
      </c>
      <c r="C5029" s="13" t="s">
        <v>700</v>
      </c>
      <c r="D5029" s="15">
        <v>10.0</v>
      </c>
      <c r="E5029" s="67">
        <f t="shared" si="16"/>
        <v>5000</v>
      </c>
      <c r="F5029" s="67" t="str">
        <f t="shared" si="12"/>
        <v>10 LeadGen Set Appointments</v>
      </c>
    </row>
    <row r="5030" hidden="1">
      <c r="A5030" s="6" t="s">
        <v>67</v>
      </c>
      <c r="B5030" s="13" t="s">
        <v>766</v>
      </c>
      <c r="C5030" s="13" t="s">
        <v>767</v>
      </c>
      <c r="D5030" s="15">
        <v>10.0</v>
      </c>
      <c r="E5030" s="67">
        <f t="shared" si="16"/>
        <v>5000</v>
      </c>
      <c r="F5030" s="67" t="str">
        <f t="shared" si="12"/>
        <v>10 LeadGen Set Appointments</v>
      </c>
    </row>
    <row r="5031" hidden="1">
      <c r="A5031" s="6" t="s">
        <v>67</v>
      </c>
      <c r="B5031" s="13" t="s">
        <v>910</v>
      </c>
      <c r="C5031" s="13" t="s">
        <v>911</v>
      </c>
      <c r="D5031" s="15">
        <v>9.0</v>
      </c>
      <c r="E5031" s="67">
        <f t="shared" si="16"/>
        <v>2250</v>
      </c>
      <c r="F5031" s="67" t="str">
        <f t="shared" si="12"/>
        <v>9 LeadGen Set Appointments</v>
      </c>
    </row>
    <row r="5032" hidden="1">
      <c r="A5032" s="6" t="s">
        <v>67</v>
      </c>
      <c r="B5032" s="13" t="s">
        <v>1465</v>
      </c>
      <c r="C5032" s="13" t="s">
        <v>1466</v>
      </c>
      <c r="D5032" s="15">
        <v>8.0</v>
      </c>
      <c r="E5032" s="67">
        <f t="shared" si="16"/>
        <v>2000</v>
      </c>
      <c r="F5032" s="67" t="str">
        <f t="shared" si="12"/>
        <v>8 LeadGen Set Appointments</v>
      </c>
    </row>
    <row r="5033" hidden="1">
      <c r="A5033" s="6" t="s">
        <v>67</v>
      </c>
      <c r="B5033" s="13" t="s">
        <v>240</v>
      </c>
      <c r="C5033" s="13" t="s">
        <v>241</v>
      </c>
      <c r="D5033" s="15">
        <v>8.0</v>
      </c>
      <c r="E5033" s="67">
        <f t="shared" si="16"/>
        <v>2000</v>
      </c>
      <c r="F5033" s="67" t="str">
        <f t="shared" si="12"/>
        <v>8 LeadGen Set Appointments</v>
      </c>
    </row>
    <row r="5034" hidden="1">
      <c r="A5034" s="6" t="s">
        <v>67</v>
      </c>
      <c r="B5034" s="13" t="s">
        <v>1334</v>
      </c>
      <c r="C5034" s="13" t="s">
        <v>553</v>
      </c>
      <c r="D5034" s="15">
        <v>8.0</v>
      </c>
      <c r="E5034" s="67">
        <f t="shared" si="16"/>
        <v>2000</v>
      </c>
      <c r="F5034" s="67" t="str">
        <f t="shared" si="12"/>
        <v>8 LeadGen Set Appointments</v>
      </c>
    </row>
    <row r="5035" hidden="1">
      <c r="A5035" s="6" t="s">
        <v>67</v>
      </c>
      <c r="B5035" s="13" t="s">
        <v>524</v>
      </c>
      <c r="C5035" s="13" t="s">
        <v>525</v>
      </c>
      <c r="D5035" s="15">
        <v>8.0</v>
      </c>
      <c r="E5035" s="67">
        <f t="shared" si="16"/>
        <v>2000</v>
      </c>
      <c r="F5035" s="67" t="str">
        <f t="shared" si="12"/>
        <v>8 LeadGen Set Appointments</v>
      </c>
    </row>
    <row r="5036" hidden="1">
      <c r="A5036" s="6" t="s">
        <v>67</v>
      </c>
      <c r="B5036" s="13" t="s">
        <v>701</v>
      </c>
      <c r="C5036" s="13" t="s">
        <v>702</v>
      </c>
      <c r="D5036" s="15">
        <v>8.0</v>
      </c>
      <c r="E5036" s="67">
        <f t="shared" si="16"/>
        <v>2000</v>
      </c>
      <c r="F5036" s="67" t="str">
        <f t="shared" si="12"/>
        <v>8 LeadGen Set Appointments</v>
      </c>
    </row>
    <row r="5037" hidden="1">
      <c r="A5037" s="6" t="s">
        <v>67</v>
      </c>
      <c r="B5037" s="13" t="s">
        <v>1455</v>
      </c>
      <c r="C5037" s="13" t="s">
        <v>1456</v>
      </c>
      <c r="D5037" s="15">
        <v>7.0</v>
      </c>
      <c r="E5037" s="67">
        <f t="shared" si="16"/>
        <v>1750</v>
      </c>
      <c r="F5037" s="67" t="str">
        <f t="shared" si="12"/>
        <v>7 LeadGen Set Appointments</v>
      </c>
    </row>
    <row r="5038" hidden="1">
      <c r="A5038" s="6" t="s">
        <v>67</v>
      </c>
      <c r="B5038" s="13" t="s">
        <v>1893</v>
      </c>
      <c r="C5038" s="13" t="s">
        <v>1894</v>
      </c>
      <c r="D5038" s="15">
        <v>7.0</v>
      </c>
      <c r="E5038" s="67">
        <f t="shared" si="16"/>
        <v>1750</v>
      </c>
      <c r="F5038" s="67" t="str">
        <f t="shared" si="12"/>
        <v>7 LeadGen Set Appointments</v>
      </c>
    </row>
    <row r="5039" hidden="1">
      <c r="A5039" s="6" t="s">
        <v>67</v>
      </c>
      <c r="B5039" s="13" t="s">
        <v>2254</v>
      </c>
      <c r="C5039" s="13" t="s">
        <v>2255</v>
      </c>
      <c r="D5039" s="15">
        <v>7.0</v>
      </c>
      <c r="E5039" s="67">
        <f t="shared" si="16"/>
        <v>1750</v>
      </c>
      <c r="F5039" s="67" t="str">
        <f t="shared" si="12"/>
        <v>7 LeadGen Set Appointments</v>
      </c>
    </row>
    <row r="5040" hidden="1">
      <c r="A5040" s="6" t="s">
        <v>67</v>
      </c>
      <c r="B5040" s="13" t="s">
        <v>1415</v>
      </c>
      <c r="C5040" s="13" t="s">
        <v>1416</v>
      </c>
      <c r="D5040" s="15">
        <v>7.0</v>
      </c>
      <c r="E5040" s="67">
        <f t="shared" si="16"/>
        <v>1750</v>
      </c>
      <c r="F5040" s="67" t="str">
        <f t="shared" si="12"/>
        <v>7 LeadGen Set Appointments</v>
      </c>
    </row>
    <row r="5041" hidden="1">
      <c r="A5041" s="6" t="s">
        <v>67</v>
      </c>
      <c r="B5041" s="13" t="s">
        <v>1891</v>
      </c>
      <c r="C5041" s="13" t="s">
        <v>1892</v>
      </c>
      <c r="D5041" s="15">
        <v>7.0</v>
      </c>
      <c r="E5041" s="67">
        <f t="shared" si="16"/>
        <v>1750</v>
      </c>
      <c r="F5041" s="67" t="str">
        <f t="shared" si="12"/>
        <v>7 LeadGen Set Appointments</v>
      </c>
    </row>
    <row r="5042" hidden="1">
      <c r="A5042" s="6" t="s">
        <v>67</v>
      </c>
      <c r="B5042" s="13" t="s">
        <v>242</v>
      </c>
      <c r="C5042" s="13" t="s">
        <v>1887</v>
      </c>
      <c r="D5042" s="15">
        <v>7.0</v>
      </c>
      <c r="E5042" s="67">
        <f t="shared" si="16"/>
        <v>1750</v>
      </c>
      <c r="F5042" s="67" t="str">
        <f t="shared" si="12"/>
        <v>7 LeadGen Set Appointments</v>
      </c>
    </row>
    <row r="5043" hidden="1">
      <c r="A5043" s="6" t="s">
        <v>67</v>
      </c>
      <c r="B5043" s="13" t="s">
        <v>1491</v>
      </c>
      <c r="C5043" s="13" t="s">
        <v>1492</v>
      </c>
      <c r="D5043" s="15">
        <v>7.0</v>
      </c>
      <c r="E5043" s="67">
        <f t="shared" si="16"/>
        <v>1750</v>
      </c>
      <c r="F5043" s="67" t="str">
        <f t="shared" si="12"/>
        <v>7 LeadGen Set Appointments</v>
      </c>
    </row>
    <row r="5044" hidden="1">
      <c r="A5044" s="6" t="s">
        <v>67</v>
      </c>
      <c r="B5044" s="13" t="s">
        <v>1567</v>
      </c>
      <c r="C5044" s="13" t="s">
        <v>1568</v>
      </c>
      <c r="D5044" s="15">
        <v>7.0</v>
      </c>
      <c r="E5044" s="67">
        <f t="shared" si="16"/>
        <v>1750</v>
      </c>
      <c r="F5044" s="67" t="str">
        <f t="shared" si="12"/>
        <v>7 LeadGen Set Appointments</v>
      </c>
    </row>
    <row r="5045" hidden="1">
      <c r="A5045" s="6" t="s">
        <v>67</v>
      </c>
      <c r="B5045" s="13" t="s">
        <v>1039</v>
      </c>
      <c r="C5045" s="13" t="s">
        <v>1040</v>
      </c>
      <c r="D5045" s="15">
        <v>7.0</v>
      </c>
      <c r="E5045" s="67">
        <f t="shared" si="16"/>
        <v>1750</v>
      </c>
      <c r="F5045" s="67" t="str">
        <f t="shared" si="12"/>
        <v>7 LeadGen Set Appointments</v>
      </c>
    </row>
    <row r="5046" hidden="1">
      <c r="A5046" s="6" t="s">
        <v>67</v>
      </c>
      <c r="B5046" s="13" t="s">
        <v>604</v>
      </c>
      <c r="C5046" s="13" t="s">
        <v>605</v>
      </c>
      <c r="D5046" s="15">
        <v>7.0</v>
      </c>
      <c r="E5046" s="67">
        <f t="shared" si="16"/>
        <v>1750</v>
      </c>
      <c r="F5046" s="67" t="str">
        <f t="shared" si="12"/>
        <v>7 LeadGen Set Appointments</v>
      </c>
    </row>
    <row r="5047" hidden="1">
      <c r="A5047" s="6" t="s">
        <v>67</v>
      </c>
      <c r="B5047" s="13" t="s">
        <v>624</v>
      </c>
      <c r="C5047" s="13" t="s">
        <v>625</v>
      </c>
      <c r="D5047" s="15">
        <v>7.0</v>
      </c>
      <c r="E5047" s="67">
        <f t="shared" si="16"/>
        <v>1750</v>
      </c>
      <c r="F5047" s="67" t="str">
        <f t="shared" si="12"/>
        <v>7 LeadGen Set Appointments</v>
      </c>
    </row>
    <row r="5048" hidden="1">
      <c r="A5048" s="6" t="s">
        <v>67</v>
      </c>
      <c r="B5048" s="13" t="s">
        <v>2220</v>
      </c>
      <c r="C5048" s="13" t="s">
        <v>2221</v>
      </c>
      <c r="D5048" s="15">
        <v>7.0</v>
      </c>
      <c r="E5048" s="67">
        <f t="shared" si="16"/>
        <v>1750</v>
      </c>
      <c r="F5048" s="67" t="str">
        <f t="shared" si="12"/>
        <v>7 LeadGen Set Appointments</v>
      </c>
    </row>
    <row r="5049" hidden="1">
      <c r="A5049" s="6" t="s">
        <v>67</v>
      </c>
      <c r="B5049" s="13" t="s">
        <v>435</v>
      </c>
      <c r="C5049" s="13" t="s">
        <v>436</v>
      </c>
      <c r="D5049" s="15">
        <v>7.0</v>
      </c>
      <c r="E5049" s="67">
        <f t="shared" si="16"/>
        <v>1750</v>
      </c>
      <c r="F5049" s="67" t="str">
        <f t="shared" si="12"/>
        <v>7 LeadGen Set Appointments</v>
      </c>
    </row>
    <row r="5050" hidden="1">
      <c r="A5050" s="6" t="s">
        <v>67</v>
      </c>
      <c r="B5050" s="13" t="s">
        <v>1463</v>
      </c>
      <c r="C5050" s="13" t="s">
        <v>1464</v>
      </c>
      <c r="D5050" s="15">
        <v>6.0</v>
      </c>
      <c r="E5050" s="67">
        <f t="shared" si="16"/>
        <v>1500</v>
      </c>
      <c r="F5050" s="67" t="str">
        <f t="shared" si="12"/>
        <v>6 LeadGen Set Appointments</v>
      </c>
    </row>
    <row r="5051" hidden="1">
      <c r="A5051" s="6" t="s">
        <v>67</v>
      </c>
      <c r="B5051" s="13" t="s">
        <v>1473</v>
      </c>
      <c r="C5051" s="13" t="s">
        <v>1474</v>
      </c>
      <c r="D5051" s="15">
        <v>6.0</v>
      </c>
      <c r="E5051" s="67">
        <f t="shared" si="16"/>
        <v>1500</v>
      </c>
      <c r="F5051" s="67" t="str">
        <f t="shared" si="12"/>
        <v>6 LeadGen Set Appointments</v>
      </c>
    </row>
    <row r="5052" hidden="1">
      <c r="A5052" s="6" t="s">
        <v>67</v>
      </c>
      <c r="B5052" s="13" t="s">
        <v>2189</v>
      </c>
      <c r="C5052" s="13" t="s">
        <v>2190</v>
      </c>
      <c r="D5052" s="15">
        <v>6.0</v>
      </c>
      <c r="E5052" s="67">
        <f t="shared" si="16"/>
        <v>1500</v>
      </c>
      <c r="F5052" s="67" t="str">
        <f t="shared" si="12"/>
        <v>6 LeadGen Set Appointments</v>
      </c>
    </row>
    <row r="5053" hidden="1">
      <c r="A5053" s="6" t="s">
        <v>67</v>
      </c>
      <c r="B5053" s="13" t="s">
        <v>1543</v>
      </c>
      <c r="C5053" s="13" t="s">
        <v>1544</v>
      </c>
      <c r="D5053" s="15">
        <v>6.0</v>
      </c>
      <c r="E5053" s="67">
        <f t="shared" si="16"/>
        <v>1500</v>
      </c>
      <c r="F5053" s="67" t="str">
        <f t="shared" si="12"/>
        <v>6 LeadGen Set Appointments</v>
      </c>
    </row>
    <row r="5054" hidden="1">
      <c r="A5054" s="6" t="s">
        <v>67</v>
      </c>
      <c r="B5054" s="13" t="s">
        <v>1732</v>
      </c>
      <c r="C5054" s="13" t="s">
        <v>1733</v>
      </c>
      <c r="D5054" s="15">
        <v>6.0</v>
      </c>
      <c r="E5054" s="67">
        <f t="shared" si="16"/>
        <v>1500</v>
      </c>
      <c r="F5054" s="67" t="str">
        <f t="shared" si="12"/>
        <v>6 LeadGen Set Appointments</v>
      </c>
    </row>
    <row r="5055" hidden="1">
      <c r="A5055" s="6" t="s">
        <v>67</v>
      </c>
      <c r="B5055" s="13" t="s">
        <v>2147</v>
      </c>
      <c r="C5055" s="13" t="s">
        <v>2148</v>
      </c>
      <c r="D5055" s="15">
        <v>6.0</v>
      </c>
      <c r="E5055" s="67">
        <f t="shared" si="16"/>
        <v>1500</v>
      </c>
      <c r="F5055" s="67" t="str">
        <f t="shared" si="12"/>
        <v>6 LeadGen Set Appointments</v>
      </c>
    </row>
    <row r="5056" hidden="1">
      <c r="A5056" s="6" t="s">
        <v>67</v>
      </c>
      <c r="B5056" s="13" t="s">
        <v>572</v>
      </c>
      <c r="C5056" s="13" t="s">
        <v>573</v>
      </c>
      <c r="D5056" s="15">
        <v>6.0</v>
      </c>
      <c r="E5056" s="67">
        <f t="shared" si="16"/>
        <v>1500</v>
      </c>
      <c r="F5056" s="67" t="str">
        <f t="shared" si="12"/>
        <v>6 LeadGen Set Appointments</v>
      </c>
    </row>
    <row r="5057" hidden="1">
      <c r="A5057" s="6" t="s">
        <v>67</v>
      </c>
      <c r="B5057" s="13" t="s">
        <v>1664</v>
      </c>
      <c r="C5057" s="13" t="s">
        <v>1665</v>
      </c>
      <c r="D5057" s="15">
        <v>6.0</v>
      </c>
      <c r="E5057" s="67">
        <f t="shared" si="16"/>
        <v>1500</v>
      </c>
      <c r="F5057" s="67" t="str">
        <f t="shared" si="12"/>
        <v>6 LeadGen Set Appointments</v>
      </c>
    </row>
    <row r="5058" hidden="1">
      <c r="A5058" s="6" t="s">
        <v>67</v>
      </c>
      <c r="B5058" s="13" t="s">
        <v>2234</v>
      </c>
      <c r="C5058" s="13" t="s">
        <v>2235</v>
      </c>
      <c r="D5058" s="15">
        <v>6.0</v>
      </c>
      <c r="E5058" s="67">
        <f t="shared" si="16"/>
        <v>1500</v>
      </c>
      <c r="F5058" s="67" t="str">
        <f t="shared" si="12"/>
        <v>6 LeadGen Set Appointments</v>
      </c>
    </row>
    <row r="5059" hidden="1">
      <c r="A5059" s="6" t="s">
        <v>67</v>
      </c>
      <c r="B5059" s="13" t="s">
        <v>518</v>
      </c>
      <c r="C5059" s="13" t="s">
        <v>519</v>
      </c>
      <c r="D5059" s="15">
        <v>6.0</v>
      </c>
      <c r="E5059" s="67">
        <f t="shared" si="16"/>
        <v>1500</v>
      </c>
      <c r="F5059" s="67" t="str">
        <f t="shared" si="12"/>
        <v>6 LeadGen Set Appointments</v>
      </c>
    </row>
    <row r="5060" hidden="1">
      <c r="A5060" s="6" t="s">
        <v>67</v>
      </c>
      <c r="B5060" s="13" t="s">
        <v>1493</v>
      </c>
      <c r="C5060" s="13" t="s">
        <v>1494</v>
      </c>
      <c r="D5060" s="15">
        <v>6.0</v>
      </c>
      <c r="E5060" s="67">
        <f t="shared" si="16"/>
        <v>1500</v>
      </c>
      <c r="F5060" s="67" t="str">
        <f t="shared" si="12"/>
        <v>6 LeadGen Set Appointments</v>
      </c>
    </row>
    <row r="5061" hidden="1">
      <c r="A5061" s="6" t="s">
        <v>67</v>
      </c>
      <c r="B5061" s="13" t="s">
        <v>1716</v>
      </c>
      <c r="C5061" s="13" t="s">
        <v>30</v>
      </c>
      <c r="D5061" s="15">
        <v>6.0</v>
      </c>
      <c r="E5061" s="67">
        <f t="shared" si="16"/>
        <v>1500</v>
      </c>
      <c r="F5061" s="67" t="str">
        <f t="shared" si="12"/>
        <v>6 LeadGen Set Appointments</v>
      </c>
    </row>
    <row r="5062" hidden="1">
      <c r="A5062" s="6" t="s">
        <v>67</v>
      </c>
      <c r="B5062" s="13" t="s">
        <v>447</v>
      </c>
      <c r="C5062" s="13" t="s">
        <v>448</v>
      </c>
      <c r="D5062" s="15">
        <v>5.0</v>
      </c>
      <c r="E5062" s="67">
        <f t="shared" si="16"/>
        <v>1250</v>
      </c>
      <c r="F5062" s="67" t="str">
        <f t="shared" si="12"/>
        <v>5 LeadGen Set Appointments</v>
      </c>
    </row>
    <row r="5063" hidden="1">
      <c r="A5063" s="6" t="s">
        <v>67</v>
      </c>
      <c r="B5063" s="13" t="s">
        <v>2212</v>
      </c>
      <c r="C5063" s="13" t="s">
        <v>2213</v>
      </c>
      <c r="D5063" s="15">
        <v>5.0</v>
      </c>
      <c r="E5063" s="67">
        <f t="shared" si="16"/>
        <v>1250</v>
      </c>
      <c r="F5063" s="67" t="str">
        <f t="shared" si="12"/>
        <v>5 LeadGen Set Appointments</v>
      </c>
    </row>
    <row r="5064" hidden="1">
      <c r="A5064" s="6" t="s">
        <v>67</v>
      </c>
      <c r="B5064" s="13" t="s">
        <v>1579</v>
      </c>
      <c r="C5064" s="13" t="s">
        <v>1580</v>
      </c>
      <c r="D5064" s="15">
        <v>5.0</v>
      </c>
      <c r="E5064" s="67">
        <f t="shared" si="16"/>
        <v>1250</v>
      </c>
      <c r="F5064" s="67" t="str">
        <f t="shared" si="12"/>
        <v>5 LeadGen Set Appointments</v>
      </c>
    </row>
    <row r="5065" hidden="1">
      <c r="A5065" s="6" t="s">
        <v>67</v>
      </c>
      <c r="B5065" s="13" t="s">
        <v>546</v>
      </c>
      <c r="C5065" s="13" t="s">
        <v>547</v>
      </c>
      <c r="D5065" s="15">
        <v>5.0</v>
      </c>
      <c r="E5065" s="67">
        <f t="shared" si="16"/>
        <v>1250</v>
      </c>
      <c r="F5065" s="67" t="str">
        <f t="shared" si="12"/>
        <v>5 LeadGen Set Appointments</v>
      </c>
    </row>
    <row r="5066" hidden="1">
      <c r="A5066" s="6" t="s">
        <v>67</v>
      </c>
      <c r="B5066" s="13" t="s">
        <v>494</v>
      </c>
      <c r="C5066" s="13" t="s">
        <v>495</v>
      </c>
      <c r="D5066" s="15">
        <v>5.0</v>
      </c>
      <c r="E5066" s="67">
        <f t="shared" si="16"/>
        <v>1250</v>
      </c>
      <c r="F5066" s="67" t="str">
        <f t="shared" si="12"/>
        <v>5 LeadGen Set Appointments</v>
      </c>
    </row>
    <row r="5067" hidden="1">
      <c r="A5067" s="6" t="s">
        <v>67</v>
      </c>
      <c r="B5067" s="13" t="s">
        <v>1512</v>
      </c>
      <c r="C5067" s="13" t="s">
        <v>1513</v>
      </c>
      <c r="D5067" s="15">
        <v>5.0</v>
      </c>
      <c r="E5067" s="67">
        <f t="shared" si="16"/>
        <v>1250</v>
      </c>
      <c r="F5067" s="67" t="str">
        <f t="shared" si="12"/>
        <v>5 LeadGen Set Appointments</v>
      </c>
    </row>
    <row r="5068" hidden="1">
      <c r="A5068" s="6" t="s">
        <v>67</v>
      </c>
      <c r="B5068" s="13" t="s">
        <v>693</v>
      </c>
      <c r="C5068" s="13" t="s">
        <v>694</v>
      </c>
      <c r="D5068" s="15">
        <v>5.0</v>
      </c>
      <c r="E5068" s="67">
        <f t="shared" si="16"/>
        <v>1250</v>
      </c>
      <c r="F5068" s="67" t="str">
        <f t="shared" si="12"/>
        <v>5 LeadGen Set Appointments</v>
      </c>
    </row>
    <row r="5069" hidden="1">
      <c r="A5069" s="6" t="s">
        <v>67</v>
      </c>
      <c r="B5069" s="13" t="s">
        <v>2056</v>
      </c>
      <c r="C5069" s="13" t="s">
        <v>2057</v>
      </c>
      <c r="D5069" s="15">
        <v>5.0</v>
      </c>
      <c r="E5069" s="67">
        <f t="shared" si="16"/>
        <v>1250</v>
      </c>
      <c r="F5069" s="67" t="str">
        <f t="shared" si="12"/>
        <v>5 LeadGen Set Appointments</v>
      </c>
    </row>
    <row r="5070" hidden="1">
      <c r="A5070" s="6" t="s">
        <v>67</v>
      </c>
      <c r="B5070" s="13" t="s">
        <v>1955</v>
      </c>
      <c r="C5070" s="13" t="s">
        <v>1956</v>
      </c>
      <c r="D5070" s="15">
        <v>5.0</v>
      </c>
      <c r="E5070" s="67">
        <f t="shared" si="16"/>
        <v>1250</v>
      </c>
      <c r="F5070" s="67" t="str">
        <f t="shared" si="12"/>
        <v>5 LeadGen Set Appointments</v>
      </c>
    </row>
    <row r="5071" hidden="1">
      <c r="A5071" s="6" t="s">
        <v>67</v>
      </c>
      <c r="B5071" s="13" t="s">
        <v>1483</v>
      </c>
      <c r="C5071" s="13" t="s">
        <v>1484</v>
      </c>
      <c r="D5071" s="15">
        <v>5.0</v>
      </c>
      <c r="E5071" s="67">
        <f t="shared" si="16"/>
        <v>1250</v>
      </c>
      <c r="F5071" s="67" t="str">
        <f t="shared" si="12"/>
        <v>5 LeadGen Set Appointments</v>
      </c>
    </row>
    <row r="5072" hidden="1">
      <c r="A5072" s="6" t="s">
        <v>67</v>
      </c>
      <c r="B5072" s="13" t="s">
        <v>1943</v>
      </c>
      <c r="C5072" s="13" t="s">
        <v>1944</v>
      </c>
      <c r="D5072" s="15">
        <v>5.0</v>
      </c>
      <c r="E5072" s="67">
        <f t="shared" si="16"/>
        <v>1250</v>
      </c>
      <c r="F5072" s="67" t="str">
        <f t="shared" si="12"/>
        <v>5 LeadGen Set Appointments</v>
      </c>
    </row>
    <row r="5073" hidden="1">
      <c r="A5073" s="6" t="s">
        <v>67</v>
      </c>
      <c r="B5073" s="13" t="s">
        <v>744</v>
      </c>
      <c r="C5073" s="13" t="s">
        <v>745</v>
      </c>
      <c r="D5073" s="15">
        <v>4.0</v>
      </c>
      <c r="E5073" s="67">
        <f t="shared" si="16"/>
        <v>1000</v>
      </c>
      <c r="F5073" s="67" t="str">
        <f t="shared" si="12"/>
        <v>4 LeadGen Set Appointments</v>
      </c>
    </row>
    <row r="5074" hidden="1">
      <c r="A5074" s="6" t="s">
        <v>67</v>
      </c>
      <c r="B5074" s="13" t="s">
        <v>462</v>
      </c>
      <c r="C5074" s="13" t="s">
        <v>463</v>
      </c>
      <c r="D5074" s="15">
        <v>4.0</v>
      </c>
      <c r="E5074" s="67">
        <f t="shared" si="16"/>
        <v>1000</v>
      </c>
      <c r="F5074" s="67" t="str">
        <f t="shared" si="12"/>
        <v>4 LeadGen Set Appointments</v>
      </c>
    </row>
    <row r="5075" hidden="1">
      <c r="A5075" s="6" t="s">
        <v>67</v>
      </c>
      <c r="B5075" s="13" t="s">
        <v>1600</v>
      </c>
      <c r="C5075" s="13" t="s">
        <v>1601</v>
      </c>
      <c r="D5075" s="15">
        <v>4.0</v>
      </c>
      <c r="E5075" s="67">
        <f t="shared" si="16"/>
        <v>1000</v>
      </c>
      <c r="F5075" s="67" t="str">
        <f t="shared" si="12"/>
        <v>4 LeadGen Set Appointments</v>
      </c>
    </row>
    <row r="5076" hidden="1">
      <c r="A5076" s="6" t="s">
        <v>67</v>
      </c>
      <c r="B5076" s="13" t="s">
        <v>628</v>
      </c>
      <c r="C5076" s="13" t="s">
        <v>629</v>
      </c>
      <c r="D5076" s="15">
        <v>4.0</v>
      </c>
      <c r="E5076" s="67">
        <f t="shared" si="16"/>
        <v>1000</v>
      </c>
      <c r="F5076" s="67" t="str">
        <f t="shared" si="12"/>
        <v>4 LeadGen Set Appointments</v>
      </c>
    </row>
    <row r="5077" hidden="1">
      <c r="A5077" s="6" t="s">
        <v>67</v>
      </c>
      <c r="B5077" s="13" t="s">
        <v>1448</v>
      </c>
      <c r="C5077" s="13" t="s">
        <v>1449</v>
      </c>
      <c r="D5077" s="15">
        <v>4.0</v>
      </c>
      <c r="E5077" s="67">
        <f t="shared" si="16"/>
        <v>1000</v>
      </c>
      <c r="F5077" s="67" t="str">
        <f t="shared" si="12"/>
        <v>4 LeadGen Set Appointments</v>
      </c>
    </row>
    <row r="5078" hidden="1">
      <c r="A5078" s="6" t="s">
        <v>67</v>
      </c>
      <c r="B5078" s="13" t="s">
        <v>1583</v>
      </c>
      <c r="C5078" s="13" t="s">
        <v>1584</v>
      </c>
      <c r="D5078" s="15">
        <v>4.0</v>
      </c>
      <c r="E5078" s="67">
        <f t="shared" si="16"/>
        <v>1000</v>
      </c>
      <c r="F5078" s="67" t="str">
        <f t="shared" si="12"/>
        <v>4 LeadGen Set Appointments</v>
      </c>
    </row>
    <row r="5079" hidden="1">
      <c r="A5079" s="6" t="s">
        <v>67</v>
      </c>
      <c r="B5079" s="13" t="s">
        <v>2276</v>
      </c>
      <c r="C5079" s="13" t="s">
        <v>2277</v>
      </c>
      <c r="D5079" s="15">
        <v>4.0</v>
      </c>
      <c r="E5079" s="67">
        <f t="shared" si="16"/>
        <v>1000</v>
      </c>
      <c r="F5079" s="67" t="str">
        <f t="shared" si="12"/>
        <v>4 LeadGen Set Appointments</v>
      </c>
    </row>
    <row r="5080" hidden="1">
      <c r="A5080" s="6" t="s">
        <v>67</v>
      </c>
      <c r="B5080" s="13" t="s">
        <v>2141</v>
      </c>
      <c r="C5080" s="13" t="s">
        <v>2142</v>
      </c>
      <c r="D5080" s="15">
        <v>4.0</v>
      </c>
      <c r="E5080" s="67">
        <f t="shared" si="16"/>
        <v>1000</v>
      </c>
      <c r="F5080" s="67" t="str">
        <f t="shared" si="12"/>
        <v>4 LeadGen Set Appointments</v>
      </c>
    </row>
    <row r="5081" hidden="1">
      <c r="A5081" s="6" t="s">
        <v>67</v>
      </c>
      <c r="B5081" s="13" t="s">
        <v>1557</v>
      </c>
      <c r="C5081" s="13" t="s">
        <v>1558</v>
      </c>
      <c r="D5081" s="15">
        <v>4.0</v>
      </c>
      <c r="E5081" s="67">
        <f t="shared" si="16"/>
        <v>1000</v>
      </c>
      <c r="F5081" s="67" t="str">
        <f t="shared" si="12"/>
        <v>4 LeadGen Set Appointments</v>
      </c>
    </row>
    <row r="5082" hidden="1">
      <c r="A5082" s="6" t="s">
        <v>67</v>
      </c>
      <c r="B5082" s="13" t="s">
        <v>1784</v>
      </c>
      <c r="C5082" s="13" t="s">
        <v>1785</v>
      </c>
      <c r="D5082" s="15">
        <v>4.0</v>
      </c>
      <c r="E5082" s="67">
        <f t="shared" si="16"/>
        <v>1000</v>
      </c>
      <c r="F5082" s="67" t="str">
        <f t="shared" si="12"/>
        <v>4 LeadGen Set Appointments</v>
      </c>
    </row>
    <row r="5083" hidden="1">
      <c r="A5083" s="6" t="s">
        <v>67</v>
      </c>
      <c r="B5083" s="13" t="s">
        <v>1960</v>
      </c>
      <c r="C5083" s="13" t="s">
        <v>1961</v>
      </c>
      <c r="D5083" s="15">
        <v>4.0</v>
      </c>
      <c r="E5083" s="67">
        <f t="shared" si="16"/>
        <v>1000</v>
      </c>
      <c r="F5083" s="67" t="str">
        <f t="shared" si="12"/>
        <v>4 LeadGen Set Appointments</v>
      </c>
    </row>
    <row r="5084" hidden="1">
      <c r="A5084" s="6" t="s">
        <v>67</v>
      </c>
      <c r="B5084" s="13" t="s">
        <v>2278</v>
      </c>
      <c r="C5084" s="13" t="s">
        <v>2279</v>
      </c>
      <c r="D5084" s="15">
        <v>4.0</v>
      </c>
      <c r="E5084" s="67">
        <f t="shared" si="16"/>
        <v>1000</v>
      </c>
      <c r="F5084" s="67" t="str">
        <f t="shared" si="12"/>
        <v>4 LeadGen Set Appointments</v>
      </c>
    </row>
    <row r="5085" hidden="1">
      <c r="A5085" s="6" t="s">
        <v>67</v>
      </c>
      <c r="B5085" s="13" t="s">
        <v>1736</v>
      </c>
      <c r="C5085" s="13" t="s">
        <v>1737</v>
      </c>
      <c r="D5085" s="15">
        <v>4.0</v>
      </c>
      <c r="E5085" s="67">
        <f t="shared" si="16"/>
        <v>1000</v>
      </c>
      <c r="F5085" s="67" t="str">
        <f t="shared" si="12"/>
        <v>4 LeadGen Set Appointments</v>
      </c>
    </row>
    <row r="5086" hidden="1">
      <c r="A5086" s="6" t="s">
        <v>67</v>
      </c>
      <c r="B5086" s="13" t="s">
        <v>532</v>
      </c>
      <c r="C5086" s="13" t="s">
        <v>533</v>
      </c>
      <c r="D5086" s="15">
        <v>4.0</v>
      </c>
      <c r="E5086" s="67">
        <f t="shared" si="16"/>
        <v>1000</v>
      </c>
      <c r="F5086" s="67" t="str">
        <f t="shared" si="12"/>
        <v>4 LeadGen Set Appointments</v>
      </c>
    </row>
    <row r="5087" hidden="1">
      <c r="A5087" s="6" t="s">
        <v>67</v>
      </c>
      <c r="B5087" s="13" t="s">
        <v>302</v>
      </c>
      <c r="C5087" s="13" t="s">
        <v>2110</v>
      </c>
      <c r="D5087" s="15">
        <v>4.0</v>
      </c>
      <c r="E5087" s="67">
        <f t="shared" si="16"/>
        <v>1000</v>
      </c>
      <c r="F5087" s="67" t="str">
        <f t="shared" si="12"/>
        <v>4 LeadGen Set Appointments</v>
      </c>
    </row>
    <row r="5088" hidden="1">
      <c r="A5088" s="6" t="s">
        <v>67</v>
      </c>
      <c r="B5088" s="13" t="s">
        <v>2151</v>
      </c>
      <c r="C5088" s="13" t="s">
        <v>2152</v>
      </c>
      <c r="D5088" s="15">
        <v>4.0</v>
      </c>
      <c r="E5088" s="67">
        <f t="shared" si="16"/>
        <v>1000</v>
      </c>
      <c r="F5088" s="67" t="str">
        <f t="shared" si="12"/>
        <v>4 LeadGen Set Appointments</v>
      </c>
    </row>
    <row r="5089" hidden="1">
      <c r="A5089" s="6" t="s">
        <v>67</v>
      </c>
      <c r="B5089" s="13" t="s">
        <v>2167</v>
      </c>
      <c r="C5089" s="13" t="s">
        <v>2168</v>
      </c>
      <c r="D5089" s="15">
        <v>4.0</v>
      </c>
      <c r="E5089" s="67">
        <f t="shared" si="16"/>
        <v>1000</v>
      </c>
      <c r="F5089" s="67" t="str">
        <f t="shared" si="12"/>
        <v>4 LeadGen Set Appointments</v>
      </c>
    </row>
    <row r="5090" hidden="1">
      <c r="A5090" s="6" t="s">
        <v>67</v>
      </c>
      <c r="B5090" s="13" t="s">
        <v>1481</v>
      </c>
      <c r="C5090" s="13" t="s">
        <v>1482</v>
      </c>
      <c r="D5090" s="15">
        <v>4.0</v>
      </c>
      <c r="E5090" s="67">
        <f t="shared" si="16"/>
        <v>1000</v>
      </c>
      <c r="F5090" s="67" t="str">
        <f t="shared" si="12"/>
        <v>4 LeadGen Set Appointments</v>
      </c>
    </row>
    <row r="5091" hidden="1">
      <c r="A5091" s="6" t="s">
        <v>67</v>
      </c>
      <c r="B5091" s="13" t="s">
        <v>622</v>
      </c>
      <c r="C5091" s="13" t="s">
        <v>623</v>
      </c>
      <c r="D5091" s="15">
        <v>4.0</v>
      </c>
      <c r="E5091" s="67">
        <f t="shared" si="16"/>
        <v>1000</v>
      </c>
      <c r="F5091" s="67" t="str">
        <f t="shared" si="12"/>
        <v>4 LeadGen Set Appointments</v>
      </c>
    </row>
    <row r="5092" hidden="1">
      <c r="A5092" s="6" t="s">
        <v>67</v>
      </c>
      <c r="B5092" s="13" t="s">
        <v>2280</v>
      </c>
      <c r="C5092" s="13" t="s">
        <v>2281</v>
      </c>
      <c r="D5092" s="15">
        <v>4.0</v>
      </c>
      <c r="E5092" s="67">
        <f t="shared" si="16"/>
        <v>1000</v>
      </c>
      <c r="F5092" s="67" t="str">
        <f t="shared" si="12"/>
        <v>4 LeadGen Set Appointments</v>
      </c>
    </row>
    <row r="5093" hidden="1">
      <c r="A5093" s="6" t="s">
        <v>67</v>
      </c>
      <c r="B5093" s="13" t="s">
        <v>1351</v>
      </c>
      <c r="C5093" s="13" t="s">
        <v>1352</v>
      </c>
      <c r="D5093" s="15">
        <v>4.0</v>
      </c>
      <c r="E5093" s="67">
        <f t="shared" si="16"/>
        <v>1000</v>
      </c>
      <c r="F5093" s="67" t="str">
        <f t="shared" si="12"/>
        <v>4 LeadGen Set Appointments</v>
      </c>
    </row>
    <row r="5094" hidden="1">
      <c r="A5094" s="6" t="s">
        <v>67</v>
      </c>
      <c r="B5094" s="13" t="s">
        <v>2077</v>
      </c>
      <c r="C5094" s="13" t="s">
        <v>2078</v>
      </c>
      <c r="D5094" s="15">
        <v>4.0</v>
      </c>
      <c r="E5094" s="67">
        <f t="shared" si="16"/>
        <v>1000</v>
      </c>
      <c r="F5094" s="67" t="str">
        <f t="shared" si="12"/>
        <v>4 LeadGen Set Appointments</v>
      </c>
    </row>
    <row r="5095" hidden="1">
      <c r="A5095" s="6" t="s">
        <v>67</v>
      </c>
      <c r="B5095" s="13" t="s">
        <v>2245</v>
      </c>
      <c r="C5095" s="13" t="s">
        <v>2246</v>
      </c>
      <c r="D5095" s="15">
        <v>4.0</v>
      </c>
      <c r="E5095" s="67">
        <f t="shared" si="16"/>
        <v>1000</v>
      </c>
      <c r="F5095" s="67" t="str">
        <f t="shared" si="12"/>
        <v>4 LeadGen Set Appointments</v>
      </c>
    </row>
    <row r="5096" hidden="1">
      <c r="A5096" s="6" t="s">
        <v>67</v>
      </c>
      <c r="B5096" s="13" t="s">
        <v>2266</v>
      </c>
      <c r="C5096" s="13" t="s">
        <v>2267</v>
      </c>
      <c r="D5096" s="15">
        <v>4.0</v>
      </c>
      <c r="E5096" s="67">
        <f t="shared" si="16"/>
        <v>1000</v>
      </c>
      <c r="F5096" s="67" t="str">
        <f t="shared" si="12"/>
        <v>4 LeadGen Set Appointments</v>
      </c>
    </row>
    <row r="5097" hidden="1">
      <c r="A5097" s="6" t="s">
        <v>67</v>
      </c>
      <c r="B5097" s="13" t="s">
        <v>1945</v>
      </c>
      <c r="C5097" s="13" t="s">
        <v>1946</v>
      </c>
      <c r="D5097" s="15">
        <v>4.0</v>
      </c>
      <c r="E5097" s="67">
        <f t="shared" si="16"/>
        <v>1000</v>
      </c>
      <c r="F5097" s="67" t="str">
        <f t="shared" si="12"/>
        <v>4 LeadGen Set Appointments</v>
      </c>
    </row>
    <row r="5098" hidden="1">
      <c r="A5098" s="6" t="s">
        <v>67</v>
      </c>
      <c r="B5098" s="13" t="s">
        <v>1033</v>
      </c>
      <c r="C5098" s="13" t="s">
        <v>1034</v>
      </c>
      <c r="D5098" s="15">
        <v>3.0</v>
      </c>
      <c r="E5098" s="67">
        <f t="shared" si="16"/>
        <v>750</v>
      </c>
      <c r="F5098" s="67" t="str">
        <f t="shared" si="12"/>
        <v>3 LeadGen Set Appointments</v>
      </c>
    </row>
    <row r="5099" hidden="1">
      <c r="A5099" s="6" t="s">
        <v>67</v>
      </c>
      <c r="B5099" s="13" t="s">
        <v>2248</v>
      </c>
      <c r="C5099" s="13" t="s">
        <v>2249</v>
      </c>
      <c r="D5099" s="15">
        <v>3.0</v>
      </c>
      <c r="E5099" s="67">
        <f t="shared" si="16"/>
        <v>750</v>
      </c>
      <c r="F5099" s="67" t="str">
        <f t="shared" si="12"/>
        <v>3 LeadGen Set Appointments</v>
      </c>
    </row>
    <row r="5100" hidden="1">
      <c r="A5100" s="6" t="s">
        <v>67</v>
      </c>
      <c r="B5100" s="13" t="s">
        <v>1171</v>
      </c>
      <c r="C5100" s="13" t="s">
        <v>1172</v>
      </c>
      <c r="D5100" s="15">
        <v>3.0</v>
      </c>
      <c r="E5100" s="67">
        <f t="shared" si="16"/>
        <v>750</v>
      </c>
      <c r="F5100" s="67" t="str">
        <f t="shared" si="12"/>
        <v>3 LeadGen Set Appointments</v>
      </c>
    </row>
    <row r="5101" hidden="1">
      <c r="A5101" s="6" t="s">
        <v>67</v>
      </c>
      <c r="B5101" s="13" t="s">
        <v>2161</v>
      </c>
      <c r="C5101" s="13" t="s">
        <v>2162</v>
      </c>
      <c r="D5101" s="15">
        <v>3.0</v>
      </c>
      <c r="E5101" s="67">
        <f t="shared" si="16"/>
        <v>750</v>
      </c>
      <c r="F5101" s="67" t="str">
        <f t="shared" si="12"/>
        <v>3 LeadGen Set Appointments</v>
      </c>
    </row>
    <row r="5102" hidden="1">
      <c r="A5102" s="6" t="s">
        <v>67</v>
      </c>
      <c r="B5102" s="13" t="s">
        <v>1459</v>
      </c>
      <c r="C5102" s="13" t="s">
        <v>1460</v>
      </c>
      <c r="D5102" s="15">
        <v>3.0</v>
      </c>
      <c r="E5102" s="67">
        <f t="shared" si="16"/>
        <v>750</v>
      </c>
      <c r="F5102" s="67" t="str">
        <f t="shared" si="12"/>
        <v>3 LeadGen Set Appointments</v>
      </c>
    </row>
    <row r="5103" hidden="1">
      <c r="A5103" s="6" t="s">
        <v>67</v>
      </c>
      <c r="B5103" s="13" t="s">
        <v>2201</v>
      </c>
      <c r="C5103" s="13" t="s">
        <v>2202</v>
      </c>
      <c r="D5103" s="15">
        <v>3.0</v>
      </c>
      <c r="E5103" s="67">
        <f t="shared" si="16"/>
        <v>750</v>
      </c>
      <c r="F5103" s="67" t="str">
        <f t="shared" si="12"/>
        <v>3 LeadGen Set Appointments</v>
      </c>
    </row>
    <row r="5104" hidden="1">
      <c r="A5104" s="6" t="s">
        <v>67</v>
      </c>
      <c r="B5104" s="13" t="s">
        <v>2282</v>
      </c>
      <c r="C5104" s="13" t="s">
        <v>2283</v>
      </c>
      <c r="D5104" s="15">
        <v>3.0</v>
      </c>
      <c r="E5104" s="67">
        <f t="shared" si="16"/>
        <v>750</v>
      </c>
      <c r="F5104" s="67" t="str">
        <f t="shared" si="12"/>
        <v>3 LeadGen Set Appointments</v>
      </c>
    </row>
    <row r="5105" hidden="1">
      <c r="A5105" s="6" t="s">
        <v>67</v>
      </c>
      <c r="B5105" s="13" t="s">
        <v>2272</v>
      </c>
      <c r="C5105" s="13" t="s">
        <v>2273</v>
      </c>
      <c r="D5105" s="15">
        <v>3.0</v>
      </c>
      <c r="E5105" s="67">
        <f t="shared" si="16"/>
        <v>750</v>
      </c>
      <c r="F5105" s="67" t="str">
        <f t="shared" si="12"/>
        <v>3 LeadGen Set Appointments</v>
      </c>
    </row>
    <row r="5106" hidden="1">
      <c r="A5106" s="6" t="s">
        <v>67</v>
      </c>
      <c r="B5106" s="13" t="s">
        <v>2222</v>
      </c>
      <c r="C5106" s="13" t="s">
        <v>2223</v>
      </c>
      <c r="D5106" s="15">
        <v>3.0</v>
      </c>
      <c r="E5106" s="67">
        <f t="shared" si="16"/>
        <v>750</v>
      </c>
      <c r="F5106" s="67" t="str">
        <f t="shared" si="12"/>
        <v>3 LeadGen Set Appointments</v>
      </c>
    </row>
    <row r="5107" hidden="1">
      <c r="A5107" s="6" t="s">
        <v>67</v>
      </c>
      <c r="B5107" s="13" t="s">
        <v>431</v>
      </c>
      <c r="C5107" s="13" t="s">
        <v>432</v>
      </c>
      <c r="D5107" s="15">
        <v>3.0</v>
      </c>
      <c r="E5107" s="67">
        <f t="shared" si="16"/>
        <v>750</v>
      </c>
      <c r="F5107" s="67" t="str">
        <f t="shared" si="12"/>
        <v>3 LeadGen Set Appointments</v>
      </c>
    </row>
    <row r="5108" hidden="1">
      <c r="A5108" s="6" t="s">
        <v>67</v>
      </c>
      <c r="B5108" s="13" t="s">
        <v>1547</v>
      </c>
      <c r="C5108" s="13" t="s">
        <v>1548</v>
      </c>
      <c r="D5108" s="15">
        <v>3.0</v>
      </c>
      <c r="E5108" s="67">
        <f t="shared" si="16"/>
        <v>750</v>
      </c>
      <c r="F5108" s="67" t="str">
        <f t="shared" si="12"/>
        <v>3 LeadGen Set Appointments</v>
      </c>
    </row>
    <row r="5109" hidden="1">
      <c r="A5109" s="6" t="s">
        <v>67</v>
      </c>
      <c r="B5109" s="13" t="s">
        <v>1968</v>
      </c>
      <c r="C5109" s="13" t="s">
        <v>895</v>
      </c>
      <c r="D5109" s="15">
        <v>3.0</v>
      </c>
      <c r="E5109" s="67">
        <f t="shared" si="16"/>
        <v>750</v>
      </c>
      <c r="F5109" s="67" t="str">
        <f t="shared" si="12"/>
        <v>3 LeadGen Set Appointments</v>
      </c>
    </row>
    <row r="5110" hidden="1">
      <c r="A5110" s="6" t="s">
        <v>67</v>
      </c>
      <c r="B5110" s="13" t="s">
        <v>2284</v>
      </c>
      <c r="C5110" s="13" t="s">
        <v>2285</v>
      </c>
      <c r="D5110" s="15">
        <v>3.0</v>
      </c>
      <c r="E5110" s="67">
        <f t="shared" si="16"/>
        <v>750</v>
      </c>
      <c r="F5110" s="67" t="str">
        <f t="shared" si="12"/>
        <v>3 LeadGen Set Appointments</v>
      </c>
    </row>
    <row r="5111" hidden="1">
      <c r="A5111" s="6" t="s">
        <v>67</v>
      </c>
      <c r="B5111" s="13" t="s">
        <v>582</v>
      </c>
      <c r="C5111" s="13" t="s">
        <v>583</v>
      </c>
      <c r="D5111" s="15">
        <v>3.0</v>
      </c>
      <c r="E5111" s="67">
        <f t="shared" si="16"/>
        <v>750</v>
      </c>
      <c r="F5111" s="67" t="str">
        <f t="shared" si="12"/>
        <v>3 LeadGen Set Appointments</v>
      </c>
    </row>
    <row r="5112" hidden="1">
      <c r="A5112" s="6" t="s">
        <v>67</v>
      </c>
      <c r="B5112" s="13" t="s">
        <v>626</v>
      </c>
      <c r="C5112" s="13" t="s">
        <v>627</v>
      </c>
      <c r="D5112" s="15">
        <v>3.0</v>
      </c>
      <c r="E5112" s="67">
        <f t="shared" si="16"/>
        <v>750</v>
      </c>
      <c r="F5112" s="67" t="str">
        <f t="shared" si="12"/>
        <v>3 LeadGen Set Appointments</v>
      </c>
    </row>
    <row r="5113" hidden="1">
      <c r="A5113" s="6" t="s">
        <v>67</v>
      </c>
      <c r="B5113" s="13" t="s">
        <v>1587</v>
      </c>
      <c r="C5113" s="13" t="s">
        <v>2217</v>
      </c>
      <c r="D5113" s="15">
        <v>3.0</v>
      </c>
      <c r="E5113" s="67">
        <f t="shared" si="16"/>
        <v>750</v>
      </c>
      <c r="F5113" s="67" t="str">
        <f t="shared" si="12"/>
        <v>3 LeadGen Set Appointments</v>
      </c>
    </row>
    <row r="5114" hidden="1">
      <c r="A5114" s="6" t="s">
        <v>67</v>
      </c>
      <c r="B5114" s="13" t="s">
        <v>2286</v>
      </c>
      <c r="C5114" s="13" t="s">
        <v>2287</v>
      </c>
      <c r="D5114" s="15">
        <v>3.0</v>
      </c>
      <c r="E5114" s="67">
        <f t="shared" si="16"/>
        <v>750</v>
      </c>
      <c r="F5114" s="67" t="str">
        <f t="shared" si="12"/>
        <v>3 LeadGen Set Appointments</v>
      </c>
    </row>
    <row r="5115" hidden="1">
      <c r="A5115" s="6" t="s">
        <v>67</v>
      </c>
      <c r="B5115" s="13" t="s">
        <v>2163</v>
      </c>
      <c r="C5115" s="13" t="s">
        <v>2164</v>
      </c>
      <c r="D5115" s="15">
        <v>3.0</v>
      </c>
      <c r="E5115" s="67">
        <f t="shared" si="16"/>
        <v>750</v>
      </c>
      <c r="F5115" s="67" t="str">
        <f t="shared" si="12"/>
        <v>3 LeadGen Set Appointments</v>
      </c>
    </row>
    <row r="5116" hidden="1">
      <c r="A5116" s="6" t="s">
        <v>67</v>
      </c>
      <c r="B5116" s="13" t="s">
        <v>2288</v>
      </c>
      <c r="C5116" s="13" t="s">
        <v>2289</v>
      </c>
      <c r="D5116" s="15">
        <v>3.0</v>
      </c>
      <c r="E5116" s="67">
        <f t="shared" si="16"/>
        <v>750</v>
      </c>
      <c r="F5116" s="67" t="str">
        <f t="shared" si="12"/>
        <v>3 LeadGen Set Appointments</v>
      </c>
    </row>
    <row r="5117" hidden="1">
      <c r="A5117" s="6" t="s">
        <v>67</v>
      </c>
      <c r="B5117" s="13" t="s">
        <v>1157</v>
      </c>
      <c r="C5117" s="13" t="s">
        <v>1158</v>
      </c>
      <c r="D5117" s="15">
        <v>3.0</v>
      </c>
      <c r="E5117" s="67">
        <f t="shared" si="16"/>
        <v>750</v>
      </c>
      <c r="F5117" s="67" t="str">
        <f t="shared" si="12"/>
        <v>3 LeadGen Set Appointments</v>
      </c>
    </row>
    <row r="5118" hidden="1">
      <c r="A5118" s="6" t="s">
        <v>67</v>
      </c>
      <c r="B5118" s="13" t="s">
        <v>1935</v>
      </c>
      <c r="C5118" s="13" t="s">
        <v>1936</v>
      </c>
      <c r="D5118" s="15">
        <v>3.0</v>
      </c>
      <c r="E5118" s="67">
        <f t="shared" si="16"/>
        <v>750</v>
      </c>
      <c r="F5118" s="67" t="str">
        <f t="shared" si="12"/>
        <v>3 LeadGen Set Appointments</v>
      </c>
    </row>
    <row r="5119" hidden="1">
      <c r="A5119" s="6" t="s">
        <v>67</v>
      </c>
      <c r="B5119" s="13" t="s">
        <v>2290</v>
      </c>
      <c r="C5119" s="13" t="s">
        <v>2291</v>
      </c>
      <c r="D5119" s="15">
        <v>3.0</v>
      </c>
      <c r="E5119" s="67">
        <f t="shared" si="16"/>
        <v>750</v>
      </c>
      <c r="F5119" s="67" t="str">
        <f t="shared" si="12"/>
        <v>3 LeadGen Set Appointments</v>
      </c>
    </row>
    <row r="5120" hidden="1">
      <c r="A5120" s="6" t="s">
        <v>67</v>
      </c>
      <c r="B5120" s="13" t="s">
        <v>1569</v>
      </c>
      <c r="C5120" s="13" t="s">
        <v>1570</v>
      </c>
      <c r="D5120" s="15">
        <v>3.0</v>
      </c>
      <c r="E5120" s="67">
        <f t="shared" si="16"/>
        <v>750</v>
      </c>
      <c r="F5120" s="67" t="str">
        <f t="shared" si="12"/>
        <v>3 LeadGen Set Appointments</v>
      </c>
    </row>
    <row r="5121" hidden="1">
      <c r="A5121" s="6" t="s">
        <v>67</v>
      </c>
      <c r="B5121" s="13" t="s">
        <v>2081</v>
      </c>
      <c r="C5121" s="13" t="s">
        <v>2082</v>
      </c>
      <c r="D5121" s="15">
        <v>3.0</v>
      </c>
      <c r="E5121" s="67">
        <f t="shared" si="16"/>
        <v>750</v>
      </c>
      <c r="F5121" s="67" t="str">
        <f t="shared" si="12"/>
        <v>3 LeadGen Set Appointments</v>
      </c>
    </row>
    <row r="5122" hidden="1">
      <c r="A5122" s="6" t="s">
        <v>67</v>
      </c>
      <c r="B5122" s="13" t="s">
        <v>1933</v>
      </c>
      <c r="C5122" s="13" t="s">
        <v>1934</v>
      </c>
      <c r="D5122" s="15">
        <v>3.0</v>
      </c>
      <c r="E5122" s="67">
        <f t="shared" si="16"/>
        <v>750</v>
      </c>
      <c r="F5122" s="67" t="str">
        <f t="shared" si="12"/>
        <v>3 LeadGen Set Appointments</v>
      </c>
    </row>
    <row r="5123" hidden="1">
      <c r="A5123" s="6" t="s">
        <v>67</v>
      </c>
      <c r="B5123" s="13" t="s">
        <v>1283</v>
      </c>
      <c r="C5123" s="13" t="s">
        <v>404</v>
      </c>
      <c r="D5123" s="15">
        <v>3.0</v>
      </c>
      <c r="E5123" s="67">
        <f t="shared" si="16"/>
        <v>750</v>
      </c>
      <c r="F5123" s="67" t="str">
        <f t="shared" si="12"/>
        <v>3 LeadGen Set Appointments</v>
      </c>
    </row>
    <row r="5124" hidden="1">
      <c r="A5124" s="6" t="s">
        <v>67</v>
      </c>
      <c r="B5124" s="13" t="s">
        <v>2209</v>
      </c>
      <c r="C5124" s="13" t="s">
        <v>2210</v>
      </c>
      <c r="D5124" s="15">
        <v>3.0</v>
      </c>
      <c r="E5124" s="67">
        <f t="shared" si="16"/>
        <v>750</v>
      </c>
      <c r="F5124" s="67" t="str">
        <f t="shared" si="12"/>
        <v>3 LeadGen Set Appointments</v>
      </c>
    </row>
    <row r="5125" hidden="1">
      <c r="A5125" s="6" t="s">
        <v>67</v>
      </c>
      <c r="B5125" s="13" t="s">
        <v>1859</v>
      </c>
      <c r="C5125" s="13" t="s">
        <v>2247</v>
      </c>
      <c r="D5125" s="15">
        <v>3.0</v>
      </c>
      <c r="E5125" s="67">
        <f t="shared" si="16"/>
        <v>750</v>
      </c>
      <c r="F5125" s="67" t="str">
        <f t="shared" si="12"/>
        <v>3 LeadGen Set Appointments</v>
      </c>
    </row>
    <row r="5126" hidden="1">
      <c r="A5126" s="6" t="s">
        <v>67</v>
      </c>
      <c r="B5126" s="13" t="s">
        <v>2139</v>
      </c>
      <c r="C5126" s="13" t="s">
        <v>2140</v>
      </c>
      <c r="D5126" s="15">
        <v>3.0</v>
      </c>
      <c r="E5126" s="67">
        <f t="shared" si="16"/>
        <v>750</v>
      </c>
      <c r="F5126" s="67" t="str">
        <f t="shared" si="12"/>
        <v>3 LeadGen Set Appointments</v>
      </c>
    </row>
    <row r="5127" hidden="1">
      <c r="A5127" s="6" t="s">
        <v>67</v>
      </c>
      <c r="B5127" s="13" t="s">
        <v>606</v>
      </c>
      <c r="C5127" s="13" t="s">
        <v>607</v>
      </c>
      <c r="D5127" s="15">
        <v>2.0</v>
      </c>
      <c r="E5127" s="67">
        <f t="shared" si="16"/>
        <v>500</v>
      </c>
      <c r="F5127" s="67" t="str">
        <f t="shared" si="12"/>
        <v>2 LeadGen Set Appointments</v>
      </c>
    </row>
    <row r="5128" hidden="1">
      <c r="A5128" s="6" t="s">
        <v>67</v>
      </c>
      <c r="B5128" s="13" t="s">
        <v>2048</v>
      </c>
      <c r="C5128" s="13" t="s">
        <v>2049</v>
      </c>
      <c r="D5128" s="15">
        <v>2.0</v>
      </c>
      <c r="E5128" s="67">
        <f t="shared" si="16"/>
        <v>500</v>
      </c>
      <c r="F5128" s="67" t="str">
        <f t="shared" si="12"/>
        <v>2 LeadGen Set Appointments</v>
      </c>
    </row>
    <row r="5129" hidden="1">
      <c r="A5129" s="6" t="s">
        <v>67</v>
      </c>
      <c r="B5129" s="13" t="s">
        <v>1577</v>
      </c>
      <c r="C5129" s="13" t="s">
        <v>1578</v>
      </c>
      <c r="D5129" s="15">
        <v>2.0</v>
      </c>
      <c r="E5129" s="67">
        <f t="shared" si="16"/>
        <v>500</v>
      </c>
      <c r="F5129" s="67" t="str">
        <f t="shared" si="12"/>
        <v>2 LeadGen Set Appointments</v>
      </c>
    </row>
    <row r="5130" hidden="1">
      <c r="A5130" s="6" t="s">
        <v>67</v>
      </c>
      <c r="B5130" s="13" t="s">
        <v>1761</v>
      </c>
      <c r="C5130" s="13" t="s">
        <v>1762</v>
      </c>
      <c r="D5130" s="15">
        <v>2.0</v>
      </c>
      <c r="E5130" s="67">
        <f t="shared" si="16"/>
        <v>500</v>
      </c>
      <c r="F5130" s="67" t="str">
        <f t="shared" si="12"/>
        <v>2 LeadGen Set Appointments</v>
      </c>
    </row>
    <row r="5131" hidden="1">
      <c r="A5131" s="6" t="s">
        <v>67</v>
      </c>
      <c r="B5131" s="13" t="s">
        <v>2274</v>
      </c>
      <c r="C5131" s="13" t="s">
        <v>2275</v>
      </c>
      <c r="D5131" s="15">
        <v>2.0</v>
      </c>
      <c r="E5131" s="67">
        <f t="shared" si="16"/>
        <v>500</v>
      </c>
      <c r="F5131" s="67" t="str">
        <f t="shared" si="12"/>
        <v>2 LeadGen Set Appointments</v>
      </c>
    </row>
    <row r="5132" hidden="1">
      <c r="A5132" s="6" t="s">
        <v>67</v>
      </c>
      <c r="B5132" s="13" t="s">
        <v>2193</v>
      </c>
      <c r="C5132" s="13" t="s">
        <v>2194</v>
      </c>
      <c r="D5132" s="15">
        <v>2.0</v>
      </c>
      <c r="E5132" s="67">
        <f t="shared" si="16"/>
        <v>500</v>
      </c>
      <c r="F5132" s="67" t="str">
        <f t="shared" si="12"/>
        <v>2 LeadGen Set Appointments</v>
      </c>
    </row>
    <row r="5133" hidden="1">
      <c r="A5133" s="6" t="s">
        <v>67</v>
      </c>
      <c r="B5133" s="13" t="s">
        <v>2262</v>
      </c>
      <c r="C5133" s="13" t="s">
        <v>2263</v>
      </c>
      <c r="D5133" s="15">
        <v>2.0</v>
      </c>
      <c r="E5133" s="67">
        <f t="shared" si="16"/>
        <v>500</v>
      </c>
      <c r="F5133" s="67" t="str">
        <f t="shared" si="12"/>
        <v>2 LeadGen Set Appointments</v>
      </c>
    </row>
    <row r="5134" hidden="1">
      <c r="A5134" s="6" t="s">
        <v>67</v>
      </c>
      <c r="B5134" s="13" t="s">
        <v>684</v>
      </c>
      <c r="C5134" s="13" t="s">
        <v>685</v>
      </c>
      <c r="D5134" s="15">
        <v>2.0</v>
      </c>
      <c r="E5134" s="67">
        <f t="shared" si="16"/>
        <v>500</v>
      </c>
      <c r="F5134" s="67" t="str">
        <f t="shared" si="12"/>
        <v>2 LeadGen Set Appointments</v>
      </c>
    </row>
    <row r="5135" hidden="1">
      <c r="A5135" s="6" t="s">
        <v>67</v>
      </c>
      <c r="B5135" s="13" t="s">
        <v>1545</v>
      </c>
      <c r="C5135" s="13" t="s">
        <v>1546</v>
      </c>
      <c r="D5135" s="15">
        <v>2.0</v>
      </c>
      <c r="E5135" s="67">
        <f t="shared" si="16"/>
        <v>500</v>
      </c>
      <c r="F5135" s="67" t="str">
        <f t="shared" si="12"/>
        <v>2 LeadGen Set Appointments</v>
      </c>
    </row>
    <row r="5136" hidden="1">
      <c r="A5136" s="6" t="s">
        <v>67</v>
      </c>
      <c r="B5136" s="13" t="s">
        <v>2215</v>
      </c>
      <c r="C5136" s="13" t="s">
        <v>2216</v>
      </c>
      <c r="D5136" s="15">
        <v>2.0</v>
      </c>
      <c r="E5136" s="67">
        <f t="shared" si="16"/>
        <v>500</v>
      </c>
      <c r="F5136" s="67" t="str">
        <f t="shared" si="12"/>
        <v>2 LeadGen Set Appointments</v>
      </c>
    </row>
    <row r="5137" hidden="1">
      <c r="A5137" s="6" t="s">
        <v>67</v>
      </c>
      <c r="B5137" s="13" t="s">
        <v>752</v>
      </c>
      <c r="C5137" s="13" t="s">
        <v>753</v>
      </c>
      <c r="D5137" s="15">
        <v>2.0</v>
      </c>
      <c r="E5137" s="67">
        <f t="shared" si="16"/>
        <v>500</v>
      </c>
      <c r="F5137" s="67" t="str">
        <f t="shared" si="12"/>
        <v>2 LeadGen Set Appointments</v>
      </c>
    </row>
    <row r="5138" hidden="1">
      <c r="A5138" s="6" t="s">
        <v>67</v>
      </c>
      <c r="B5138" s="13" t="s">
        <v>2228</v>
      </c>
      <c r="C5138" s="13" t="s">
        <v>2229</v>
      </c>
      <c r="D5138" s="15">
        <v>2.0</v>
      </c>
      <c r="E5138" s="67">
        <f t="shared" si="16"/>
        <v>500</v>
      </c>
      <c r="F5138" s="67" t="str">
        <f t="shared" si="12"/>
        <v>2 LeadGen Set Appointments</v>
      </c>
    </row>
    <row r="5139" hidden="1">
      <c r="A5139" s="6" t="s">
        <v>67</v>
      </c>
      <c r="B5139" s="13" t="s">
        <v>2292</v>
      </c>
      <c r="C5139" s="13" t="s">
        <v>2293</v>
      </c>
      <c r="D5139" s="15">
        <v>2.0</v>
      </c>
      <c r="E5139" s="67">
        <f t="shared" si="16"/>
        <v>500</v>
      </c>
      <c r="F5139" s="67" t="str">
        <f t="shared" si="12"/>
        <v>2 LeadGen Set Appointments</v>
      </c>
    </row>
    <row r="5140" hidden="1">
      <c r="A5140" s="6" t="s">
        <v>67</v>
      </c>
      <c r="B5140" s="13" t="s">
        <v>2179</v>
      </c>
      <c r="C5140" s="13" t="s">
        <v>2180</v>
      </c>
      <c r="D5140" s="15">
        <v>2.0</v>
      </c>
      <c r="E5140" s="67">
        <f t="shared" si="16"/>
        <v>500</v>
      </c>
      <c r="F5140" s="67" t="str">
        <f t="shared" si="12"/>
        <v>2 LeadGen Set Appointments</v>
      </c>
    </row>
    <row r="5141" hidden="1">
      <c r="A5141" s="6" t="s">
        <v>67</v>
      </c>
      <c r="B5141" s="13" t="s">
        <v>1477</v>
      </c>
      <c r="C5141" s="13" t="s">
        <v>1478</v>
      </c>
      <c r="D5141" s="15">
        <v>2.0</v>
      </c>
      <c r="E5141" s="67">
        <f t="shared" si="16"/>
        <v>500</v>
      </c>
      <c r="F5141" s="67" t="str">
        <f t="shared" si="12"/>
        <v>2 LeadGen Set Appointments</v>
      </c>
    </row>
    <row r="5142" hidden="1">
      <c r="A5142" s="6" t="s">
        <v>67</v>
      </c>
      <c r="B5142" s="13" t="s">
        <v>2125</v>
      </c>
      <c r="C5142" s="13" t="s">
        <v>2126</v>
      </c>
      <c r="D5142" s="15">
        <v>2.0</v>
      </c>
      <c r="E5142" s="67">
        <f t="shared" si="16"/>
        <v>500</v>
      </c>
      <c r="F5142" s="67" t="str">
        <f t="shared" si="12"/>
        <v>2 LeadGen Set Appointments</v>
      </c>
    </row>
    <row r="5143" hidden="1">
      <c r="A5143" s="6" t="s">
        <v>67</v>
      </c>
      <c r="B5143" s="13" t="s">
        <v>2127</v>
      </c>
      <c r="C5143" s="13" t="s">
        <v>2128</v>
      </c>
      <c r="D5143" s="15">
        <v>2.0</v>
      </c>
      <c r="E5143" s="67">
        <f t="shared" si="16"/>
        <v>500</v>
      </c>
      <c r="F5143" s="67" t="str">
        <f t="shared" si="12"/>
        <v>2 LeadGen Set Appointments</v>
      </c>
    </row>
    <row r="5144" hidden="1">
      <c r="A5144" s="6" t="s">
        <v>67</v>
      </c>
      <c r="B5144" s="13" t="s">
        <v>2294</v>
      </c>
      <c r="C5144" s="13" t="s">
        <v>2295</v>
      </c>
      <c r="D5144" s="15">
        <v>2.0</v>
      </c>
      <c r="E5144" s="67">
        <f t="shared" si="16"/>
        <v>500</v>
      </c>
      <c r="F5144" s="67" t="str">
        <f t="shared" si="12"/>
        <v>2 LeadGen Set Appointments</v>
      </c>
    </row>
    <row r="5145" hidden="1">
      <c r="A5145" s="6" t="s">
        <v>67</v>
      </c>
      <c r="B5145" s="13" t="s">
        <v>717</v>
      </c>
      <c r="C5145" s="13" t="s">
        <v>718</v>
      </c>
      <c r="D5145" s="15">
        <v>2.0</v>
      </c>
      <c r="E5145" s="67">
        <f t="shared" si="16"/>
        <v>500</v>
      </c>
      <c r="F5145" s="67" t="str">
        <f t="shared" si="12"/>
        <v>2 LeadGen Set Appointments</v>
      </c>
    </row>
    <row r="5146" hidden="1">
      <c r="A5146" s="6" t="s">
        <v>67</v>
      </c>
      <c r="B5146" s="13" t="s">
        <v>1724</v>
      </c>
      <c r="C5146" s="13" t="s">
        <v>1725</v>
      </c>
      <c r="D5146" s="15">
        <v>2.0</v>
      </c>
      <c r="E5146" s="67">
        <f t="shared" si="16"/>
        <v>500</v>
      </c>
      <c r="F5146" s="67" t="str">
        <f t="shared" si="12"/>
        <v>2 LeadGen Set Appointments</v>
      </c>
    </row>
    <row r="5147" hidden="1">
      <c r="A5147" s="6" t="s">
        <v>67</v>
      </c>
      <c r="B5147" s="13" t="s">
        <v>1325</v>
      </c>
      <c r="C5147" s="13" t="s">
        <v>1326</v>
      </c>
      <c r="D5147" s="15">
        <v>2.0</v>
      </c>
      <c r="E5147" s="67">
        <f t="shared" si="16"/>
        <v>500</v>
      </c>
      <c r="F5147" s="67" t="str">
        <f t="shared" si="12"/>
        <v>2 LeadGen Set Appointments</v>
      </c>
    </row>
    <row r="5148" hidden="1">
      <c r="A5148" s="6" t="s">
        <v>67</v>
      </c>
      <c r="B5148" s="13" t="s">
        <v>2100</v>
      </c>
      <c r="C5148" s="13" t="s">
        <v>2101</v>
      </c>
      <c r="D5148" s="15">
        <v>2.0</v>
      </c>
      <c r="E5148" s="67">
        <f t="shared" si="16"/>
        <v>500</v>
      </c>
      <c r="F5148" s="67" t="str">
        <f t="shared" si="12"/>
        <v>2 LeadGen Set Appointments</v>
      </c>
    </row>
    <row r="5149" hidden="1">
      <c r="A5149" s="6" t="s">
        <v>67</v>
      </c>
      <c r="B5149" s="13" t="s">
        <v>1421</v>
      </c>
      <c r="C5149" s="13" t="s">
        <v>712</v>
      </c>
      <c r="D5149" s="15">
        <v>2.0</v>
      </c>
      <c r="E5149" s="67">
        <f t="shared" si="16"/>
        <v>500</v>
      </c>
      <c r="F5149" s="67" t="str">
        <f t="shared" si="12"/>
        <v>2 LeadGen Set Appointments</v>
      </c>
    </row>
    <row r="5150" hidden="1">
      <c r="A5150" s="6" t="s">
        <v>67</v>
      </c>
      <c r="B5150" s="13" t="s">
        <v>1657</v>
      </c>
      <c r="C5150" s="13" t="s">
        <v>1658</v>
      </c>
      <c r="D5150" s="15">
        <v>2.0</v>
      </c>
      <c r="E5150" s="67">
        <f t="shared" si="16"/>
        <v>500</v>
      </c>
      <c r="F5150" s="67" t="str">
        <f t="shared" si="12"/>
        <v>2 LeadGen Set Appointments</v>
      </c>
    </row>
    <row r="5151" hidden="1">
      <c r="A5151" s="6" t="s">
        <v>67</v>
      </c>
      <c r="B5151" s="13" t="s">
        <v>2232</v>
      </c>
      <c r="C5151" s="13" t="s">
        <v>2233</v>
      </c>
      <c r="D5151" s="15">
        <v>2.0</v>
      </c>
      <c r="E5151" s="67">
        <f t="shared" si="16"/>
        <v>500</v>
      </c>
      <c r="F5151" s="67" t="str">
        <f t="shared" si="12"/>
        <v>2 LeadGen Set Appointments</v>
      </c>
    </row>
    <row r="5152" hidden="1">
      <c r="A5152" s="6" t="s">
        <v>67</v>
      </c>
      <c r="B5152" s="13" t="s">
        <v>1333</v>
      </c>
      <c r="C5152" s="13" t="s">
        <v>551</v>
      </c>
      <c r="D5152" s="15">
        <v>2.0</v>
      </c>
      <c r="E5152" s="67">
        <f t="shared" si="16"/>
        <v>500</v>
      </c>
      <c r="F5152" s="67" t="str">
        <f t="shared" si="12"/>
        <v>2 LeadGen Set Appointments</v>
      </c>
    </row>
    <row r="5153" hidden="1">
      <c r="A5153" s="6" t="s">
        <v>67</v>
      </c>
      <c r="B5153" s="13" t="s">
        <v>1834</v>
      </c>
      <c r="C5153" s="13" t="s">
        <v>2296</v>
      </c>
      <c r="D5153" s="15">
        <v>2.0</v>
      </c>
      <c r="E5153" s="67">
        <f t="shared" si="16"/>
        <v>500</v>
      </c>
      <c r="F5153" s="67" t="str">
        <f t="shared" si="12"/>
        <v>2 LeadGen Set Appointments</v>
      </c>
    </row>
    <row r="5154" hidden="1">
      <c r="A5154" s="6" t="s">
        <v>67</v>
      </c>
      <c r="B5154" s="13" t="s">
        <v>2297</v>
      </c>
      <c r="C5154" s="13" t="s">
        <v>2298</v>
      </c>
      <c r="D5154" s="15">
        <v>2.0</v>
      </c>
      <c r="E5154" s="67">
        <f t="shared" si="16"/>
        <v>500</v>
      </c>
      <c r="F5154" s="67" t="str">
        <f t="shared" si="12"/>
        <v>2 LeadGen Set Appointments</v>
      </c>
    </row>
    <row r="5155" hidden="1">
      <c r="A5155" s="6" t="s">
        <v>67</v>
      </c>
      <c r="B5155" s="13" t="s">
        <v>1674</v>
      </c>
      <c r="C5155" s="13" t="s">
        <v>1675</v>
      </c>
      <c r="D5155" s="15">
        <v>2.0</v>
      </c>
      <c r="E5155" s="67">
        <f t="shared" si="16"/>
        <v>500</v>
      </c>
      <c r="F5155" s="67" t="str">
        <f t="shared" si="12"/>
        <v>2 LeadGen Set Appointments</v>
      </c>
    </row>
    <row r="5156" hidden="1">
      <c r="A5156" s="6" t="s">
        <v>67</v>
      </c>
      <c r="B5156" s="13" t="s">
        <v>2268</v>
      </c>
      <c r="C5156" s="13" t="s">
        <v>2269</v>
      </c>
      <c r="D5156" s="15">
        <v>2.0</v>
      </c>
      <c r="E5156" s="67">
        <f t="shared" si="16"/>
        <v>500</v>
      </c>
      <c r="F5156" s="67" t="str">
        <f t="shared" si="12"/>
        <v>2 LeadGen Set Appointments</v>
      </c>
    </row>
    <row r="5157" hidden="1">
      <c r="A5157" s="6" t="s">
        <v>67</v>
      </c>
      <c r="B5157" s="13" t="s">
        <v>2236</v>
      </c>
      <c r="C5157" s="13" t="s">
        <v>2237</v>
      </c>
      <c r="D5157" s="15">
        <v>2.0</v>
      </c>
      <c r="E5157" s="67">
        <f t="shared" si="16"/>
        <v>500</v>
      </c>
      <c r="F5157" s="67" t="str">
        <f t="shared" si="12"/>
        <v>2 LeadGen Set Appointments</v>
      </c>
    </row>
    <row r="5158" hidden="1">
      <c r="A5158" s="6" t="s">
        <v>67</v>
      </c>
      <c r="B5158" s="13" t="s">
        <v>2243</v>
      </c>
      <c r="C5158" s="13" t="s">
        <v>2244</v>
      </c>
      <c r="D5158" s="15">
        <v>2.0</v>
      </c>
      <c r="E5158" s="67">
        <f t="shared" si="16"/>
        <v>500</v>
      </c>
      <c r="F5158" s="67" t="str">
        <f t="shared" si="12"/>
        <v>2 LeadGen Set Appointments</v>
      </c>
    </row>
    <row r="5159" hidden="1">
      <c r="A5159" s="6" t="s">
        <v>67</v>
      </c>
      <c r="B5159" s="13" t="s">
        <v>2224</v>
      </c>
      <c r="C5159" s="13" t="s">
        <v>2225</v>
      </c>
      <c r="D5159" s="15">
        <v>2.0</v>
      </c>
      <c r="E5159" s="67">
        <f t="shared" si="16"/>
        <v>500</v>
      </c>
      <c r="F5159" s="67" t="str">
        <f t="shared" si="12"/>
        <v>2 LeadGen Set Appointments</v>
      </c>
    </row>
    <row r="5160" hidden="1">
      <c r="A5160" s="6" t="s">
        <v>67</v>
      </c>
      <c r="B5160" s="13" t="s">
        <v>1911</v>
      </c>
      <c r="C5160" s="13" t="s">
        <v>1912</v>
      </c>
      <c r="D5160" s="15">
        <v>2.0</v>
      </c>
      <c r="E5160" s="67">
        <f t="shared" si="16"/>
        <v>500</v>
      </c>
      <c r="F5160" s="67" t="str">
        <f t="shared" si="12"/>
        <v>2 LeadGen Set Appointments</v>
      </c>
    </row>
    <row r="5161" hidden="1">
      <c r="A5161" s="6" t="s">
        <v>67</v>
      </c>
      <c r="B5161" s="13" t="s">
        <v>2183</v>
      </c>
      <c r="C5161" s="13" t="s">
        <v>2184</v>
      </c>
      <c r="D5161" s="15">
        <v>2.0</v>
      </c>
      <c r="E5161" s="67">
        <f t="shared" si="16"/>
        <v>500</v>
      </c>
      <c r="F5161" s="67" t="str">
        <f t="shared" si="12"/>
        <v>2 LeadGen Set Appointments</v>
      </c>
    </row>
    <row r="5162" hidden="1">
      <c r="A5162" s="6" t="s">
        <v>67</v>
      </c>
      <c r="B5162" s="13" t="s">
        <v>2185</v>
      </c>
      <c r="C5162" s="13" t="s">
        <v>2186</v>
      </c>
      <c r="D5162" s="15">
        <v>2.0</v>
      </c>
      <c r="E5162" s="67">
        <f t="shared" si="16"/>
        <v>500</v>
      </c>
      <c r="F5162" s="67" t="str">
        <f t="shared" si="12"/>
        <v>2 LeadGen Set Appointments</v>
      </c>
    </row>
    <row r="5163" hidden="1">
      <c r="A5163" s="6" t="s">
        <v>67</v>
      </c>
      <c r="B5163" s="13" t="s">
        <v>566</v>
      </c>
      <c r="C5163" s="13" t="s">
        <v>567</v>
      </c>
      <c r="D5163" s="15">
        <v>2.0</v>
      </c>
      <c r="E5163" s="67">
        <f t="shared" si="16"/>
        <v>500</v>
      </c>
      <c r="F5163" s="67" t="str">
        <f t="shared" si="12"/>
        <v>2 LeadGen Set Appointments</v>
      </c>
    </row>
    <row r="5164" hidden="1">
      <c r="A5164" s="6" t="s">
        <v>67</v>
      </c>
      <c r="B5164" s="13" t="s">
        <v>2218</v>
      </c>
      <c r="C5164" s="13" t="s">
        <v>2219</v>
      </c>
      <c r="D5164" s="15">
        <v>2.0</v>
      </c>
      <c r="E5164" s="67">
        <f t="shared" si="16"/>
        <v>500</v>
      </c>
      <c r="F5164" s="67" t="str">
        <f t="shared" si="12"/>
        <v>2 LeadGen Set Appointments</v>
      </c>
    </row>
    <row r="5165" hidden="1">
      <c r="A5165" s="6" t="s">
        <v>67</v>
      </c>
      <c r="B5165" s="13" t="s">
        <v>2169</v>
      </c>
      <c r="C5165" s="13" t="s">
        <v>2170</v>
      </c>
      <c r="D5165" s="15">
        <v>1.0</v>
      </c>
      <c r="E5165" s="67">
        <f t="shared" si="16"/>
        <v>250</v>
      </c>
      <c r="F5165" s="67" t="str">
        <f t="shared" si="12"/>
        <v>1 LeadGen Set Appointments</v>
      </c>
    </row>
    <row r="5166" hidden="1">
      <c r="A5166" s="6" t="s">
        <v>67</v>
      </c>
      <c r="B5166" s="13" t="s">
        <v>2250</v>
      </c>
      <c r="C5166" s="13" t="s">
        <v>2251</v>
      </c>
      <c r="D5166" s="15">
        <v>1.0</v>
      </c>
      <c r="E5166" s="67">
        <f t="shared" si="16"/>
        <v>250</v>
      </c>
      <c r="F5166" s="67" t="str">
        <f t="shared" si="12"/>
        <v>1 LeadGen Set Appointments</v>
      </c>
    </row>
    <row r="5167" hidden="1">
      <c r="A5167" s="6" t="s">
        <v>67</v>
      </c>
      <c r="B5167" s="13" t="s">
        <v>1209</v>
      </c>
      <c r="C5167" s="13" t="s">
        <v>2238</v>
      </c>
      <c r="D5167" s="15">
        <v>1.0</v>
      </c>
      <c r="E5167" s="67">
        <f t="shared" si="16"/>
        <v>250</v>
      </c>
      <c r="F5167" s="67" t="str">
        <f t="shared" si="12"/>
        <v>1 LeadGen Set Appointments</v>
      </c>
    </row>
    <row r="5168" hidden="1">
      <c r="A5168" s="6" t="s">
        <v>67</v>
      </c>
      <c r="B5168" s="13" t="s">
        <v>1986</v>
      </c>
      <c r="C5168" s="13" t="s">
        <v>1987</v>
      </c>
      <c r="D5168" s="15">
        <v>1.0</v>
      </c>
      <c r="E5168" s="67">
        <f t="shared" si="16"/>
        <v>250</v>
      </c>
      <c r="F5168" s="67" t="str">
        <f t="shared" si="12"/>
        <v>1 LeadGen Set Appointments</v>
      </c>
    </row>
    <row r="5169" hidden="1">
      <c r="A5169" s="6" t="s">
        <v>67</v>
      </c>
      <c r="B5169" s="13" t="s">
        <v>2299</v>
      </c>
      <c r="C5169" s="13" t="s">
        <v>2300</v>
      </c>
      <c r="D5169" s="15">
        <v>1.0</v>
      </c>
      <c r="E5169" s="67">
        <f t="shared" si="16"/>
        <v>250</v>
      </c>
      <c r="F5169" s="67" t="str">
        <f t="shared" si="12"/>
        <v>1 LeadGen Set Appointments</v>
      </c>
    </row>
    <row r="5170" hidden="1">
      <c r="A5170" s="6" t="s">
        <v>67</v>
      </c>
      <c r="B5170" s="13" t="s">
        <v>560</v>
      </c>
      <c r="C5170" s="13" t="s">
        <v>561</v>
      </c>
      <c r="D5170" s="15">
        <v>1.0</v>
      </c>
      <c r="E5170" s="67">
        <f t="shared" si="16"/>
        <v>250</v>
      </c>
      <c r="F5170" s="67" t="str">
        <f t="shared" si="12"/>
        <v>1 LeadGen Set Appointments</v>
      </c>
    </row>
    <row r="5171" hidden="1">
      <c r="A5171" s="6" t="s">
        <v>67</v>
      </c>
      <c r="B5171" s="13" t="s">
        <v>2301</v>
      </c>
      <c r="C5171" s="13" t="s">
        <v>2302</v>
      </c>
      <c r="D5171" s="15">
        <v>1.0</v>
      </c>
      <c r="E5171" s="67">
        <f t="shared" si="16"/>
        <v>250</v>
      </c>
      <c r="F5171" s="67" t="str">
        <f t="shared" si="12"/>
        <v>1 LeadGen Set Appointments</v>
      </c>
    </row>
    <row r="5172" hidden="1">
      <c r="A5172" s="6" t="s">
        <v>67</v>
      </c>
      <c r="B5172" s="13" t="s">
        <v>2230</v>
      </c>
      <c r="C5172" s="13" t="s">
        <v>2231</v>
      </c>
      <c r="D5172" s="15">
        <v>1.0</v>
      </c>
      <c r="E5172" s="67">
        <f t="shared" si="16"/>
        <v>250</v>
      </c>
      <c r="F5172" s="67" t="str">
        <f t="shared" si="12"/>
        <v>1 LeadGen Set Appointments</v>
      </c>
    </row>
    <row r="5173" hidden="1">
      <c r="A5173" s="6" t="s">
        <v>67</v>
      </c>
      <c r="B5173" s="13" t="s">
        <v>705</v>
      </c>
      <c r="C5173" s="13" t="s">
        <v>706</v>
      </c>
      <c r="D5173" s="15">
        <v>1.0</v>
      </c>
      <c r="E5173" s="67">
        <f t="shared" si="16"/>
        <v>250</v>
      </c>
      <c r="F5173" s="67" t="str">
        <f t="shared" si="12"/>
        <v>1 LeadGen Set Appointments</v>
      </c>
    </row>
    <row r="5174" hidden="1">
      <c r="A5174" s="6" t="s">
        <v>67</v>
      </c>
      <c r="B5174" s="13" t="s">
        <v>1612</v>
      </c>
      <c r="C5174" s="13" t="s">
        <v>1613</v>
      </c>
      <c r="D5174" s="15">
        <v>1.0</v>
      </c>
      <c r="E5174" s="67">
        <f t="shared" si="16"/>
        <v>250</v>
      </c>
      <c r="F5174" s="67" t="str">
        <f t="shared" si="12"/>
        <v>1 LeadGen Set Appointments</v>
      </c>
    </row>
    <row r="5175" hidden="1">
      <c r="A5175" s="6" t="s">
        <v>67</v>
      </c>
      <c r="B5175" s="13" t="s">
        <v>2093</v>
      </c>
      <c r="C5175" s="13" t="s">
        <v>2094</v>
      </c>
      <c r="D5175" s="15">
        <v>1.0</v>
      </c>
      <c r="E5175" s="67">
        <f t="shared" si="16"/>
        <v>250</v>
      </c>
      <c r="F5175" s="67" t="str">
        <f t="shared" si="12"/>
        <v>1 LeadGen Set Appointments</v>
      </c>
    </row>
    <row r="5176" hidden="1">
      <c r="A5176" s="6" t="s">
        <v>67</v>
      </c>
      <c r="B5176" s="13" t="s">
        <v>2303</v>
      </c>
      <c r="C5176" s="13" t="s">
        <v>2304</v>
      </c>
      <c r="D5176" s="15">
        <v>1.0</v>
      </c>
      <c r="E5176" s="67">
        <f t="shared" si="16"/>
        <v>250</v>
      </c>
      <c r="F5176" s="67" t="str">
        <f t="shared" si="12"/>
        <v>1 LeadGen Set Appointments</v>
      </c>
    </row>
    <row r="5177" hidden="1">
      <c r="A5177" s="6" t="s">
        <v>67</v>
      </c>
      <c r="B5177" s="13" t="s">
        <v>1653</v>
      </c>
      <c r="C5177" s="13" t="s">
        <v>1654</v>
      </c>
      <c r="D5177" s="15">
        <v>1.0</v>
      </c>
      <c r="E5177" s="67">
        <f t="shared" si="16"/>
        <v>250</v>
      </c>
      <c r="F5177" s="67" t="str">
        <f t="shared" si="12"/>
        <v>1 LeadGen Set Appointments</v>
      </c>
    </row>
    <row r="5178" hidden="1">
      <c r="A5178" s="6" t="s">
        <v>67</v>
      </c>
      <c r="B5178" s="13" t="s">
        <v>2305</v>
      </c>
      <c r="C5178" s="13" t="s">
        <v>2306</v>
      </c>
      <c r="D5178" s="15">
        <v>1.0</v>
      </c>
      <c r="E5178" s="67">
        <f t="shared" si="16"/>
        <v>250</v>
      </c>
      <c r="F5178" s="67" t="str">
        <f t="shared" si="12"/>
        <v>1 LeadGen Set Appointments</v>
      </c>
    </row>
    <row r="5179" hidden="1">
      <c r="A5179" s="6" t="s">
        <v>67</v>
      </c>
      <c r="B5179" s="13" t="s">
        <v>2241</v>
      </c>
      <c r="C5179" s="13" t="s">
        <v>2242</v>
      </c>
      <c r="D5179" s="15">
        <v>1.0</v>
      </c>
      <c r="E5179" s="67">
        <f t="shared" si="16"/>
        <v>250</v>
      </c>
      <c r="F5179" s="67" t="str">
        <f t="shared" si="12"/>
        <v>1 LeadGen Set Appointments</v>
      </c>
    </row>
    <row r="5180" hidden="1">
      <c r="A5180" s="6" t="s">
        <v>67</v>
      </c>
      <c r="B5180" s="13" t="s">
        <v>2258</v>
      </c>
      <c r="C5180" s="13" t="s">
        <v>2259</v>
      </c>
      <c r="D5180" s="15">
        <v>1.0</v>
      </c>
      <c r="E5180" s="67">
        <f t="shared" si="16"/>
        <v>250</v>
      </c>
      <c r="F5180" s="67" t="str">
        <f t="shared" si="12"/>
        <v>1 LeadGen Set Appointments</v>
      </c>
    </row>
    <row r="5181" hidden="1">
      <c r="A5181" s="6" t="s">
        <v>67</v>
      </c>
      <c r="B5181" s="13" t="s">
        <v>2307</v>
      </c>
      <c r="C5181" s="13" t="s">
        <v>2308</v>
      </c>
      <c r="D5181" s="15">
        <v>1.0</v>
      </c>
      <c r="E5181" s="67">
        <f t="shared" si="16"/>
        <v>250</v>
      </c>
      <c r="F5181" s="67" t="str">
        <f t="shared" si="12"/>
        <v>1 LeadGen Set Appointments</v>
      </c>
    </row>
    <row r="5182" hidden="1">
      <c r="A5182" s="6" t="s">
        <v>67</v>
      </c>
      <c r="B5182" s="13" t="s">
        <v>2309</v>
      </c>
      <c r="C5182" s="13" t="s">
        <v>2310</v>
      </c>
      <c r="D5182" s="15">
        <v>1.0</v>
      </c>
      <c r="E5182" s="67">
        <f t="shared" si="16"/>
        <v>250</v>
      </c>
      <c r="F5182" s="67" t="str">
        <f t="shared" si="12"/>
        <v>1 LeadGen Set Appointments</v>
      </c>
    </row>
    <row r="5183" hidden="1">
      <c r="A5183" s="6" t="s">
        <v>67</v>
      </c>
      <c r="B5183" s="13" t="s">
        <v>2311</v>
      </c>
      <c r="C5183" s="13" t="s">
        <v>2312</v>
      </c>
      <c r="D5183" s="15">
        <v>1.0</v>
      </c>
      <c r="E5183" s="67">
        <f t="shared" si="16"/>
        <v>250</v>
      </c>
      <c r="F5183" s="67" t="str">
        <f t="shared" si="12"/>
        <v>1 LeadGen Set Appointments</v>
      </c>
    </row>
    <row r="5184" hidden="1">
      <c r="A5184" s="6" t="s">
        <v>67</v>
      </c>
      <c r="B5184" s="13" t="s">
        <v>2313</v>
      </c>
      <c r="C5184" s="13" t="s">
        <v>2314</v>
      </c>
      <c r="D5184" s="15">
        <v>1.0</v>
      </c>
      <c r="E5184" s="67">
        <f t="shared" si="16"/>
        <v>250</v>
      </c>
      <c r="F5184" s="67" t="str">
        <f t="shared" si="12"/>
        <v>1 LeadGen Set Appointments</v>
      </c>
    </row>
    <row r="5185" hidden="1">
      <c r="A5185" s="6" t="s">
        <v>67</v>
      </c>
      <c r="B5185" s="13" t="s">
        <v>2315</v>
      </c>
      <c r="C5185" s="13" t="s">
        <v>2316</v>
      </c>
      <c r="D5185" s="15">
        <v>1.0</v>
      </c>
      <c r="E5185" s="67">
        <f t="shared" si="16"/>
        <v>250</v>
      </c>
      <c r="F5185" s="67" t="str">
        <f t="shared" si="12"/>
        <v>1 LeadGen Set Appointments</v>
      </c>
    </row>
    <row r="5186" hidden="1">
      <c r="A5186" s="6" t="s">
        <v>67</v>
      </c>
      <c r="B5186" s="13" t="s">
        <v>2260</v>
      </c>
      <c r="C5186" s="13" t="s">
        <v>2261</v>
      </c>
      <c r="D5186" s="15">
        <v>1.0</v>
      </c>
      <c r="E5186" s="67">
        <f t="shared" si="16"/>
        <v>250</v>
      </c>
      <c r="F5186" s="67" t="str">
        <f t="shared" si="12"/>
        <v>1 LeadGen Set Appointments</v>
      </c>
    </row>
    <row r="5187" hidden="1">
      <c r="A5187" s="6" t="s">
        <v>67</v>
      </c>
      <c r="B5187" s="13" t="s">
        <v>2317</v>
      </c>
      <c r="C5187" s="13" t="s">
        <v>2318</v>
      </c>
      <c r="D5187" s="15">
        <v>1.0</v>
      </c>
      <c r="E5187" s="67">
        <f t="shared" si="16"/>
        <v>250</v>
      </c>
      <c r="F5187" s="67" t="str">
        <f t="shared" si="12"/>
        <v>1 LeadGen Set Appointments</v>
      </c>
    </row>
    <row r="5188" hidden="1">
      <c r="A5188" s="6" t="s">
        <v>67</v>
      </c>
      <c r="B5188" s="13" t="s">
        <v>2319</v>
      </c>
      <c r="C5188" s="13" t="s">
        <v>2320</v>
      </c>
      <c r="D5188" s="15">
        <v>1.0</v>
      </c>
      <c r="E5188" s="67">
        <f t="shared" si="16"/>
        <v>250</v>
      </c>
      <c r="F5188" s="67" t="str">
        <f t="shared" si="12"/>
        <v>1 LeadGen Set Appointments</v>
      </c>
    </row>
    <row r="5189" hidden="1">
      <c r="A5189" s="6" t="s">
        <v>67</v>
      </c>
      <c r="B5189" s="13" t="s">
        <v>1625</v>
      </c>
      <c r="C5189" s="13" t="s">
        <v>1626</v>
      </c>
      <c r="D5189" s="15">
        <v>1.0</v>
      </c>
      <c r="E5189" s="67">
        <f t="shared" si="16"/>
        <v>250</v>
      </c>
      <c r="F5189" s="67" t="str">
        <f t="shared" si="12"/>
        <v>1 LeadGen Set Appointments</v>
      </c>
    </row>
    <row r="5190" hidden="1">
      <c r="A5190" s="6" t="s">
        <v>67</v>
      </c>
      <c r="B5190" s="13" t="s">
        <v>2165</v>
      </c>
      <c r="C5190" s="13" t="s">
        <v>2166</v>
      </c>
      <c r="D5190" s="15">
        <v>1.0</v>
      </c>
      <c r="E5190" s="67">
        <f t="shared" si="16"/>
        <v>250</v>
      </c>
      <c r="F5190" s="67" t="str">
        <f t="shared" si="12"/>
        <v>1 LeadGen Set Appointments</v>
      </c>
    </row>
    <row r="5191" hidden="1">
      <c r="A5191" s="6" t="s">
        <v>67</v>
      </c>
      <c r="B5191" s="13" t="s">
        <v>2111</v>
      </c>
      <c r="C5191" s="13" t="s">
        <v>2112</v>
      </c>
      <c r="D5191" s="15">
        <v>1.0</v>
      </c>
      <c r="E5191" s="67">
        <f t="shared" si="16"/>
        <v>250</v>
      </c>
      <c r="F5191" s="67" t="str">
        <f t="shared" si="12"/>
        <v>1 LeadGen Set Appointments</v>
      </c>
    </row>
    <row r="5192" hidden="1">
      <c r="A5192" s="6" t="s">
        <v>67</v>
      </c>
      <c r="B5192" s="13" t="s">
        <v>2321</v>
      </c>
      <c r="C5192" s="13" t="s">
        <v>2322</v>
      </c>
      <c r="D5192" s="15">
        <v>1.0</v>
      </c>
      <c r="E5192" s="67">
        <f t="shared" si="16"/>
        <v>250</v>
      </c>
      <c r="F5192" s="67" t="str">
        <f t="shared" si="12"/>
        <v>1 LeadGen Set Appointments</v>
      </c>
    </row>
    <row r="5193" hidden="1">
      <c r="A5193" s="6" t="s">
        <v>67</v>
      </c>
      <c r="B5193" s="13" t="s">
        <v>2264</v>
      </c>
      <c r="C5193" s="13" t="s">
        <v>2265</v>
      </c>
      <c r="D5193" s="15">
        <v>1.0</v>
      </c>
      <c r="E5193" s="67">
        <f t="shared" si="16"/>
        <v>250</v>
      </c>
      <c r="F5193" s="67" t="str">
        <f t="shared" si="12"/>
        <v>1 LeadGen Set Appointments</v>
      </c>
    </row>
    <row r="5194" hidden="1">
      <c r="A5194" s="6" t="s">
        <v>67</v>
      </c>
      <c r="B5194" s="13" t="s">
        <v>2323</v>
      </c>
      <c r="C5194" s="13" t="s">
        <v>2324</v>
      </c>
      <c r="D5194" s="15">
        <v>1.0</v>
      </c>
      <c r="E5194" s="67">
        <f t="shared" si="16"/>
        <v>250</v>
      </c>
      <c r="F5194" s="67" t="str">
        <f t="shared" si="12"/>
        <v>1 LeadGen Set Appointments</v>
      </c>
    </row>
    <row r="5195" hidden="1">
      <c r="A5195" s="6" t="s">
        <v>67</v>
      </c>
      <c r="B5195" s="13" t="s">
        <v>445</v>
      </c>
      <c r="C5195" s="13" t="s">
        <v>446</v>
      </c>
      <c r="D5195" s="15">
        <v>1.0</v>
      </c>
      <c r="E5195" s="67">
        <f t="shared" si="16"/>
        <v>250</v>
      </c>
      <c r="F5195" s="67" t="str">
        <f t="shared" si="12"/>
        <v>1 LeadGen Set Appointments</v>
      </c>
    </row>
    <row r="5196" hidden="1">
      <c r="A5196" s="6" t="s">
        <v>67</v>
      </c>
      <c r="B5196" s="13" t="s">
        <v>2325</v>
      </c>
      <c r="C5196" s="13" t="s">
        <v>2326</v>
      </c>
      <c r="D5196" s="15">
        <v>1.0</v>
      </c>
      <c r="E5196" s="67">
        <f t="shared" si="16"/>
        <v>250</v>
      </c>
      <c r="F5196" s="67" t="str">
        <f t="shared" si="12"/>
        <v>1 LeadGen Set Appointments</v>
      </c>
    </row>
    <row r="5197" hidden="1">
      <c r="A5197" s="6" t="s">
        <v>67</v>
      </c>
      <c r="B5197" s="13" t="s">
        <v>2113</v>
      </c>
      <c r="C5197" s="13" t="s">
        <v>2114</v>
      </c>
      <c r="D5197" s="15">
        <v>1.0</v>
      </c>
      <c r="E5197" s="67">
        <f t="shared" si="16"/>
        <v>250</v>
      </c>
      <c r="F5197" s="67" t="str">
        <f t="shared" si="12"/>
        <v>1 LeadGen Set Appointments</v>
      </c>
    </row>
    <row r="5198" hidden="1">
      <c r="A5198" s="6" t="s">
        <v>67</v>
      </c>
      <c r="B5198" s="13" t="s">
        <v>2327</v>
      </c>
      <c r="C5198" s="13" t="s">
        <v>2328</v>
      </c>
      <c r="D5198" s="15">
        <v>1.0</v>
      </c>
      <c r="E5198" s="67">
        <f t="shared" si="16"/>
        <v>250</v>
      </c>
      <c r="F5198" s="67" t="str">
        <f t="shared" si="12"/>
        <v>1 LeadGen Set Appointments</v>
      </c>
    </row>
    <row r="5199" hidden="1">
      <c r="A5199" s="6" t="s">
        <v>67</v>
      </c>
      <c r="B5199" s="13" t="s">
        <v>2329</v>
      </c>
      <c r="C5199" s="13" t="s">
        <v>2330</v>
      </c>
      <c r="D5199" s="15">
        <v>1.0</v>
      </c>
      <c r="E5199" s="67">
        <f t="shared" si="16"/>
        <v>250</v>
      </c>
      <c r="F5199" s="67" t="str">
        <f t="shared" si="12"/>
        <v>1 LeadGen Set Appointments</v>
      </c>
    </row>
    <row r="5200" hidden="1">
      <c r="A5200" s="6" t="s">
        <v>67</v>
      </c>
      <c r="B5200" s="13" t="s">
        <v>1964</v>
      </c>
      <c r="C5200" s="13" t="s">
        <v>1965</v>
      </c>
      <c r="D5200" s="15">
        <v>6.0</v>
      </c>
      <c r="E5200" s="67">
        <f t="shared" si="16"/>
        <v>1500</v>
      </c>
      <c r="F5200" s="67" t="str">
        <f t="shared" si="12"/>
        <v>6 LeadGen Set Appointments</v>
      </c>
    </row>
    <row r="5201" hidden="1">
      <c r="A5201" s="6" t="s">
        <v>67</v>
      </c>
      <c r="B5201" s="13" t="s">
        <v>1838</v>
      </c>
      <c r="C5201" s="13" t="s">
        <v>1839</v>
      </c>
      <c r="D5201" s="15">
        <v>3.0</v>
      </c>
      <c r="E5201" s="67">
        <f t="shared" si="16"/>
        <v>750</v>
      </c>
      <c r="F5201" s="67" t="str">
        <f t="shared" si="12"/>
        <v>3 LeadGen Set Appointments</v>
      </c>
    </row>
    <row r="5202" hidden="1">
      <c r="A5202" s="6" t="s">
        <v>67</v>
      </c>
      <c r="B5202" s="13" t="s">
        <v>2331</v>
      </c>
      <c r="C5202" s="13" t="s">
        <v>2332</v>
      </c>
      <c r="D5202" s="15">
        <v>2.0</v>
      </c>
      <c r="E5202" s="67">
        <f t="shared" si="16"/>
        <v>500</v>
      </c>
      <c r="F5202" s="67" t="str">
        <f t="shared" si="12"/>
        <v>2 LeadGen Set Appointments</v>
      </c>
    </row>
    <row r="5203" hidden="1">
      <c r="A5203" s="6" t="s">
        <v>69</v>
      </c>
      <c r="B5203" s="13" t="s">
        <v>476</v>
      </c>
      <c r="C5203" s="13" t="s">
        <v>477</v>
      </c>
      <c r="D5203" s="15">
        <v>49.0</v>
      </c>
      <c r="E5203" s="67">
        <f t="shared" si="16"/>
        <v>24500</v>
      </c>
      <c r="F5203" s="67" t="str">
        <f t="shared" si="12"/>
        <v>49 LeadGen Set Appointments</v>
      </c>
    </row>
    <row r="5204" hidden="1">
      <c r="A5204" s="6" t="s">
        <v>69</v>
      </c>
      <c r="B5204" s="13" t="s">
        <v>540</v>
      </c>
      <c r="C5204" s="13" t="s">
        <v>1454</v>
      </c>
      <c r="D5204" s="15">
        <v>28.0</v>
      </c>
      <c r="E5204" s="67">
        <f t="shared" si="16"/>
        <v>14000</v>
      </c>
      <c r="F5204" s="67" t="str">
        <f t="shared" si="12"/>
        <v>28 LeadGen Set Appointments</v>
      </c>
    </row>
    <row r="5205" hidden="1">
      <c r="A5205" s="6" t="s">
        <v>69</v>
      </c>
      <c r="B5205" s="13" t="s">
        <v>644</v>
      </c>
      <c r="C5205" s="13" t="s">
        <v>645</v>
      </c>
      <c r="D5205" s="15">
        <v>22.0</v>
      </c>
      <c r="E5205" s="67">
        <f t="shared" si="16"/>
        <v>11000</v>
      </c>
      <c r="F5205" s="67" t="str">
        <f t="shared" si="12"/>
        <v>22 LeadGen Set Appointments</v>
      </c>
    </row>
    <row r="5206" hidden="1">
      <c r="A5206" s="6" t="s">
        <v>69</v>
      </c>
      <c r="B5206" s="13" t="s">
        <v>1865</v>
      </c>
      <c r="C5206" s="13" t="s">
        <v>1866</v>
      </c>
      <c r="D5206" s="15">
        <v>17.0</v>
      </c>
      <c r="E5206" s="67">
        <f t="shared" si="16"/>
        <v>8500</v>
      </c>
      <c r="F5206" s="67" t="str">
        <f t="shared" si="12"/>
        <v>17 LeadGen Set Appointments</v>
      </c>
    </row>
    <row r="5207" hidden="1">
      <c r="A5207" s="6" t="s">
        <v>69</v>
      </c>
      <c r="B5207" s="13" t="s">
        <v>411</v>
      </c>
      <c r="C5207" s="13" t="s">
        <v>412</v>
      </c>
      <c r="D5207" s="15">
        <v>16.0</v>
      </c>
      <c r="E5207" s="67">
        <f t="shared" si="16"/>
        <v>8000</v>
      </c>
      <c r="F5207" s="67" t="str">
        <f t="shared" si="12"/>
        <v>16 LeadGen Set Appointments</v>
      </c>
    </row>
    <row r="5208" hidden="1">
      <c r="A5208" s="6" t="s">
        <v>69</v>
      </c>
      <c r="B5208" s="13" t="s">
        <v>510</v>
      </c>
      <c r="C5208" s="13" t="s">
        <v>511</v>
      </c>
      <c r="D5208" s="15">
        <v>15.0</v>
      </c>
      <c r="E5208" s="67">
        <f t="shared" si="16"/>
        <v>7500</v>
      </c>
      <c r="F5208" s="67" t="str">
        <f t="shared" si="12"/>
        <v>15 LeadGen Set Appointments</v>
      </c>
    </row>
    <row r="5209" hidden="1">
      <c r="A5209" s="6" t="s">
        <v>69</v>
      </c>
      <c r="B5209" s="13" t="s">
        <v>1025</v>
      </c>
      <c r="C5209" s="13" t="s">
        <v>1026</v>
      </c>
      <c r="D5209" s="15">
        <v>15.0</v>
      </c>
      <c r="E5209" s="67">
        <f t="shared" si="16"/>
        <v>7500</v>
      </c>
      <c r="F5209" s="67" t="str">
        <f t="shared" si="12"/>
        <v>15 LeadGen Set Appointments</v>
      </c>
    </row>
    <row r="5210" hidden="1">
      <c r="A5210" s="6" t="s">
        <v>69</v>
      </c>
      <c r="B5210" s="13" t="s">
        <v>435</v>
      </c>
      <c r="C5210" s="13" t="s">
        <v>436</v>
      </c>
      <c r="D5210" s="15">
        <v>15.0</v>
      </c>
      <c r="E5210" s="67">
        <f t="shared" si="16"/>
        <v>7500</v>
      </c>
      <c r="F5210" s="67" t="str">
        <f t="shared" si="12"/>
        <v>15 LeadGen Set Appointments</v>
      </c>
    </row>
    <row r="5211" hidden="1">
      <c r="A5211" s="6" t="s">
        <v>69</v>
      </c>
      <c r="B5211" s="13" t="s">
        <v>1489</v>
      </c>
      <c r="C5211" s="13" t="s">
        <v>1490</v>
      </c>
      <c r="D5211" s="15">
        <v>14.0</v>
      </c>
      <c r="E5211" s="67">
        <f t="shared" si="16"/>
        <v>7000</v>
      </c>
      <c r="F5211" s="67" t="str">
        <f t="shared" si="12"/>
        <v>14 LeadGen Set Appointments</v>
      </c>
    </row>
    <row r="5212" hidden="1">
      <c r="A5212" s="6" t="s">
        <v>69</v>
      </c>
      <c r="B5212" s="13" t="s">
        <v>723</v>
      </c>
      <c r="C5212" s="13" t="s">
        <v>724</v>
      </c>
      <c r="D5212" s="15">
        <v>14.0</v>
      </c>
      <c r="E5212" s="67">
        <f t="shared" si="16"/>
        <v>7000</v>
      </c>
      <c r="F5212" s="67" t="str">
        <f t="shared" si="12"/>
        <v>14 LeadGen Set Appointments</v>
      </c>
    </row>
    <row r="5213" hidden="1">
      <c r="A5213" s="6" t="s">
        <v>69</v>
      </c>
      <c r="B5213" s="13" t="s">
        <v>766</v>
      </c>
      <c r="C5213" s="13" t="s">
        <v>767</v>
      </c>
      <c r="D5213" s="15">
        <v>14.0</v>
      </c>
      <c r="E5213" s="67">
        <f t="shared" si="16"/>
        <v>7000</v>
      </c>
      <c r="F5213" s="67" t="str">
        <f t="shared" si="12"/>
        <v>14 LeadGen Set Appointments</v>
      </c>
    </row>
    <row r="5214" hidden="1">
      <c r="A5214" s="6" t="s">
        <v>69</v>
      </c>
      <c r="B5214" s="13" t="s">
        <v>746</v>
      </c>
      <c r="C5214" s="13" t="s">
        <v>747</v>
      </c>
      <c r="D5214" s="15">
        <v>14.0</v>
      </c>
      <c r="E5214" s="67">
        <f t="shared" si="16"/>
        <v>7000</v>
      </c>
      <c r="F5214" s="67" t="str">
        <f t="shared" si="12"/>
        <v>14 LeadGen Set Appointments</v>
      </c>
    </row>
    <row r="5215" hidden="1">
      <c r="A5215" s="6" t="s">
        <v>69</v>
      </c>
      <c r="B5215" s="13" t="s">
        <v>1455</v>
      </c>
      <c r="C5215" s="13" t="s">
        <v>1456</v>
      </c>
      <c r="D5215" s="15">
        <v>13.0</v>
      </c>
      <c r="E5215" s="67">
        <f t="shared" si="16"/>
        <v>6500</v>
      </c>
      <c r="F5215" s="67" t="str">
        <f t="shared" si="12"/>
        <v>13 LeadGen Set Appointments</v>
      </c>
    </row>
    <row r="5216" hidden="1">
      <c r="A5216" s="6" t="s">
        <v>69</v>
      </c>
      <c r="B5216" s="13" t="s">
        <v>1426</v>
      </c>
      <c r="C5216" s="13" t="s">
        <v>1427</v>
      </c>
      <c r="D5216" s="15">
        <v>13.0</v>
      </c>
      <c r="E5216" s="67">
        <f t="shared" si="16"/>
        <v>6500</v>
      </c>
      <c r="F5216" s="67" t="str">
        <f t="shared" si="12"/>
        <v>13 LeadGen Set Appointments</v>
      </c>
    </row>
    <row r="5217" hidden="1">
      <c r="A5217" s="6" t="s">
        <v>69</v>
      </c>
      <c r="B5217" s="13" t="s">
        <v>640</v>
      </c>
      <c r="C5217" s="13" t="s">
        <v>641</v>
      </c>
      <c r="D5217" s="15">
        <v>12.0</v>
      </c>
      <c r="E5217" s="67">
        <f t="shared" si="16"/>
        <v>6000</v>
      </c>
      <c r="F5217" s="67" t="str">
        <f t="shared" si="12"/>
        <v>12 LeadGen Set Appointments</v>
      </c>
    </row>
    <row r="5218" hidden="1">
      <c r="A5218" s="6" t="s">
        <v>69</v>
      </c>
      <c r="B5218" s="13" t="s">
        <v>1415</v>
      </c>
      <c r="C5218" s="13" t="s">
        <v>1416</v>
      </c>
      <c r="D5218" s="15">
        <v>12.0</v>
      </c>
      <c r="E5218" s="67">
        <f t="shared" si="16"/>
        <v>6000</v>
      </c>
      <c r="F5218" s="67" t="str">
        <f t="shared" si="12"/>
        <v>12 LeadGen Set Appointments</v>
      </c>
    </row>
    <row r="5219" hidden="1">
      <c r="A5219" s="6" t="s">
        <v>69</v>
      </c>
      <c r="B5219" s="13" t="s">
        <v>699</v>
      </c>
      <c r="C5219" s="13" t="s">
        <v>700</v>
      </c>
      <c r="D5219" s="15">
        <v>12.0</v>
      </c>
      <c r="E5219" s="67">
        <f t="shared" si="16"/>
        <v>6000</v>
      </c>
      <c r="F5219" s="67" t="str">
        <f t="shared" si="12"/>
        <v>12 LeadGen Set Appointments</v>
      </c>
    </row>
    <row r="5220" hidden="1">
      <c r="A5220" s="6" t="s">
        <v>69</v>
      </c>
      <c r="B5220" s="13" t="s">
        <v>1471</v>
      </c>
      <c r="C5220" s="13" t="s">
        <v>1472</v>
      </c>
      <c r="D5220" s="15">
        <v>12.0</v>
      </c>
      <c r="E5220" s="67">
        <f t="shared" si="16"/>
        <v>6000</v>
      </c>
      <c r="F5220" s="67" t="str">
        <f t="shared" si="12"/>
        <v>12 LeadGen Set Appointments</v>
      </c>
    </row>
    <row r="5221" hidden="1">
      <c r="A5221" s="6" t="s">
        <v>69</v>
      </c>
      <c r="B5221" s="13" t="s">
        <v>500</v>
      </c>
      <c r="C5221" s="13" t="s">
        <v>501</v>
      </c>
      <c r="D5221" s="15">
        <v>11.0</v>
      </c>
      <c r="E5221" s="67">
        <f t="shared" si="16"/>
        <v>5500</v>
      </c>
      <c r="F5221" s="67" t="str">
        <f t="shared" si="12"/>
        <v>11 LeadGen Set Appointments</v>
      </c>
    </row>
    <row r="5222" hidden="1">
      <c r="A5222" s="6" t="s">
        <v>69</v>
      </c>
      <c r="B5222" s="13" t="s">
        <v>1461</v>
      </c>
      <c r="C5222" s="13" t="s">
        <v>1462</v>
      </c>
      <c r="D5222" s="15">
        <v>11.0</v>
      </c>
      <c r="E5222" s="67">
        <f t="shared" si="16"/>
        <v>5500</v>
      </c>
      <c r="F5222" s="67" t="str">
        <f t="shared" si="12"/>
        <v>11 LeadGen Set Appointments</v>
      </c>
    </row>
    <row r="5223" hidden="1">
      <c r="A5223" s="6" t="s">
        <v>69</v>
      </c>
      <c r="B5223" s="13" t="s">
        <v>1477</v>
      </c>
      <c r="C5223" s="13" t="s">
        <v>1478</v>
      </c>
      <c r="D5223" s="15">
        <v>11.0</v>
      </c>
      <c r="E5223" s="67">
        <f t="shared" si="16"/>
        <v>5500</v>
      </c>
      <c r="F5223" s="67" t="str">
        <f t="shared" si="12"/>
        <v>11 LeadGen Set Appointments</v>
      </c>
    </row>
    <row r="5224" hidden="1">
      <c r="A5224" s="6" t="s">
        <v>69</v>
      </c>
      <c r="B5224" s="13" t="s">
        <v>502</v>
      </c>
      <c r="C5224" s="13" t="s">
        <v>503</v>
      </c>
      <c r="D5224" s="15">
        <v>11.0</v>
      </c>
      <c r="E5224" s="67">
        <f t="shared" si="16"/>
        <v>5500</v>
      </c>
      <c r="F5224" s="67" t="str">
        <f t="shared" si="12"/>
        <v>11 LeadGen Set Appointments</v>
      </c>
    </row>
    <row r="5225" hidden="1">
      <c r="A5225" s="6" t="s">
        <v>69</v>
      </c>
      <c r="B5225" s="13" t="s">
        <v>486</v>
      </c>
      <c r="C5225" s="13" t="s">
        <v>487</v>
      </c>
      <c r="D5225" s="15">
        <v>11.0</v>
      </c>
      <c r="E5225" s="67">
        <f t="shared" si="16"/>
        <v>5500</v>
      </c>
      <c r="F5225" s="67" t="str">
        <f t="shared" si="12"/>
        <v>11 LeadGen Set Appointments</v>
      </c>
    </row>
    <row r="5226" hidden="1">
      <c r="A5226" s="6" t="s">
        <v>69</v>
      </c>
      <c r="B5226" s="13" t="s">
        <v>1491</v>
      </c>
      <c r="C5226" s="13" t="s">
        <v>1492</v>
      </c>
      <c r="D5226" s="15">
        <v>11.0</v>
      </c>
      <c r="E5226" s="67">
        <f t="shared" si="16"/>
        <v>5500</v>
      </c>
      <c r="F5226" s="67" t="str">
        <f t="shared" si="12"/>
        <v>11 LeadGen Set Appointments</v>
      </c>
    </row>
    <row r="5227" hidden="1">
      <c r="A5227" s="6" t="s">
        <v>69</v>
      </c>
      <c r="B5227" s="13" t="s">
        <v>2234</v>
      </c>
      <c r="C5227" s="13" t="s">
        <v>2235</v>
      </c>
      <c r="D5227" s="15">
        <v>11.0</v>
      </c>
      <c r="E5227" s="67">
        <f t="shared" si="16"/>
        <v>5500</v>
      </c>
      <c r="F5227" s="67" t="str">
        <f t="shared" si="12"/>
        <v>11 LeadGen Set Appointments</v>
      </c>
    </row>
    <row r="5228" hidden="1">
      <c r="A5228" s="6" t="s">
        <v>69</v>
      </c>
      <c r="B5228" s="13" t="s">
        <v>546</v>
      </c>
      <c r="C5228" s="13" t="s">
        <v>547</v>
      </c>
      <c r="D5228" s="15">
        <v>10.0</v>
      </c>
      <c r="E5228" s="67">
        <f t="shared" si="16"/>
        <v>5000</v>
      </c>
      <c r="F5228" s="67" t="str">
        <f t="shared" si="12"/>
        <v>10 LeadGen Set Appointments</v>
      </c>
    </row>
    <row r="5229" hidden="1">
      <c r="A5229" s="6" t="s">
        <v>69</v>
      </c>
      <c r="B5229" s="13" t="s">
        <v>1467</v>
      </c>
      <c r="C5229" s="13" t="s">
        <v>1468</v>
      </c>
      <c r="D5229" s="15">
        <v>10.0</v>
      </c>
      <c r="E5229" s="67">
        <f t="shared" si="16"/>
        <v>5000</v>
      </c>
      <c r="F5229" s="67" t="str">
        <f t="shared" si="12"/>
        <v>10 LeadGen Set Appointments</v>
      </c>
    </row>
    <row r="5230" hidden="1">
      <c r="A5230" s="6" t="s">
        <v>69</v>
      </c>
      <c r="B5230" s="13" t="s">
        <v>1891</v>
      </c>
      <c r="C5230" s="13" t="s">
        <v>1892</v>
      </c>
      <c r="D5230" s="15">
        <v>10.0</v>
      </c>
      <c r="E5230" s="67">
        <f t="shared" si="16"/>
        <v>5000</v>
      </c>
      <c r="F5230" s="67" t="str">
        <f t="shared" si="12"/>
        <v>10 LeadGen Set Appointments</v>
      </c>
    </row>
    <row r="5231" hidden="1">
      <c r="A5231" s="6" t="s">
        <v>69</v>
      </c>
      <c r="B5231" s="13" t="s">
        <v>2220</v>
      </c>
      <c r="C5231" s="13" t="s">
        <v>2221</v>
      </c>
      <c r="D5231" s="15">
        <v>10.0</v>
      </c>
      <c r="E5231" s="67">
        <f t="shared" si="16"/>
        <v>5000</v>
      </c>
      <c r="F5231" s="67" t="str">
        <f t="shared" si="12"/>
        <v>10 LeadGen Set Appointments</v>
      </c>
    </row>
    <row r="5232" hidden="1">
      <c r="A5232" s="6" t="s">
        <v>69</v>
      </c>
      <c r="B5232" s="13" t="s">
        <v>2254</v>
      </c>
      <c r="C5232" s="13" t="s">
        <v>2255</v>
      </c>
      <c r="D5232" s="15">
        <v>9.0</v>
      </c>
      <c r="E5232" s="67">
        <f t="shared" si="16"/>
        <v>2250</v>
      </c>
      <c r="F5232" s="67" t="str">
        <f t="shared" si="12"/>
        <v>9 LeadGen Set Appointments</v>
      </c>
    </row>
    <row r="5233" hidden="1">
      <c r="A5233" s="6" t="s">
        <v>69</v>
      </c>
      <c r="B5233" s="13" t="s">
        <v>1510</v>
      </c>
      <c r="C5233" s="13" t="s">
        <v>1511</v>
      </c>
      <c r="D5233" s="15">
        <v>9.0</v>
      </c>
      <c r="E5233" s="67">
        <f t="shared" si="16"/>
        <v>2250</v>
      </c>
      <c r="F5233" s="67" t="str">
        <f t="shared" si="12"/>
        <v>9 LeadGen Set Appointments</v>
      </c>
    </row>
    <row r="5234" hidden="1">
      <c r="A5234" s="6" t="s">
        <v>69</v>
      </c>
      <c r="B5234" s="13" t="s">
        <v>693</v>
      </c>
      <c r="C5234" s="13" t="s">
        <v>694</v>
      </c>
      <c r="D5234" s="15">
        <v>9.0</v>
      </c>
      <c r="E5234" s="67">
        <f t="shared" si="16"/>
        <v>2250</v>
      </c>
      <c r="F5234" s="67" t="str">
        <f t="shared" si="12"/>
        <v>9 LeadGen Set Appointments</v>
      </c>
    </row>
    <row r="5235" hidden="1">
      <c r="A5235" s="6" t="s">
        <v>69</v>
      </c>
      <c r="B5235" s="13" t="s">
        <v>1557</v>
      </c>
      <c r="C5235" s="13" t="s">
        <v>1558</v>
      </c>
      <c r="D5235" s="15">
        <v>9.0</v>
      </c>
      <c r="E5235" s="67">
        <f t="shared" si="16"/>
        <v>2250</v>
      </c>
      <c r="F5235" s="67" t="str">
        <f t="shared" si="12"/>
        <v>9 LeadGen Set Appointments</v>
      </c>
    </row>
    <row r="5236" hidden="1">
      <c r="A5236" s="6" t="s">
        <v>69</v>
      </c>
      <c r="B5236" s="13" t="s">
        <v>516</v>
      </c>
      <c r="C5236" s="13" t="s">
        <v>517</v>
      </c>
      <c r="D5236" s="15">
        <v>9.0</v>
      </c>
      <c r="E5236" s="67">
        <f t="shared" si="16"/>
        <v>2250</v>
      </c>
      <c r="F5236" s="67" t="str">
        <f t="shared" si="12"/>
        <v>9 LeadGen Set Appointments</v>
      </c>
    </row>
    <row r="5237" hidden="1">
      <c r="A5237" s="6" t="s">
        <v>69</v>
      </c>
      <c r="B5237" s="13" t="s">
        <v>684</v>
      </c>
      <c r="C5237" s="13" t="s">
        <v>685</v>
      </c>
      <c r="D5237" s="15">
        <v>8.0</v>
      </c>
      <c r="E5237" s="67">
        <f t="shared" si="16"/>
        <v>2000</v>
      </c>
      <c r="F5237" s="67" t="str">
        <f t="shared" si="12"/>
        <v>8 LeadGen Set Appointments</v>
      </c>
    </row>
    <row r="5238" hidden="1">
      <c r="A5238" s="6" t="s">
        <v>69</v>
      </c>
      <c r="B5238" s="13" t="s">
        <v>2093</v>
      </c>
      <c r="C5238" s="13" t="s">
        <v>2094</v>
      </c>
      <c r="D5238" s="15">
        <v>8.0</v>
      </c>
      <c r="E5238" s="67">
        <f t="shared" si="16"/>
        <v>2000</v>
      </c>
      <c r="F5238" s="67" t="str">
        <f t="shared" si="12"/>
        <v>8 LeadGen Set Appointments</v>
      </c>
    </row>
    <row r="5239" hidden="1">
      <c r="A5239" s="6" t="s">
        <v>69</v>
      </c>
      <c r="B5239" s="13" t="s">
        <v>1393</v>
      </c>
      <c r="C5239" s="13" t="s">
        <v>1394</v>
      </c>
      <c r="D5239" s="15">
        <v>8.0</v>
      </c>
      <c r="E5239" s="67">
        <f t="shared" si="16"/>
        <v>2000</v>
      </c>
      <c r="F5239" s="67" t="str">
        <f t="shared" si="12"/>
        <v>8 LeadGen Set Appointments</v>
      </c>
    </row>
    <row r="5240" hidden="1">
      <c r="A5240" s="6" t="s">
        <v>69</v>
      </c>
      <c r="B5240" s="13" t="s">
        <v>604</v>
      </c>
      <c r="C5240" s="13" t="s">
        <v>605</v>
      </c>
      <c r="D5240" s="15">
        <v>8.0</v>
      </c>
      <c r="E5240" s="67">
        <f t="shared" si="16"/>
        <v>2000</v>
      </c>
      <c r="F5240" s="67" t="str">
        <f t="shared" si="12"/>
        <v>8 LeadGen Set Appointments</v>
      </c>
    </row>
    <row r="5241" hidden="1">
      <c r="A5241" s="6" t="s">
        <v>69</v>
      </c>
      <c r="B5241" s="13" t="s">
        <v>1543</v>
      </c>
      <c r="C5241" s="13" t="s">
        <v>1544</v>
      </c>
      <c r="D5241" s="15">
        <v>7.0</v>
      </c>
      <c r="E5241" s="67">
        <f t="shared" si="16"/>
        <v>1750</v>
      </c>
      <c r="F5241" s="67" t="str">
        <f t="shared" si="12"/>
        <v>7 LeadGen Set Appointments</v>
      </c>
    </row>
    <row r="5242" hidden="1">
      <c r="A5242" s="6" t="s">
        <v>69</v>
      </c>
      <c r="B5242" s="13" t="s">
        <v>752</v>
      </c>
      <c r="C5242" s="13" t="s">
        <v>753</v>
      </c>
      <c r="D5242" s="15">
        <v>7.0</v>
      </c>
      <c r="E5242" s="67">
        <f t="shared" si="16"/>
        <v>1750</v>
      </c>
      <c r="F5242" s="67" t="str">
        <f t="shared" si="12"/>
        <v>7 LeadGen Set Appointments</v>
      </c>
    </row>
    <row r="5243" hidden="1">
      <c r="A5243" s="6" t="s">
        <v>69</v>
      </c>
      <c r="B5243" s="13" t="s">
        <v>2248</v>
      </c>
      <c r="C5243" s="13" t="s">
        <v>2249</v>
      </c>
      <c r="D5243" s="15">
        <v>7.0</v>
      </c>
      <c r="E5243" s="67">
        <f t="shared" si="16"/>
        <v>1750</v>
      </c>
      <c r="F5243" s="67" t="str">
        <f t="shared" si="12"/>
        <v>7 LeadGen Set Appointments</v>
      </c>
    </row>
    <row r="5244" hidden="1">
      <c r="A5244" s="6" t="s">
        <v>69</v>
      </c>
      <c r="B5244" s="13" t="s">
        <v>2280</v>
      </c>
      <c r="C5244" s="13" t="s">
        <v>2281</v>
      </c>
      <c r="D5244" s="15">
        <v>7.0</v>
      </c>
      <c r="E5244" s="67">
        <f t="shared" si="16"/>
        <v>1750</v>
      </c>
      <c r="F5244" s="67" t="str">
        <f t="shared" si="12"/>
        <v>7 LeadGen Set Appointments</v>
      </c>
    </row>
    <row r="5245" hidden="1">
      <c r="A5245" s="6" t="s">
        <v>69</v>
      </c>
      <c r="B5245" s="13" t="s">
        <v>1945</v>
      </c>
      <c r="C5245" s="13" t="s">
        <v>1946</v>
      </c>
      <c r="D5245" s="15">
        <v>7.0</v>
      </c>
      <c r="E5245" s="67">
        <f t="shared" si="16"/>
        <v>1750</v>
      </c>
      <c r="F5245" s="67" t="str">
        <f t="shared" si="12"/>
        <v>7 LeadGen Set Appointments</v>
      </c>
    </row>
    <row r="5246" hidden="1">
      <c r="A5246" s="6" t="s">
        <v>69</v>
      </c>
      <c r="B5246" s="13" t="s">
        <v>1577</v>
      </c>
      <c r="C5246" s="13" t="s">
        <v>1578</v>
      </c>
      <c r="D5246" s="15">
        <v>6.0</v>
      </c>
      <c r="E5246" s="67">
        <f t="shared" si="16"/>
        <v>1500</v>
      </c>
      <c r="F5246" s="67" t="str">
        <f t="shared" si="12"/>
        <v>6 LeadGen Set Appointments</v>
      </c>
    </row>
    <row r="5247" hidden="1">
      <c r="A5247" s="6" t="s">
        <v>69</v>
      </c>
      <c r="B5247" s="13" t="s">
        <v>744</v>
      </c>
      <c r="C5247" s="13" t="s">
        <v>745</v>
      </c>
      <c r="D5247" s="15">
        <v>6.0</v>
      </c>
      <c r="E5247" s="67">
        <f t="shared" si="16"/>
        <v>1500</v>
      </c>
      <c r="F5247" s="67" t="str">
        <f t="shared" si="12"/>
        <v>6 LeadGen Set Appointments</v>
      </c>
    </row>
    <row r="5248" hidden="1">
      <c r="A5248" s="6" t="s">
        <v>69</v>
      </c>
      <c r="B5248" s="13" t="s">
        <v>462</v>
      </c>
      <c r="C5248" s="13" t="s">
        <v>463</v>
      </c>
      <c r="D5248" s="15">
        <v>6.0</v>
      </c>
      <c r="E5248" s="67">
        <f t="shared" si="16"/>
        <v>1500</v>
      </c>
      <c r="F5248" s="67" t="str">
        <f t="shared" si="12"/>
        <v>6 LeadGen Set Appointments</v>
      </c>
    </row>
    <row r="5249" hidden="1">
      <c r="A5249" s="6" t="s">
        <v>69</v>
      </c>
      <c r="B5249" s="13" t="s">
        <v>1893</v>
      </c>
      <c r="C5249" s="13" t="s">
        <v>1894</v>
      </c>
      <c r="D5249" s="15">
        <v>6.0</v>
      </c>
      <c r="E5249" s="67">
        <f t="shared" si="16"/>
        <v>1500</v>
      </c>
      <c r="F5249" s="67" t="str">
        <f t="shared" si="12"/>
        <v>6 LeadGen Set Appointments</v>
      </c>
    </row>
    <row r="5250" hidden="1">
      <c r="A5250" s="6" t="s">
        <v>69</v>
      </c>
      <c r="B5250" s="13" t="s">
        <v>628</v>
      </c>
      <c r="C5250" s="13" t="s">
        <v>629</v>
      </c>
      <c r="D5250" s="15">
        <v>6.0</v>
      </c>
      <c r="E5250" s="67">
        <f t="shared" si="16"/>
        <v>1500</v>
      </c>
      <c r="F5250" s="67" t="str">
        <f t="shared" si="12"/>
        <v>6 LeadGen Set Appointments</v>
      </c>
    </row>
    <row r="5251" hidden="1">
      <c r="A5251" s="6" t="s">
        <v>69</v>
      </c>
      <c r="B5251" s="13" t="s">
        <v>2333</v>
      </c>
      <c r="C5251" s="13" t="s">
        <v>2334</v>
      </c>
      <c r="D5251" s="15">
        <v>6.0</v>
      </c>
      <c r="E5251" s="67">
        <f t="shared" si="16"/>
        <v>1500</v>
      </c>
      <c r="F5251" s="67" t="str">
        <f t="shared" si="12"/>
        <v>6 LeadGen Set Appointments</v>
      </c>
    </row>
    <row r="5252" hidden="1">
      <c r="A5252" s="6" t="s">
        <v>69</v>
      </c>
      <c r="B5252" s="13" t="s">
        <v>2270</v>
      </c>
      <c r="C5252" s="13" t="s">
        <v>2271</v>
      </c>
      <c r="D5252" s="15">
        <v>6.0</v>
      </c>
      <c r="E5252" s="67">
        <f t="shared" si="16"/>
        <v>1500</v>
      </c>
      <c r="F5252" s="67" t="str">
        <f t="shared" si="12"/>
        <v>6 LeadGen Set Appointments</v>
      </c>
    </row>
    <row r="5253" hidden="1">
      <c r="A5253" s="6" t="s">
        <v>69</v>
      </c>
      <c r="B5253" s="13" t="s">
        <v>2100</v>
      </c>
      <c r="C5253" s="13" t="s">
        <v>2101</v>
      </c>
      <c r="D5253" s="15">
        <v>6.0</v>
      </c>
      <c r="E5253" s="67">
        <f t="shared" si="16"/>
        <v>1500</v>
      </c>
      <c r="F5253" s="67" t="str">
        <f t="shared" si="12"/>
        <v>6 LeadGen Set Appointments</v>
      </c>
    </row>
    <row r="5254" hidden="1">
      <c r="A5254" s="6" t="s">
        <v>69</v>
      </c>
      <c r="B5254" s="13" t="s">
        <v>1657</v>
      </c>
      <c r="C5254" s="13" t="s">
        <v>1658</v>
      </c>
      <c r="D5254" s="15">
        <v>6.0</v>
      </c>
      <c r="E5254" s="67">
        <f t="shared" si="16"/>
        <v>1500</v>
      </c>
      <c r="F5254" s="67" t="str">
        <f t="shared" si="12"/>
        <v>6 LeadGen Set Appointments</v>
      </c>
    </row>
    <row r="5255" hidden="1">
      <c r="A5255" s="6" t="s">
        <v>69</v>
      </c>
      <c r="B5255" s="13" t="s">
        <v>1567</v>
      </c>
      <c r="C5255" s="13" t="s">
        <v>1568</v>
      </c>
      <c r="D5255" s="15">
        <v>6.0</v>
      </c>
      <c r="E5255" s="67">
        <f t="shared" si="16"/>
        <v>1500</v>
      </c>
      <c r="F5255" s="67" t="str">
        <f t="shared" si="12"/>
        <v>6 LeadGen Set Appointments</v>
      </c>
    </row>
    <row r="5256" hidden="1">
      <c r="A5256" s="6" t="s">
        <v>69</v>
      </c>
      <c r="B5256" s="13" t="s">
        <v>532</v>
      </c>
      <c r="C5256" s="13" t="s">
        <v>533</v>
      </c>
      <c r="D5256" s="15">
        <v>6.0</v>
      </c>
      <c r="E5256" s="67">
        <f t="shared" si="16"/>
        <v>1500</v>
      </c>
      <c r="F5256" s="67" t="str">
        <f t="shared" si="12"/>
        <v>6 LeadGen Set Appointments</v>
      </c>
    </row>
    <row r="5257" hidden="1">
      <c r="A5257" s="6" t="s">
        <v>69</v>
      </c>
      <c r="B5257" s="13" t="s">
        <v>1493</v>
      </c>
      <c r="C5257" s="13" t="s">
        <v>1494</v>
      </c>
      <c r="D5257" s="15">
        <v>6.0</v>
      </c>
      <c r="E5257" s="67">
        <f t="shared" si="16"/>
        <v>1500</v>
      </c>
      <c r="F5257" s="67" t="str">
        <f t="shared" si="12"/>
        <v>6 LeadGen Set Appointments</v>
      </c>
    </row>
    <row r="5258" hidden="1">
      <c r="A5258" s="6" t="s">
        <v>69</v>
      </c>
      <c r="B5258" s="13" t="s">
        <v>2329</v>
      </c>
      <c r="C5258" s="13" t="s">
        <v>2330</v>
      </c>
      <c r="D5258" s="15">
        <v>6.0</v>
      </c>
      <c r="E5258" s="67">
        <f t="shared" si="16"/>
        <v>1500</v>
      </c>
      <c r="F5258" s="67" t="str">
        <f t="shared" si="12"/>
        <v>6 LeadGen Set Appointments</v>
      </c>
    </row>
    <row r="5259" hidden="1">
      <c r="A5259" s="6" t="s">
        <v>69</v>
      </c>
      <c r="B5259" s="13" t="s">
        <v>1955</v>
      </c>
      <c r="C5259" s="13" t="s">
        <v>1956</v>
      </c>
      <c r="D5259" s="15">
        <v>6.0</v>
      </c>
      <c r="E5259" s="67">
        <f t="shared" si="16"/>
        <v>1500</v>
      </c>
      <c r="F5259" s="67" t="str">
        <f t="shared" si="12"/>
        <v>6 LeadGen Set Appointments</v>
      </c>
    </row>
    <row r="5260" hidden="1">
      <c r="A5260" s="6" t="s">
        <v>69</v>
      </c>
      <c r="B5260" s="13" t="s">
        <v>2236</v>
      </c>
      <c r="C5260" s="13" t="s">
        <v>2237</v>
      </c>
      <c r="D5260" s="15">
        <v>6.0</v>
      </c>
      <c r="E5260" s="67">
        <f t="shared" si="16"/>
        <v>1500</v>
      </c>
      <c r="F5260" s="67" t="str">
        <f t="shared" si="12"/>
        <v>6 LeadGen Set Appointments</v>
      </c>
    </row>
    <row r="5261" hidden="1">
      <c r="A5261" s="6" t="s">
        <v>69</v>
      </c>
      <c r="B5261" s="13" t="s">
        <v>2165</v>
      </c>
      <c r="C5261" s="13" t="s">
        <v>2166</v>
      </c>
      <c r="D5261" s="15">
        <v>6.0</v>
      </c>
      <c r="E5261" s="67">
        <f t="shared" si="16"/>
        <v>1500</v>
      </c>
      <c r="F5261" s="67" t="str">
        <f t="shared" si="12"/>
        <v>6 LeadGen Set Appointments</v>
      </c>
    </row>
    <row r="5262" hidden="1">
      <c r="A5262" s="6" t="s">
        <v>69</v>
      </c>
      <c r="B5262" s="13" t="s">
        <v>910</v>
      </c>
      <c r="C5262" s="13" t="s">
        <v>911</v>
      </c>
      <c r="D5262" s="15">
        <v>6.0</v>
      </c>
      <c r="E5262" s="67">
        <f t="shared" si="16"/>
        <v>1500</v>
      </c>
      <c r="F5262" s="67" t="str">
        <f t="shared" si="12"/>
        <v>6 LeadGen Set Appointments</v>
      </c>
    </row>
    <row r="5263" hidden="1">
      <c r="A5263" s="6" t="s">
        <v>69</v>
      </c>
      <c r="B5263" s="13" t="s">
        <v>624</v>
      </c>
      <c r="C5263" s="13" t="s">
        <v>625</v>
      </c>
      <c r="D5263" s="15">
        <v>6.0</v>
      </c>
      <c r="E5263" s="67">
        <f t="shared" si="16"/>
        <v>1500</v>
      </c>
      <c r="F5263" s="67" t="str">
        <f t="shared" si="12"/>
        <v>6 LeadGen Set Appointments</v>
      </c>
    </row>
    <row r="5264" hidden="1">
      <c r="A5264" s="6" t="s">
        <v>69</v>
      </c>
      <c r="B5264" s="13" t="s">
        <v>1859</v>
      </c>
      <c r="C5264" s="13" t="s">
        <v>2247</v>
      </c>
      <c r="D5264" s="15">
        <v>6.0</v>
      </c>
      <c r="E5264" s="67">
        <f t="shared" si="16"/>
        <v>1500</v>
      </c>
      <c r="F5264" s="67" t="str">
        <f t="shared" si="12"/>
        <v>6 LeadGen Set Appointments</v>
      </c>
    </row>
    <row r="5265" hidden="1">
      <c r="A5265" s="6" t="s">
        <v>69</v>
      </c>
      <c r="B5265" s="13" t="s">
        <v>2139</v>
      </c>
      <c r="C5265" s="13" t="s">
        <v>2140</v>
      </c>
      <c r="D5265" s="15">
        <v>6.0</v>
      </c>
      <c r="E5265" s="67">
        <f t="shared" si="16"/>
        <v>1500</v>
      </c>
      <c r="F5265" s="67" t="str">
        <f t="shared" si="12"/>
        <v>6 LeadGen Set Appointments</v>
      </c>
    </row>
    <row r="5266" hidden="1">
      <c r="A5266" s="6" t="s">
        <v>69</v>
      </c>
      <c r="B5266" s="13" t="s">
        <v>1171</v>
      </c>
      <c r="C5266" s="13" t="s">
        <v>1172</v>
      </c>
      <c r="D5266" s="15">
        <v>5.0</v>
      </c>
      <c r="E5266" s="67">
        <f t="shared" si="16"/>
        <v>1250</v>
      </c>
      <c r="F5266" s="67" t="str">
        <f t="shared" si="12"/>
        <v>5 LeadGen Set Appointments</v>
      </c>
    </row>
    <row r="5267" hidden="1">
      <c r="A5267" s="6" t="s">
        <v>69</v>
      </c>
      <c r="B5267" s="13" t="s">
        <v>1583</v>
      </c>
      <c r="C5267" s="13" t="s">
        <v>1584</v>
      </c>
      <c r="D5267" s="15">
        <v>5.0</v>
      </c>
      <c r="E5267" s="67">
        <f t="shared" si="16"/>
        <v>1250</v>
      </c>
      <c r="F5267" s="67" t="str">
        <f t="shared" si="12"/>
        <v>5 LeadGen Set Appointments</v>
      </c>
    </row>
    <row r="5268" hidden="1">
      <c r="A5268" s="6" t="s">
        <v>69</v>
      </c>
      <c r="B5268" s="13" t="s">
        <v>705</v>
      </c>
      <c r="C5268" s="13" t="s">
        <v>706</v>
      </c>
      <c r="D5268" s="15">
        <v>5.0</v>
      </c>
      <c r="E5268" s="67">
        <f t="shared" si="16"/>
        <v>1250</v>
      </c>
      <c r="F5268" s="67" t="str">
        <f t="shared" si="12"/>
        <v>5 LeadGen Set Appointments</v>
      </c>
    </row>
    <row r="5269" hidden="1">
      <c r="A5269" s="6" t="s">
        <v>69</v>
      </c>
      <c r="B5269" s="13" t="s">
        <v>1334</v>
      </c>
      <c r="C5269" s="13" t="s">
        <v>553</v>
      </c>
      <c r="D5269" s="15">
        <v>5.0</v>
      </c>
      <c r="E5269" s="67">
        <f t="shared" si="16"/>
        <v>1250</v>
      </c>
      <c r="F5269" s="67" t="str">
        <f t="shared" si="12"/>
        <v>5 LeadGen Set Appointments</v>
      </c>
    </row>
    <row r="5270" hidden="1">
      <c r="A5270" s="6" t="s">
        <v>69</v>
      </c>
      <c r="B5270" s="13" t="s">
        <v>572</v>
      </c>
      <c r="C5270" s="13" t="s">
        <v>573</v>
      </c>
      <c r="D5270" s="15">
        <v>5.0</v>
      </c>
      <c r="E5270" s="67">
        <f t="shared" si="16"/>
        <v>1250</v>
      </c>
      <c r="F5270" s="67" t="str">
        <f t="shared" si="12"/>
        <v>5 LeadGen Set Appointments</v>
      </c>
    </row>
    <row r="5271" hidden="1">
      <c r="A5271" s="6" t="s">
        <v>69</v>
      </c>
      <c r="B5271" s="13" t="s">
        <v>518</v>
      </c>
      <c r="C5271" s="13" t="s">
        <v>519</v>
      </c>
      <c r="D5271" s="15">
        <v>5.0</v>
      </c>
      <c r="E5271" s="67">
        <f t="shared" si="16"/>
        <v>1250</v>
      </c>
      <c r="F5271" s="67" t="str">
        <f t="shared" si="12"/>
        <v>5 LeadGen Set Appointments</v>
      </c>
    </row>
    <row r="5272" hidden="1">
      <c r="A5272" s="6" t="s">
        <v>69</v>
      </c>
      <c r="B5272" s="13" t="s">
        <v>1157</v>
      </c>
      <c r="C5272" s="13" t="s">
        <v>1158</v>
      </c>
      <c r="D5272" s="15">
        <v>5.0</v>
      </c>
      <c r="E5272" s="67">
        <f t="shared" si="16"/>
        <v>1250</v>
      </c>
      <c r="F5272" s="67" t="str">
        <f t="shared" si="12"/>
        <v>5 LeadGen Set Appointments</v>
      </c>
    </row>
    <row r="5273" hidden="1">
      <c r="A5273" s="6" t="s">
        <v>69</v>
      </c>
      <c r="B5273" s="13" t="s">
        <v>1736</v>
      </c>
      <c r="C5273" s="13" t="s">
        <v>1737</v>
      </c>
      <c r="D5273" s="15">
        <v>5.0</v>
      </c>
      <c r="E5273" s="67">
        <f t="shared" si="16"/>
        <v>1250</v>
      </c>
      <c r="F5273" s="67" t="str">
        <f t="shared" si="12"/>
        <v>5 LeadGen Set Appointments</v>
      </c>
    </row>
    <row r="5274" hidden="1">
      <c r="A5274" s="6" t="s">
        <v>69</v>
      </c>
      <c r="B5274" s="13" t="s">
        <v>2268</v>
      </c>
      <c r="C5274" s="13" t="s">
        <v>2269</v>
      </c>
      <c r="D5274" s="15">
        <v>5.0</v>
      </c>
      <c r="E5274" s="67">
        <f t="shared" si="16"/>
        <v>1250</v>
      </c>
      <c r="F5274" s="67" t="str">
        <f t="shared" si="12"/>
        <v>5 LeadGen Set Appointments</v>
      </c>
    </row>
    <row r="5275" hidden="1">
      <c r="A5275" s="6" t="s">
        <v>69</v>
      </c>
      <c r="B5275" s="13" t="s">
        <v>1716</v>
      </c>
      <c r="C5275" s="13" t="s">
        <v>30</v>
      </c>
      <c r="D5275" s="15">
        <v>5.0</v>
      </c>
      <c r="E5275" s="67">
        <f t="shared" si="16"/>
        <v>1250</v>
      </c>
      <c r="F5275" s="67" t="str">
        <f t="shared" si="12"/>
        <v>5 LeadGen Set Appointments</v>
      </c>
    </row>
    <row r="5276" hidden="1">
      <c r="A5276" s="6" t="s">
        <v>69</v>
      </c>
      <c r="B5276" s="13" t="s">
        <v>2185</v>
      </c>
      <c r="C5276" s="13" t="s">
        <v>2186</v>
      </c>
      <c r="D5276" s="15">
        <v>5.0</v>
      </c>
      <c r="E5276" s="67">
        <f t="shared" si="16"/>
        <v>1250</v>
      </c>
      <c r="F5276" s="67" t="str">
        <f t="shared" si="12"/>
        <v>5 LeadGen Set Appointments</v>
      </c>
    </row>
    <row r="5277" hidden="1">
      <c r="A5277" s="6" t="s">
        <v>69</v>
      </c>
      <c r="B5277" s="13" t="s">
        <v>1933</v>
      </c>
      <c r="C5277" s="13" t="s">
        <v>1934</v>
      </c>
      <c r="D5277" s="15">
        <v>5.0</v>
      </c>
      <c r="E5277" s="67">
        <f t="shared" si="16"/>
        <v>1250</v>
      </c>
      <c r="F5277" s="67" t="str">
        <f t="shared" si="12"/>
        <v>5 LeadGen Set Appointments</v>
      </c>
    </row>
    <row r="5278" hidden="1">
      <c r="A5278" s="6" t="s">
        <v>69</v>
      </c>
      <c r="B5278" s="13" t="s">
        <v>2266</v>
      </c>
      <c r="C5278" s="13" t="s">
        <v>2267</v>
      </c>
      <c r="D5278" s="15">
        <v>5.0</v>
      </c>
      <c r="E5278" s="67">
        <f t="shared" si="16"/>
        <v>1250</v>
      </c>
      <c r="F5278" s="67" t="str">
        <f t="shared" si="12"/>
        <v>5 LeadGen Set Appointments</v>
      </c>
    </row>
    <row r="5279" hidden="1">
      <c r="A5279" s="6" t="s">
        <v>69</v>
      </c>
      <c r="B5279" s="13" t="s">
        <v>1943</v>
      </c>
      <c r="C5279" s="13" t="s">
        <v>1944</v>
      </c>
      <c r="D5279" s="15">
        <v>5.0</v>
      </c>
      <c r="E5279" s="67">
        <f t="shared" si="16"/>
        <v>1250</v>
      </c>
      <c r="F5279" s="67" t="str">
        <f t="shared" si="12"/>
        <v>5 LeadGen Set Appointments</v>
      </c>
    </row>
    <row r="5280" hidden="1">
      <c r="A5280" s="6" t="s">
        <v>69</v>
      </c>
      <c r="B5280" s="13" t="s">
        <v>2169</v>
      </c>
      <c r="C5280" s="13" t="s">
        <v>2170</v>
      </c>
      <c r="D5280" s="15">
        <v>4.0</v>
      </c>
      <c r="E5280" s="67">
        <f t="shared" si="16"/>
        <v>1000</v>
      </c>
      <c r="F5280" s="67" t="str">
        <f t="shared" si="12"/>
        <v>4 LeadGen Set Appointments</v>
      </c>
    </row>
    <row r="5281" hidden="1">
      <c r="A5281" s="6" t="s">
        <v>69</v>
      </c>
      <c r="B5281" s="13" t="s">
        <v>1579</v>
      </c>
      <c r="C5281" s="13" t="s">
        <v>1580</v>
      </c>
      <c r="D5281" s="15">
        <v>4.0</v>
      </c>
      <c r="E5281" s="67">
        <f t="shared" si="16"/>
        <v>1000</v>
      </c>
      <c r="F5281" s="67" t="str">
        <f t="shared" si="12"/>
        <v>4 LeadGen Set Appointments</v>
      </c>
    </row>
    <row r="5282" hidden="1">
      <c r="A5282" s="6" t="s">
        <v>69</v>
      </c>
      <c r="B5282" s="13" t="s">
        <v>1448</v>
      </c>
      <c r="C5282" s="13" t="s">
        <v>1449</v>
      </c>
      <c r="D5282" s="15">
        <v>4.0</v>
      </c>
      <c r="E5282" s="67">
        <f t="shared" si="16"/>
        <v>1000</v>
      </c>
      <c r="F5282" s="67" t="str">
        <f t="shared" si="12"/>
        <v>4 LeadGen Set Appointments</v>
      </c>
    </row>
    <row r="5283" hidden="1">
      <c r="A5283" s="6" t="s">
        <v>69</v>
      </c>
      <c r="B5283" s="13" t="s">
        <v>2262</v>
      </c>
      <c r="C5283" s="13" t="s">
        <v>2263</v>
      </c>
      <c r="D5283" s="15">
        <v>4.0</v>
      </c>
      <c r="E5283" s="67">
        <f t="shared" si="16"/>
        <v>1000</v>
      </c>
      <c r="F5283" s="67" t="str">
        <f t="shared" si="12"/>
        <v>4 LeadGen Set Appointments</v>
      </c>
    </row>
    <row r="5284" hidden="1">
      <c r="A5284" s="6" t="s">
        <v>69</v>
      </c>
      <c r="B5284" s="13" t="s">
        <v>1547</v>
      </c>
      <c r="C5284" s="13" t="s">
        <v>1548</v>
      </c>
      <c r="D5284" s="15">
        <v>4.0</v>
      </c>
      <c r="E5284" s="67">
        <f t="shared" si="16"/>
        <v>1000</v>
      </c>
      <c r="F5284" s="67" t="str">
        <f t="shared" si="12"/>
        <v>4 LeadGen Set Appointments</v>
      </c>
    </row>
    <row r="5285" hidden="1">
      <c r="A5285" s="6" t="s">
        <v>69</v>
      </c>
      <c r="B5285" s="13" t="s">
        <v>560</v>
      </c>
      <c r="C5285" s="13" t="s">
        <v>561</v>
      </c>
      <c r="D5285" s="15">
        <v>4.0</v>
      </c>
      <c r="E5285" s="67">
        <f t="shared" si="16"/>
        <v>1000</v>
      </c>
      <c r="F5285" s="67" t="str">
        <f t="shared" si="12"/>
        <v>4 LeadGen Set Appointments</v>
      </c>
    </row>
    <row r="5286" hidden="1">
      <c r="A5286" s="6" t="s">
        <v>69</v>
      </c>
      <c r="B5286" s="13" t="s">
        <v>1653</v>
      </c>
      <c r="C5286" s="13" t="s">
        <v>1654</v>
      </c>
      <c r="D5286" s="15">
        <v>4.0</v>
      </c>
      <c r="E5286" s="67">
        <f t="shared" si="16"/>
        <v>1000</v>
      </c>
      <c r="F5286" s="67" t="str">
        <f t="shared" si="12"/>
        <v>4 LeadGen Set Appointments</v>
      </c>
    </row>
    <row r="5287" hidden="1">
      <c r="A5287" s="6" t="s">
        <v>69</v>
      </c>
      <c r="B5287" s="13" t="s">
        <v>582</v>
      </c>
      <c r="C5287" s="13" t="s">
        <v>583</v>
      </c>
      <c r="D5287" s="15">
        <v>4.0</v>
      </c>
      <c r="E5287" s="67">
        <f t="shared" si="16"/>
        <v>1000</v>
      </c>
      <c r="F5287" s="67" t="str">
        <f t="shared" si="12"/>
        <v>4 LeadGen Set Appointments</v>
      </c>
    </row>
    <row r="5288" hidden="1">
      <c r="A5288" s="6" t="s">
        <v>69</v>
      </c>
      <c r="B5288" s="13" t="s">
        <v>2141</v>
      </c>
      <c r="C5288" s="13" t="s">
        <v>2142</v>
      </c>
      <c r="D5288" s="15">
        <v>4.0</v>
      </c>
      <c r="E5288" s="67">
        <f t="shared" si="16"/>
        <v>1000</v>
      </c>
      <c r="F5288" s="67" t="str">
        <f t="shared" si="12"/>
        <v>4 LeadGen Set Appointments</v>
      </c>
    </row>
    <row r="5289" hidden="1">
      <c r="A5289" s="6" t="s">
        <v>69</v>
      </c>
      <c r="B5289" s="13" t="s">
        <v>1325</v>
      </c>
      <c r="C5289" s="13" t="s">
        <v>1326</v>
      </c>
      <c r="D5289" s="15">
        <v>4.0</v>
      </c>
      <c r="E5289" s="67">
        <f t="shared" si="16"/>
        <v>1000</v>
      </c>
      <c r="F5289" s="67" t="str">
        <f t="shared" si="12"/>
        <v>4 LeadGen Set Appointments</v>
      </c>
    </row>
    <row r="5290" hidden="1">
      <c r="A5290" s="6" t="s">
        <v>69</v>
      </c>
      <c r="B5290" s="13" t="s">
        <v>1421</v>
      </c>
      <c r="C5290" s="13" t="s">
        <v>712</v>
      </c>
      <c r="D5290" s="15">
        <v>4.0</v>
      </c>
      <c r="E5290" s="67">
        <f t="shared" si="16"/>
        <v>1000</v>
      </c>
      <c r="F5290" s="67" t="str">
        <f t="shared" si="12"/>
        <v>4 LeadGen Set Appointments</v>
      </c>
    </row>
    <row r="5291" hidden="1">
      <c r="A5291" s="6" t="s">
        <v>69</v>
      </c>
      <c r="B5291" s="13" t="s">
        <v>626</v>
      </c>
      <c r="C5291" s="13" t="s">
        <v>627</v>
      </c>
      <c r="D5291" s="15">
        <v>4.0</v>
      </c>
      <c r="E5291" s="67">
        <f t="shared" si="16"/>
        <v>1000</v>
      </c>
      <c r="F5291" s="67" t="str">
        <f t="shared" si="12"/>
        <v>4 LeadGen Set Appointments</v>
      </c>
    </row>
    <row r="5292" hidden="1">
      <c r="A5292" s="6" t="s">
        <v>69</v>
      </c>
      <c r="B5292" s="13" t="s">
        <v>242</v>
      </c>
      <c r="C5292" s="13" t="s">
        <v>1887</v>
      </c>
      <c r="D5292" s="15">
        <v>4.0</v>
      </c>
      <c r="E5292" s="67">
        <f t="shared" si="16"/>
        <v>1000</v>
      </c>
      <c r="F5292" s="67" t="str">
        <f t="shared" si="12"/>
        <v>4 LeadGen Set Appointments</v>
      </c>
    </row>
    <row r="5293" hidden="1">
      <c r="A5293" s="6" t="s">
        <v>69</v>
      </c>
      <c r="B5293" s="13" t="s">
        <v>1587</v>
      </c>
      <c r="C5293" s="13" t="s">
        <v>2217</v>
      </c>
      <c r="D5293" s="15">
        <v>4.0</v>
      </c>
      <c r="E5293" s="67">
        <f t="shared" si="16"/>
        <v>1000</v>
      </c>
      <c r="F5293" s="67" t="str">
        <f t="shared" si="12"/>
        <v>4 LeadGen Set Appointments</v>
      </c>
    </row>
    <row r="5294" hidden="1">
      <c r="A5294" s="6" t="s">
        <v>69</v>
      </c>
      <c r="B5294" s="13" t="s">
        <v>524</v>
      </c>
      <c r="C5294" s="13" t="s">
        <v>525</v>
      </c>
      <c r="D5294" s="15">
        <v>4.0</v>
      </c>
      <c r="E5294" s="67">
        <f t="shared" si="16"/>
        <v>1000</v>
      </c>
      <c r="F5294" s="67" t="str">
        <f t="shared" si="12"/>
        <v>4 LeadGen Set Appointments</v>
      </c>
    </row>
    <row r="5295" hidden="1">
      <c r="A5295" s="6" t="s">
        <v>69</v>
      </c>
      <c r="B5295" s="13" t="s">
        <v>2286</v>
      </c>
      <c r="C5295" s="13" t="s">
        <v>2287</v>
      </c>
      <c r="D5295" s="15">
        <v>4.0</v>
      </c>
      <c r="E5295" s="67">
        <f t="shared" si="16"/>
        <v>1000</v>
      </c>
      <c r="F5295" s="67" t="str">
        <f t="shared" si="12"/>
        <v>4 LeadGen Set Appointments</v>
      </c>
    </row>
    <row r="5296" hidden="1">
      <c r="A5296" s="6" t="s">
        <v>69</v>
      </c>
      <c r="B5296" s="13" t="s">
        <v>1784</v>
      </c>
      <c r="C5296" s="13" t="s">
        <v>1785</v>
      </c>
      <c r="D5296" s="15">
        <v>4.0</v>
      </c>
      <c r="E5296" s="67">
        <f t="shared" si="16"/>
        <v>1000</v>
      </c>
      <c r="F5296" s="67" t="str">
        <f t="shared" si="12"/>
        <v>4 LeadGen Set Appointments</v>
      </c>
    </row>
    <row r="5297" hidden="1">
      <c r="A5297" s="6" t="s">
        <v>69</v>
      </c>
      <c r="B5297" s="13" t="s">
        <v>2260</v>
      </c>
      <c r="C5297" s="13" t="s">
        <v>2261</v>
      </c>
      <c r="D5297" s="15">
        <v>4.0</v>
      </c>
      <c r="E5297" s="67">
        <f t="shared" si="16"/>
        <v>1000</v>
      </c>
      <c r="F5297" s="67" t="str">
        <f t="shared" si="12"/>
        <v>4 LeadGen Set Appointments</v>
      </c>
    </row>
    <row r="5298" hidden="1">
      <c r="A5298" s="6" t="s">
        <v>69</v>
      </c>
      <c r="B5298" s="13" t="s">
        <v>1039</v>
      </c>
      <c r="C5298" s="13" t="s">
        <v>1040</v>
      </c>
      <c r="D5298" s="15">
        <v>4.0</v>
      </c>
      <c r="E5298" s="67">
        <f t="shared" si="16"/>
        <v>1000</v>
      </c>
      <c r="F5298" s="67" t="str">
        <f t="shared" si="12"/>
        <v>4 LeadGen Set Appointments</v>
      </c>
    </row>
    <row r="5299" hidden="1">
      <c r="A5299" s="6" t="s">
        <v>69</v>
      </c>
      <c r="B5299" s="13" t="s">
        <v>1935</v>
      </c>
      <c r="C5299" s="13" t="s">
        <v>1936</v>
      </c>
      <c r="D5299" s="15">
        <v>4.0</v>
      </c>
      <c r="E5299" s="67">
        <f t="shared" si="16"/>
        <v>1000</v>
      </c>
      <c r="F5299" s="67" t="str">
        <f t="shared" si="12"/>
        <v>4 LeadGen Set Appointments</v>
      </c>
    </row>
    <row r="5300" hidden="1">
      <c r="A5300" s="6" t="s">
        <v>69</v>
      </c>
      <c r="B5300" s="13" t="s">
        <v>1569</v>
      </c>
      <c r="C5300" s="13" t="s">
        <v>1570</v>
      </c>
      <c r="D5300" s="15">
        <v>4.0</v>
      </c>
      <c r="E5300" s="67">
        <f t="shared" si="16"/>
        <v>1000</v>
      </c>
      <c r="F5300" s="67" t="str">
        <f t="shared" si="12"/>
        <v>4 LeadGen Set Appointments</v>
      </c>
    </row>
    <row r="5301" hidden="1">
      <c r="A5301" s="6" t="s">
        <v>69</v>
      </c>
      <c r="B5301" s="13" t="s">
        <v>2081</v>
      </c>
      <c r="C5301" s="13" t="s">
        <v>2082</v>
      </c>
      <c r="D5301" s="15">
        <v>4.0</v>
      </c>
      <c r="E5301" s="67">
        <f t="shared" si="16"/>
        <v>1000</v>
      </c>
      <c r="F5301" s="67" t="str">
        <f t="shared" si="12"/>
        <v>4 LeadGen Set Appointments</v>
      </c>
    </row>
    <row r="5302" hidden="1">
      <c r="A5302" s="6" t="s">
        <v>69</v>
      </c>
      <c r="B5302" s="13" t="s">
        <v>622</v>
      </c>
      <c r="C5302" s="13" t="s">
        <v>623</v>
      </c>
      <c r="D5302" s="15">
        <v>4.0</v>
      </c>
      <c r="E5302" s="67">
        <f t="shared" si="16"/>
        <v>1000</v>
      </c>
      <c r="F5302" s="67" t="str">
        <f t="shared" si="12"/>
        <v>4 LeadGen Set Appointments</v>
      </c>
    </row>
    <row r="5303" hidden="1">
      <c r="A5303" s="6" t="s">
        <v>69</v>
      </c>
      <c r="B5303" s="13" t="s">
        <v>2218</v>
      </c>
      <c r="C5303" s="13" t="s">
        <v>2219</v>
      </c>
      <c r="D5303" s="15">
        <v>4.0</v>
      </c>
      <c r="E5303" s="67">
        <f t="shared" si="16"/>
        <v>1000</v>
      </c>
      <c r="F5303" s="67" t="str">
        <f t="shared" si="12"/>
        <v>4 LeadGen Set Appointments</v>
      </c>
    </row>
    <row r="5304" hidden="1">
      <c r="A5304" s="6" t="s">
        <v>69</v>
      </c>
      <c r="B5304" s="13" t="s">
        <v>1351</v>
      </c>
      <c r="C5304" s="13" t="s">
        <v>1352</v>
      </c>
      <c r="D5304" s="15">
        <v>4.0</v>
      </c>
      <c r="E5304" s="67">
        <f t="shared" si="16"/>
        <v>1000</v>
      </c>
      <c r="F5304" s="67" t="str">
        <f t="shared" si="12"/>
        <v>4 LeadGen Set Appointments</v>
      </c>
    </row>
    <row r="5305" hidden="1">
      <c r="A5305" s="6" t="s">
        <v>69</v>
      </c>
      <c r="B5305" s="13" t="s">
        <v>2077</v>
      </c>
      <c r="C5305" s="13" t="s">
        <v>2078</v>
      </c>
      <c r="D5305" s="15">
        <v>4.0</v>
      </c>
      <c r="E5305" s="67">
        <f t="shared" si="16"/>
        <v>1000</v>
      </c>
      <c r="F5305" s="67" t="str">
        <f t="shared" si="12"/>
        <v>4 LeadGen Set Appointments</v>
      </c>
    </row>
    <row r="5306" hidden="1">
      <c r="A5306" s="6" t="s">
        <v>69</v>
      </c>
      <c r="B5306" s="13" t="s">
        <v>1483</v>
      </c>
      <c r="C5306" s="13" t="s">
        <v>1484</v>
      </c>
      <c r="D5306" s="15">
        <v>4.0</v>
      </c>
      <c r="E5306" s="67">
        <f t="shared" si="16"/>
        <v>1000</v>
      </c>
      <c r="F5306" s="67" t="str">
        <f t="shared" si="12"/>
        <v>4 LeadGen Set Appointments</v>
      </c>
    </row>
    <row r="5307" hidden="1">
      <c r="A5307" s="6" t="s">
        <v>69</v>
      </c>
      <c r="B5307" s="13" t="s">
        <v>2113</v>
      </c>
      <c r="C5307" s="13" t="s">
        <v>2114</v>
      </c>
      <c r="D5307" s="15">
        <v>4.0</v>
      </c>
      <c r="E5307" s="67">
        <f t="shared" si="16"/>
        <v>1000</v>
      </c>
      <c r="F5307" s="67" t="str">
        <f t="shared" si="12"/>
        <v>4 LeadGen Set Appointments</v>
      </c>
    </row>
    <row r="5308" hidden="1">
      <c r="A5308" s="6" t="s">
        <v>69</v>
      </c>
      <c r="B5308" s="13" t="s">
        <v>447</v>
      </c>
      <c r="C5308" s="13" t="s">
        <v>448</v>
      </c>
      <c r="D5308" s="15">
        <v>3.0</v>
      </c>
      <c r="E5308" s="67">
        <f t="shared" si="16"/>
        <v>750</v>
      </c>
      <c r="F5308" s="67" t="str">
        <f t="shared" si="12"/>
        <v>3 LeadGen Set Appointments</v>
      </c>
    </row>
    <row r="5309" hidden="1">
      <c r="A5309" s="6" t="s">
        <v>69</v>
      </c>
      <c r="B5309" s="13" t="s">
        <v>2212</v>
      </c>
      <c r="C5309" s="13" t="s">
        <v>2213</v>
      </c>
      <c r="D5309" s="15">
        <v>3.0</v>
      </c>
      <c r="E5309" s="67">
        <f t="shared" si="16"/>
        <v>750</v>
      </c>
      <c r="F5309" s="67" t="str">
        <f t="shared" si="12"/>
        <v>3 LeadGen Set Appointments</v>
      </c>
    </row>
    <row r="5310" hidden="1">
      <c r="A5310" s="6" t="s">
        <v>69</v>
      </c>
      <c r="B5310" s="13" t="s">
        <v>2335</v>
      </c>
      <c r="C5310" s="13" t="s">
        <v>2336</v>
      </c>
      <c r="D5310" s="15">
        <v>3.0</v>
      </c>
      <c r="E5310" s="67">
        <f t="shared" si="16"/>
        <v>750</v>
      </c>
      <c r="F5310" s="67" t="str">
        <f t="shared" si="12"/>
        <v>3 LeadGen Set Appointments</v>
      </c>
    </row>
    <row r="5311" hidden="1">
      <c r="A5311" s="6" t="s">
        <v>69</v>
      </c>
      <c r="B5311" s="13" t="s">
        <v>1761</v>
      </c>
      <c r="C5311" s="13" t="s">
        <v>1762</v>
      </c>
      <c r="D5311" s="15">
        <v>3.0</v>
      </c>
      <c r="E5311" s="67">
        <f t="shared" si="16"/>
        <v>750</v>
      </c>
      <c r="F5311" s="67" t="str">
        <f t="shared" si="12"/>
        <v>3 LeadGen Set Appointments</v>
      </c>
    </row>
    <row r="5312" hidden="1">
      <c r="A5312" s="6" t="s">
        <v>69</v>
      </c>
      <c r="B5312" s="13" t="s">
        <v>1600</v>
      </c>
      <c r="C5312" s="13" t="s">
        <v>1601</v>
      </c>
      <c r="D5312" s="15">
        <v>3.0</v>
      </c>
      <c r="E5312" s="67">
        <f t="shared" si="16"/>
        <v>750</v>
      </c>
      <c r="F5312" s="67" t="str">
        <f t="shared" si="12"/>
        <v>3 LeadGen Set Appointments</v>
      </c>
    </row>
    <row r="5313" hidden="1">
      <c r="A5313" s="6" t="s">
        <v>69</v>
      </c>
      <c r="B5313" s="13" t="s">
        <v>1473</v>
      </c>
      <c r="C5313" s="13" t="s">
        <v>1474</v>
      </c>
      <c r="D5313" s="15">
        <v>3.0</v>
      </c>
      <c r="E5313" s="67">
        <f t="shared" si="16"/>
        <v>750</v>
      </c>
      <c r="F5313" s="67" t="str">
        <f t="shared" si="12"/>
        <v>3 LeadGen Set Appointments</v>
      </c>
    </row>
    <row r="5314" hidden="1">
      <c r="A5314" s="6" t="s">
        <v>69</v>
      </c>
      <c r="B5314" s="13" t="s">
        <v>431</v>
      </c>
      <c r="C5314" s="13" t="s">
        <v>432</v>
      </c>
      <c r="D5314" s="15">
        <v>3.0</v>
      </c>
      <c r="E5314" s="67">
        <f t="shared" si="16"/>
        <v>750</v>
      </c>
      <c r="F5314" s="67" t="str">
        <f t="shared" si="12"/>
        <v>3 LeadGen Set Appointments</v>
      </c>
    </row>
    <row r="5315" hidden="1">
      <c r="A5315" s="6" t="s">
        <v>69</v>
      </c>
      <c r="B5315" s="13" t="s">
        <v>1545</v>
      </c>
      <c r="C5315" s="13" t="s">
        <v>1546</v>
      </c>
      <c r="D5315" s="15">
        <v>3.0</v>
      </c>
      <c r="E5315" s="67">
        <f t="shared" si="16"/>
        <v>750</v>
      </c>
      <c r="F5315" s="67" t="str">
        <f t="shared" si="12"/>
        <v>3 LeadGen Set Appointments</v>
      </c>
    </row>
    <row r="5316" hidden="1">
      <c r="A5316" s="6" t="s">
        <v>69</v>
      </c>
      <c r="B5316" s="13" t="s">
        <v>2337</v>
      </c>
      <c r="C5316" s="13" t="s">
        <v>2338</v>
      </c>
      <c r="D5316" s="15">
        <v>3.0</v>
      </c>
      <c r="E5316" s="67">
        <f t="shared" si="16"/>
        <v>750</v>
      </c>
      <c r="F5316" s="67" t="str">
        <f t="shared" si="12"/>
        <v>3 LeadGen Set Appointments</v>
      </c>
    </row>
    <row r="5317" hidden="1">
      <c r="A5317" s="6" t="s">
        <v>69</v>
      </c>
      <c r="B5317" s="13" t="s">
        <v>2339</v>
      </c>
      <c r="C5317" s="13" t="s">
        <v>2340</v>
      </c>
      <c r="D5317" s="15">
        <v>3.0</v>
      </c>
      <c r="E5317" s="67">
        <f t="shared" si="16"/>
        <v>750</v>
      </c>
      <c r="F5317" s="67" t="str">
        <f t="shared" si="12"/>
        <v>3 LeadGen Set Appointments</v>
      </c>
    </row>
    <row r="5318" hidden="1">
      <c r="A5318" s="6" t="s">
        <v>69</v>
      </c>
      <c r="B5318" s="13" t="s">
        <v>1612</v>
      </c>
      <c r="C5318" s="13" t="s">
        <v>1613</v>
      </c>
      <c r="D5318" s="15">
        <v>3.0</v>
      </c>
      <c r="E5318" s="67">
        <f t="shared" si="16"/>
        <v>750</v>
      </c>
      <c r="F5318" s="67" t="str">
        <f t="shared" si="12"/>
        <v>3 LeadGen Set Appointments</v>
      </c>
    </row>
    <row r="5319" hidden="1">
      <c r="A5319" s="6" t="s">
        <v>69</v>
      </c>
      <c r="B5319" s="13" t="s">
        <v>494</v>
      </c>
      <c r="C5319" s="13" t="s">
        <v>495</v>
      </c>
      <c r="D5319" s="15">
        <v>3.0</v>
      </c>
      <c r="E5319" s="67">
        <f t="shared" si="16"/>
        <v>750</v>
      </c>
      <c r="F5319" s="67" t="str">
        <f t="shared" si="12"/>
        <v>3 LeadGen Set Appointments</v>
      </c>
    </row>
    <row r="5320" hidden="1">
      <c r="A5320" s="6" t="s">
        <v>69</v>
      </c>
      <c r="B5320" s="13" t="s">
        <v>2179</v>
      </c>
      <c r="C5320" s="13" t="s">
        <v>2180</v>
      </c>
      <c r="D5320" s="15">
        <v>3.0</v>
      </c>
      <c r="E5320" s="67">
        <f t="shared" si="16"/>
        <v>750</v>
      </c>
      <c r="F5320" s="67" t="str">
        <f t="shared" si="12"/>
        <v>3 LeadGen Set Appointments</v>
      </c>
    </row>
    <row r="5321" hidden="1">
      <c r="A5321" s="6" t="s">
        <v>69</v>
      </c>
      <c r="B5321" s="13" t="s">
        <v>1512</v>
      </c>
      <c r="C5321" s="13" t="s">
        <v>1513</v>
      </c>
      <c r="D5321" s="15">
        <v>3.0</v>
      </c>
      <c r="E5321" s="67">
        <f t="shared" si="16"/>
        <v>750</v>
      </c>
      <c r="F5321" s="67" t="str">
        <f t="shared" si="12"/>
        <v>3 LeadGen Set Appointments</v>
      </c>
    </row>
    <row r="5322" hidden="1">
      <c r="A5322" s="6" t="s">
        <v>69</v>
      </c>
      <c r="B5322" s="13" t="s">
        <v>2276</v>
      </c>
      <c r="C5322" s="13" t="s">
        <v>2277</v>
      </c>
      <c r="D5322" s="15">
        <v>3.0</v>
      </c>
      <c r="E5322" s="67">
        <f t="shared" si="16"/>
        <v>750</v>
      </c>
      <c r="F5322" s="67" t="str">
        <f t="shared" si="12"/>
        <v>3 LeadGen Set Appointments</v>
      </c>
    </row>
    <row r="5323" hidden="1">
      <c r="A5323" s="6" t="s">
        <v>69</v>
      </c>
      <c r="B5323" s="13" t="s">
        <v>2127</v>
      </c>
      <c r="C5323" s="13" t="s">
        <v>2128</v>
      </c>
      <c r="D5323" s="15">
        <v>3.0</v>
      </c>
      <c r="E5323" s="67">
        <f t="shared" si="16"/>
        <v>750</v>
      </c>
      <c r="F5323" s="67" t="str">
        <f t="shared" si="12"/>
        <v>3 LeadGen Set Appointments</v>
      </c>
    </row>
    <row r="5324" hidden="1">
      <c r="A5324" s="6" t="s">
        <v>69</v>
      </c>
      <c r="B5324" s="13" t="s">
        <v>717</v>
      </c>
      <c r="C5324" s="13" t="s">
        <v>718</v>
      </c>
      <c r="D5324" s="15">
        <v>3.0</v>
      </c>
      <c r="E5324" s="67">
        <f t="shared" si="16"/>
        <v>750</v>
      </c>
      <c r="F5324" s="67" t="str">
        <f t="shared" si="12"/>
        <v>3 LeadGen Set Appointments</v>
      </c>
    </row>
    <row r="5325" hidden="1">
      <c r="A5325" s="6" t="s">
        <v>69</v>
      </c>
      <c r="B5325" s="13" t="s">
        <v>1724</v>
      </c>
      <c r="C5325" s="13" t="s">
        <v>1725</v>
      </c>
      <c r="D5325" s="15">
        <v>3.0</v>
      </c>
      <c r="E5325" s="67">
        <f t="shared" si="16"/>
        <v>750</v>
      </c>
      <c r="F5325" s="67" t="str">
        <f t="shared" si="12"/>
        <v>3 LeadGen Set Appointments</v>
      </c>
    </row>
    <row r="5326" hidden="1">
      <c r="A5326" s="6" t="s">
        <v>69</v>
      </c>
      <c r="B5326" s="13" t="s">
        <v>2307</v>
      </c>
      <c r="C5326" s="13" t="s">
        <v>2308</v>
      </c>
      <c r="D5326" s="15">
        <v>3.0</v>
      </c>
      <c r="E5326" s="67">
        <f t="shared" si="16"/>
        <v>750</v>
      </c>
      <c r="F5326" s="67" t="str">
        <f t="shared" si="12"/>
        <v>3 LeadGen Set Appointments</v>
      </c>
    </row>
    <row r="5327" hidden="1">
      <c r="A5327" s="6" t="s">
        <v>69</v>
      </c>
      <c r="B5327" s="13" t="s">
        <v>2224</v>
      </c>
      <c r="C5327" s="13" t="s">
        <v>2225</v>
      </c>
      <c r="D5327" s="15">
        <v>3.0</v>
      </c>
      <c r="E5327" s="67">
        <f t="shared" si="16"/>
        <v>750</v>
      </c>
      <c r="F5327" s="67" t="str">
        <f t="shared" si="12"/>
        <v>3 LeadGen Set Appointments</v>
      </c>
    </row>
    <row r="5328" hidden="1">
      <c r="A5328" s="6" t="s">
        <v>69</v>
      </c>
      <c r="B5328" s="13" t="s">
        <v>2151</v>
      </c>
      <c r="C5328" s="13" t="s">
        <v>2152</v>
      </c>
      <c r="D5328" s="15">
        <v>3.0</v>
      </c>
      <c r="E5328" s="67">
        <f t="shared" si="16"/>
        <v>750</v>
      </c>
      <c r="F5328" s="67" t="str">
        <f t="shared" si="12"/>
        <v>3 LeadGen Set Appointments</v>
      </c>
    </row>
    <row r="5329" hidden="1">
      <c r="A5329" s="6" t="s">
        <v>69</v>
      </c>
      <c r="B5329" s="13" t="s">
        <v>2167</v>
      </c>
      <c r="C5329" s="13" t="s">
        <v>2168</v>
      </c>
      <c r="D5329" s="15">
        <v>3.0</v>
      </c>
      <c r="E5329" s="67">
        <f t="shared" si="16"/>
        <v>750</v>
      </c>
      <c r="F5329" s="67" t="str">
        <f t="shared" si="12"/>
        <v>3 LeadGen Set Appointments</v>
      </c>
    </row>
    <row r="5330" hidden="1">
      <c r="A5330" s="6" t="s">
        <v>69</v>
      </c>
      <c r="B5330" s="13" t="s">
        <v>701</v>
      </c>
      <c r="C5330" s="13" t="s">
        <v>702</v>
      </c>
      <c r="D5330" s="15">
        <v>3.0</v>
      </c>
      <c r="E5330" s="67">
        <f t="shared" si="16"/>
        <v>750</v>
      </c>
      <c r="F5330" s="67" t="str">
        <f t="shared" si="12"/>
        <v>3 LeadGen Set Appointments</v>
      </c>
    </row>
    <row r="5331" hidden="1">
      <c r="A5331" s="6" t="s">
        <v>69</v>
      </c>
      <c r="B5331" s="13" t="s">
        <v>2341</v>
      </c>
      <c r="C5331" s="13" t="s">
        <v>2342</v>
      </c>
      <c r="D5331" s="15">
        <v>3.0</v>
      </c>
      <c r="E5331" s="67">
        <f t="shared" si="16"/>
        <v>750</v>
      </c>
      <c r="F5331" s="67" t="str">
        <f t="shared" si="12"/>
        <v>3 LeadGen Set Appointments</v>
      </c>
    </row>
    <row r="5332" hidden="1">
      <c r="A5332" s="6" t="s">
        <v>69</v>
      </c>
      <c r="B5332" s="13" t="s">
        <v>566</v>
      </c>
      <c r="C5332" s="13" t="s">
        <v>567</v>
      </c>
      <c r="D5332" s="15">
        <v>3.0</v>
      </c>
      <c r="E5332" s="67">
        <f t="shared" si="16"/>
        <v>750</v>
      </c>
      <c r="F5332" s="67" t="str">
        <f t="shared" si="12"/>
        <v>3 LeadGen Set Appointments</v>
      </c>
    </row>
    <row r="5333" hidden="1">
      <c r="A5333" s="6" t="s">
        <v>69</v>
      </c>
      <c r="B5333" s="13" t="s">
        <v>1283</v>
      </c>
      <c r="C5333" s="13" t="s">
        <v>404</v>
      </c>
      <c r="D5333" s="15">
        <v>3.0</v>
      </c>
      <c r="E5333" s="67">
        <f t="shared" si="16"/>
        <v>750</v>
      </c>
      <c r="F5333" s="67" t="str">
        <f t="shared" si="12"/>
        <v>3 LeadGen Set Appointments</v>
      </c>
    </row>
    <row r="5334" hidden="1">
      <c r="A5334" s="6" t="s">
        <v>69</v>
      </c>
      <c r="B5334" s="13" t="s">
        <v>2264</v>
      </c>
      <c r="C5334" s="13" t="s">
        <v>2265</v>
      </c>
      <c r="D5334" s="15">
        <v>3.0</v>
      </c>
      <c r="E5334" s="67">
        <f t="shared" si="16"/>
        <v>750</v>
      </c>
      <c r="F5334" s="67" t="str">
        <f t="shared" si="12"/>
        <v>3 LeadGen Set Appointments</v>
      </c>
    </row>
    <row r="5335" hidden="1">
      <c r="A5335" s="6" t="s">
        <v>69</v>
      </c>
      <c r="B5335" s="13" t="s">
        <v>2323</v>
      </c>
      <c r="C5335" s="13" t="s">
        <v>2324</v>
      </c>
      <c r="D5335" s="15">
        <v>3.0</v>
      </c>
      <c r="E5335" s="67">
        <f t="shared" si="16"/>
        <v>750</v>
      </c>
      <c r="F5335" s="67" t="str">
        <f t="shared" si="12"/>
        <v>3 LeadGen Set Appointments</v>
      </c>
    </row>
    <row r="5336" hidden="1">
      <c r="A5336" s="6" t="s">
        <v>69</v>
      </c>
      <c r="B5336" s="13" t="s">
        <v>2209</v>
      </c>
      <c r="C5336" s="13" t="s">
        <v>2210</v>
      </c>
      <c r="D5336" s="15">
        <v>3.0</v>
      </c>
      <c r="E5336" s="67">
        <f t="shared" si="16"/>
        <v>750</v>
      </c>
      <c r="F5336" s="67" t="str">
        <f t="shared" si="12"/>
        <v>3 LeadGen Set Appointments</v>
      </c>
    </row>
    <row r="5337" hidden="1">
      <c r="A5337" s="6" t="s">
        <v>69</v>
      </c>
      <c r="B5337" s="13" t="s">
        <v>1033</v>
      </c>
      <c r="C5337" s="13" t="s">
        <v>1034</v>
      </c>
      <c r="D5337" s="15">
        <v>2.0</v>
      </c>
      <c r="E5337" s="67">
        <f t="shared" si="16"/>
        <v>500</v>
      </c>
      <c r="F5337" s="67" t="str">
        <f t="shared" si="12"/>
        <v>2 LeadGen Set Appointments</v>
      </c>
    </row>
    <row r="5338" hidden="1">
      <c r="A5338" s="6" t="s">
        <v>69</v>
      </c>
      <c r="B5338" s="13" t="s">
        <v>1463</v>
      </c>
      <c r="C5338" s="13" t="s">
        <v>1464</v>
      </c>
      <c r="D5338" s="15">
        <v>2.0</v>
      </c>
      <c r="E5338" s="67">
        <f t="shared" si="16"/>
        <v>500</v>
      </c>
      <c r="F5338" s="67" t="str">
        <f t="shared" si="12"/>
        <v>2 LeadGen Set Appointments</v>
      </c>
    </row>
    <row r="5339" hidden="1">
      <c r="A5339" s="6" t="s">
        <v>69</v>
      </c>
      <c r="B5339" s="13" t="s">
        <v>736</v>
      </c>
      <c r="C5339" s="13" t="s">
        <v>737</v>
      </c>
      <c r="D5339" s="15">
        <v>2.0</v>
      </c>
      <c r="E5339" s="67">
        <f t="shared" si="16"/>
        <v>500</v>
      </c>
      <c r="F5339" s="67" t="str">
        <f t="shared" si="12"/>
        <v>2 LeadGen Set Appointments</v>
      </c>
    </row>
    <row r="5340" hidden="1">
      <c r="A5340" s="6" t="s">
        <v>69</v>
      </c>
      <c r="B5340" s="13" t="s">
        <v>2274</v>
      </c>
      <c r="C5340" s="13" t="s">
        <v>2275</v>
      </c>
      <c r="D5340" s="15">
        <v>2.0</v>
      </c>
      <c r="E5340" s="67">
        <f t="shared" si="16"/>
        <v>500</v>
      </c>
      <c r="F5340" s="67" t="str">
        <f t="shared" si="12"/>
        <v>2 LeadGen Set Appointments</v>
      </c>
    </row>
    <row r="5341" hidden="1">
      <c r="A5341" s="6" t="s">
        <v>69</v>
      </c>
      <c r="B5341" s="13" t="s">
        <v>2161</v>
      </c>
      <c r="C5341" s="13" t="s">
        <v>2162</v>
      </c>
      <c r="D5341" s="15">
        <v>2.0</v>
      </c>
      <c r="E5341" s="67">
        <f t="shared" si="16"/>
        <v>500</v>
      </c>
      <c r="F5341" s="67" t="str">
        <f t="shared" si="12"/>
        <v>2 LeadGen Set Appointments</v>
      </c>
    </row>
    <row r="5342" hidden="1">
      <c r="A5342" s="6" t="s">
        <v>69</v>
      </c>
      <c r="B5342" s="13" t="s">
        <v>2201</v>
      </c>
      <c r="C5342" s="13" t="s">
        <v>2202</v>
      </c>
      <c r="D5342" s="15">
        <v>2.0</v>
      </c>
      <c r="E5342" s="67">
        <f t="shared" si="16"/>
        <v>500</v>
      </c>
      <c r="F5342" s="67" t="str">
        <f t="shared" si="12"/>
        <v>2 LeadGen Set Appointments</v>
      </c>
    </row>
    <row r="5343" hidden="1">
      <c r="A5343" s="6" t="s">
        <v>69</v>
      </c>
      <c r="B5343" s="13" t="s">
        <v>2282</v>
      </c>
      <c r="C5343" s="13" t="s">
        <v>2283</v>
      </c>
      <c r="D5343" s="15">
        <v>2.0</v>
      </c>
      <c r="E5343" s="67">
        <f t="shared" si="16"/>
        <v>500</v>
      </c>
      <c r="F5343" s="67" t="str">
        <f t="shared" si="12"/>
        <v>2 LeadGen Set Appointments</v>
      </c>
    </row>
    <row r="5344" hidden="1">
      <c r="A5344" s="6" t="s">
        <v>69</v>
      </c>
      <c r="B5344" s="13" t="s">
        <v>2299</v>
      </c>
      <c r="C5344" s="13" t="s">
        <v>2300</v>
      </c>
      <c r="D5344" s="15">
        <v>2.0</v>
      </c>
      <c r="E5344" s="67">
        <f t="shared" si="16"/>
        <v>500</v>
      </c>
      <c r="F5344" s="67" t="str">
        <f t="shared" si="12"/>
        <v>2 LeadGen Set Appointments</v>
      </c>
    </row>
    <row r="5345" hidden="1">
      <c r="A5345" s="6" t="s">
        <v>69</v>
      </c>
      <c r="B5345" s="13" t="s">
        <v>2215</v>
      </c>
      <c r="C5345" s="13" t="s">
        <v>2216</v>
      </c>
      <c r="D5345" s="15">
        <v>2.0</v>
      </c>
      <c r="E5345" s="67">
        <f t="shared" si="16"/>
        <v>500</v>
      </c>
      <c r="F5345" s="67" t="str">
        <f t="shared" si="12"/>
        <v>2 LeadGen Set Appointments</v>
      </c>
    </row>
    <row r="5346" hidden="1">
      <c r="A5346" s="6" t="s">
        <v>69</v>
      </c>
      <c r="B5346" s="13" t="s">
        <v>1333</v>
      </c>
      <c r="C5346" s="13" t="s">
        <v>551</v>
      </c>
      <c r="D5346" s="15">
        <v>2.0</v>
      </c>
      <c r="E5346" s="67">
        <f t="shared" si="16"/>
        <v>500</v>
      </c>
      <c r="F5346" s="67" t="str">
        <f t="shared" si="12"/>
        <v>2 LeadGen Set Appointments</v>
      </c>
    </row>
    <row r="5347" hidden="1">
      <c r="A5347" s="6" t="s">
        <v>69</v>
      </c>
      <c r="B5347" s="13" t="s">
        <v>2056</v>
      </c>
      <c r="C5347" s="13" t="s">
        <v>2057</v>
      </c>
      <c r="D5347" s="15">
        <v>2.0</v>
      </c>
      <c r="E5347" s="67">
        <f t="shared" si="16"/>
        <v>500</v>
      </c>
      <c r="F5347" s="67" t="str">
        <f t="shared" si="12"/>
        <v>2 LeadGen Set Appointments</v>
      </c>
    </row>
    <row r="5348" hidden="1">
      <c r="A5348" s="6" t="s">
        <v>69</v>
      </c>
      <c r="B5348" s="13" t="s">
        <v>2343</v>
      </c>
      <c r="C5348" s="13" t="s">
        <v>2344</v>
      </c>
      <c r="D5348" s="15">
        <v>2.0</v>
      </c>
      <c r="E5348" s="67">
        <f t="shared" si="16"/>
        <v>500</v>
      </c>
      <c r="F5348" s="67" t="str">
        <f t="shared" si="12"/>
        <v>2 LeadGen Set Appointments</v>
      </c>
    </row>
    <row r="5349" hidden="1">
      <c r="A5349" s="6" t="s">
        <v>69</v>
      </c>
      <c r="B5349" s="13" t="s">
        <v>1834</v>
      </c>
      <c r="C5349" s="13" t="s">
        <v>2296</v>
      </c>
      <c r="D5349" s="15">
        <v>2.0</v>
      </c>
      <c r="E5349" s="67">
        <f t="shared" si="16"/>
        <v>500</v>
      </c>
      <c r="F5349" s="67" t="str">
        <f t="shared" si="12"/>
        <v>2 LeadGen Set Appointments</v>
      </c>
    </row>
    <row r="5350" hidden="1">
      <c r="A5350" s="6" t="s">
        <v>69</v>
      </c>
      <c r="B5350" s="13" t="s">
        <v>1960</v>
      </c>
      <c r="C5350" s="13" t="s">
        <v>1961</v>
      </c>
      <c r="D5350" s="15">
        <v>2.0</v>
      </c>
      <c r="E5350" s="67">
        <f t="shared" si="16"/>
        <v>500</v>
      </c>
      <c r="F5350" s="67" t="str">
        <f t="shared" si="12"/>
        <v>2 LeadGen Set Appointments</v>
      </c>
    </row>
    <row r="5351" hidden="1">
      <c r="A5351" s="6" t="s">
        <v>69</v>
      </c>
      <c r="B5351" s="13" t="s">
        <v>2315</v>
      </c>
      <c r="C5351" s="13" t="s">
        <v>2316</v>
      </c>
      <c r="D5351" s="15">
        <v>2.0</v>
      </c>
      <c r="E5351" s="67">
        <f t="shared" si="16"/>
        <v>500</v>
      </c>
      <c r="F5351" s="67" t="str">
        <f t="shared" si="12"/>
        <v>2 LeadGen Set Appointments</v>
      </c>
    </row>
    <row r="5352" hidden="1">
      <c r="A5352" s="6" t="s">
        <v>69</v>
      </c>
      <c r="B5352" s="13" t="s">
        <v>2297</v>
      </c>
      <c r="C5352" s="13" t="s">
        <v>2298</v>
      </c>
      <c r="D5352" s="15">
        <v>2.0</v>
      </c>
      <c r="E5352" s="67">
        <f t="shared" si="16"/>
        <v>500</v>
      </c>
      <c r="F5352" s="67" t="str">
        <f t="shared" si="12"/>
        <v>2 LeadGen Set Appointments</v>
      </c>
    </row>
    <row r="5353" hidden="1">
      <c r="A5353" s="6" t="s">
        <v>69</v>
      </c>
      <c r="B5353" s="13" t="s">
        <v>2319</v>
      </c>
      <c r="C5353" s="13" t="s">
        <v>2320</v>
      </c>
      <c r="D5353" s="15">
        <v>2.0</v>
      </c>
      <c r="E5353" s="67">
        <f t="shared" si="16"/>
        <v>500</v>
      </c>
      <c r="F5353" s="67" t="str">
        <f t="shared" si="12"/>
        <v>2 LeadGen Set Appointments</v>
      </c>
    </row>
    <row r="5354" hidden="1">
      <c r="A5354" s="6" t="s">
        <v>69</v>
      </c>
      <c r="B5354" s="13" t="s">
        <v>2345</v>
      </c>
      <c r="C5354" s="13" t="s">
        <v>2346</v>
      </c>
      <c r="D5354" s="15">
        <v>2.0</v>
      </c>
      <c r="E5354" s="67">
        <f t="shared" si="16"/>
        <v>500</v>
      </c>
      <c r="F5354" s="67" t="str">
        <f t="shared" si="12"/>
        <v>2 LeadGen Set Appointments</v>
      </c>
    </row>
    <row r="5355" hidden="1">
      <c r="A5355" s="6" t="s">
        <v>69</v>
      </c>
      <c r="B5355" s="13" t="s">
        <v>2183</v>
      </c>
      <c r="C5355" s="13" t="s">
        <v>2184</v>
      </c>
      <c r="D5355" s="15">
        <v>2.0</v>
      </c>
      <c r="E5355" s="67">
        <f t="shared" si="16"/>
        <v>500</v>
      </c>
      <c r="F5355" s="67" t="str">
        <f t="shared" si="12"/>
        <v>2 LeadGen Set Appointments</v>
      </c>
    </row>
    <row r="5356" hidden="1">
      <c r="A5356" s="6" t="s">
        <v>69</v>
      </c>
      <c r="B5356" s="13" t="s">
        <v>2321</v>
      </c>
      <c r="C5356" s="13" t="s">
        <v>2322</v>
      </c>
      <c r="D5356" s="15">
        <v>2.0</v>
      </c>
      <c r="E5356" s="67">
        <f t="shared" si="16"/>
        <v>500</v>
      </c>
      <c r="F5356" s="67" t="str">
        <f t="shared" si="12"/>
        <v>2 LeadGen Set Appointments</v>
      </c>
    </row>
    <row r="5357" hidden="1">
      <c r="A5357" s="6" t="s">
        <v>69</v>
      </c>
      <c r="B5357" s="13" t="s">
        <v>2325</v>
      </c>
      <c r="C5357" s="13" t="s">
        <v>2326</v>
      </c>
      <c r="D5357" s="15">
        <v>2.0</v>
      </c>
      <c r="E5357" s="67">
        <f t="shared" si="16"/>
        <v>500</v>
      </c>
      <c r="F5357" s="67" t="str">
        <f t="shared" si="12"/>
        <v>2 LeadGen Set Appointments</v>
      </c>
    </row>
    <row r="5358" hidden="1">
      <c r="A5358" s="6" t="s">
        <v>69</v>
      </c>
      <c r="B5358" s="13" t="s">
        <v>1964</v>
      </c>
      <c r="C5358" s="13" t="s">
        <v>1965</v>
      </c>
      <c r="D5358" s="15">
        <v>2.0</v>
      </c>
      <c r="E5358" s="67">
        <f t="shared" si="16"/>
        <v>500</v>
      </c>
      <c r="F5358" s="67" t="str">
        <f t="shared" si="12"/>
        <v>2 LeadGen Set Appointments</v>
      </c>
    </row>
    <row r="5359" hidden="1">
      <c r="A5359" s="6" t="s">
        <v>69</v>
      </c>
      <c r="B5359" s="13" t="s">
        <v>2347</v>
      </c>
      <c r="C5359" s="13" t="s">
        <v>2348</v>
      </c>
      <c r="D5359" s="15">
        <v>2.0</v>
      </c>
      <c r="E5359" s="67">
        <f t="shared" si="16"/>
        <v>500</v>
      </c>
      <c r="F5359" s="67" t="str">
        <f t="shared" si="12"/>
        <v>2 LeadGen Set Appointments</v>
      </c>
    </row>
    <row r="5360" hidden="1">
      <c r="A5360" s="6" t="s">
        <v>69</v>
      </c>
      <c r="B5360" s="13" t="s">
        <v>2327</v>
      </c>
      <c r="C5360" s="13" t="s">
        <v>2328</v>
      </c>
      <c r="D5360" s="15">
        <v>2.0</v>
      </c>
      <c r="E5360" s="67">
        <f t="shared" si="16"/>
        <v>500</v>
      </c>
      <c r="F5360" s="67" t="str">
        <f t="shared" si="12"/>
        <v>2 LeadGen Set Appointments</v>
      </c>
    </row>
    <row r="5361" hidden="1">
      <c r="A5361" s="6" t="s">
        <v>69</v>
      </c>
      <c r="B5361" s="13" t="s">
        <v>596</v>
      </c>
      <c r="C5361" s="13" t="s">
        <v>597</v>
      </c>
      <c r="D5361" s="15">
        <v>1.0</v>
      </c>
      <c r="E5361" s="67">
        <f t="shared" si="16"/>
        <v>250</v>
      </c>
      <c r="F5361" s="67" t="str">
        <f t="shared" si="12"/>
        <v>1 LeadGen Set Appointments</v>
      </c>
    </row>
    <row r="5362" hidden="1">
      <c r="A5362" s="6" t="s">
        <v>69</v>
      </c>
      <c r="B5362" s="13" t="s">
        <v>606</v>
      </c>
      <c r="C5362" s="13" t="s">
        <v>607</v>
      </c>
      <c r="D5362" s="15">
        <v>1.0</v>
      </c>
      <c r="E5362" s="67">
        <f t="shared" si="16"/>
        <v>250</v>
      </c>
      <c r="F5362" s="67" t="str">
        <f t="shared" si="12"/>
        <v>1 LeadGen Set Appointments</v>
      </c>
    </row>
    <row r="5363" hidden="1">
      <c r="A5363" s="6" t="s">
        <v>69</v>
      </c>
      <c r="B5363" s="13" t="s">
        <v>2048</v>
      </c>
      <c r="C5363" s="13" t="s">
        <v>2049</v>
      </c>
      <c r="D5363" s="15">
        <v>1.0</v>
      </c>
      <c r="E5363" s="67">
        <f t="shared" si="16"/>
        <v>250</v>
      </c>
      <c r="F5363" s="67" t="str">
        <f t="shared" si="12"/>
        <v>1 LeadGen Set Appointments</v>
      </c>
    </row>
    <row r="5364" hidden="1">
      <c r="A5364" s="6" t="s">
        <v>69</v>
      </c>
      <c r="B5364" s="13" t="s">
        <v>1465</v>
      </c>
      <c r="C5364" s="13" t="s">
        <v>1466</v>
      </c>
      <c r="D5364" s="15">
        <v>1.0</v>
      </c>
      <c r="E5364" s="67">
        <f t="shared" si="16"/>
        <v>250</v>
      </c>
      <c r="F5364" s="67" t="str">
        <f t="shared" si="12"/>
        <v>1 LeadGen Set Appointments</v>
      </c>
    </row>
    <row r="5365" hidden="1">
      <c r="A5365" s="6" t="s">
        <v>69</v>
      </c>
      <c r="B5365" s="13" t="s">
        <v>576</v>
      </c>
      <c r="C5365" s="13" t="s">
        <v>577</v>
      </c>
      <c r="D5365" s="15">
        <v>1.0</v>
      </c>
      <c r="E5365" s="67">
        <f t="shared" si="16"/>
        <v>250</v>
      </c>
      <c r="F5365" s="67" t="str">
        <f t="shared" si="12"/>
        <v>1 LeadGen Set Appointments</v>
      </c>
    </row>
    <row r="5366" hidden="1">
      <c r="A5366" s="6" t="s">
        <v>69</v>
      </c>
      <c r="B5366" s="13" t="s">
        <v>2034</v>
      </c>
      <c r="C5366" s="13" t="s">
        <v>416</v>
      </c>
      <c r="D5366" s="15">
        <v>1.0</v>
      </c>
      <c r="E5366" s="67">
        <f t="shared" si="16"/>
        <v>250</v>
      </c>
      <c r="F5366" s="67" t="str">
        <f t="shared" si="12"/>
        <v>1 LeadGen Set Appointments</v>
      </c>
    </row>
    <row r="5367" hidden="1">
      <c r="A5367" s="6" t="s">
        <v>69</v>
      </c>
      <c r="B5367" s="13" t="s">
        <v>1913</v>
      </c>
      <c r="C5367" s="13" t="s">
        <v>2349</v>
      </c>
      <c r="D5367" s="15">
        <v>1.0</v>
      </c>
      <c r="E5367" s="67">
        <f t="shared" si="16"/>
        <v>250</v>
      </c>
      <c r="F5367" s="67" t="str">
        <f t="shared" si="12"/>
        <v>1 LeadGen Set Appointments</v>
      </c>
    </row>
    <row r="5368" hidden="1">
      <c r="A5368" s="6" t="s">
        <v>69</v>
      </c>
      <c r="B5368" s="13" t="s">
        <v>2301</v>
      </c>
      <c r="C5368" s="13" t="s">
        <v>2302</v>
      </c>
      <c r="D5368" s="15">
        <v>1.0</v>
      </c>
      <c r="E5368" s="67">
        <f t="shared" si="16"/>
        <v>250</v>
      </c>
      <c r="F5368" s="67" t="str">
        <f t="shared" si="12"/>
        <v>1 LeadGen Set Appointments</v>
      </c>
    </row>
    <row r="5369" hidden="1">
      <c r="A5369" s="6" t="s">
        <v>69</v>
      </c>
      <c r="B5369" s="13" t="s">
        <v>2350</v>
      </c>
      <c r="C5369" s="13" t="s">
        <v>2351</v>
      </c>
      <c r="D5369" s="15">
        <v>1.0</v>
      </c>
      <c r="E5369" s="67">
        <f t="shared" si="16"/>
        <v>250</v>
      </c>
      <c r="F5369" s="67" t="str">
        <f t="shared" si="12"/>
        <v>1 LeadGen Set Appointments</v>
      </c>
    </row>
    <row r="5370" hidden="1">
      <c r="A5370" s="6" t="s">
        <v>69</v>
      </c>
      <c r="B5370" s="13" t="s">
        <v>1838</v>
      </c>
      <c r="C5370" s="13" t="s">
        <v>1839</v>
      </c>
      <c r="D5370" s="15">
        <v>1.0</v>
      </c>
      <c r="E5370" s="67">
        <f t="shared" si="16"/>
        <v>250</v>
      </c>
      <c r="F5370" s="67" t="str">
        <f t="shared" si="12"/>
        <v>1 LeadGen Set Appointments</v>
      </c>
    </row>
    <row r="5371" hidden="1">
      <c r="A5371" s="6" t="s">
        <v>69</v>
      </c>
      <c r="B5371" s="13" t="s">
        <v>2352</v>
      </c>
      <c r="C5371" s="13" t="s">
        <v>2353</v>
      </c>
      <c r="D5371" s="15">
        <v>1.0</v>
      </c>
      <c r="E5371" s="67">
        <f t="shared" si="16"/>
        <v>250</v>
      </c>
      <c r="F5371" s="67" t="str">
        <f t="shared" si="12"/>
        <v>1 LeadGen Set Appointments</v>
      </c>
    </row>
    <row r="5372" hidden="1">
      <c r="A5372" s="6" t="s">
        <v>69</v>
      </c>
      <c r="B5372" s="13" t="s">
        <v>2292</v>
      </c>
      <c r="C5372" s="13" t="s">
        <v>2293</v>
      </c>
      <c r="D5372" s="15">
        <v>1.0</v>
      </c>
      <c r="E5372" s="67">
        <f t="shared" si="16"/>
        <v>250</v>
      </c>
      <c r="F5372" s="67" t="str">
        <f t="shared" si="12"/>
        <v>1 LeadGen Set Appointments</v>
      </c>
    </row>
    <row r="5373" hidden="1">
      <c r="A5373" s="6" t="s">
        <v>69</v>
      </c>
      <c r="B5373" s="13" t="s">
        <v>2303</v>
      </c>
      <c r="C5373" s="13" t="s">
        <v>2304</v>
      </c>
      <c r="D5373" s="15">
        <v>1.0</v>
      </c>
      <c r="E5373" s="67">
        <f t="shared" si="16"/>
        <v>250</v>
      </c>
      <c r="F5373" s="67" t="str">
        <f t="shared" si="12"/>
        <v>1 LeadGen Set Appointments</v>
      </c>
    </row>
    <row r="5374" hidden="1">
      <c r="A5374" s="6" t="s">
        <v>69</v>
      </c>
      <c r="B5374" s="13" t="s">
        <v>2331</v>
      </c>
      <c r="C5374" s="13" t="s">
        <v>2332</v>
      </c>
      <c r="D5374" s="15">
        <v>1.0</v>
      </c>
      <c r="E5374" s="67">
        <f t="shared" si="16"/>
        <v>250</v>
      </c>
      <c r="F5374" s="67" t="str">
        <f t="shared" si="12"/>
        <v>1 LeadGen Set Appointments</v>
      </c>
    </row>
    <row r="5375" hidden="1">
      <c r="A5375" s="6" t="s">
        <v>69</v>
      </c>
      <c r="B5375" s="13" t="s">
        <v>2258</v>
      </c>
      <c r="C5375" s="13" t="s">
        <v>2259</v>
      </c>
      <c r="D5375" s="15">
        <v>1.0</v>
      </c>
      <c r="E5375" s="67">
        <f t="shared" si="16"/>
        <v>250</v>
      </c>
      <c r="F5375" s="67" t="str">
        <f t="shared" si="12"/>
        <v>1 LeadGen Set Appointments</v>
      </c>
    </row>
    <row r="5376" hidden="1">
      <c r="A5376" s="6" t="s">
        <v>69</v>
      </c>
      <c r="B5376" s="13" t="s">
        <v>2354</v>
      </c>
      <c r="C5376" s="13" t="s">
        <v>2355</v>
      </c>
      <c r="D5376" s="15">
        <v>1.0</v>
      </c>
      <c r="E5376" s="67">
        <f t="shared" si="16"/>
        <v>250</v>
      </c>
      <c r="F5376" s="67" t="str">
        <f t="shared" si="12"/>
        <v>1 LeadGen Set Appointments</v>
      </c>
    </row>
    <row r="5377" hidden="1">
      <c r="A5377" s="6" t="s">
        <v>69</v>
      </c>
      <c r="B5377" s="13" t="s">
        <v>2356</v>
      </c>
      <c r="C5377" s="13" t="s">
        <v>2357</v>
      </c>
      <c r="D5377" s="15">
        <v>1.0</v>
      </c>
      <c r="E5377" s="67">
        <f t="shared" si="16"/>
        <v>250</v>
      </c>
      <c r="F5377" s="67" t="str">
        <f t="shared" si="12"/>
        <v>1 LeadGen Set Appointments</v>
      </c>
    </row>
    <row r="5378" hidden="1">
      <c r="A5378" s="6" t="s">
        <v>69</v>
      </c>
      <c r="B5378" s="13" t="s">
        <v>2358</v>
      </c>
      <c r="C5378" s="13" t="s">
        <v>2359</v>
      </c>
      <c r="D5378" s="15">
        <v>1.0</v>
      </c>
      <c r="E5378" s="67">
        <f t="shared" si="16"/>
        <v>250</v>
      </c>
      <c r="F5378" s="67" t="str">
        <f t="shared" si="12"/>
        <v>1 LeadGen Set Appointments</v>
      </c>
    </row>
    <row r="5379" hidden="1">
      <c r="A5379" s="6" t="s">
        <v>69</v>
      </c>
      <c r="B5379" s="13" t="s">
        <v>2360</v>
      </c>
      <c r="C5379" s="13" t="s">
        <v>2361</v>
      </c>
      <c r="D5379" s="15">
        <v>1.0</v>
      </c>
      <c r="E5379" s="67">
        <f t="shared" si="16"/>
        <v>250</v>
      </c>
      <c r="F5379" s="67" t="str">
        <f t="shared" si="12"/>
        <v>1 LeadGen Set Appointments</v>
      </c>
    </row>
    <row r="5380" hidden="1">
      <c r="A5380" s="6" t="s">
        <v>69</v>
      </c>
      <c r="B5380" s="13" t="s">
        <v>2362</v>
      </c>
      <c r="C5380" s="13" t="s">
        <v>2363</v>
      </c>
      <c r="D5380" s="15">
        <v>1.0</v>
      </c>
      <c r="E5380" s="67">
        <f t="shared" si="16"/>
        <v>250</v>
      </c>
      <c r="F5380" s="67" t="str">
        <f t="shared" si="12"/>
        <v>1 LeadGen Set Appointments</v>
      </c>
    </row>
    <row r="5381" hidden="1">
      <c r="A5381" s="6" t="s">
        <v>69</v>
      </c>
      <c r="B5381" s="13" t="s">
        <v>1790</v>
      </c>
      <c r="C5381" s="13" t="s">
        <v>2364</v>
      </c>
      <c r="D5381" s="15">
        <v>1.0</v>
      </c>
      <c r="E5381" s="67">
        <f t="shared" si="16"/>
        <v>250</v>
      </c>
      <c r="F5381" s="67" t="str">
        <f t="shared" si="12"/>
        <v>1 LeadGen Set Appointments</v>
      </c>
    </row>
    <row r="5382" hidden="1">
      <c r="A5382" s="6" t="s">
        <v>69</v>
      </c>
      <c r="B5382" s="13" t="s">
        <v>2365</v>
      </c>
      <c r="C5382" s="13" t="s">
        <v>2366</v>
      </c>
      <c r="D5382" s="15">
        <v>1.0</v>
      </c>
      <c r="E5382" s="67">
        <f t="shared" si="16"/>
        <v>250</v>
      </c>
      <c r="F5382" s="67" t="str">
        <f t="shared" si="12"/>
        <v>1 LeadGen Set Appointments</v>
      </c>
    </row>
    <row r="5383" hidden="1">
      <c r="A5383" s="6" t="s">
        <v>69</v>
      </c>
      <c r="B5383" s="13" t="s">
        <v>2290</v>
      </c>
      <c r="C5383" s="13" t="s">
        <v>2291</v>
      </c>
      <c r="D5383" s="15">
        <v>1.0</v>
      </c>
      <c r="E5383" s="67">
        <f t="shared" si="16"/>
        <v>250</v>
      </c>
      <c r="F5383" s="67" t="str">
        <f t="shared" si="12"/>
        <v>1 LeadGen Set Appointments</v>
      </c>
    </row>
    <row r="5384" hidden="1">
      <c r="A5384" s="6" t="s">
        <v>69</v>
      </c>
      <c r="B5384" s="13" t="s">
        <v>2367</v>
      </c>
      <c r="C5384" s="13" t="s">
        <v>2368</v>
      </c>
      <c r="D5384" s="15">
        <v>1.0</v>
      </c>
      <c r="E5384" s="67">
        <f t="shared" si="16"/>
        <v>250</v>
      </c>
      <c r="F5384" s="67" t="str">
        <f t="shared" si="12"/>
        <v>1 LeadGen Set Appointments</v>
      </c>
    </row>
    <row r="5385" hidden="1">
      <c r="A5385" s="6" t="s">
        <v>69</v>
      </c>
      <c r="B5385" s="13" t="s">
        <v>2369</v>
      </c>
      <c r="C5385" s="13" t="s">
        <v>2370</v>
      </c>
      <c r="D5385" s="15">
        <v>1.0</v>
      </c>
      <c r="E5385" s="67">
        <f t="shared" si="16"/>
        <v>250</v>
      </c>
      <c r="F5385" s="67" t="str">
        <f t="shared" si="12"/>
        <v>1 LeadGen Set Appointments</v>
      </c>
    </row>
    <row r="5386" hidden="1">
      <c r="A5386" s="6" t="s">
        <v>69</v>
      </c>
      <c r="B5386" s="13" t="s">
        <v>984</v>
      </c>
      <c r="C5386" s="13" t="s">
        <v>985</v>
      </c>
      <c r="D5386" s="15">
        <v>1.0</v>
      </c>
      <c r="E5386" s="67">
        <f t="shared" si="16"/>
        <v>250</v>
      </c>
      <c r="F5386" s="67" t="str">
        <f t="shared" si="12"/>
        <v>1 LeadGen Set Appointments</v>
      </c>
    </row>
    <row r="5387" hidden="1">
      <c r="A5387" s="6" t="s">
        <v>69</v>
      </c>
      <c r="B5387" s="13" t="s">
        <v>2052</v>
      </c>
      <c r="C5387" s="13" t="s">
        <v>2053</v>
      </c>
      <c r="D5387" s="15">
        <v>1.0</v>
      </c>
      <c r="E5387" s="67">
        <f t="shared" si="16"/>
        <v>250</v>
      </c>
      <c r="F5387" s="67" t="str">
        <f t="shared" si="12"/>
        <v>1 LeadGen Set Appointments</v>
      </c>
    </row>
    <row r="5388" hidden="1">
      <c r="A5388" s="6" t="s">
        <v>69</v>
      </c>
      <c r="B5388" s="13" t="s">
        <v>1778</v>
      </c>
      <c r="C5388" s="13" t="s">
        <v>1779</v>
      </c>
      <c r="D5388" s="15">
        <v>3.0</v>
      </c>
      <c r="E5388" s="67">
        <f t="shared" si="16"/>
        <v>750</v>
      </c>
      <c r="F5388" s="67" t="str">
        <f t="shared" si="12"/>
        <v>3 LeadGen Set Appointments</v>
      </c>
    </row>
    <row r="5389" hidden="1">
      <c r="A5389" s="6" t="s">
        <v>69</v>
      </c>
      <c r="B5389" s="13" t="s">
        <v>1774</v>
      </c>
      <c r="C5389" s="13" t="s">
        <v>1775</v>
      </c>
      <c r="D5389" s="15">
        <v>2.0</v>
      </c>
      <c r="E5389" s="67">
        <f t="shared" si="16"/>
        <v>500</v>
      </c>
      <c r="F5389" s="67" t="str">
        <f t="shared" si="12"/>
        <v>2 LeadGen Set Appointments</v>
      </c>
    </row>
    <row r="5390" hidden="1">
      <c r="A5390" s="6" t="s">
        <v>69</v>
      </c>
      <c r="B5390" s="13" t="s">
        <v>443</v>
      </c>
      <c r="C5390" s="13" t="s">
        <v>444</v>
      </c>
      <c r="D5390" s="15">
        <v>2.0</v>
      </c>
      <c r="E5390" s="67">
        <f t="shared" si="16"/>
        <v>500</v>
      </c>
      <c r="F5390" s="67" t="str">
        <f t="shared" si="12"/>
        <v>2 LeadGen Set Appointments</v>
      </c>
    </row>
    <row r="5391" hidden="1">
      <c r="A5391" s="6" t="s">
        <v>69</v>
      </c>
      <c r="B5391" s="13" t="s">
        <v>2371</v>
      </c>
      <c r="C5391" s="13" t="s">
        <v>2372</v>
      </c>
      <c r="D5391" s="15">
        <v>1.0</v>
      </c>
      <c r="E5391" s="67">
        <f t="shared" si="16"/>
        <v>250</v>
      </c>
      <c r="F5391" s="67" t="str">
        <f t="shared" si="12"/>
        <v>1 LeadGen Set Appointments</v>
      </c>
    </row>
    <row r="5392" hidden="1">
      <c r="A5392" s="6" t="s">
        <v>71</v>
      </c>
      <c r="B5392" s="13" t="s">
        <v>476</v>
      </c>
      <c r="C5392" s="13" t="s">
        <v>477</v>
      </c>
      <c r="D5392" s="78">
        <v>18.0</v>
      </c>
      <c r="E5392" s="79">
        <f t="shared" ref="E5392:E5408" si="17">D5392*500</f>
        <v>9000</v>
      </c>
      <c r="F5392" s="67" t="str">
        <f t="shared" si="12"/>
        <v>18 LeadGen Set Appointments</v>
      </c>
    </row>
    <row r="5393" hidden="1">
      <c r="A5393" s="6" t="s">
        <v>71</v>
      </c>
      <c r="B5393" s="13" t="s">
        <v>644</v>
      </c>
      <c r="C5393" s="13" t="s">
        <v>645</v>
      </c>
      <c r="D5393" s="78">
        <v>16.0</v>
      </c>
      <c r="E5393" s="79">
        <f t="shared" si="17"/>
        <v>8000</v>
      </c>
      <c r="F5393" s="67" t="str">
        <f t="shared" si="12"/>
        <v>16 LeadGen Set Appointments</v>
      </c>
    </row>
    <row r="5394" hidden="1">
      <c r="A5394" s="6" t="s">
        <v>71</v>
      </c>
      <c r="B5394" s="13" t="s">
        <v>540</v>
      </c>
      <c r="C5394" s="13" t="s">
        <v>1454</v>
      </c>
      <c r="D5394" s="78">
        <v>11.0</v>
      </c>
      <c r="E5394" s="79">
        <f t="shared" si="17"/>
        <v>5500</v>
      </c>
      <c r="F5394" s="67" t="str">
        <f t="shared" si="12"/>
        <v>11 LeadGen Set Appointments</v>
      </c>
    </row>
    <row r="5395" hidden="1">
      <c r="A5395" s="6" t="s">
        <v>71</v>
      </c>
      <c r="B5395" s="13" t="s">
        <v>723</v>
      </c>
      <c r="C5395" s="13" t="s">
        <v>724</v>
      </c>
      <c r="D5395" s="78">
        <v>11.0</v>
      </c>
      <c r="E5395" s="79">
        <f t="shared" si="17"/>
        <v>5500</v>
      </c>
      <c r="F5395" s="67" t="str">
        <f t="shared" si="12"/>
        <v>11 LeadGen Set Appointments</v>
      </c>
    </row>
    <row r="5396" hidden="1">
      <c r="A5396" s="6" t="s">
        <v>71</v>
      </c>
      <c r="B5396" s="13" t="s">
        <v>1471</v>
      </c>
      <c r="C5396" s="13" t="s">
        <v>1472</v>
      </c>
      <c r="D5396" s="78">
        <v>10.0</v>
      </c>
      <c r="E5396" s="79">
        <f t="shared" si="17"/>
        <v>5000</v>
      </c>
      <c r="F5396" s="67" t="str">
        <f t="shared" si="12"/>
        <v>10 LeadGen Set Appointments</v>
      </c>
    </row>
    <row r="5397" hidden="1">
      <c r="A5397" s="6" t="s">
        <v>71</v>
      </c>
      <c r="B5397" s="13" t="s">
        <v>1455</v>
      </c>
      <c r="C5397" s="13" t="s">
        <v>1456</v>
      </c>
      <c r="D5397" s="78">
        <v>9.0</v>
      </c>
      <c r="E5397" s="79">
        <f t="shared" si="17"/>
        <v>4500</v>
      </c>
      <c r="F5397" s="67" t="str">
        <f t="shared" si="12"/>
        <v>9 LeadGen Set Appointments</v>
      </c>
    </row>
    <row r="5398" hidden="1">
      <c r="A5398" s="6" t="s">
        <v>71</v>
      </c>
      <c r="B5398" s="13" t="s">
        <v>516</v>
      </c>
      <c r="C5398" s="13" t="s">
        <v>517</v>
      </c>
      <c r="D5398" s="78">
        <v>9.0</v>
      </c>
      <c r="E5398" s="79">
        <f t="shared" si="17"/>
        <v>4500</v>
      </c>
      <c r="F5398" s="67" t="str">
        <f t="shared" si="12"/>
        <v>9 LeadGen Set Appointments</v>
      </c>
    </row>
    <row r="5399" hidden="1">
      <c r="A5399" s="6" t="s">
        <v>71</v>
      </c>
      <c r="B5399" s="13" t="s">
        <v>640</v>
      </c>
      <c r="C5399" s="13" t="s">
        <v>641</v>
      </c>
      <c r="D5399" s="78">
        <v>8.0</v>
      </c>
      <c r="E5399" s="79">
        <f t="shared" si="17"/>
        <v>4000</v>
      </c>
      <c r="F5399" s="67" t="str">
        <f t="shared" si="12"/>
        <v>8 LeadGen Set Appointments</v>
      </c>
    </row>
    <row r="5400" hidden="1">
      <c r="A5400" s="6" t="s">
        <v>71</v>
      </c>
      <c r="B5400" s="13" t="s">
        <v>766</v>
      </c>
      <c r="C5400" s="13" t="s">
        <v>767</v>
      </c>
      <c r="D5400" s="78">
        <v>8.0</v>
      </c>
      <c r="E5400" s="79">
        <f t="shared" si="17"/>
        <v>4000</v>
      </c>
      <c r="F5400" s="67" t="str">
        <f t="shared" si="12"/>
        <v>8 LeadGen Set Appointments</v>
      </c>
    </row>
    <row r="5401" hidden="1">
      <c r="A5401" s="6" t="s">
        <v>71</v>
      </c>
      <c r="B5401" s="13" t="s">
        <v>1426</v>
      </c>
      <c r="C5401" s="13" t="s">
        <v>1427</v>
      </c>
      <c r="D5401" s="78">
        <v>7.0</v>
      </c>
      <c r="E5401" s="79">
        <f t="shared" si="17"/>
        <v>3500</v>
      </c>
      <c r="F5401" s="67" t="str">
        <f t="shared" si="12"/>
        <v>7 LeadGen Set Appointments</v>
      </c>
    </row>
    <row r="5402" hidden="1">
      <c r="A5402" s="6" t="s">
        <v>71</v>
      </c>
      <c r="B5402" s="13" t="s">
        <v>1491</v>
      </c>
      <c r="C5402" s="13" t="s">
        <v>1492</v>
      </c>
      <c r="D5402" s="78">
        <v>7.0</v>
      </c>
      <c r="E5402" s="79">
        <f t="shared" si="17"/>
        <v>3500</v>
      </c>
      <c r="F5402" s="67" t="str">
        <f t="shared" si="12"/>
        <v>7 LeadGen Set Appointments</v>
      </c>
    </row>
    <row r="5403" hidden="1">
      <c r="A5403" s="6" t="s">
        <v>71</v>
      </c>
      <c r="B5403" s="13" t="s">
        <v>411</v>
      </c>
      <c r="C5403" s="13" t="s">
        <v>412</v>
      </c>
      <c r="D5403" s="78">
        <v>7.0</v>
      </c>
      <c r="E5403" s="79">
        <f t="shared" si="17"/>
        <v>3500</v>
      </c>
      <c r="F5403" s="67" t="str">
        <f t="shared" si="12"/>
        <v>7 LeadGen Set Appointments</v>
      </c>
    </row>
    <row r="5404" hidden="1">
      <c r="A5404" s="6" t="s">
        <v>71</v>
      </c>
      <c r="B5404" s="13" t="s">
        <v>1493</v>
      </c>
      <c r="C5404" s="13" t="s">
        <v>1494</v>
      </c>
      <c r="D5404" s="78">
        <v>7.0</v>
      </c>
      <c r="E5404" s="79">
        <f t="shared" si="17"/>
        <v>3500</v>
      </c>
      <c r="F5404" s="67" t="str">
        <f t="shared" si="12"/>
        <v>7 LeadGen Set Appointments</v>
      </c>
    </row>
    <row r="5405" hidden="1">
      <c r="A5405" s="6" t="s">
        <v>71</v>
      </c>
      <c r="B5405" s="13" t="s">
        <v>746</v>
      </c>
      <c r="C5405" s="13" t="s">
        <v>747</v>
      </c>
      <c r="D5405" s="78">
        <v>7.0</v>
      </c>
      <c r="E5405" s="79">
        <f t="shared" si="17"/>
        <v>3500</v>
      </c>
      <c r="F5405" s="67" t="str">
        <f t="shared" si="12"/>
        <v>7 LeadGen Set Appointments</v>
      </c>
    </row>
    <row r="5406" hidden="1">
      <c r="A5406" s="6" t="s">
        <v>71</v>
      </c>
      <c r="B5406" s="13" t="s">
        <v>736</v>
      </c>
      <c r="C5406" s="13" t="s">
        <v>737</v>
      </c>
      <c r="D5406" s="78">
        <v>6.0</v>
      </c>
      <c r="E5406" s="79">
        <f t="shared" si="17"/>
        <v>3000</v>
      </c>
      <c r="F5406" s="67" t="str">
        <f t="shared" si="12"/>
        <v>6 LeadGen Set Appointments</v>
      </c>
    </row>
    <row r="5407" hidden="1">
      <c r="A5407" s="6" t="s">
        <v>71</v>
      </c>
      <c r="B5407" s="13" t="s">
        <v>2276</v>
      </c>
      <c r="C5407" s="13" t="s">
        <v>2277</v>
      </c>
      <c r="D5407" s="78">
        <v>6.0</v>
      </c>
      <c r="E5407" s="79">
        <f t="shared" si="17"/>
        <v>3000</v>
      </c>
      <c r="F5407" s="67" t="str">
        <f t="shared" si="12"/>
        <v>6 LeadGen Set Appointments</v>
      </c>
    </row>
    <row r="5408" hidden="1">
      <c r="A5408" s="6" t="s">
        <v>71</v>
      </c>
      <c r="B5408" s="13" t="s">
        <v>1784</v>
      </c>
      <c r="C5408" s="13" t="s">
        <v>1785</v>
      </c>
      <c r="D5408" s="78">
        <v>6.0</v>
      </c>
      <c r="E5408" s="79">
        <f t="shared" si="17"/>
        <v>3000</v>
      </c>
      <c r="F5408" s="67" t="str">
        <f t="shared" si="12"/>
        <v>6 LeadGen Set Appointments</v>
      </c>
    </row>
    <row r="5409" hidden="1">
      <c r="A5409" s="6" t="s">
        <v>71</v>
      </c>
      <c r="B5409" s="13" t="s">
        <v>1415</v>
      </c>
      <c r="C5409" s="13" t="s">
        <v>1416</v>
      </c>
      <c r="D5409" s="15">
        <v>5.0</v>
      </c>
      <c r="E5409" s="67">
        <f t="shared" ref="E5409:E7754" si="18">IF(D5409&lt;10, D5409*250, D5409*500)</f>
        <v>1250</v>
      </c>
      <c r="F5409" s="67" t="str">
        <f t="shared" si="12"/>
        <v>5 LeadGen Set Appointments</v>
      </c>
    </row>
    <row r="5410" hidden="1">
      <c r="A5410" s="6" t="s">
        <v>71</v>
      </c>
      <c r="B5410" s="13" t="s">
        <v>2258</v>
      </c>
      <c r="C5410" s="13" t="s">
        <v>2259</v>
      </c>
      <c r="D5410" s="15">
        <v>5.0</v>
      </c>
      <c r="E5410" s="67">
        <f t="shared" si="18"/>
        <v>1250</v>
      </c>
      <c r="F5410" s="67" t="str">
        <f t="shared" si="12"/>
        <v>5 LeadGen Set Appointments</v>
      </c>
    </row>
    <row r="5411" hidden="1">
      <c r="A5411" s="6" t="s">
        <v>71</v>
      </c>
      <c r="B5411" s="13" t="s">
        <v>1393</v>
      </c>
      <c r="C5411" s="13" t="s">
        <v>1394</v>
      </c>
      <c r="D5411" s="15">
        <v>5.0</v>
      </c>
      <c r="E5411" s="67">
        <f t="shared" si="18"/>
        <v>1250</v>
      </c>
      <c r="F5411" s="67" t="str">
        <f t="shared" si="12"/>
        <v>5 LeadGen Set Appointments</v>
      </c>
    </row>
    <row r="5412" hidden="1">
      <c r="A5412" s="6" t="s">
        <v>71</v>
      </c>
      <c r="B5412" s="13" t="s">
        <v>1489</v>
      </c>
      <c r="C5412" s="13" t="s">
        <v>1490</v>
      </c>
      <c r="D5412" s="15">
        <v>5.0</v>
      </c>
      <c r="E5412" s="67">
        <f t="shared" si="18"/>
        <v>1250</v>
      </c>
      <c r="F5412" s="67" t="str">
        <f t="shared" si="12"/>
        <v>5 LeadGen Set Appointments</v>
      </c>
    </row>
    <row r="5413" hidden="1">
      <c r="A5413" s="6" t="s">
        <v>71</v>
      </c>
      <c r="B5413" s="13" t="s">
        <v>1657</v>
      </c>
      <c r="C5413" s="13" t="s">
        <v>1658</v>
      </c>
      <c r="D5413" s="15">
        <v>5.0</v>
      </c>
      <c r="E5413" s="67">
        <f t="shared" si="18"/>
        <v>1250</v>
      </c>
      <c r="F5413" s="67" t="str">
        <f t="shared" si="12"/>
        <v>5 LeadGen Set Appointments</v>
      </c>
    </row>
    <row r="5414" hidden="1">
      <c r="A5414" s="6" t="s">
        <v>71</v>
      </c>
      <c r="B5414" s="13" t="s">
        <v>2234</v>
      </c>
      <c r="C5414" s="13" t="s">
        <v>2235</v>
      </c>
      <c r="D5414" s="15">
        <v>5.0</v>
      </c>
      <c r="E5414" s="67">
        <f t="shared" si="18"/>
        <v>1250</v>
      </c>
      <c r="F5414" s="67" t="str">
        <f t="shared" si="12"/>
        <v>5 LeadGen Set Appointments</v>
      </c>
    </row>
    <row r="5415" hidden="1">
      <c r="A5415" s="6" t="s">
        <v>71</v>
      </c>
      <c r="B5415" s="13" t="s">
        <v>532</v>
      </c>
      <c r="C5415" s="13" t="s">
        <v>533</v>
      </c>
      <c r="D5415" s="15">
        <v>5.0</v>
      </c>
      <c r="E5415" s="67">
        <f t="shared" si="18"/>
        <v>1250</v>
      </c>
      <c r="F5415" s="67" t="str">
        <f t="shared" si="12"/>
        <v>5 LeadGen Set Appointments</v>
      </c>
    </row>
    <row r="5416" hidden="1">
      <c r="A5416" s="6" t="s">
        <v>71</v>
      </c>
      <c r="B5416" s="13" t="s">
        <v>542</v>
      </c>
      <c r="C5416" s="13" t="s">
        <v>543</v>
      </c>
      <c r="D5416" s="15">
        <v>4.0</v>
      </c>
      <c r="E5416" s="67">
        <f t="shared" si="18"/>
        <v>1000</v>
      </c>
      <c r="F5416" s="67" t="str">
        <f t="shared" si="12"/>
        <v>4 LeadGen Set Appointments</v>
      </c>
    </row>
    <row r="5417" hidden="1">
      <c r="A5417" s="6" t="s">
        <v>71</v>
      </c>
      <c r="B5417" s="13" t="s">
        <v>2212</v>
      </c>
      <c r="C5417" s="13" t="s">
        <v>2213</v>
      </c>
      <c r="D5417" s="15">
        <v>4.0</v>
      </c>
      <c r="E5417" s="67">
        <f t="shared" si="18"/>
        <v>1000</v>
      </c>
      <c r="F5417" s="67" t="str">
        <f t="shared" si="12"/>
        <v>4 LeadGen Set Appointments</v>
      </c>
    </row>
    <row r="5418" hidden="1">
      <c r="A5418" s="6" t="s">
        <v>71</v>
      </c>
      <c r="B5418" s="13" t="s">
        <v>1577</v>
      </c>
      <c r="C5418" s="13" t="s">
        <v>1578</v>
      </c>
      <c r="D5418" s="15">
        <v>4.0</v>
      </c>
      <c r="E5418" s="67">
        <f t="shared" si="18"/>
        <v>1000</v>
      </c>
      <c r="F5418" s="67" t="str">
        <f t="shared" si="12"/>
        <v>4 LeadGen Set Appointments</v>
      </c>
    </row>
    <row r="5419" hidden="1">
      <c r="A5419" s="6" t="s">
        <v>71</v>
      </c>
      <c r="B5419" s="13" t="s">
        <v>628</v>
      </c>
      <c r="C5419" s="13" t="s">
        <v>629</v>
      </c>
      <c r="D5419" s="15">
        <v>4.0</v>
      </c>
      <c r="E5419" s="67">
        <f t="shared" si="18"/>
        <v>1000</v>
      </c>
      <c r="F5419" s="67" t="str">
        <f t="shared" si="12"/>
        <v>4 LeadGen Set Appointments</v>
      </c>
    </row>
    <row r="5420" hidden="1">
      <c r="A5420" s="6" t="s">
        <v>71</v>
      </c>
      <c r="B5420" s="13" t="s">
        <v>1545</v>
      </c>
      <c r="C5420" s="13" t="s">
        <v>1546</v>
      </c>
      <c r="D5420" s="15">
        <v>4.0</v>
      </c>
      <c r="E5420" s="67">
        <f t="shared" si="18"/>
        <v>1000</v>
      </c>
      <c r="F5420" s="67" t="str">
        <f t="shared" si="12"/>
        <v>4 LeadGen Set Appointments</v>
      </c>
    </row>
    <row r="5421" hidden="1">
      <c r="A5421" s="6" t="s">
        <v>71</v>
      </c>
      <c r="B5421" s="13" t="s">
        <v>2241</v>
      </c>
      <c r="C5421" s="13" t="s">
        <v>2242</v>
      </c>
      <c r="D5421" s="15">
        <v>4.0</v>
      </c>
      <c r="E5421" s="67">
        <f t="shared" si="18"/>
        <v>1000</v>
      </c>
      <c r="F5421" s="67" t="str">
        <f t="shared" si="12"/>
        <v>4 LeadGen Set Appointments</v>
      </c>
    </row>
    <row r="5422" hidden="1">
      <c r="A5422" s="6" t="s">
        <v>71</v>
      </c>
      <c r="B5422" s="13" t="s">
        <v>2127</v>
      </c>
      <c r="C5422" s="13" t="s">
        <v>2128</v>
      </c>
      <c r="D5422" s="15">
        <v>4.0</v>
      </c>
      <c r="E5422" s="67">
        <f t="shared" si="18"/>
        <v>1000</v>
      </c>
      <c r="F5422" s="67" t="str">
        <f t="shared" si="12"/>
        <v>4 LeadGen Set Appointments</v>
      </c>
    </row>
    <row r="5423" hidden="1">
      <c r="A5423" s="6" t="s">
        <v>71</v>
      </c>
      <c r="B5423" s="13" t="s">
        <v>262</v>
      </c>
      <c r="C5423" s="13" t="s">
        <v>290</v>
      </c>
      <c r="D5423" s="15">
        <v>4.0</v>
      </c>
      <c r="E5423" s="67">
        <f t="shared" si="18"/>
        <v>1000</v>
      </c>
      <c r="F5423" s="67" t="str">
        <f t="shared" si="12"/>
        <v>4 LeadGen Set Appointments</v>
      </c>
    </row>
    <row r="5424" hidden="1">
      <c r="A5424" s="6" t="s">
        <v>71</v>
      </c>
      <c r="B5424" s="13" t="s">
        <v>1891</v>
      </c>
      <c r="C5424" s="13" t="s">
        <v>1892</v>
      </c>
      <c r="D5424" s="15">
        <v>4.0</v>
      </c>
      <c r="E5424" s="67">
        <f t="shared" si="18"/>
        <v>1000</v>
      </c>
      <c r="F5424" s="67" t="str">
        <f t="shared" si="12"/>
        <v>4 LeadGen Set Appointments</v>
      </c>
    </row>
    <row r="5425" hidden="1">
      <c r="A5425" s="6" t="s">
        <v>71</v>
      </c>
      <c r="B5425" s="13" t="s">
        <v>2100</v>
      </c>
      <c r="C5425" s="13" t="s">
        <v>2101</v>
      </c>
      <c r="D5425" s="15">
        <v>4.0</v>
      </c>
      <c r="E5425" s="67">
        <f t="shared" si="18"/>
        <v>1000</v>
      </c>
      <c r="F5425" s="67" t="str">
        <f t="shared" si="12"/>
        <v>4 LeadGen Set Appointments</v>
      </c>
    </row>
    <row r="5426" hidden="1">
      <c r="A5426" s="6" t="s">
        <v>71</v>
      </c>
      <c r="B5426" s="13" t="s">
        <v>242</v>
      </c>
      <c r="C5426" s="13" t="s">
        <v>1887</v>
      </c>
      <c r="D5426" s="15">
        <v>4.0</v>
      </c>
      <c r="E5426" s="67">
        <f t="shared" si="18"/>
        <v>1000</v>
      </c>
      <c r="F5426" s="67" t="str">
        <f t="shared" si="12"/>
        <v>4 LeadGen Set Appointments</v>
      </c>
    </row>
    <row r="5427" hidden="1">
      <c r="A5427" s="6" t="s">
        <v>71</v>
      </c>
      <c r="B5427" s="13" t="s">
        <v>699</v>
      </c>
      <c r="C5427" s="13" t="s">
        <v>700</v>
      </c>
      <c r="D5427" s="15">
        <v>4.0</v>
      </c>
      <c r="E5427" s="67">
        <f t="shared" si="18"/>
        <v>1000</v>
      </c>
      <c r="F5427" s="67" t="str">
        <f t="shared" si="12"/>
        <v>4 LeadGen Set Appointments</v>
      </c>
    </row>
    <row r="5428" hidden="1">
      <c r="A5428" s="6" t="s">
        <v>71</v>
      </c>
      <c r="B5428" s="13" t="s">
        <v>510</v>
      </c>
      <c r="C5428" s="13" t="s">
        <v>511</v>
      </c>
      <c r="D5428" s="15">
        <v>4.0</v>
      </c>
      <c r="E5428" s="67">
        <f t="shared" si="18"/>
        <v>1000</v>
      </c>
      <c r="F5428" s="67" t="str">
        <f t="shared" si="12"/>
        <v>4 LeadGen Set Appointments</v>
      </c>
    </row>
    <row r="5429" hidden="1">
      <c r="A5429" s="6" t="s">
        <v>71</v>
      </c>
      <c r="B5429" s="13" t="s">
        <v>1039</v>
      </c>
      <c r="C5429" s="13" t="s">
        <v>1040</v>
      </c>
      <c r="D5429" s="15">
        <v>4.0</v>
      </c>
      <c r="E5429" s="67">
        <f t="shared" si="18"/>
        <v>1000</v>
      </c>
      <c r="F5429" s="67" t="str">
        <f t="shared" si="12"/>
        <v>4 LeadGen Set Appointments</v>
      </c>
    </row>
    <row r="5430" hidden="1">
      <c r="A5430" s="6" t="s">
        <v>71</v>
      </c>
      <c r="B5430" s="13" t="s">
        <v>1865</v>
      </c>
      <c r="C5430" s="13" t="s">
        <v>1866</v>
      </c>
      <c r="D5430" s="15">
        <v>4.0</v>
      </c>
      <c r="E5430" s="67">
        <f t="shared" si="18"/>
        <v>1000</v>
      </c>
      <c r="F5430" s="67" t="str">
        <f t="shared" si="12"/>
        <v>4 LeadGen Set Appointments</v>
      </c>
    </row>
    <row r="5431" hidden="1">
      <c r="A5431" s="6" t="s">
        <v>71</v>
      </c>
      <c r="B5431" s="13" t="s">
        <v>910</v>
      </c>
      <c r="C5431" s="13" t="s">
        <v>911</v>
      </c>
      <c r="D5431" s="15">
        <v>4.0</v>
      </c>
      <c r="E5431" s="67">
        <f t="shared" si="18"/>
        <v>1000</v>
      </c>
      <c r="F5431" s="67" t="str">
        <f t="shared" si="12"/>
        <v>4 LeadGen Set Appointments</v>
      </c>
    </row>
    <row r="5432" hidden="1">
      <c r="A5432" s="6" t="s">
        <v>71</v>
      </c>
      <c r="B5432" s="13" t="s">
        <v>2167</v>
      </c>
      <c r="C5432" s="13" t="s">
        <v>2168</v>
      </c>
      <c r="D5432" s="15">
        <v>4.0</v>
      </c>
      <c r="E5432" s="67">
        <f t="shared" si="18"/>
        <v>1000</v>
      </c>
      <c r="F5432" s="67" t="str">
        <f t="shared" si="12"/>
        <v>4 LeadGen Set Appointments</v>
      </c>
    </row>
    <row r="5433" hidden="1">
      <c r="A5433" s="6" t="s">
        <v>71</v>
      </c>
      <c r="B5433" s="13" t="s">
        <v>435</v>
      </c>
      <c r="C5433" s="13" t="s">
        <v>436</v>
      </c>
      <c r="D5433" s="15">
        <v>4.0</v>
      </c>
      <c r="E5433" s="67">
        <f t="shared" si="18"/>
        <v>1000</v>
      </c>
      <c r="F5433" s="67" t="str">
        <f t="shared" si="12"/>
        <v>4 LeadGen Set Appointments</v>
      </c>
    </row>
    <row r="5434" hidden="1">
      <c r="A5434" s="6" t="s">
        <v>71</v>
      </c>
      <c r="B5434" s="13" t="s">
        <v>2077</v>
      </c>
      <c r="C5434" s="13" t="s">
        <v>2078</v>
      </c>
      <c r="D5434" s="15">
        <v>4.0</v>
      </c>
      <c r="E5434" s="67">
        <f t="shared" si="18"/>
        <v>1000</v>
      </c>
      <c r="F5434" s="67" t="str">
        <f t="shared" si="12"/>
        <v>4 LeadGen Set Appointments</v>
      </c>
    </row>
    <row r="5435" hidden="1">
      <c r="A5435" s="6" t="s">
        <v>71</v>
      </c>
      <c r="B5435" s="13" t="s">
        <v>2139</v>
      </c>
      <c r="C5435" s="13" t="s">
        <v>2140</v>
      </c>
      <c r="D5435" s="15">
        <v>4.0</v>
      </c>
      <c r="E5435" s="67">
        <f t="shared" si="18"/>
        <v>1000</v>
      </c>
      <c r="F5435" s="67" t="str">
        <f t="shared" si="12"/>
        <v>4 LeadGen Set Appointments</v>
      </c>
    </row>
    <row r="5436" hidden="1">
      <c r="A5436" s="6" t="s">
        <v>71</v>
      </c>
      <c r="B5436" s="13" t="s">
        <v>2161</v>
      </c>
      <c r="C5436" s="13" t="s">
        <v>2162</v>
      </c>
      <c r="D5436" s="15">
        <v>3.0</v>
      </c>
      <c r="E5436" s="67">
        <f t="shared" si="18"/>
        <v>750</v>
      </c>
      <c r="F5436" s="67" t="str">
        <f t="shared" si="12"/>
        <v>3 LeadGen Set Appointments</v>
      </c>
    </row>
    <row r="5437" hidden="1">
      <c r="A5437" s="6" t="s">
        <v>71</v>
      </c>
      <c r="B5437" s="13" t="s">
        <v>462</v>
      </c>
      <c r="C5437" s="13" t="s">
        <v>463</v>
      </c>
      <c r="D5437" s="15">
        <v>3.0</v>
      </c>
      <c r="E5437" s="67">
        <f t="shared" si="18"/>
        <v>750</v>
      </c>
      <c r="F5437" s="67" t="str">
        <f t="shared" si="12"/>
        <v>3 LeadGen Set Appointments</v>
      </c>
    </row>
    <row r="5438" hidden="1">
      <c r="A5438" s="6" t="s">
        <v>71</v>
      </c>
      <c r="B5438" s="13" t="s">
        <v>1774</v>
      </c>
      <c r="C5438" s="13" t="s">
        <v>1775</v>
      </c>
      <c r="D5438" s="15">
        <v>3.0</v>
      </c>
      <c r="E5438" s="67">
        <f t="shared" si="18"/>
        <v>750</v>
      </c>
      <c r="F5438" s="67" t="str">
        <f t="shared" si="12"/>
        <v>3 LeadGen Set Appointments</v>
      </c>
    </row>
    <row r="5439" hidden="1">
      <c r="A5439" s="6" t="s">
        <v>71</v>
      </c>
      <c r="B5439" s="13" t="s">
        <v>1473</v>
      </c>
      <c r="C5439" s="13" t="s">
        <v>1474</v>
      </c>
      <c r="D5439" s="15">
        <v>3.0</v>
      </c>
      <c r="E5439" s="67">
        <f t="shared" si="18"/>
        <v>750</v>
      </c>
      <c r="F5439" s="67" t="str">
        <f t="shared" si="12"/>
        <v>3 LeadGen Set Appointments</v>
      </c>
    </row>
    <row r="5440" hidden="1">
      <c r="A5440" s="6" t="s">
        <v>71</v>
      </c>
      <c r="B5440" s="13" t="s">
        <v>1448</v>
      </c>
      <c r="C5440" s="13" t="s">
        <v>1449</v>
      </c>
      <c r="D5440" s="15">
        <v>3.0</v>
      </c>
      <c r="E5440" s="67">
        <f t="shared" si="18"/>
        <v>750</v>
      </c>
      <c r="F5440" s="67" t="str">
        <f t="shared" si="12"/>
        <v>3 LeadGen Set Appointments</v>
      </c>
    </row>
    <row r="5441" hidden="1">
      <c r="A5441" s="6" t="s">
        <v>71</v>
      </c>
      <c r="B5441" s="13" t="s">
        <v>2282</v>
      </c>
      <c r="C5441" s="13" t="s">
        <v>2283</v>
      </c>
      <c r="D5441" s="15">
        <v>3.0</v>
      </c>
      <c r="E5441" s="67">
        <f t="shared" si="18"/>
        <v>750</v>
      </c>
      <c r="F5441" s="67" t="str">
        <f t="shared" si="12"/>
        <v>3 LeadGen Set Appointments</v>
      </c>
    </row>
    <row r="5442" hidden="1">
      <c r="A5442" s="6" t="s">
        <v>71</v>
      </c>
      <c r="B5442" s="13" t="s">
        <v>2373</v>
      </c>
      <c r="C5442" s="13" t="s">
        <v>2374</v>
      </c>
      <c r="D5442" s="15">
        <v>3.0</v>
      </c>
      <c r="E5442" s="67">
        <f t="shared" si="18"/>
        <v>750</v>
      </c>
      <c r="F5442" s="67" t="str">
        <f t="shared" si="12"/>
        <v>3 LeadGen Set Appointments</v>
      </c>
    </row>
    <row r="5443" hidden="1">
      <c r="A5443" s="6" t="s">
        <v>71</v>
      </c>
      <c r="B5443" s="13" t="s">
        <v>546</v>
      </c>
      <c r="C5443" s="13" t="s">
        <v>547</v>
      </c>
      <c r="D5443" s="15">
        <v>3.0</v>
      </c>
      <c r="E5443" s="67">
        <f t="shared" si="18"/>
        <v>750</v>
      </c>
      <c r="F5443" s="67" t="str">
        <f t="shared" si="12"/>
        <v>3 LeadGen Set Appointments</v>
      </c>
    </row>
    <row r="5444" hidden="1">
      <c r="A5444" s="6" t="s">
        <v>71</v>
      </c>
      <c r="B5444" s="13" t="s">
        <v>684</v>
      </c>
      <c r="C5444" s="13" t="s">
        <v>685</v>
      </c>
      <c r="D5444" s="15">
        <v>3.0</v>
      </c>
      <c r="E5444" s="67">
        <f t="shared" si="18"/>
        <v>750</v>
      </c>
      <c r="F5444" s="67" t="str">
        <f t="shared" si="12"/>
        <v>3 LeadGen Set Appointments</v>
      </c>
    </row>
    <row r="5445" hidden="1">
      <c r="A5445" s="6" t="s">
        <v>71</v>
      </c>
      <c r="B5445" s="13" t="s">
        <v>1467</v>
      </c>
      <c r="C5445" s="13" t="s">
        <v>1468</v>
      </c>
      <c r="D5445" s="15">
        <v>3.0</v>
      </c>
      <c r="E5445" s="67">
        <f t="shared" si="18"/>
        <v>750</v>
      </c>
      <c r="F5445" s="67" t="str">
        <f t="shared" si="12"/>
        <v>3 LeadGen Set Appointments</v>
      </c>
    </row>
    <row r="5446" hidden="1">
      <c r="A5446" s="6" t="s">
        <v>71</v>
      </c>
      <c r="B5446" s="13" t="s">
        <v>2350</v>
      </c>
      <c r="C5446" s="13" t="s">
        <v>2351</v>
      </c>
      <c r="D5446" s="15">
        <v>3.0</v>
      </c>
      <c r="E5446" s="67">
        <f t="shared" si="18"/>
        <v>750</v>
      </c>
      <c r="F5446" s="67" t="str">
        <f t="shared" si="12"/>
        <v>3 LeadGen Set Appointments</v>
      </c>
    </row>
    <row r="5447" hidden="1">
      <c r="A5447" s="6" t="s">
        <v>71</v>
      </c>
      <c r="B5447" s="13" t="s">
        <v>752</v>
      </c>
      <c r="C5447" s="13" t="s">
        <v>753</v>
      </c>
      <c r="D5447" s="15">
        <v>3.0</v>
      </c>
      <c r="E5447" s="67">
        <f t="shared" si="18"/>
        <v>750</v>
      </c>
      <c r="F5447" s="67" t="str">
        <f t="shared" si="12"/>
        <v>3 LeadGen Set Appointments</v>
      </c>
    </row>
    <row r="5448" hidden="1">
      <c r="A5448" s="6" t="s">
        <v>71</v>
      </c>
      <c r="B5448" s="13" t="s">
        <v>288</v>
      </c>
      <c r="C5448" s="13" t="s">
        <v>2375</v>
      </c>
      <c r="D5448" s="15">
        <v>3.0</v>
      </c>
      <c r="E5448" s="67">
        <f t="shared" si="18"/>
        <v>750</v>
      </c>
      <c r="F5448" s="67" t="str">
        <f t="shared" si="12"/>
        <v>3 LeadGen Set Appointments</v>
      </c>
    </row>
    <row r="5449" hidden="1">
      <c r="A5449" s="6" t="s">
        <v>71</v>
      </c>
      <c r="B5449" s="13" t="s">
        <v>1334</v>
      </c>
      <c r="C5449" s="13" t="s">
        <v>553</v>
      </c>
      <c r="D5449" s="15">
        <v>3.0</v>
      </c>
      <c r="E5449" s="67">
        <f t="shared" si="18"/>
        <v>750</v>
      </c>
      <c r="F5449" s="67" t="str">
        <f t="shared" si="12"/>
        <v>3 LeadGen Set Appointments</v>
      </c>
    </row>
    <row r="5450" hidden="1">
      <c r="A5450" s="6" t="s">
        <v>71</v>
      </c>
      <c r="B5450" s="13" t="s">
        <v>2270</v>
      </c>
      <c r="C5450" s="13" t="s">
        <v>2271</v>
      </c>
      <c r="D5450" s="15">
        <v>3.0</v>
      </c>
      <c r="E5450" s="67">
        <f t="shared" si="18"/>
        <v>750</v>
      </c>
      <c r="F5450" s="67" t="str">
        <f t="shared" si="12"/>
        <v>3 LeadGen Set Appointments</v>
      </c>
    </row>
    <row r="5451" hidden="1">
      <c r="A5451" s="6" t="s">
        <v>71</v>
      </c>
      <c r="B5451" s="13" t="s">
        <v>502</v>
      </c>
      <c r="C5451" s="13" t="s">
        <v>503</v>
      </c>
      <c r="D5451" s="15">
        <v>3.0</v>
      </c>
      <c r="E5451" s="67">
        <f t="shared" si="18"/>
        <v>750</v>
      </c>
      <c r="F5451" s="67" t="str">
        <f t="shared" si="12"/>
        <v>3 LeadGen Set Appointments</v>
      </c>
    </row>
    <row r="5452" hidden="1">
      <c r="A5452" s="6" t="s">
        <v>71</v>
      </c>
      <c r="B5452" s="13" t="s">
        <v>486</v>
      </c>
      <c r="C5452" s="13" t="s">
        <v>487</v>
      </c>
      <c r="D5452" s="15">
        <v>3.0</v>
      </c>
      <c r="E5452" s="67">
        <f t="shared" si="18"/>
        <v>750</v>
      </c>
      <c r="F5452" s="67" t="str">
        <f t="shared" si="12"/>
        <v>3 LeadGen Set Appointments</v>
      </c>
    </row>
    <row r="5453" hidden="1">
      <c r="A5453" s="6" t="s">
        <v>71</v>
      </c>
      <c r="B5453" s="13" t="s">
        <v>1724</v>
      </c>
      <c r="C5453" s="13" t="s">
        <v>1725</v>
      </c>
      <c r="D5453" s="15">
        <v>3.0</v>
      </c>
      <c r="E5453" s="67">
        <f t="shared" si="18"/>
        <v>750</v>
      </c>
      <c r="F5453" s="67" t="str">
        <f t="shared" si="12"/>
        <v>3 LeadGen Set Appointments</v>
      </c>
    </row>
    <row r="5454" hidden="1">
      <c r="A5454" s="6" t="s">
        <v>71</v>
      </c>
      <c r="B5454" s="13" t="s">
        <v>626</v>
      </c>
      <c r="C5454" s="13" t="s">
        <v>627</v>
      </c>
      <c r="D5454" s="15">
        <v>3.0</v>
      </c>
      <c r="E5454" s="67">
        <f t="shared" si="18"/>
        <v>750</v>
      </c>
      <c r="F5454" s="67" t="str">
        <f t="shared" si="12"/>
        <v>3 LeadGen Set Appointments</v>
      </c>
    </row>
    <row r="5455" hidden="1">
      <c r="A5455" s="6" t="s">
        <v>71</v>
      </c>
      <c r="B5455" s="13" t="s">
        <v>518</v>
      </c>
      <c r="C5455" s="13" t="s">
        <v>519</v>
      </c>
      <c r="D5455" s="15">
        <v>3.0</v>
      </c>
      <c r="E5455" s="67">
        <f t="shared" si="18"/>
        <v>750</v>
      </c>
      <c r="F5455" s="67" t="str">
        <f t="shared" si="12"/>
        <v>3 LeadGen Set Appointments</v>
      </c>
    </row>
    <row r="5456" hidden="1">
      <c r="A5456" s="6" t="s">
        <v>71</v>
      </c>
      <c r="B5456" s="13" t="s">
        <v>1736</v>
      </c>
      <c r="C5456" s="13" t="s">
        <v>1737</v>
      </c>
      <c r="D5456" s="15">
        <v>3.0</v>
      </c>
      <c r="E5456" s="67">
        <f t="shared" si="18"/>
        <v>750</v>
      </c>
      <c r="F5456" s="67" t="str">
        <f t="shared" si="12"/>
        <v>3 LeadGen Set Appointments</v>
      </c>
    </row>
    <row r="5457" hidden="1">
      <c r="A5457" s="6" t="s">
        <v>71</v>
      </c>
      <c r="B5457" s="13" t="s">
        <v>2260</v>
      </c>
      <c r="C5457" s="13" t="s">
        <v>2261</v>
      </c>
      <c r="D5457" s="15">
        <v>3.0</v>
      </c>
      <c r="E5457" s="67">
        <f t="shared" si="18"/>
        <v>750</v>
      </c>
      <c r="F5457" s="67" t="str">
        <f t="shared" si="12"/>
        <v>3 LeadGen Set Appointments</v>
      </c>
    </row>
    <row r="5458" hidden="1">
      <c r="A5458" s="6" t="s">
        <v>71</v>
      </c>
      <c r="B5458" s="13" t="s">
        <v>1825</v>
      </c>
      <c r="C5458" s="13" t="s">
        <v>2376</v>
      </c>
      <c r="D5458" s="15">
        <v>3.0</v>
      </c>
      <c r="E5458" s="67">
        <f t="shared" si="18"/>
        <v>750</v>
      </c>
      <c r="F5458" s="67" t="str">
        <f t="shared" si="12"/>
        <v>3 LeadGen Set Appointments</v>
      </c>
    </row>
    <row r="5459" hidden="1">
      <c r="A5459" s="6" t="s">
        <v>71</v>
      </c>
      <c r="B5459" s="13" t="s">
        <v>1935</v>
      </c>
      <c r="C5459" s="13" t="s">
        <v>1936</v>
      </c>
      <c r="D5459" s="15">
        <v>3.0</v>
      </c>
      <c r="E5459" s="67">
        <f t="shared" si="18"/>
        <v>750</v>
      </c>
      <c r="F5459" s="67" t="str">
        <f t="shared" si="12"/>
        <v>3 LeadGen Set Appointments</v>
      </c>
    </row>
    <row r="5460" hidden="1">
      <c r="A5460" s="6" t="s">
        <v>71</v>
      </c>
      <c r="B5460" s="13" t="s">
        <v>2365</v>
      </c>
      <c r="C5460" s="13" t="s">
        <v>2366</v>
      </c>
      <c r="D5460" s="15">
        <v>3.0</v>
      </c>
      <c r="E5460" s="67">
        <f t="shared" si="18"/>
        <v>750</v>
      </c>
      <c r="F5460" s="67" t="str">
        <f t="shared" si="12"/>
        <v>3 LeadGen Set Appointments</v>
      </c>
    </row>
    <row r="5461" hidden="1">
      <c r="A5461" s="6" t="s">
        <v>71</v>
      </c>
      <c r="B5461" s="13" t="s">
        <v>2236</v>
      </c>
      <c r="C5461" s="13" t="s">
        <v>2237</v>
      </c>
      <c r="D5461" s="15">
        <v>3.0</v>
      </c>
      <c r="E5461" s="67">
        <f t="shared" si="18"/>
        <v>750</v>
      </c>
      <c r="F5461" s="67" t="str">
        <f t="shared" si="12"/>
        <v>3 LeadGen Set Appointments</v>
      </c>
    </row>
    <row r="5462" hidden="1">
      <c r="A5462" s="6" t="s">
        <v>71</v>
      </c>
      <c r="B5462" s="13" t="s">
        <v>2081</v>
      </c>
      <c r="C5462" s="13" t="s">
        <v>2082</v>
      </c>
      <c r="D5462" s="15">
        <v>3.0</v>
      </c>
      <c r="E5462" s="67">
        <f t="shared" si="18"/>
        <v>750</v>
      </c>
      <c r="F5462" s="67" t="str">
        <f t="shared" si="12"/>
        <v>3 LeadGen Set Appointments</v>
      </c>
    </row>
    <row r="5463" hidden="1">
      <c r="A5463" s="6" t="s">
        <v>71</v>
      </c>
      <c r="B5463" s="13" t="s">
        <v>622</v>
      </c>
      <c r="C5463" s="13" t="s">
        <v>623</v>
      </c>
      <c r="D5463" s="15">
        <v>3.0</v>
      </c>
      <c r="E5463" s="67">
        <f t="shared" si="18"/>
        <v>750</v>
      </c>
      <c r="F5463" s="67" t="str">
        <f t="shared" si="12"/>
        <v>3 LeadGen Set Appointments</v>
      </c>
    </row>
    <row r="5464" hidden="1">
      <c r="A5464" s="6" t="s">
        <v>71</v>
      </c>
      <c r="B5464" s="13" t="s">
        <v>2280</v>
      </c>
      <c r="C5464" s="13" t="s">
        <v>2281</v>
      </c>
      <c r="D5464" s="15">
        <v>3.0</v>
      </c>
      <c r="E5464" s="67">
        <f t="shared" si="18"/>
        <v>750</v>
      </c>
      <c r="F5464" s="67" t="str">
        <f t="shared" si="12"/>
        <v>3 LeadGen Set Appointments</v>
      </c>
    </row>
    <row r="5465" hidden="1">
      <c r="A5465" s="6" t="s">
        <v>71</v>
      </c>
      <c r="B5465" s="13" t="s">
        <v>1025</v>
      </c>
      <c r="C5465" s="13" t="s">
        <v>1026</v>
      </c>
      <c r="D5465" s="15">
        <v>3.0</v>
      </c>
      <c r="E5465" s="67">
        <f t="shared" si="18"/>
        <v>750</v>
      </c>
      <c r="F5465" s="67" t="str">
        <f t="shared" si="12"/>
        <v>3 LeadGen Set Appointments</v>
      </c>
    </row>
    <row r="5466" hidden="1">
      <c r="A5466" s="6" t="s">
        <v>71</v>
      </c>
      <c r="B5466" s="13" t="s">
        <v>1776</v>
      </c>
      <c r="C5466" s="13" t="s">
        <v>1777</v>
      </c>
      <c r="D5466" s="15">
        <v>3.0</v>
      </c>
      <c r="E5466" s="67">
        <f t="shared" si="18"/>
        <v>750</v>
      </c>
      <c r="F5466" s="67" t="str">
        <f t="shared" si="12"/>
        <v>3 LeadGen Set Appointments</v>
      </c>
    </row>
    <row r="5467" hidden="1">
      <c r="A5467" s="6" t="s">
        <v>71</v>
      </c>
      <c r="B5467" s="13" t="s">
        <v>576</v>
      </c>
      <c r="C5467" s="13" t="s">
        <v>577</v>
      </c>
      <c r="D5467" s="15">
        <v>2.0</v>
      </c>
      <c r="E5467" s="67">
        <f t="shared" si="18"/>
        <v>500</v>
      </c>
      <c r="F5467" s="67" t="str">
        <f t="shared" si="12"/>
        <v>2 LeadGen Set Appointments</v>
      </c>
    </row>
    <row r="5468" hidden="1">
      <c r="A5468" s="6" t="s">
        <v>71</v>
      </c>
      <c r="B5468" s="13" t="s">
        <v>1761</v>
      </c>
      <c r="C5468" s="13" t="s">
        <v>1762</v>
      </c>
      <c r="D5468" s="15">
        <v>2.0</v>
      </c>
      <c r="E5468" s="67">
        <f t="shared" si="18"/>
        <v>500</v>
      </c>
      <c r="F5468" s="67" t="str">
        <f t="shared" si="12"/>
        <v>2 LeadGen Set Appointments</v>
      </c>
    </row>
    <row r="5469" hidden="1">
      <c r="A5469" s="6" t="s">
        <v>71</v>
      </c>
      <c r="B5469" s="13" t="s">
        <v>2274</v>
      </c>
      <c r="C5469" s="13" t="s">
        <v>2275</v>
      </c>
      <c r="D5469" s="15">
        <v>2.0</v>
      </c>
      <c r="E5469" s="67">
        <f t="shared" si="18"/>
        <v>500</v>
      </c>
      <c r="F5469" s="67" t="str">
        <f t="shared" si="12"/>
        <v>2 LeadGen Set Appointments</v>
      </c>
    </row>
    <row r="5470" hidden="1">
      <c r="A5470" s="6" t="s">
        <v>71</v>
      </c>
      <c r="B5470" s="13" t="s">
        <v>500</v>
      </c>
      <c r="C5470" s="13" t="s">
        <v>501</v>
      </c>
      <c r="D5470" s="15">
        <v>2.0</v>
      </c>
      <c r="E5470" s="67">
        <f t="shared" si="18"/>
        <v>500</v>
      </c>
      <c r="F5470" s="67" t="str">
        <f t="shared" si="12"/>
        <v>2 LeadGen Set Appointments</v>
      </c>
    </row>
    <row r="5471" hidden="1">
      <c r="A5471" s="6" t="s">
        <v>71</v>
      </c>
      <c r="B5471" s="13" t="s">
        <v>1600</v>
      </c>
      <c r="C5471" s="13" t="s">
        <v>1601</v>
      </c>
      <c r="D5471" s="15">
        <v>2.0</v>
      </c>
      <c r="E5471" s="67">
        <f t="shared" si="18"/>
        <v>500</v>
      </c>
      <c r="F5471" s="67" t="str">
        <f t="shared" si="12"/>
        <v>2 LeadGen Set Appointments</v>
      </c>
    </row>
    <row r="5472" hidden="1">
      <c r="A5472" s="6" t="s">
        <v>71</v>
      </c>
      <c r="B5472" s="13" t="s">
        <v>431</v>
      </c>
      <c r="C5472" s="13" t="s">
        <v>432</v>
      </c>
      <c r="D5472" s="15">
        <v>2.0</v>
      </c>
      <c r="E5472" s="67">
        <f t="shared" si="18"/>
        <v>500</v>
      </c>
      <c r="F5472" s="67" t="str">
        <f t="shared" si="12"/>
        <v>2 LeadGen Set Appointments</v>
      </c>
    </row>
    <row r="5473" hidden="1">
      <c r="A5473" s="6" t="s">
        <v>71</v>
      </c>
      <c r="B5473" s="13" t="s">
        <v>1547</v>
      </c>
      <c r="C5473" s="13" t="s">
        <v>1548</v>
      </c>
      <c r="D5473" s="15">
        <v>2.0</v>
      </c>
      <c r="E5473" s="67">
        <f t="shared" si="18"/>
        <v>500</v>
      </c>
      <c r="F5473" s="67" t="str">
        <f t="shared" si="12"/>
        <v>2 LeadGen Set Appointments</v>
      </c>
    </row>
    <row r="5474" hidden="1">
      <c r="A5474" s="6" t="s">
        <v>71</v>
      </c>
      <c r="B5474" s="13" t="s">
        <v>560</v>
      </c>
      <c r="C5474" s="13" t="s">
        <v>561</v>
      </c>
      <c r="D5474" s="15">
        <v>2.0</v>
      </c>
      <c r="E5474" s="67">
        <f t="shared" si="18"/>
        <v>500</v>
      </c>
      <c r="F5474" s="67" t="str">
        <f t="shared" si="12"/>
        <v>2 LeadGen Set Appointments</v>
      </c>
    </row>
    <row r="5475" hidden="1">
      <c r="A5475" s="6" t="s">
        <v>71</v>
      </c>
      <c r="B5475" s="13" t="s">
        <v>2301</v>
      </c>
      <c r="C5475" s="13" t="s">
        <v>2302</v>
      </c>
      <c r="D5475" s="15">
        <v>2.0</v>
      </c>
      <c r="E5475" s="67">
        <f t="shared" si="18"/>
        <v>500</v>
      </c>
      <c r="F5475" s="67" t="str">
        <f t="shared" si="12"/>
        <v>2 LeadGen Set Appointments</v>
      </c>
    </row>
    <row r="5476" hidden="1">
      <c r="A5476" s="6" t="s">
        <v>71</v>
      </c>
      <c r="B5476" s="13" t="s">
        <v>2377</v>
      </c>
      <c r="C5476" s="13" t="s">
        <v>2378</v>
      </c>
      <c r="D5476" s="15">
        <v>2.0</v>
      </c>
      <c r="E5476" s="67">
        <f t="shared" si="18"/>
        <v>500</v>
      </c>
      <c r="F5476" s="67" t="str">
        <f t="shared" si="12"/>
        <v>2 LeadGen Set Appointments</v>
      </c>
    </row>
    <row r="5477" hidden="1">
      <c r="A5477" s="6" t="s">
        <v>71</v>
      </c>
      <c r="B5477" s="13" t="s">
        <v>1583</v>
      </c>
      <c r="C5477" s="13" t="s">
        <v>1584</v>
      </c>
      <c r="D5477" s="15">
        <v>2.0</v>
      </c>
      <c r="E5477" s="67">
        <f t="shared" si="18"/>
        <v>500</v>
      </c>
      <c r="F5477" s="67" t="str">
        <f t="shared" si="12"/>
        <v>2 LeadGen Set Appointments</v>
      </c>
    </row>
    <row r="5478" hidden="1">
      <c r="A5478" s="6" t="s">
        <v>71</v>
      </c>
      <c r="B5478" s="13" t="s">
        <v>1461</v>
      </c>
      <c r="C5478" s="13" t="s">
        <v>1462</v>
      </c>
      <c r="D5478" s="15">
        <v>2.0</v>
      </c>
      <c r="E5478" s="67">
        <f t="shared" si="18"/>
        <v>500</v>
      </c>
      <c r="F5478" s="67" t="str">
        <f t="shared" si="12"/>
        <v>2 LeadGen Set Appointments</v>
      </c>
    </row>
    <row r="5479" hidden="1">
      <c r="A5479" s="6" t="s">
        <v>71</v>
      </c>
      <c r="B5479" s="13" t="s">
        <v>2352</v>
      </c>
      <c r="C5479" s="13" t="s">
        <v>2353</v>
      </c>
      <c r="D5479" s="15">
        <v>2.0</v>
      </c>
      <c r="E5479" s="67">
        <f t="shared" si="18"/>
        <v>500</v>
      </c>
      <c r="F5479" s="67" t="str">
        <f t="shared" si="12"/>
        <v>2 LeadGen Set Appointments</v>
      </c>
    </row>
    <row r="5480" hidden="1">
      <c r="A5480" s="6" t="s">
        <v>71</v>
      </c>
      <c r="B5480" s="13" t="s">
        <v>2254</v>
      </c>
      <c r="C5480" s="13" t="s">
        <v>2255</v>
      </c>
      <c r="D5480" s="15">
        <v>2.0</v>
      </c>
      <c r="E5480" s="67">
        <f t="shared" si="18"/>
        <v>500</v>
      </c>
      <c r="F5480" s="67" t="str">
        <f t="shared" si="12"/>
        <v>2 LeadGen Set Appointments</v>
      </c>
    </row>
    <row r="5481" hidden="1">
      <c r="A5481" s="6" t="s">
        <v>71</v>
      </c>
      <c r="B5481" s="13" t="s">
        <v>2179</v>
      </c>
      <c r="C5481" s="13" t="s">
        <v>2180</v>
      </c>
      <c r="D5481" s="15">
        <v>2.0</v>
      </c>
      <c r="E5481" s="67">
        <f t="shared" si="18"/>
        <v>500</v>
      </c>
      <c r="F5481" s="67" t="str">
        <f t="shared" si="12"/>
        <v>2 LeadGen Set Appointments</v>
      </c>
    </row>
    <row r="5482" hidden="1">
      <c r="A5482" s="6" t="s">
        <v>71</v>
      </c>
      <c r="B5482" s="13" t="s">
        <v>1653</v>
      </c>
      <c r="C5482" s="13" t="s">
        <v>1654</v>
      </c>
      <c r="D5482" s="15">
        <v>2.0</v>
      </c>
      <c r="E5482" s="67">
        <f t="shared" si="18"/>
        <v>500</v>
      </c>
      <c r="F5482" s="67" t="str">
        <f t="shared" si="12"/>
        <v>2 LeadGen Set Appointments</v>
      </c>
    </row>
    <row r="5483" hidden="1">
      <c r="A5483" s="6" t="s">
        <v>71</v>
      </c>
      <c r="B5483" s="13" t="s">
        <v>1477</v>
      </c>
      <c r="C5483" s="13" t="s">
        <v>1478</v>
      </c>
      <c r="D5483" s="15">
        <v>2.0</v>
      </c>
      <c r="E5483" s="67">
        <f t="shared" si="18"/>
        <v>500</v>
      </c>
      <c r="F5483" s="67" t="str">
        <f t="shared" si="12"/>
        <v>2 LeadGen Set Appointments</v>
      </c>
    </row>
    <row r="5484" hidden="1">
      <c r="A5484" s="6" t="s">
        <v>71</v>
      </c>
      <c r="B5484" s="13" t="s">
        <v>572</v>
      </c>
      <c r="C5484" s="13" t="s">
        <v>573</v>
      </c>
      <c r="D5484" s="15">
        <v>2.0</v>
      </c>
      <c r="E5484" s="67">
        <f t="shared" si="18"/>
        <v>500</v>
      </c>
      <c r="F5484" s="67" t="str">
        <f t="shared" si="12"/>
        <v>2 LeadGen Set Appointments</v>
      </c>
    </row>
    <row r="5485" hidden="1">
      <c r="A5485" s="6" t="s">
        <v>71</v>
      </c>
      <c r="B5485" s="13" t="s">
        <v>443</v>
      </c>
      <c r="C5485" s="13" t="s">
        <v>444</v>
      </c>
      <c r="D5485" s="15">
        <v>2.0</v>
      </c>
      <c r="E5485" s="67">
        <f t="shared" si="18"/>
        <v>500</v>
      </c>
      <c r="F5485" s="67" t="str">
        <f t="shared" si="12"/>
        <v>2 LeadGen Set Appointments</v>
      </c>
    </row>
    <row r="5486" hidden="1">
      <c r="A5486" s="6" t="s">
        <v>71</v>
      </c>
      <c r="B5486" s="13" t="s">
        <v>1960</v>
      </c>
      <c r="C5486" s="13" t="s">
        <v>1961</v>
      </c>
      <c r="D5486" s="15">
        <v>2.0</v>
      </c>
      <c r="E5486" s="67">
        <f t="shared" si="18"/>
        <v>500</v>
      </c>
      <c r="F5486" s="67" t="str">
        <f t="shared" si="12"/>
        <v>2 LeadGen Set Appointments</v>
      </c>
    </row>
    <row r="5487" hidden="1">
      <c r="A5487" s="6" t="s">
        <v>71</v>
      </c>
      <c r="B5487" s="13" t="s">
        <v>1567</v>
      </c>
      <c r="C5487" s="13" t="s">
        <v>1568</v>
      </c>
      <c r="D5487" s="15">
        <v>2.0</v>
      </c>
      <c r="E5487" s="67">
        <f t="shared" si="18"/>
        <v>500</v>
      </c>
      <c r="F5487" s="67" t="str">
        <f t="shared" si="12"/>
        <v>2 LeadGen Set Appointments</v>
      </c>
    </row>
    <row r="5488" hidden="1">
      <c r="A5488" s="6" t="s">
        <v>71</v>
      </c>
      <c r="B5488" s="13" t="s">
        <v>2379</v>
      </c>
      <c r="C5488" s="13" t="s">
        <v>53</v>
      </c>
      <c r="D5488" s="15">
        <v>2.0</v>
      </c>
      <c r="E5488" s="67">
        <f t="shared" si="18"/>
        <v>500</v>
      </c>
      <c r="F5488" s="67" t="str">
        <f t="shared" si="12"/>
        <v>2 LeadGen Set Appointments</v>
      </c>
    </row>
    <row r="5489" hidden="1">
      <c r="A5489" s="6" t="s">
        <v>71</v>
      </c>
      <c r="B5489" s="13" t="s">
        <v>2329</v>
      </c>
      <c r="C5489" s="13" t="s">
        <v>2330</v>
      </c>
      <c r="D5489" s="15">
        <v>2.0</v>
      </c>
      <c r="E5489" s="67">
        <f t="shared" si="18"/>
        <v>500</v>
      </c>
      <c r="F5489" s="67" t="str">
        <f t="shared" si="12"/>
        <v>2 LeadGen Set Appointments</v>
      </c>
    </row>
    <row r="5490" hidden="1">
      <c r="A5490" s="6" t="s">
        <v>71</v>
      </c>
      <c r="B5490" s="13" t="s">
        <v>2268</v>
      </c>
      <c r="C5490" s="13" t="s">
        <v>2269</v>
      </c>
      <c r="D5490" s="15">
        <v>2.0</v>
      </c>
      <c r="E5490" s="67">
        <f t="shared" si="18"/>
        <v>500</v>
      </c>
      <c r="F5490" s="67" t="str">
        <f t="shared" si="12"/>
        <v>2 LeadGen Set Appointments</v>
      </c>
    </row>
    <row r="5491" hidden="1">
      <c r="A5491" s="6" t="s">
        <v>71</v>
      </c>
      <c r="B5491" s="13" t="s">
        <v>1955</v>
      </c>
      <c r="C5491" s="13" t="s">
        <v>1956</v>
      </c>
      <c r="D5491" s="15">
        <v>2.0</v>
      </c>
      <c r="E5491" s="67">
        <f t="shared" si="18"/>
        <v>500</v>
      </c>
      <c r="F5491" s="67" t="str">
        <f t="shared" si="12"/>
        <v>2 LeadGen Set Appointments</v>
      </c>
    </row>
    <row r="5492" hidden="1">
      <c r="A5492" s="6" t="s">
        <v>71</v>
      </c>
      <c r="B5492" s="13" t="s">
        <v>2290</v>
      </c>
      <c r="C5492" s="13" t="s">
        <v>2291</v>
      </c>
      <c r="D5492" s="15">
        <v>2.0</v>
      </c>
      <c r="E5492" s="67">
        <f t="shared" si="18"/>
        <v>500</v>
      </c>
      <c r="F5492" s="67" t="str">
        <f t="shared" si="12"/>
        <v>2 LeadGen Set Appointments</v>
      </c>
    </row>
    <row r="5493" hidden="1">
      <c r="A5493" s="6" t="s">
        <v>71</v>
      </c>
      <c r="B5493" s="13" t="s">
        <v>2224</v>
      </c>
      <c r="C5493" s="13" t="s">
        <v>2225</v>
      </c>
      <c r="D5493" s="15">
        <v>2.0</v>
      </c>
      <c r="E5493" s="67">
        <f t="shared" si="18"/>
        <v>500</v>
      </c>
      <c r="F5493" s="67" t="str">
        <f t="shared" si="12"/>
        <v>2 LeadGen Set Appointments</v>
      </c>
    </row>
    <row r="5494" hidden="1">
      <c r="A5494" s="6" t="s">
        <v>71</v>
      </c>
      <c r="B5494" s="13" t="s">
        <v>2380</v>
      </c>
      <c r="C5494" s="13" t="s">
        <v>2381</v>
      </c>
      <c r="D5494" s="15">
        <v>2.0</v>
      </c>
      <c r="E5494" s="67">
        <f t="shared" si="18"/>
        <v>500</v>
      </c>
      <c r="F5494" s="67" t="str">
        <f t="shared" si="12"/>
        <v>2 LeadGen Set Appointments</v>
      </c>
    </row>
    <row r="5495" hidden="1">
      <c r="A5495" s="6" t="s">
        <v>71</v>
      </c>
      <c r="B5495" s="13" t="s">
        <v>2151</v>
      </c>
      <c r="C5495" s="13" t="s">
        <v>2152</v>
      </c>
      <c r="D5495" s="15">
        <v>2.0</v>
      </c>
      <c r="E5495" s="67">
        <f t="shared" si="18"/>
        <v>500</v>
      </c>
      <c r="F5495" s="67" t="str">
        <f t="shared" si="12"/>
        <v>2 LeadGen Set Appointments</v>
      </c>
    </row>
    <row r="5496" hidden="1">
      <c r="A5496" s="6" t="s">
        <v>71</v>
      </c>
      <c r="B5496" s="13" t="s">
        <v>2248</v>
      </c>
      <c r="C5496" s="13" t="s">
        <v>2249</v>
      </c>
      <c r="D5496" s="15">
        <v>2.0</v>
      </c>
      <c r="E5496" s="67">
        <f t="shared" si="18"/>
        <v>500</v>
      </c>
      <c r="F5496" s="67" t="str">
        <f t="shared" si="12"/>
        <v>2 LeadGen Set Appointments</v>
      </c>
    </row>
    <row r="5497" hidden="1">
      <c r="A5497" s="6" t="s">
        <v>71</v>
      </c>
      <c r="B5497" s="13" t="s">
        <v>2369</v>
      </c>
      <c r="C5497" s="13" t="s">
        <v>2370</v>
      </c>
      <c r="D5497" s="15">
        <v>2.0</v>
      </c>
      <c r="E5497" s="67">
        <f t="shared" si="18"/>
        <v>500</v>
      </c>
      <c r="F5497" s="67" t="str">
        <f t="shared" si="12"/>
        <v>2 LeadGen Set Appointments</v>
      </c>
    </row>
    <row r="5498" hidden="1">
      <c r="A5498" s="6" t="s">
        <v>71</v>
      </c>
      <c r="B5498" s="13" t="s">
        <v>2321</v>
      </c>
      <c r="C5498" s="13" t="s">
        <v>2322</v>
      </c>
      <c r="D5498" s="15">
        <v>2.0</v>
      </c>
      <c r="E5498" s="67">
        <f t="shared" si="18"/>
        <v>500</v>
      </c>
      <c r="F5498" s="67" t="str">
        <f t="shared" si="12"/>
        <v>2 LeadGen Set Appointments</v>
      </c>
    </row>
    <row r="5499" hidden="1">
      <c r="A5499" s="6" t="s">
        <v>71</v>
      </c>
      <c r="B5499" s="13" t="s">
        <v>1283</v>
      </c>
      <c r="C5499" s="13" t="s">
        <v>404</v>
      </c>
      <c r="D5499" s="15">
        <v>2.0</v>
      </c>
      <c r="E5499" s="67">
        <f t="shared" si="18"/>
        <v>500</v>
      </c>
      <c r="F5499" s="67" t="str">
        <f t="shared" si="12"/>
        <v>2 LeadGen Set Appointments</v>
      </c>
    </row>
    <row r="5500" hidden="1">
      <c r="A5500" s="6" t="s">
        <v>71</v>
      </c>
      <c r="B5500" s="13" t="s">
        <v>2264</v>
      </c>
      <c r="C5500" s="13" t="s">
        <v>2265</v>
      </c>
      <c r="D5500" s="15">
        <v>2.0</v>
      </c>
      <c r="E5500" s="67">
        <f t="shared" si="18"/>
        <v>500</v>
      </c>
      <c r="F5500" s="67" t="str">
        <f t="shared" si="12"/>
        <v>2 LeadGen Set Appointments</v>
      </c>
    </row>
    <row r="5501" hidden="1">
      <c r="A5501" s="6" t="s">
        <v>71</v>
      </c>
      <c r="B5501" s="13" t="s">
        <v>2218</v>
      </c>
      <c r="C5501" s="13" t="s">
        <v>2219</v>
      </c>
      <c r="D5501" s="15">
        <v>2.0</v>
      </c>
      <c r="E5501" s="67">
        <f t="shared" si="18"/>
        <v>500</v>
      </c>
      <c r="F5501" s="67" t="str">
        <f t="shared" si="12"/>
        <v>2 LeadGen Set Appointments</v>
      </c>
    </row>
    <row r="5502" hidden="1">
      <c r="A5502" s="6" t="s">
        <v>71</v>
      </c>
      <c r="B5502" s="13" t="s">
        <v>984</v>
      </c>
      <c r="C5502" s="13" t="s">
        <v>985</v>
      </c>
      <c r="D5502" s="15">
        <v>2.0</v>
      </c>
      <c r="E5502" s="67">
        <f t="shared" si="18"/>
        <v>500</v>
      </c>
      <c r="F5502" s="67" t="str">
        <f t="shared" si="12"/>
        <v>2 LeadGen Set Appointments</v>
      </c>
    </row>
    <row r="5503" hidden="1">
      <c r="A5503" s="6" t="s">
        <v>71</v>
      </c>
      <c r="B5503" s="13" t="s">
        <v>2266</v>
      </c>
      <c r="C5503" s="13" t="s">
        <v>2267</v>
      </c>
      <c r="D5503" s="15">
        <v>2.0</v>
      </c>
      <c r="E5503" s="67">
        <f t="shared" si="18"/>
        <v>500</v>
      </c>
      <c r="F5503" s="67" t="str">
        <f t="shared" si="12"/>
        <v>2 LeadGen Set Appointments</v>
      </c>
    </row>
    <row r="5504" hidden="1">
      <c r="A5504" s="6" t="s">
        <v>71</v>
      </c>
      <c r="B5504" s="13" t="s">
        <v>1943</v>
      </c>
      <c r="C5504" s="13" t="s">
        <v>1944</v>
      </c>
      <c r="D5504" s="15">
        <v>2.0</v>
      </c>
      <c r="E5504" s="67">
        <f t="shared" si="18"/>
        <v>500</v>
      </c>
      <c r="F5504" s="67" t="str">
        <f t="shared" si="12"/>
        <v>2 LeadGen Set Appointments</v>
      </c>
    </row>
    <row r="5505" hidden="1">
      <c r="A5505" s="6" t="s">
        <v>71</v>
      </c>
      <c r="B5505" s="13" t="s">
        <v>1945</v>
      </c>
      <c r="C5505" s="13" t="s">
        <v>1946</v>
      </c>
      <c r="D5505" s="15">
        <v>2.0</v>
      </c>
      <c r="E5505" s="67">
        <f t="shared" si="18"/>
        <v>500</v>
      </c>
      <c r="F5505" s="67" t="str">
        <f t="shared" si="12"/>
        <v>2 LeadGen Set Appointments</v>
      </c>
    </row>
    <row r="5506" hidden="1">
      <c r="A5506" s="6" t="s">
        <v>71</v>
      </c>
      <c r="B5506" s="13" t="s">
        <v>1463</v>
      </c>
      <c r="C5506" s="13" t="s">
        <v>1464</v>
      </c>
      <c r="D5506" s="15">
        <v>1.0</v>
      </c>
      <c r="E5506" s="67">
        <f t="shared" si="18"/>
        <v>250</v>
      </c>
      <c r="F5506" s="67" t="str">
        <f t="shared" si="12"/>
        <v>1 LeadGen Set Appointments</v>
      </c>
    </row>
    <row r="5507" hidden="1">
      <c r="A5507" s="6" t="s">
        <v>71</v>
      </c>
      <c r="B5507" s="13" t="s">
        <v>447</v>
      </c>
      <c r="C5507" s="13" t="s">
        <v>448</v>
      </c>
      <c r="D5507" s="15">
        <v>1.0</v>
      </c>
      <c r="E5507" s="67">
        <f t="shared" si="18"/>
        <v>250</v>
      </c>
      <c r="F5507" s="67" t="str">
        <f t="shared" si="12"/>
        <v>1 LeadGen Set Appointments</v>
      </c>
    </row>
    <row r="5508" hidden="1">
      <c r="A5508" s="6" t="s">
        <v>71</v>
      </c>
      <c r="B5508" s="13" t="s">
        <v>1033</v>
      </c>
      <c r="C5508" s="13" t="s">
        <v>1034</v>
      </c>
      <c r="D5508" s="15">
        <v>1.0</v>
      </c>
      <c r="E5508" s="67">
        <f t="shared" si="18"/>
        <v>250</v>
      </c>
      <c r="F5508" s="67" t="str">
        <f t="shared" si="12"/>
        <v>1 LeadGen Set Appointments</v>
      </c>
    </row>
    <row r="5509" hidden="1">
      <c r="A5509" s="6" t="s">
        <v>71</v>
      </c>
      <c r="B5509" s="13" t="s">
        <v>1171</v>
      </c>
      <c r="C5509" s="13" t="s">
        <v>1172</v>
      </c>
      <c r="D5509" s="15">
        <v>1.0</v>
      </c>
      <c r="E5509" s="67">
        <f t="shared" si="18"/>
        <v>250</v>
      </c>
      <c r="F5509" s="67" t="str">
        <f t="shared" si="12"/>
        <v>1 LeadGen Set Appointments</v>
      </c>
    </row>
    <row r="5510" hidden="1">
      <c r="A5510" s="6" t="s">
        <v>71</v>
      </c>
      <c r="B5510" s="13" t="s">
        <v>744</v>
      </c>
      <c r="C5510" s="13" t="s">
        <v>745</v>
      </c>
      <c r="D5510" s="15">
        <v>1.0</v>
      </c>
      <c r="E5510" s="67">
        <f t="shared" si="18"/>
        <v>250</v>
      </c>
      <c r="F5510" s="67" t="str">
        <f t="shared" si="12"/>
        <v>1 LeadGen Set Appointments</v>
      </c>
    </row>
    <row r="5511" hidden="1">
      <c r="A5511" s="6" t="s">
        <v>71</v>
      </c>
      <c r="B5511" s="13" t="s">
        <v>1893</v>
      </c>
      <c r="C5511" s="13" t="s">
        <v>1894</v>
      </c>
      <c r="D5511" s="15">
        <v>1.0</v>
      </c>
      <c r="E5511" s="67">
        <f t="shared" si="18"/>
        <v>250</v>
      </c>
      <c r="F5511" s="67" t="str">
        <f t="shared" si="12"/>
        <v>1 LeadGen Set Appointments</v>
      </c>
    </row>
    <row r="5512" hidden="1">
      <c r="A5512" s="6" t="s">
        <v>71</v>
      </c>
      <c r="B5512" s="13" t="s">
        <v>1579</v>
      </c>
      <c r="C5512" s="13" t="s">
        <v>1580</v>
      </c>
      <c r="D5512" s="15">
        <v>1.0</v>
      </c>
      <c r="E5512" s="67">
        <f t="shared" si="18"/>
        <v>250</v>
      </c>
      <c r="F5512" s="67" t="str">
        <f t="shared" si="12"/>
        <v>1 LeadGen Set Appointments</v>
      </c>
    </row>
    <row r="5513" hidden="1">
      <c r="A5513" s="6" t="s">
        <v>71</v>
      </c>
      <c r="B5513" s="13" t="s">
        <v>1543</v>
      </c>
      <c r="C5513" s="13" t="s">
        <v>1544</v>
      </c>
      <c r="D5513" s="15">
        <v>1.0</v>
      </c>
      <c r="E5513" s="67">
        <f t="shared" si="18"/>
        <v>250</v>
      </c>
      <c r="F5513" s="67" t="str">
        <f t="shared" si="12"/>
        <v>1 LeadGen Set Appointments</v>
      </c>
    </row>
    <row r="5514" hidden="1">
      <c r="A5514" s="6" t="s">
        <v>71</v>
      </c>
      <c r="B5514" s="13" t="s">
        <v>2215</v>
      </c>
      <c r="C5514" s="13" t="s">
        <v>2216</v>
      </c>
      <c r="D5514" s="15">
        <v>1.0</v>
      </c>
      <c r="E5514" s="67">
        <f t="shared" si="18"/>
        <v>250</v>
      </c>
      <c r="F5514" s="67" t="str">
        <f t="shared" si="12"/>
        <v>1 LeadGen Set Appointments</v>
      </c>
    </row>
    <row r="5515" hidden="1">
      <c r="A5515" s="6" t="s">
        <v>71</v>
      </c>
      <c r="B5515" s="13" t="s">
        <v>2337</v>
      </c>
      <c r="C5515" s="13" t="s">
        <v>2338</v>
      </c>
      <c r="D5515" s="15">
        <v>1.0</v>
      </c>
      <c r="E5515" s="67">
        <f t="shared" si="18"/>
        <v>250</v>
      </c>
      <c r="F5515" s="67" t="str">
        <f t="shared" si="12"/>
        <v>1 LeadGen Set Appointments</v>
      </c>
    </row>
    <row r="5516" hidden="1">
      <c r="A5516" s="6" t="s">
        <v>71</v>
      </c>
      <c r="B5516" s="13" t="s">
        <v>2333</v>
      </c>
      <c r="C5516" s="13" t="s">
        <v>2334</v>
      </c>
      <c r="D5516" s="15">
        <v>1.0</v>
      </c>
      <c r="E5516" s="67">
        <f t="shared" si="18"/>
        <v>250</v>
      </c>
      <c r="F5516" s="67" t="str">
        <f t="shared" si="12"/>
        <v>1 LeadGen Set Appointments</v>
      </c>
    </row>
    <row r="5517" hidden="1">
      <c r="A5517" s="6" t="s">
        <v>71</v>
      </c>
      <c r="B5517" s="13" t="s">
        <v>1612</v>
      </c>
      <c r="C5517" s="13" t="s">
        <v>1613</v>
      </c>
      <c r="D5517" s="15">
        <v>1.0</v>
      </c>
      <c r="E5517" s="67">
        <f t="shared" si="18"/>
        <v>250</v>
      </c>
      <c r="F5517" s="67" t="str">
        <f t="shared" si="12"/>
        <v>1 LeadGen Set Appointments</v>
      </c>
    </row>
    <row r="5518" hidden="1">
      <c r="A5518" s="6" t="s">
        <v>71</v>
      </c>
      <c r="B5518" s="13" t="s">
        <v>2093</v>
      </c>
      <c r="C5518" s="13" t="s">
        <v>2094</v>
      </c>
      <c r="D5518" s="15">
        <v>1.0</v>
      </c>
      <c r="E5518" s="67">
        <f t="shared" si="18"/>
        <v>250</v>
      </c>
      <c r="F5518" s="67" t="str">
        <f t="shared" si="12"/>
        <v>1 LeadGen Set Appointments</v>
      </c>
    </row>
    <row r="5519" hidden="1">
      <c r="A5519" s="6" t="s">
        <v>71</v>
      </c>
      <c r="B5519" s="13" t="s">
        <v>1778</v>
      </c>
      <c r="C5519" s="13" t="s">
        <v>1779</v>
      </c>
      <c r="D5519" s="15">
        <v>1.0</v>
      </c>
      <c r="E5519" s="67">
        <f t="shared" si="18"/>
        <v>250</v>
      </c>
      <c r="F5519" s="67" t="str">
        <f t="shared" si="12"/>
        <v>1 LeadGen Set Appointments</v>
      </c>
    </row>
    <row r="5520" hidden="1">
      <c r="A5520" s="6" t="s">
        <v>71</v>
      </c>
      <c r="B5520" s="13" t="s">
        <v>494</v>
      </c>
      <c r="C5520" s="13" t="s">
        <v>495</v>
      </c>
      <c r="D5520" s="15">
        <v>1.0</v>
      </c>
      <c r="E5520" s="67">
        <f t="shared" si="18"/>
        <v>250</v>
      </c>
      <c r="F5520" s="67" t="str">
        <f t="shared" si="12"/>
        <v>1 LeadGen Set Appointments</v>
      </c>
    </row>
    <row r="5521" hidden="1">
      <c r="A5521" s="6" t="s">
        <v>71</v>
      </c>
      <c r="B5521" s="13" t="s">
        <v>1510</v>
      </c>
      <c r="C5521" s="13" t="s">
        <v>1511</v>
      </c>
      <c r="D5521" s="15">
        <v>1.0</v>
      </c>
      <c r="E5521" s="67">
        <f t="shared" si="18"/>
        <v>250</v>
      </c>
      <c r="F5521" s="67" t="str">
        <f t="shared" si="12"/>
        <v>1 LeadGen Set Appointments</v>
      </c>
    </row>
    <row r="5522" hidden="1">
      <c r="A5522" s="6" t="s">
        <v>71</v>
      </c>
      <c r="B5522" s="13" t="s">
        <v>2382</v>
      </c>
      <c r="C5522" s="13" t="s">
        <v>2383</v>
      </c>
      <c r="D5522" s="15">
        <v>1.0</v>
      </c>
      <c r="E5522" s="67">
        <f t="shared" si="18"/>
        <v>250</v>
      </c>
      <c r="F5522" s="67" t="str">
        <f t="shared" si="12"/>
        <v>1 LeadGen Set Appointments</v>
      </c>
    </row>
    <row r="5523" hidden="1">
      <c r="A5523" s="6" t="s">
        <v>71</v>
      </c>
      <c r="B5523" s="13" t="s">
        <v>693</v>
      </c>
      <c r="C5523" s="13" t="s">
        <v>694</v>
      </c>
      <c r="D5523" s="15">
        <v>1.0</v>
      </c>
      <c r="E5523" s="67">
        <f t="shared" si="18"/>
        <v>250</v>
      </c>
      <c r="F5523" s="67" t="str">
        <f t="shared" si="12"/>
        <v>1 LeadGen Set Appointments</v>
      </c>
    </row>
    <row r="5524" hidden="1">
      <c r="A5524" s="6" t="s">
        <v>71</v>
      </c>
      <c r="B5524" s="13" t="s">
        <v>717</v>
      </c>
      <c r="C5524" s="13" t="s">
        <v>718</v>
      </c>
      <c r="D5524" s="15">
        <v>1.0</v>
      </c>
      <c r="E5524" s="67">
        <f t="shared" si="18"/>
        <v>250</v>
      </c>
      <c r="F5524" s="67" t="str">
        <f t="shared" si="12"/>
        <v>1 LeadGen Set Appointments</v>
      </c>
    </row>
    <row r="5525" hidden="1">
      <c r="A5525" s="6" t="s">
        <v>71</v>
      </c>
      <c r="B5525" s="13" t="s">
        <v>1421</v>
      </c>
      <c r="C5525" s="13" t="s">
        <v>712</v>
      </c>
      <c r="D5525" s="15">
        <v>1.0</v>
      </c>
      <c r="E5525" s="67">
        <f t="shared" si="18"/>
        <v>250</v>
      </c>
      <c r="F5525" s="67" t="str">
        <f t="shared" si="12"/>
        <v>1 LeadGen Set Appointments</v>
      </c>
    </row>
    <row r="5526" hidden="1">
      <c r="A5526" s="6" t="s">
        <v>71</v>
      </c>
      <c r="B5526" s="13" t="s">
        <v>2354</v>
      </c>
      <c r="C5526" s="13" t="s">
        <v>2355</v>
      </c>
      <c r="D5526" s="15">
        <v>1.0</v>
      </c>
      <c r="E5526" s="67">
        <f t="shared" si="18"/>
        <v>250</v>
      </c>
      <c r="F5526" s="67" t="str">
        <f t="shared" si="12"/>
        <v>1 LeadGen Set Appointments</v>
      </c>
    </row>
    <row r="5527" hidden="1">
      <c r="A5527" s="6" t="s">
        <v>71</v>
      </c>
      <c r="B5527" s="13" t="s">
        <v>2384</v>
      </c>
      <c r="C5527" s="13" t="s">
        <v>2385</v>
      </c>
      <c r="D5527" s="15">
        <v>1.0</v>
      </c>
      <c r="E5527" s="67">
        <f t="shared" si="18"/>
        <v>250</v>
      </c>
      <c r="F5527" s="67" t="str">
        <f t="shared" si="12"/>
        <v>1 LeadGen Set Appointments</v>
      </c>
    </row>
    <row r="5528" hidden="1">
      <c r="A5528" s="6" t="s">
        <v>71</v>
      </c>
      <c r="B5528" s="13" t="s">
        <v>2343</v>
      </c>
      <c r="C5528" s="13" t="s">
        <v>2344</v>
      </c>
      <c r="D5528" s="15">
        <v>1.0</v>
      </c>
      <c r="E5528" s="67">
        <f t="shared" si="18"/>
        <v>250</v>
      </c>
      <c r="F5528" s="67" t="str">
        <f t="shared" si="12"/>
        <v>1 LeadGen Set Appointments</v>
      </c>
    </row>
    <row r="5529" hidden="1">
      <c r="A5529" s="6" t="s">
        <v>71</v>
      </c>
      <c r="B5529" s="13" t="s">
        <v>2371</v>
      </c>
      <c r="C5529" s="13" t="s">
        <v>2372</v>
      </c>
      <c r="D5529" s="15">
        <v>1.0</v>
      </c>
      <c r="E5529" s="67">
        <f t="shared" si="18"/>
        <v>250</v>
      </c>
      <c r="F5529" s="67" t="str">
        <f t="shared" si="12"/>
        <v>1 LeadGen Set Appointments</v>
      </c>
    </row>
    <row r="5530" hidden="1">
      <c r="A5530" s="6" t="s">
        <v>71</v>
      </c>
      <c r="B5530" s="13" t="s">
        <v>2297</v>
      </c>
      <c r="C5530" s="13" t="s">
        <v>2298</v>
      </c>
      <c r="D5530" s="15">
        <v>1.0</v>
      </c>
      <c r="E5530" s="67">
        <f t="shared" si="18"/>
        <v>250</v>
      </c>
      <c r="F5530" s="67" t="str">
        <f t="shared" si="12"/>
        <v>1 LeadGen Set Appointments</v>
      </c>
    </row>
    <row r="5531" hidden="1">
      <c r="A5531" s="6" t="s">
        <v>71</v>
      </c>
      <c r="B5531" s="13" t="s">
        <v>1790</v>
      </c>
      <c r="C5531" s="13" t="s">
        <v>2364</v>
      </c>
      <c r="D5531" s="15">
        <v>1.0</v>
      </c>
      <c r="E5531" s="67">
        <f t="shared" si="18"/>
        <v>250</v>
      </c>
      <c r="F5531" s="67" t="str">
        <f t="shared" si="12"/>
        <v>1 LeadGen Set Appointments</v>
      </c>
    </row>
    <row r="5532" hidden="1">
      <c r="A5532" s="6" t="s">
        <v>71</v>
      </c>
      <c r="B5532" s="13" t="s">
        <v>2165</v>
      </c>
      <c r="C5532" s="13" t="s">
        <v>2166</v>
      </c>
      <c r="D5532" s="15">
        <v>1.0</v>
      </c>
      <c r="E5532" s="67">
        <f t="shared" si="18"/>
        <v>250</v>
      </c>
      <c r="F5532" s="67" t="str">
        <f t="shared" si="12"/>
        <v>1 LeadGen Set Appointments</v>
      </c>
    </row>
    <row r="5533" hidden="1">
      <c r="A5533" s="6" t="s">
        <v>71</v>
      </c>
      <c r="B5533" s="13" t="s">
        <v>2345</v>
      </c>
      <c r="C5533" s="13" t="s">
        <v>2346</v>
      </c>
      <c r="D5533" s="15">
        <v>1.0</v>
      </c>
      <c r="E5533" s="67">
        <f t="shared" si="18"/>
        <v>250</v>
      </c>
      <c r="F5533" s="67" t="str">
        <f t="shared" si="12"/>
        <v>1 LeadGen Set Appointments</v>
      </c>
    </row>
    <row r="5534" hidden="1">
      <c r="A5534" s="6" t="s">
        <v>71</v>
      </c>
      <c r="B5534" s="13" t="s">
        <v>604</v>
      </c>
      <c r="C5534" s="13" t="s">
        <v>605</v>
      </c>
      <c r="D5534" s="15">
        <v>1.0</v>
      </c>
      <c r="E5534" s="67">
        <f t="shared" si="18"/>
        <v>250</v>
      </c>
      <c r="F5534" s="67" t="str">
        <f t="shared" si="12"/>
        <v>1 LeadGen Set Appointments</v>
      </c>
    </row>
    <row r="5535" hidden="1">
      <c r="A5535" s="6" t="s">
        <v>71</v>
      </c>
      <c r="B5535" s="13" t="s">
        <v>2367</v>
      </c>
      <c r="C5535" s="13" t="s">
        <v>2368</v>
      </c>
      <c r="D5535" s="15">
        <v>1.0</v>
      </c>
      <c r="E5535" s="67">
        <f t="shared" si="18"/>
        <v>250</v>
      </c>
      <c r="F5535" s="67" t="str">
        <f t="shared" si="12"/>
        <v>1 LeadGen Set Appointments</v>
      </c>
    </row>
    <row r="5536" hidden="1">
      <c r="A5536" s="6" t="s">
        <v>71</v>
      </c>
      <c r="B5536" s="13" t="s">
        <v>624</v>
      </c>
      <c r="C5536" s="13" t="s">
        <v>625</v>
      </c>
      <c r="D5536" s="15">
        <v>1.0</v>
      </c>
      <c r="E5536" s="67">
        <f t="shared" si="18"/>
        <v>250</v>
      </c>
      <c r="F5536" s="67" t="str">
        <f t="shared" si="12"/>
        <v>1 LeadGen Set Appointments</v>
      </c>
    </row>
    <row r="5537" hidden="1">
      <c r="A5537" s="6" t="s">
        <v>71</v>
      </c>
      <c r="B5537" s="13" t="s">
        <v>258</v>
      </c>
      <c r="C5537" s="13" t="s">
        <v>2386</v>
      </c>
      <c r="D5537" s="15">
        <v>1.0</v>
      </c>
      <c r="E5537" s="67">
        <f t="shared" si="18"/>
        <v>250</v>
      </c>
      <c r="F5537" s="67" t="str">
        <f t="shared" si="12"/>
        <v>1 LeadGen Set Appointments</v>
      </c>
    </row>
    <row r="5538" hidden="1">
      <c r="A5538" s="6" t="s">
        <v>71</v>
      </c>
      <c r="B5538" s="13" t="s">
        <v>701</v>
      </c>
      <c r="C5538" s="13" t="s">
        <v>702</v>
      </c>
      <c r="D5538" s="15">
        <v>1.0</v>
      </c>
      <c r="E5538" s="67">
        <f t="shared" si="18"/>
        <v>250</v>
      </c>
      <c r="F5538" s="67" t="str">
        <f t="shared" si="12"/>
        <v>1 LeadGen Set Appointments</v>
      </c>
    </row>
    <row r="5539" hidden="1">
      <c r="A5539" s="6" t="s">
        <v>71</v>
      </c>
      <c r="B5539" s="13" t="s">
        <v>2183</v>
      </c>
      <c r="C5539" s="13" t="s">
        <v>2184</v>
      </c>
      <c r="D5539" s="15">
        <v>1.0</v>
      </c>
      <c r="E5539" s="67">
        <f t="shared" si="18"/>
        <v>250</v>
      </c>
      <c r="F5539" s="67" t="str">
        <f t="shared" si="12"/>
        <v>1 LeadGen Set Appointments</v>
      </c>
    </row>
    <row r="5540" hidden="1">
      <c r="A5540" s="6" t="s">
        <v>71</v>
      </c>
      <c r="B5540" s="13" t="s">
        <v>2341</v>
      </c>
      <c r="C5540" s="13" t="s">
        <v>2342</v>
      </c>
      <c r="D5540" s="15">
        <v>1.0</v>
      </c>
      <c r="E5540" s="67">
        <f t="shared" si="18"/>
        <v>250</v>
      </c>
      <c r="F5540" s="67" t="str">
        <f t="shared" si="12"/>
        <v>1 LeadGen Set Appointments</v>
      </c>
    </row>
    <row r="5541" hidden="1">
      <c r="A5541" s="6" t="s">
        <v>71</v>
      </c>
      <c r="B5541" s="13" t="s">
        <v>2052</v>
      </c>
      <c r="C5541" s="13" t="s">
        <v>2053</v>
      </c>
      <c r="D5541" s="15">
        <v>1.0</v>
      </c>
      <c r="E5541" s="67">
        <f t="shared" si="18"/>
        <v>250</v>
      </c>
      <c r="F5541" s="67" t="str">
        <f t="shared" si="12"/>
        <v>1 LeadGen Set Appointments</v>
      </c>
    </row>
    <row r="5542" hidden="1">
      <c r="A5542" s="6" t="s">
        <v>71</v>
      </c>
      <c r="B5542" s="13" t="s">
        <v>1933</v>
      </c>
      <c r="C5542" s="13" t="s">
        <v>1934</v>
      </c>
      <c r="D5542" s="15">
        <v>1.0</v>
      </c>
      <c r="E5542" s="67">
        <f t="shared" si="18"/>
        <v>250</v>
      </c>
      <c r="F5542" s="67" t="str">
        <f t="shared" si="12"/>
        <v>1 LeadGen Set Appointments</v>
      </c>
    </row>
    <row r="5543" hidden="1">
      <c r="A5543" s="6" t="s">
        <v>71</v>
      </c>
      <c r="B5543" s="13" t="s">
        <v>2387</v>
      </c>
      <c r="C5543" s="13" t="s">
        <v>2388</v>
      </c>
      <c r="D5543" s="15">
        <v>1.0</v>
      </c>
      <c r="E5543" s="67">
        <f t="shared" si="18"/>
        <v>250</v>
      </c>
      <c r="F5543" s="67" t="str">
        <f t="shared" si="12"/>
        <v>1 LeadGen Set Appointments</v>
      </c>
    </row>
    <row r="5544" hidden="1">
      <c r="A5544" s="6" t="s">
        <v>71</v>
      </c>
      <c r="B5544" s="13" t="s">
        <v>2113</v>
      </c>
      <c r="C5544" s="13" t="s">
        <v>2114</v>
      </c>
      <c r="D5544" s="15">
        <v>1.0</v>
      </c>
      <c r="E5544" s="67">
        <f t="shared" si="18"/>
        <v>250</v>
      </c>
      <c r="F5544" s="67" t="str">
        <f t="shared" si="12"/>
        <v>1 LeadGen Set Appointments</v>
      </c>
    </row>
    <row r="5545" hidden="1">
      <c r="A5545" s="6" t="s">
        <v>71</v>
      </c>
      <c r="B5545" s="13" t="s">
        <v>2389</v>
      </c>
      <c r="C5545" s="13" t="s">
        <v>2390</v>
      </c>
      <c r="D5545" s="15">
        <v>1.0</v>
      </c>
      <c r="E5545" s="67">
        <f t="shared" si="18"/>
        <v>250</v>
      </c>
      <c r="F5545" s="67" t="str">
        <f t="shared" si="12"/>
        <v>1 LeadGen Set Appointments</v>
      </c>
    </row>
    <row r="5546" hidden="1">
      <c r="A5546" s="6" t="s">
        <v>73</v>
      </c>
      <c r="B5546" s="13" t="s">
        <v>476</v>
      </c>
      <c r="C5546" s="13" t="s">
        <v>477</v>
      </c>
      <c r="D5546" s="15">
        <v>39.0</v>
      </c>
      <c r="E5546" s="67">
        <f t="shared" si="18"/>
        <v>19500</v>
      </c>
      <c r="F5546" s="67" t="str">
        <f t="shared" si="12"/>
        <v>39 LeadGen Set Appointments</v>
      </c>
    </row>
    <row r="5547" hidden="1">
      <c r="A5547" s="6" t="s">
        <v>73</v>
      </c>
      <c r="B5547" s="13" t="s">
        <v>1865</v>
      </c>
      <c r="C5547" s="13" t="s">
        <v>1866</v>
      </c>
      <c r="D5547" s="15">
        <v>19.0</v>
      </c>
      <c r="E5547" s="67">
        <f t="shared" si="18"/>
        <v>9500</v>
      </c>
      <c r="F5547" s="67" t="str">
        <f t="shared" si="12"/>
        <v>19 LeadGen Set Appointments</v>
      </c>
    </row>
    <row r="5548" hidden="1">
      <c r="A5548" s="6" t="s">
        <v>73</v>
      </c>
      <c r="B5548" s="13" t="s">
        <v>640</v>
      </c>
      <c r="C5548" s="13" t="s">
        <v>641</v>
      </c>
      <c r="D5548" s="15">
        <v>18.0</v>
      </c>
      <c r="E5548" s="67">
        <f t="shared" si="18"/>
        <v>9000</v>
      </c>
      <c r="F5548" s="67" t="str">
        <f t="shared" si="12"/>
        <v>18 LeadGen Set Appointments</v>
      </c>
    </row>
    <row r="5549" hidden="1">
      <c r="A5549" s="6" t="s">
        <v>73</v>
      </c>
      <c r="B5549" s="13" t="s">
        <v>540</v>
      </c>
      <c r="C5549" s="13" t="s">
        <v>1454</v>
      </c>
      <c r="D5549" s="15">
        <v>17.0</v>
      </c>
      <c r="E5549" s="67">
        <f t="shared" si="18"/>
        <v>8500</v>
      </c>
      <c r="F5549" s="67" t="str">
        <f t="shared" si="12"/>
        <v>17 LeadGen Set Appointments</v>
      </c>
    </row>
    <row r="5550" hidden="1">
      <c r="A5550" s="6" t="s">
        <v>73</v>
      </c>
      <c r="B5550" s="13" t="s">
        <v>644</v>
      </c>
      <c r="C5550" s="13" t="s">
        <v>645</v>
      </c>
      <c r="D5550" s="15">
        <v>16.0</v>
      </c>
      <c r="E5550" s="67">
        <f t="shared" si="18"/>
        <v>8000</v>
      </c>
      <c r="F5550" s="67" t="str">
        <f t="shared" si="12"/>
        <v>16 LeadGen Set Appointments</v>
      </c>
    </row>
    <row r="5551" hidden="1">
      <c r="A5551" s="6" t="s">
        <v>73</v>
      </c>
      <c r="B5551" s="13" t="s">
        <v>766</v>
      </c>
      <c r="C5551" s="13" t="s">
        <v>767</v>
      </c>
      <c r="D5551" s="15">
        <v>16.0</v>
      </c>
      <c r="E5551" s="67">
        <f t="shared" si="18"/>
        <v>8000</v>
      </c>
      <c r="F5551" s="67" t="str">
        <f t="shared" si="12"/>
        <v>16 LeadGen Set Appointments</v>
      </c>
    </row>
    <row r="5552" hidden="1">
      <c r="A5552" s="6" t="s">
        <v>73</v>
      </c>
      <c r="B5552" s="13" t="s">
        <v>411</v>
      </c>
      <c r="C5552" s="13" t="s">
        <v>412</v>
      </c>
      <c r="D5552" s="15">
        <v>15.0</v>
      </c>
      <c r="E5552" s="67">
        <f t="shared" si="18"/>
        <v>7500</v>
      </c>
      <c r="F5552" s="67" t="str">
        <f t="shared" si="12"/>
        <v>15 LeadGen Set Appointments</v>
      </c>
    </row>
    <row r="5553" hidden="1">
      <c r="A5553" s="6" t="s">
        <v>73</v>
      </c>
      <c r="B5553" s="13" t="s">
        <v>486</v>
      </c>
      <c r="C5553" s="13" t="s">
        <v>487</v>
      </c>
      <c r="D5553" s="15">
        <v>14.0</v>
      </c>
      <c r="E5553" s="67">
        <f t="shared" si="18"/>
        <v>7000</v>
      </c>
      <c r="F5553" s="67" t="str">
        <f t="shared" si="12"/>
        <v>14 LeadGen Set Appointments</v>
      </c>
    </row>
    <row r="5554" hidden="1">
      <c r="A5554" s="6" t="s">
        <v>73</v>
      </c>
      <c r="B5554" s="13" t="s">
        <v>699</v>
      </c>
      <c r="C5554" s="13" t="s">
        <v>700</v>
      </c>
      <c r="D5554" s="15">
        <v>14.0</v>
      </c>
      <c r="E5554" s="67">
        <f t="shared" si="18"/>
        <v>7000</v>
      </c>
      <c r="F5554" s="67" t="str">
        <f t="shared" si="12"/>
        <v>14 LeadGen Set Appointments</v>
      </c>
    </row>
    <row r="5555" hidden="1">
      <c r="A5555" s="6" t="s">
        <v>73</v>
      </c>
      <c r="B5555" s="13" t="s">
        <v>516</v>
      </c>
      <c r="C5555" s="13" t="s">
        <v>517</v>
      </c>
      <c r="D5555" s="15">
        <v>13.0</v>
      </c>
      <c r="E5555" s="67">
        <f t="shared" si="18"/>
        <v>6500</v>
      </c>
      <c r="F5555" s="67" t="str">
        <f t="shared" si="12"/>
        <v>13 LeadGen Set Appointments</v>
      </c>
    </row>
    <row r="5556" hidden="1">
      <c r="A5556" s="6" t="s">
        <v>73</v>
      </c>
      <c r="B5556" s="13" t="s">
        <v>510</v>
      </c>
      <c r="C5556" s="13" t="s">
        <v>511</v>
      </c>
      <c r="D5556" s="15">
        <v>13.0</v>
      </c>
      <c r="E5556" s="67">
        <f t="shared" si="18"/>
        <v>6500</v>
      </c>
      <c r="F5556" s="67" t="str">
        <f t="shared" si="12"/>
        <v>13 LeadGen Set Appointments</v>
      </c>
    </row>
    <row r="5557" hidden="1">
      <c r="A5557" s="6" t="s">
        <v>73</v>
      </c>
      <c r="B5557" s="13" t="s">
        <v>1455</v>
      </c>
      <c r="C5557" s="13" t="s">
        <v>1456</v>
      </c>
      <c r="D5557" s="15">
        <v>12.0</v>
      </c>
      <c r="E5557" s="67">
        <f t="shared" si="18"/>
        <v>6000</v>
      </c>
      <c r="F5557" s="67" t="str">
        <f t="shared" si="12"/>
        <v>12 LeadGen Set Appointments</v>
      </c>
    </row>
    <row r="5558" hidden="1">
      <c r="A5558" s="6" t="s">
        <v>73</v>
      </c>
      <c r="B5558" s="13" t="s">
        <v>1467</v>
      </c>
      <c r="C5558" s="13" t="s">
        <v>1468</v>
      </c>
      <c r="D5558" s="15">
        <v>12.0</v>
      </c>
      <c r="E5558" s="67">
        <f t="shared" si="18"/>
        <v>6000</v>
      </c>
      <c r="F5558" s="67" t="str">
        <f t="shared" si="12"/>
        <v>12 LeadGen Set Appointments</v>
      </c>
    </row>
    <row r="5559" hidden="1">
      <c r="A5559" s="6" t="s">
        <v>73</v>
      </c>
      <c r="B5559" s="13" t="s">
        <v>2234</v>
      </c>
      <c r="C5559" s="13" t="s">
        <v>2235</v>
      </c>
      <c r="D5559" s="15">
        <v>12.0</v>
      </c>
      <c r="E5559" s="67">
        <f t="shared" si="18"/>
        <v>6000</v>
      </c>
      <c r="F5559" s="67" t="str">
        <f t="shared" si="12"/>
        <v>12 LeadGen Set Appointments</v>
      </c>
    </row>
    <row r="5560" hidden="1">
      <c r="A5560" s="6" t="s">
        <v>73</v>
      </c>
      <c r="B5560" s="13" t="s">
        <v>1510</v>
      </c>
      <c r="C5560" s="13" t="s">
        <v>1511</v>
      </c>
      <c r="D5560" s="15">
        <v>11.0</v>
      </c>
      <c r="E5560" s="67">
        <f t="shared" si="18"/>
        <v>5500</v>
      </c>
      <c r="F5560" s="67" t="str">
        <f t="shared" si="12"/>
        <v>11 LeadGen Set Appointments</v>
      </c>
    </row>
    <row r="5561" hidden="1">
      <c r="A5561" s="6" t="s">
        <v>73</v>
      </c>
      <c r="B5561" s="13" t="s">
        <v>1471</v>
      </c>
      <c r="C5561" s="13" t="s">
        <v>1472</v>
      </c>
      <c r="D5561" s="15">
        <v>11.0</v>
      </c>
      <c r="E5561" s="67">
        <f t="shared" si="18"/>
        <v>5500</v>
      </c>
      <c r="F5561" s="67" t="str">
        <f t="shared" si="12"/>
        <v>11 LeadGen Set Appointments</v>
      </c>
    </row>
    <row r="5562" hidden="1">
      <c r="A5562" s="6" t="s">
        <v>73</v>
      </c>
      <c r="B5562" s="13" t="s">
        <v>1473</v>
      </c>
      <c r="C5562" s="13" t="s">
        <v>1474</v>
      </c>
      <c r="D5562" s="15">
        <v>10.0</v>
      </c>
      <c r="E5562" s="67">
        <f t="shared" si="18"/>
        <v>5000</v>
      </c>
      <c r="F5562" s="67" t="str">
        <f t="shared" si="12"/>
        <v>10 LeadGen Set Appointments</v>
      </c>
    </row>
    <row r="5563" hidden="1">
      <c r="A5563" s="6" t="s">
        <v>73</v>
      </c>
      <c r="B5563" s="13" t="s">
        <v>546</v>
      </c>
      <c r="C5563" s="13" t="s">
        <v>547</v>
      </c>
      <c r="D5563" s="15">
        <v>10.0</v>
      </c>
      <c r="E5563" s="67">
        <f t="shared" si="18"/>
        <v>5000</v>
      </c>
      <c r="F5563" s="67" t="str">
        <f t="shared" si="12"/>
        <v>10 LeadGen Set Appointments</v>
      </c>
    </row>
    <row r="5564" hidden="1">
      <c r="A5564" s="6" t="s">
        <v>73</v>
      </c>
      <c r="B5564" s="13" t="s">
        <v>2270</v>
      </c>
      <c r="C5564" s="13" t="s">
        <v>2271</v>
      </c>
      <c r="D5564" s="15">
        <v>10.0</v>
      </c>
      <c r="E5564" s="67">
        <f t="shared" si="18"/>
        <v>5000</v>
      </c>
      <c r="F5564" s="67" t="str">
        <f t="shared" si="12"/>
        <v>10 LeadGen Set Appointments</v>
      </c>
    </row>
    <row r="5565" hidden="1">
      <c r="A5565" s="6" t="s">
        <v>73</v>
      </c>
      <c r="B5565" s="13" t="s">
        <v>1039</v>
      </c>
      <c r="C5565" s="13" t="s">
        <v>1040</v>
      </c>
      <c r="D5565" s="15">
        <v>10.0</v>
      </c>
      <c r="E5565" s="67">
        <f t="shared" si="18"/>
        <v>5000</v>
      </c>
      <c r="F5565" s="67" t="str">
        <f t="shared" si="12"/>
        <v>10 LeadGen Set Appointments</v>
      </c>
    </row>
    <row r="5566" hidden="1">
      <c r="A5566" s="6" t="s">
        <v>73</v>
      </c>
      <c r="B5566" s="13" t="s">
        <v>746</v>
      </c>
      <c r="C5566" s="13" t="s">
        <v>747</v>
      </c>
      <c r="D5566" s="15">
        <v>10.0</v>
      </c>
      <c r="E5566" s="67">
        <f t="shared" si="18"/>
        <v>5000</v>
      </c>
      <c r="F5566" s="67" t="str">
        <f t="shared" si="12"/>
        <v>10 LeadGen Set Appointments</v>
      </c>
    </row>
    <row r="5567" hidden="1">
      <c r="A5567" s="6" t="s">
        <v>73</v>
      </c>
      <c r="B5567" s="13" t="s">
        <v>542</v>
      </c>
      <c r="C5567" s="13" t="s">
        <v>543</v>
      </c>
      <c r="D5567" s="15">
        <v>9.0</v>
      </c>
      <c r="E5567" s="67">
        <f t="shared" si="18"/>
        <v>2250</v>
      </c>
      <c r="F5567" s="67" t="str">
        <f t="shared" si="12"/>
        <v>9 LeadGen Set Appointments</v>
      </c>
    </row>
    <row r="5568" hidden="1">
      <c r="A5568" s="6" t="s">
        <v>73</v>
      </c>
      <c r="B5568" s="13" t="s">
        <v>2139</v>
      </c>
      <c r="C5568" s="13" t="s">
        <v>2140</v>
      </c>
      <c r="D5568" s="15">
        <v>9.0</v>
      </c>
      <c r="E5568" s="67">
        <f t="shared" si="18"/>
        <v>2250</v>
      </c>
      <c r="F5568" s="67" t="str">
        <f t="shared" si="12"/>
        <v>9 LeadGen Set Appointments</v>
      </c>
    </row>
    <row r="5569" hidden="1">
      <c r="A5569" s="6" t="s">
        <v>73</v>
      </c>
      <c r="B5569" s="13" t="s">
        <v>684</v>
      </c>
      <c r="C5569" s="13" t="s">
        <v>685</v>
      </c>
      <c r="D5569" s="15">
        <v>8.0</v>
      </c>
      <c r="E5569" s="67">
        <f t="shared" si="18"/>
        <v>2000</v>
      </c>
      <c r="F5569" s="67" t="str">
        <f t="shared" si="12"/>
        <v>8 LeadGen Set Appointments</v>
      </c>
    </row>
    <row r="5570" hidden="1">
      <c r="A5570" s="6" t="s">
        <v>73</v>
      </c>
      <c r="B5570" s="13" t="s">
        <v>2276</v>
      </c>
      <c r="C5570" s="13" t="s">
        <v>2277</v>
      </c>
      <c r="D5570" s="15">
        <v>8.0</v>
      </c>
      <c r="E5570" s="67">
        <f t="shared" si="18"/>
        <v>2000</v>
      </c>
      <c r="F5570" s="67" t="str">
        <f t="shared" si="12"/>
        <v>8 LeadGen Set Appointments</v>
      </c>
    </row>
    <row r="5571" hidden="1">
      <c r="A5571" s="6" t="s">
        <v>73</v>
      </c>
      <c r="B5571" s="13" t="s">
        <v>502</v>
      </c>
      <c r="C5571" s="13" t="s">
        <v>503</v>
      </c>
      <c r="D5571" s="15">
        <v>8.0</v>
      </c>
      <c r="E5571" s="67">
        <f t="shared" si="18"/>
        <v>2000</v>
      </c>
      <c r="F5571" s="67" t="str">
        <f t="shared" si="12"/>
        <v>8 LeadGen Set Appointments</v>
      </c>
    </row>
    <row r="5572" hidden="1">
      <c r="A5572" s="6" t="s">
        <v>73</v>
      </c>
      <c r="B5572" s="13" t="s">
        <v>1157</v>
      </c>
      <c r="C5572" s="13" t="s">
        <v>1158</v>
      </c>
      <c r="D5572" s="15">
        <v>8.0</v>
      </c>
      <c r="E5572" s="67">
        <f t="shared" si="18"/>
        <v>2000</v>
      </c>
      <c r="F5572" s="67" t="str">
        <f t="shared" si="12"/>
        <v>8 LeadGen Set Appointments</v>
      </c>
    </row>
    <row r="5573" hidden="1">
      <c r="A5573" s="6" t="s">
        <v>73</v>
      </c>
      <c r="B5573" s="13" t="s">
        <v>624</v>
      </c>
      <c r="C5573" s="13" t="s">
        <v>625</v>
      </c>
      <c r="D5573" s="15">
        <v>8.0</v>
      </c>
      <c r="E5573" s="67">
        <f t="shared" si="18"/>
        <v>2000</v>
      </c>
      <c r="F5573" s="67" t="str">
        <f t="shared" si="12"/>
        <v>8 LeadGen Set Appointments</v>
      </c>
    </row>
    <row r="5574" hidden="1">
      <c r="A5574" s="6" t="s">
        <v>73</v>
      </c>
      <c r="B5574" s="13" t="s">
        <v>1025</v>
      </c>
      <c r="C5574" s="13" t="s">
        <v>1026</v>
      </c>
      <c r="D5574" s="15">
        <v>8.0</v>
      </c>
      <c r="E5574" s="67">
        <f t="shared" si="18"/>
        <v>2000</v>
      </c>
      <c r="F5574" s="67" t="str">
        <f t="shared" si="12"/>
        <v>8 LeadGen Set Appointments</v>
      </c>
    </row>
    <row r="5575" hidden="1">
      <c r="A5575" s="6" t="s">
        <v>73</v>
      </c>
      <c r="B5575" s="13" t="s">
        <v>288</v>
      </c>
      <c r="C5575" s="13" t="s">
        <v>2375</v>
      </c>
      <c r="D5575" s="15">
        <v>7.0</v>
      </c>
      <c r="E5575" s="67">
        <f t="shared" si="18"/>
        <v>1750</v>
      </c>
      <c r="F5575" s="67" t="str">
        <f t="shared" si="12"/>
        <v>7 LeadGen Set Appointments</v>
      </c>
    </row>
    <row r="5576" hidden="1">
      <c r="A5576" s="6" t="s">
        <v>73</v>
      </c>
      <c r="B5576" s="13" t="s">
        <v>1334</v>
      </c>
      <c r="C5576" s="13" t="s">
        <v>553</v>
      </c>
      <c r="D5576" s="15">
        <v>7.0</v>
      </c>
      <c r="E5576" s="67">
        <f t="shared" si="18"/>
        <v>1750</v>
      </c>
      <c r="F5576" s="67" t="str">
        <f t="shared" si="12"/>
        <v>7 LeadGen Set Appointments</v>
      </c>
    </row>
    <row r="5577" hidden="1">
      <c r="A5577" s="6" t="s">
        <v>73</v>
      </c>
      <c r="B5577" s="13" t="s">
        <v>1891</v>
      </c>
      <c r="C5577" s="13" t="s">
        <v>1892</v>
      </c>
      <c r="D5577" s="15">
        <v>7.0</v>
      </c>
      <c r="E5577" s="67">
        <f t="shared" si="18"/>
        <v>1750</v>
      </c>
      <c r="F5577" s="67" t="str">
        <f t="shared" si="12"/>
        <v>7 LeadGen Set Appointments</v>
      </c>
    </row>
    <row r="5578" hidden="1">
      <c r="A5578" s="6" t="s">
        <v>73</v>
      </c>
      <c r="B5578" s="13" t="s">
        <v>626</v>
      </c>
      <c r="C5578" s="13" t="s">
        <v>627</v>
      </c>
      <c r="D5578" s="15">
        <v>7.0</v>
      </c>
      <c r="E5578" s="67">
        <f t="shared" si="18"/>
        <v>1750</v>
      </c>
      <c r="F5578" s="67" t="str">
        <f t="shared" si="12"/>
        <v>7 LeadGen Set Appointments</v>
      </c>
    </row>
    <row r="5579" hidden="1">
      <c r="A5579" s="6" t="s">
        <v>73</v>
      </c>
      <c r="B5579" s="13" t="s">
        <v>1491</v>
      </c>
      <c r="C5579" s="13" t="s">
        <v>1492</v>
      </c>
      <c r="D5579" s="15">
        <v>7.0</v>
      </c>
      <c r="E5579" s="67">
        <f t="shared" si="18"/>
        <v>1750</v>
      </c>
      <c r="F5579" s="67" t="str">
        <f t="shared" si="12"/>
        <v>7 LeadGen Set Appointments</v>
      </c>
    </row>
    <row r="5580" hidden="1">
      <c r="A5580" s="6" t="s">
        <v>73</v>
      </c>
      <c r="B5580" s="13" t="s">
        <v>443</v>
      </c>
      <c r="C5580" s="13" t="s">
        <v>444</v>
      </c>
      <c r="D5580" s="15">
        <v>7.0</v>
      </c>
      <c r="E5580" s="67">
        <f t="shared" si="18"/>
        <v>1750</v>
      </c>
      <c r="F5580" s="67" t="str">
        <f t="shared" si="12"/>
        <v>7 LeadGen Set Appointments</v>
      </c>
    </row>
    <row r="5581" hidden="1">
      <c r="A5581" s="6" t="s">
        <v>73</v>
      </c>
      <c r="B5581" s="13" t="s">
        <v>1784</v>
      </c>
      <c r="C5581" s="13" t="s">
        <v>1785</v>
      </c>
      <c r="D5581" s="15">
        <v>7.0</v>
      </c>
      <c r="E5581" s="67">
        <f t="shared" si="18"/>
        <v>1750</v>
      </c>
      <c r="F5581" s="67" t="str">
        <f t="shared" si="12"/>
        <v>7 LeadGen Set Appointments</v>
      </c>
    </row>
    <row r="5582" hidden="1">
      <c r="A5582" s="6" t="s">
        <v>73</v>
      </c>
      <c r="B5582" s="13" t="s">
        <v>604</v>
      </c>
      <c r="C5582" s="13" t="s">
        <v>605</v>
      </c>
      <c r="D5582" s="15">
        <v>7.0</v>
      </c>
      <c r="E5582" s="67">
        <f t="shared" si="18"/>
        <v>1750</v>
      </c>
      <c r="F5582" s="67" t="str">
        <f t="shared" si="12"/>
        <v>7 LeadGen Set Appointments</v>
      </c>
    </row>
    <row r="5583" hidden="1">
      <c r="A5583" s="6" t="s">
        <v>73</v>
      </c>
      <c r="B5583" s="13" t="s">
        <v>2081</v>
      </c>
      <c r="C5583" s="13" t="s">
        <v>2082</v>
      </c>
      <c r="D5583" s="15">
        <v>7.0</v>
      </c>
      <c r="E5583" s="67">
        <f t="shared" si="18"/>
        <v>1750</v>
      </c>
      <c r="F5583" s="67" t="str">
        <f t="shared" si="12"/>
        <v>7 LeadGen Set Appointments</v>
      </c>
    </row>
    <row r="5584" hidden="1">
      <c r="A5584" s="6" t="s">
        <v>73</v>
      </c>
      <c r="B5584" s="13" t="s">
        <v>1776</v>
      </c>
      <c r="C5584" s="13" t="s">
        <v>1777</v>
      </c>
      <c r="D5584" s="15">
        <v>7.0</v>
      </c>
      <c r="E5584" s="67">
        <f t="shared" si="18"/>
        <v>1750</v>
      </c>
      <c r="F5584" s="67" t="str">
        <f t="shared" si="12"/>
        <v>7 LeadGen Set Appointments</v>
      </c>
    </row>
    <row r="5585" hidden="1">
      <c r="A5585" s="6" t="s">
        <v>73</v>
      </c>
      <c r="B5585" s="13" t="s">
        <v>1774</v>
      </c>
      <c r="C5585" s="13" t="s">
        <v>1775</v>
      </c>
      <c r="D5585" s="15">
        <v>6.0</v>
      </c>
      <c r="E5585" s="67">
        <f t="shared" si="18"/>
        <v>1500</v>
      </c>
      <c r="F5585" s="67" t="str">
        <f t="shared" si="12"/>
        <v>6 LeadGen Set Appointments</v>
      </c>
    </row>
    <row r="5586" hidden="1">
      <c r="A5586" s="6" t="s">
        <v>73</v>
      </c>
      <c r="B5586" s="13" t="s">
        <v>2373</v>
      </c>
      <c r="C5586" s="13" t="s">
        <v>2374</v>
      </c>
      <c r="D5586" s="15">
        <v>6.0</v>
      </c>
      <c r="E5586" s="67">
        <f t="shared" si="18"/>
        <v>1500</v>
      </c>
      <c r="F5586" s="67" t="str">
        <f t="shared" si="12"/>
        <v>6 LeadGen Set Appointments</v>
      </c>
    </row>
    <row r="5587" hidden="1">
      <c r="A5587" s="6" t="s">
        <v>73</v>
      </c>
      <c r="B5587" s="13" t="s">
        <v>752</v>
      </c>
      <c r="C5587" s="13" t="s">
        <v>753</v>
      </c>
      <c r="D5587" s="15">
        <v>6.0</v>
      </c>
      <c r="E5587" s="67">
        <f t="shared" si="18"/>
        <v>1500</v>
      </c>
      <c r="F5587" s="67" t="str">
        <f t="shared" si="12"/>
        <v>6 LeadGen Set Appointments</v>
      </c>
    </row>
    <row r="5588" hidden="1">
      <c r="A5588" s="6" t="s">
        <v>73</v>
      </c>
      <c r="B5588" s="13" t="s">
        <v>1461</v>
      </c>
      <c r="C5588" s="13" t="s">
        <v>1462</v>
      </c>
      <c r="D5588" s="15">
        <v>6.0</v>
      </c>
      <c r="E5588" s="67">
        <f t="shared" si="18"/>
        <v>1500</v>
      </c>
      <c r="F5588" s="67" t="str">
        <f t="shared" si="12"/>
        <v>6 LeadGen Set Appointments</v>
      </c>
    </row>
    <row r="5589" hidden="1">
      <c r="A5589" s="6" t="s">
        <v>73</v>
      </c>
      <c r="B5589" s="13" t="s">
        <v>1393</v>
      </c>
      <c r="C5589" s="13" t="s">
        <v>1394</v>
      </c>
      <c r="D5589" s="15">
        <v>6.0</v>
      </c>
      <c r="E5589" s="67">
        <f t="shared" si="18"/>
        <v>1500</v>
      </c>
      <c r="F5589" s="67" t="str">
        <f t="shared" si="12"/>
        <v>6 LeadGen Set Appointments</v>
      </c>
    </row>
    <row r="5590" hidden="1">
      <c r="A5590" s="6" t="s">
        <v>73</v>
      </c>
      <c r="B5590" s="13" t="s">
        <v>2100</v>
      </c>
      <c r="C5590" s="13" t="s">
        <v>2101</v>
      </c>
      <c r="D5590" s="15">
        <v>6.0</v>
      </c>
      <c r="E5590" s="67">
        <f t="shared" si="18"/>
        <v>1500</v>
      </c>
      <c r="F5590" s="67" t="str">
        <f t="shared" si="12"/>
        <v>6 LeadGen Set Appointments</v>
      </c>
    </row>
    <row r="5591" hidden="1">
      <c r="A5591" s="6" t="s">
        <v>73</v>
      </c>
      <c r="B5591" s="13" t="s">
        <v>242</v>
      </c>
      <c r="C5591" s="13" t="s">
        <v>1887</v>
      </c>
      <c r="D5591" s="15">
        <v>6.0</v>
      </c>
      <c r="E5591" s="67">
        <f t="shared" si="18"/>
        <v>1500</v>
      </c>
      <c r="F5591" s="67" t="str">
        <f t="shared" si="12"/>
        <v>6 LeadGen Set Appointments</v>
      </c>
    </row>
    <row r="5592" hidden="1">
      <c r="A5592" s="6" t="s">
        <v>73</v>
      </c>
      <c r="B5592" s="13" t="s">
        <v>1960</v>
      </c>
      <c r="C5592" s="13" t="s">
        <v>1961</v>
      </c>
      <c r="D5592" s="15">
        <v>6.0</v>
      </c>
      <c r="E5592" s="67">
        <f t="shared" si="18"/>
        <v>1500</v>
      </c>
      <c r="F5592" s="67" t="str">
        <f t="shared" si="12"/>
        <v>6 LeadGen Set Appointments</v>
      </c>
    </row>
    <row r="5593" hidden="1">
      <c r="A5593" s="6" t="s">
        <v>73</v>
      </c>
      <c r="B5593" s="13" t="s">
        <v>910</v>
      </c>
      <c r="C5593" s="13" t="s">
        <v>911</v>
      </c>
      <c r="D5593" s="15">
        <v>6.0</v>
      </c>
      <c r="E5593" s="67">
        <f t="shared" si="18"/>
        <v>1500</v>
      </c>
      <c r="F5593" s="67" t="str">
        <f t="shared" si="12"/>
        <v>6 LeadGen Set Appointments</v>
      </c>
    </row>
    <row r="5594" hidden="1">
      <c r="A5594" s="6" t="s">
        <v>73</v>
      </c>
      <c r="B5594" s="13" t="s">
        <v>2248</v>
      </c>
      <c r="C5594" s="13" t="s">
        <v>2249</v>
      </c>
      <c r="D5594" s="15">
        <v>6.0</v>
      </c>
      <c r="E5594" s="67">
        <f t="shared" si="18"/>
        <v>1500</v>
      </c>
      <c r="F5594" s="67" t="str">
        <f t="shared" si="12"/>
        <v>6 LeadGen Set Appointments</v>
      </c>
    </row>
    <row r="5595" hidden="1">
      <c r="A5595" s="6" t="s">
        <v>73</v>
      </c>
      <c r="B5595" s="13" t="s">
        <v>1283</v>
      </c>
      <c r="C5595" s="13" t="s">
        <v>404</v>
      </c>
      <c r="D5595" s="15">
        <v>6.0</v>
      </c>
      <c r="E5595" s="67">
        <f t="shared" si="18"/>
        <v>1500</v>
      </c>
      <c r="F5595" s="67" t="str">
        <f t="shared" si="12"/>
        <v>6 LeadGen Set Appointments</v>
      </c>
    </row>
    <row r="5596" hidden="1">
      <c r="A5596" s="6" t="s">
        <v>73</v>
      </c>
      <c r="B5596" s="13" t="s">
        <v>2264</v>
      </c>
      <c r="C5596" s="13" t="s">
        <v>2265</v>
      </c>
      <c r="D5596" s="15">
        <v>6.0</v>
      </c>
      <c r="E5596" s="67">
        <f t="shared" si="18"/>
        <v>1500</v>
      </c>
      <c r="F5596" s="67" t="str">
        <f t="shared" si="12"/>
        <v>6 LeadGen Set Appointments</v>
      </c>
    </row>
    <row r="5597" hidden="1">
      <c r="A5597" s="6" t="s">
        <v>73</v>
      </c>
      <c r="B5597" s="13" t="s">
        <v>744</v>
      </c>
      <c r="C5597" s="13" t="s">
        <v>745</v>
      </c>
      <c r="D5597" s="15">
        <v>5.0</v>
      </c>
      <c r="E5597" s="67">
        <f t="shared" si="18"/>
        <v>1250</v>
      </c>
      <c r="F5597" s="67" t="str">
        <f t="shared" si="12"/>
        <v>5 LeadGen Set Appointments</v>
      </c>
    </row>
    <row r="5598" hidden="1">
      <c r="A5598" s="6" t="s">
        <v>73</v>
      </c>
      <c r="B5598" s="13" t="s">
        <v>736</v>
      </c>
      <c r="C5598" s="13" t="s">
        <v>737</v>
      </c>
      <c r="D5598" s="15">
        <v>5.0</v>
      </c>
      <c r="E5598" s="67">
        <f t="shared" si="18"/>
        <v>1250</v>
      </c>
      <c r="F5598" s="67" t="str">
        <f t="shared" si="12"/>
        <v>5 LeadGen Set Appointments</v>
      </c>
    </row>
    <row r="5599" hidden="1">
      <c r="A5599" s="6" t="s">
        <v>73</v>
      </c>
      <c r="B5599" s="13" t="s">
        <v>1893</v>
      </c>
      <c r="C5599" s="13" t="s">
        <v>1894</v>
      </c>
      <c r="D5599" s="15">
        <v>5.0</v>
      </c>
      <c r="E5599" s="67">
        <f t="shared" si="18"/>
        <v>1250</v>
      </c>
      <c r="F5599" s="67" t="str">
        <f t="shared" si="12"/>
        <v>5 LeadGen Set Appointments</v>
      </c>
    </row>
    <row r="5600" hidden="1">
      <c r="A5600" s="6" t="s">
        <v>73</v>
      </c>
      <c r="B5600" s="13" t="s">
        <v>1583</v>
      </c>
      <c r="C5600" s="13" t="s">
        <v>1584</v>
      </c>
      <c r="D5600" s="15">
        <v>5.0</v>
      </c>
      <c r="E5600" s="67">
        <f t="shared" si="18"/>
        <v>1250</v>
      </c>
      <c r="F5600" s="67" t="str">
        <f t="shared" si="12"/>
        <v>5 LeadGen Set Appointments</v>
      </c>
    </row>
    <row r="5601" hidden="1">
      <c r="A5601" s="6" t="s">
        <v>73</v>
      </c>
      <c r="B5601" s="13" t="s">
        <v>1612</v>
      </c>
      <c r="C5601" s="13" t="s">
        <v>1613</v>
      </c>
      <c r="D5601" s="15">
        <v>5.0</v>
      </c>
      <c r="E5601" s="67">
        <f t="shared" si="18"/>
        <v>1250</v>
      </c>
      <c r="F5601" s="67" t="str">
        <f t="shared" si="12"/>
        <v>5 LeadGen Set Appointments</v>
      </c>
    </row>
    <row r="5602" hidden="1">
      <c r="A5602" s="6" t="s">
        <v>73</v>
      </c>
      <c r="B5602" s="13" t="s">
        <v>494</v>
      </c>
      <c r="C5602" s="13" t="s">
        <v>495</v>
      </c>
      <c r="D5602" s="15">
        <v>5.0</v>
      </c>
      <c r="E5602" s="67">
        <f t="shared" si="18"/>
        <v>1250</v>
      </c>
      <c r="F5602" s="67" t="str">
        <f t="shared" si="12"/>
        <v>5 LeadGen Set Appointments</v>
      </c>
    </row>
    <row r="5603" hidden="1">
      <c r="A5603" s="6" t="s">
        <v>73</v>
      </c>
      <c r="B5603" s="13" t="s">
        <v>1415</v>
      </c>
      <c r="C5603" s="13" t="s">
        <v>1416</v>
      </c>
      <c r="D5603" s="15">
        <v>5.0</v>
      </c>
      <c r="E5603" s="67">
        <f t="shared" si="18"/>
        <v>1250</v>
      </c>
      <c r="F5603" s="67" t="str">
        <f t="shared" si="12"/>
        <v>5 LeadGen Set Appointments</v>
      </c>
    </row>
    <row r="5604" hidden="1">
      <c r="A5604" s="6" t="s">
        <v>73</v>
      </c>
      <c r="B5604" s="13" t="s">
        <v>2127</v>
      </c>
      <c r="C5604" s="13" t="s">
        <v>2128</v>
      </c>
      <c r="D5604" s="15">
        <v>5.0</v>
      </c>
      <c r="E5604" s="67">
        <f t="shared" si="18"/>
        <v>1250</v>
      </c>
      <c r="F5604" s="67" t="str">
        <f t="shared" si="12"/>
        <v>5 LeadGen Set Appointments</v>
      </c>
    </row>
    <row r="5605" hidden="1">
      <c r="A5605" s="6" t="s">
        <v>73</v>
      </c>
      <c r="B5605" s="13" t="s">
        <v>693</v>
      </c>
      <c r="C5605" s="13" t="s">
        <v>694</v>
      </c>
      <c r="D5605" s="15">
        <v>5.0</v>
      </c>
      <c r="E5605" s="67">
        <f t="shared" si="18"/>
        <v>1250</v>
      </c>
      <c r="F5605" s="67" t="str">
        <f t="shared" si="12"/>
        <v>5 LeadGen Set Appointments</v>
      </c>
    </row>
    <row r="5606" hidden="1">
      <c r="A5606" s="6" t="s">
        <v>73</v>
      </c>
      <c r="B5606" s="13" t="s">
        <v>717</v>
      </c>
      <c r="C5606" s="13" t="s">
        <v>718</v>
      </c>
      <c r="D5606" s="15">
        <v>5.0</v>
      </c>
      <c r="E5606" s="67">
        <f t="shared" si="18"/>
        <v>1250</v>
      </c>
      <c r="F5606" s="67" t="str">
        <f t="shared" si="12"/>
        <v>5 LeadGen Set Appointments</v>
      </c>
    </row>
    <row r="5607" hidden="1">
      <c r="A5607" s="6" t="s">
        <v>73</v>
      </c>
      <c r="B5607" s="13" t="s">
        <v>1489</v>
      </c>
      <c r="C5607" s="13" t="s">
        <v>1490</v>
      </c>
      <c r="D5607" s="15">
        <v>5.0</v>
      </c>
      <c r="E5607" s="67">
        <f t="shared" si="18"/>
        <v>1250</v>
      </c>
      <c r="F5607" s="67" t="str">
        <f t="shared" si="12"/>
        <v>5 LeadGen Set Appointments</v>
      </c>
    </row>
    <row r="5608" hidden="1">
      <c r="A5608" s="6" t="s">
        <v>73</v>
      </c>
      <c r="B5608" s="13" t="s">
        <v>1421</v>
      </c>
      <c r="C5608" s="13" t="s">
        <v>712</v>
      </c>
      <c r="D5608" s="15">
        <v>5.0</v>
      </c>
      <c r="E5608" s="67">
        <f t="shared" si="18"/>
        <v>1250</v>
      </c>
      <c r="F5608" s="67" t="str">
        <f t="shared" si="12"/>
        <v>5 LeadGen Set Appointments</v>
      </c>
    </row>
    <row r="5609" hidden="1">
      <c r="A5609" s="6" t="s">
        <v>73</v>
      </c>
      <c r="B5609" s="13" t="s">
        <v>572</v>
      </c>
      <c r="C5609" s="13" t="s">
        <v>573</v>
      </c>
      <c r="D5609" s="15">
        <v>5.0</v>
      </c>
      <c r="E5609" s="67">
        <f t="shared" si="18"/>
        <v>1250</v>
      </c>
      <c r="F5609" s="67" t="str">
        <f t="shared" si="12"/>
        <v>5 LeadGen Set Appointments</v>
      </c>
    </row>
    <row r="5610" hidden="1">
      <c r="A5610" s="6" t="s">
        <v>73</v>
      </c>
      <c r="B5610" s="13" t="s">
        <v>1333</v>
      </c>
      <c r="C5610" s="13" t="s">
        <v>551</v>
      </c>
      <c r="D5610" s="15">
        <v>5.0</v>
      </c>
      <c r="E5610" s="67">
        <f t="shared" si="18"/>
        <v>1250</v>
      </c>
      <c r="F5610" s="67" t="str">
        <f t="shared" si="12"/>
        <v>5 LeadGen Set Appointments</v>
      </c>
    </row>
    <row r="5611" hidden="1">
      <c r="A5611" s="6" t="s">
        <v>73</v>
      </c>
      <c r="B5611" s="13" t="s">
        <v>2268</v>
      </c>
      <c r="C5611" s="13" t="s">
        <v>2269</v>
      </c>
      <c r="D5611" s="15">
        <v>5.0</v>
      </c>
      <c r="E5611" s="67">
        <f t="shared" si="18"/>
        <v>1250</v>
      </c>
      <c r="F5611" s="67" t="str">
        <f t="shared" si="12"/>
        <v>5 LeadGen Set Appointments</v>
      </c>
    </row>
    <row r="5612" hidden="1">
      <c r="A5612" s="6" t="s">
        <v>73</v>
      </c>
      <c r="B5612" s="13" t="s">
        <v>723</v>
      </c>
      <c r="C5612" s="13" t="s">
        <v>724</v>
      </c>
      <c r="D5612" s="15">
        <v>15.0</v>
      </c>
      <c r="E5612" s="67">
        <f t="shared" si="18"/>
        <v>7500</v>
      </c>
      <c r="F5612" s="67" t="str">
        <f t="shared" si="12"/>
        <v>15 LeadGen Set Appointments</v>
      </c>
    </row>
    <row r="5613" hidden="1">
      <c r="A5613" s="6" t="s">
        <v>73</v>
      </c>
      <c r="B5613" s="13" t="s">
        <v>1716</v>
      </c>
      <c r="C5613" s="13" t="s">
        <v>30</v>
      </c>
      <c r="D5613" s="15">
        <v>5.0</v>
      </c>
      <c r="E5613" s="67">
        <f t="shared" si="18"/>
        <v>1250</v>
      </c>
      <c r="F5613" s="67" t="str">
        <f t="shared" si="12"/>
        <v>5 LeadGen Set Appointments</v>
      </c>
    </row>
    <row r="5614" hidden="1">
      <c r="A5614" s="6" t="s">
        <v>73</v>
      </c>
      <c r="B5614" s="13" t="s">
        <v>2280</v>
      </c>
      <c r="C5614" s="13" t="s">
        <v>2281</v>
      </c>
      <c r="D5614" s="15">
        <v>5.0</v>
      </c>
      <c r="E5614" s="67">
        <f t="shared" si="18"/>
        <v>1250</v>
      </c>
      <c r="F5614" s="67" t="str">
        <f t="shared" si="12"/>
        <v>5 LeadGen Set Appointments</v>
      </c>
    </row>
    <row r="5615" hidden="1">
      <c r="A5615" s="6" t="s">
        <v>73</v>
      </c>
      <c r="B5615" s="13" t="s">
        <v>2113</v>
      </c>
      <c r="C5615" s="13" t="s">
        <v>2114</v>
      </c>
      <c r="D5615" s="15">
        <v>5.0</v>
      </c>
      <c r="E5615" s="67">
        <f t="shared" si="18"/>
        <v>1250</v>
      </c>
      <c r="F5615" s="67" t="str">
        <f t="shared" si="12"/>
        <v>5 LeadGen Set Appointments</v>
      </c>
    </row>
    <row r="5616" hidden="1">
      <c r="A5616" s="6" t="s">
        <v>73</v>
      </c>
      <c r="B5616" s="13" t="s">
        <v>1463</v>
      </c>
      <c r="C5616" s="13" t="s">
        <v>1464</v>
      </c>
      <c r="D5616" s="15">
        <v>4.0</v>
      </c>
      <c r="E5616" s="67">
        <f t="shared" si="18"/>
        <v>1000</v>
      </c>
      <c r="F5616" s="67" t="str">
        <f t="shared" si="12"/>
        <v>4 LeadGen Set Appointments</v>
      </c>
    </row>
    <row r="5617" hidden="1">
      <c r="A5617" s="6" t="s">
        <v>73</v>
      </c>
      <c r="B5617" s="13" t="s">
        <v>1171</v>
      </c>
      <c r="C5617" s="13" t="s">
        <v>1172</v>
      </c>
      <c r="D5617" s="15">
        <v>4.0</v>
      </c>
      <c r="E5617" s="67">
        <f t="shared" si="18"/>
        <v>1000</v>
      </c>
      <c r="F5617" s="67" t="str">
        <f t="shared" si="12"/>
        <v>4 LeadGen Set Appointments</v>
      </c>
    </row>
    <row r="5618" hidden="1">
      <c r="A5618" s="6" t="s">
        <v>73</v>
      </c>
      <c r="B5618" s="13" t="s">
        <v>1761</v>
      </c>
      <c r="C5618" s="13" t="s">
        <v>1762</v>
      </c>
      <c r="D5618" s="15">
        <v>4.0</v>
      </c>
      <c r="E5618" s="67">
        <f t="shared" si="18"/>
        <v>1000</v>
      </c>
      <c r="F5618" s="67" t="str">
        <f t="shared" si="12"/>
        <v>4 LeadGen Set Appointments</v>
      </c>
    </row>
    <row r="5619" hidden="1">
      <c r="A5619" s="6" t="s">
        <v>73</v>
      </c>
      <c r="B5619" s="13" t="s">
        <v>500</v>
      </c>
      <c r="C5619" s="13" t="s">
        <v>501</v>
      </c>
      <c r="D5619" s="15">
        <v>4.0</v>
      </c>
      <c r="E5619" s="67">
        <f t="shared" si="18"/>
        <v>1000</v>
      </c>
      <c r="F5619" s="67" t="str">
        <f t="shared" si="12"/>
        <v>4 LeadGen Set Appointments</v>
      </c>
    </row>
    <row r="5620" hidden="1">
      <c r="A5620" s="6" t="s">
        <v>73</v>
      </c>
      <c r="B5620" s="13" t="s">
        <v>628</v>
      </c>
      <c r="C5620" s="13" t="s">
        <v>629</v>
      </c>
      <c r="D5620" s="15">
        <v>4.0</v>
      </c>
      <c r="E5620" s="67">
        <f t="shared" si="18"/>
        <v>1000</v>
      </c>
      <c r="F5620" s="67" t="str">
        <f t="shared" si="12"/>
        <v>4 LeadGen Set Appointments</v>
      </c>
    </row>
    <row r="5621" hidden="1">
      <c r="A5621" s="6" t="s">
        <v>73</v>
      </c>
      <c r="B5621" s="13" t="s">
        <v>1543</v>
      </c>
      <c r="C5621" s="13" t="s">
        <v>1544</v>
      </c>
      <c r="D5621" s="15">
        <v>4.0</v>
      </c>
      <c r="E5621" s="67">
        <f t="shared" si="18"/>
        <v>1000</v>
      </c>
      <c r="F5621" s="67" t="str">
        <f t="shared" si="12"/>
        <v>4 LeadGen Set Appointments</v>
      </c>
    </row>
    <row r="5622" hidden="1">
      <c r="A5622" s="6" t="s">
        <v>73</v>
      </c>
      <c r="B5622" s="13" t="s">
        <v>2299</v>
      </c>
      <c r="C5622" s="13" t="s">
        <v>2300</v>
      </c>
      <c r="D5622" s="15">
        <v>4.0</v>
      </c>
      <c r="E5622" s="67">
        <f t="shared" si="18"/>
        <v>1000</v>
      </c>
      <c r="F5622" s="67" t="str">
        <f t="shared" si="12"/>
        <v>4 LeadGen Set Appointments</v>
      </c>
    </row>
    <row r="5623" hidden="1">
      <c r="A5623" s="6" t="s">
        <v>73</v>
      </c>
      <c r="B5623" s="13" t="s">
        <v>2391</v>
      </c>
      <c r="C5623" s="13" t="s">
        <v>2392</v>
      </c>
      <c r="D5623" s="15">
        <v>4.0</v>
      </c>
      <c r="E5623" s="67">
        <f t="shared" si="18"/>
        <v>1000</v>
      </c>
      <c r="F5623" s="67" t="str">
        <f t="shared" si="12"/>
        <v>4 LeadGen Set Appointments</v>
      </c>
    </row>
    <row r="5624" hidden="1">
      <c r="A5624" s="6" t="s">
        <v>73</v>
      </c>
      <c r="B5624" s="13" t="s">
        <v>2179</v>
      </c>
      <c r="C5624" s="13" t="s">
        <v>2180</v>
      </c>
      <c r="D5624" s="15">
        <v>4.0</v>
      </c>
      <c r="E5624" s="67">
        <f t="shared" si="18"/>
        <v>1000</v>
      </c>
      <c r="F5624" s="67" t="str">
        <f t="shared" si="12"/>
        <v>4 LeadGen Set Appointments</v>
      </c>
    </row>
    <row r="5625" hidden="1">
      <c r="A5625" s="6" t="s">
        <v>73</v>
      </c>
      <c r="B5625" s="13" t="s">
        <v>1653</v>
      </c>
      <c r="C5625" s="13" t="s">
        <v>1654</v>
      </c>
      <c r="D5625" s="15">
        <v>4.0</v>
      </c>
      <c r="E5625" s="67">
        <f t="shared" si="18"/>
        <v>1000</v>
      </c>
      <c r="F5625" s="67" t="str">
        <f t="shared" si="12"/>
        <v>4 LeadGen Set Appointments</v>
      </c>
    </row>
    <row r="5626" hidden="1">
      <c r="A5626" s="6" t="s">
        <v>73</v>
      </c>
      <c r="B5626" s="13" t="s">
        <v>1426</v>
      </c>
      <c r="C5626" s="13" t="s">
        <v>1427</v>
      </c>
      <c r="D5626" s="15">
        <v>4.0</v>
      </c>
      <c r="E5626" s="67">
        <f t="shared" si="18"/>
        <v>1000</v>
      </c>
      <c r="F5626" s="67" t="str">
        <f t="shared" si="12"/>
        <v>4 LeadGen Set Appointments</v>
      </c>
    </row>
    <row r="5627" hidden="1">
      <c r="A5627" s="6" t="s">
        <v>73</v>
      </c>
      <c r="B5627" s="13" t="s">
        <v>582</v>
      </c>
      <c r="C5627" s="13" t="s">
        <v>583</v>
      </c>
      <c r="D5627" s="15">
        <v>4.0</v>
      </c>
      <c r="E5627" s="67">
        <f t="shared" si="18"/>
        <v>1000</v>
      </c>
      <c r="F5627" s="67" t="str">
        <f t="shared" si="12"/>
        <v>4 LeadGen Set Appointments</v>
      </c>
    </row>
    <row r="5628" hidden="1">
      <c r="A5628" s="6" t="s">
        <v>73</v>
      </c>
      <c r="B5628" s="13" t="s">
        <v>1724</v>
      </c>
      <c r="C5628" s="13" t="s">
        <v>1725</v>
      </c>
      <c r="D5628" s="15">
        <v>4.0</v>
      </c>
      <c r="E5628" s="67">
        <f t="shared" si="18"/>
        <v>1000</v>
      </c>
      <c r="F5628" s="67" t="str">
        <f t="shared" si="12"/>
        <v>4 LeadGen Set Appointments</v>
      </c>
    </row>
    <row r="5629" hidden="1">
      <c r="A5629" s="6" t="s">
        <v>73</v>
      </c>
      <c r="B5629" s="13" t="s">
        <v>2288</v>
      </c>
      <c r="C5629" s="13" t="s">
        <v>2289</v>
      </c>
      <c r="D5629" s="15">
        <v>4.0</v>
      </c>
      <c r="E5629" s="67">
        <f t="shared" si="18"/>
        <v>1000</v>
      </c>
      <c r="F5629" s="67" t="str">
        <f t="shared" si="12"/>
        <v>4 LeadGen Set Appointments</v>
      </c>
    </row>
    <row r="5630" hidden="1">
      <c r="A5630" s="6" t="s">
        <v>73</v>
      </c>
      <c r="B5630" s="13" t="s">
        <v>1736</v>
      </c>
      <c r="C5630" s="13" t="s">
        <v>1737</v>
      </c>
      <c r="D5630" s="15">
        <v>4.0</v>
      </c>
      <c r="E5630" s="67">
        <f t="shared" si="18"/>
        <v>1000</v>
      </c>
      <c r="F5630" s="67" t="str">
        <f t="shared" si="12"/>
        <v>4 LeadGen Set Appointments</v>
      </c>
    </row>
    <row r="5631" hidden="1">
      <c r="A5631" s="6" t="s">
        <v>73</v>
      </c>
      <c r="B5631" s="13" t="s">
        <v>532</v>
      </c>
      <c r="C5631" s="13" t="s">
        <v>533</v>
      </c>
      <c r="D5631" s="15">
        <v>4.0</v>
      </c>
      <c r="E5631" s="67">
        <f t="shared" si="18"/>
        <v>1000</v>
      </c>
      <c r="F5631" s="67" t="str">
        <f t="shared" si="12"/>
        <v>4 LeadGen Set Appointments</v>
      </c>
    </row>
    <row r="5632" hidden="1">
      <c r="A5632" s="6" t="s">
        <v>73</v>
      </c>
      <c r="B5632" s="13" t="s">
        <v>1935</v>
      </c>
      <c r="C5632" s="13" t="s">
        <v>1936</v>
      </c>
      <c r="D5632" s="15">
        <v>4.0</v>
      </c>
      <c r="E5632" s="67">
        <f t="shared" si="18"/>
        <v>1000</v>
      </c>
      <c r="F5632" s="67" t="str">
        <f t="shared" si="12"/>
        <v>4 LeadGen Set Appointments</v>
      </c>
    </row>
    <row r="5633" hidden="1">
      <c r="A5633" s="6" t="s">
        <v>73</v>
      </c>
      <c r="B5633" s="13" t="s">
        <v>2236</v>
      </c>
      <c r="C5633" s="13" t="s">
        <v>2237</v>
      </c>
      <c r="D5633" s="15">
        <v>4.0</v>
      </c>
      <c r="E5633" s="67">
        <f t="shared" si="18"/>
        <v>1000</v>
      </c>
      <c r="F5633" s="67" t="str">
        <f t="shared" si="12"/>
        <v>4 LeadGen Set Appointments</v>
      </c>
    </row>
    <row r="5634" hidden="1">
      <c r="A5634" s="6" t="s">
        <v>73</v>
      </c>
      <c r="B5634" s="13" t="s">
        <v>2167</v>
      </c>
      <c r="C5634" s="13" t="s">
        <v>2168</v>
      </c>
      <c r="D5634" s="15">
        <v>4.0</v>
      </c>
      <c r="E5634" s="67">
        <f t="shared" si="18"/>
        <v>1000</v>
      </c>
      <c r="F5634" s="67" t="str">
        <f t="shared" si="12"/>
        <v>4 LeadGen Set Appointments</v>
      </c>
    </row>
    <row r="5635" hidden="1">
      <c r="A5635" s="6" t="s">
        <v>73</v>
      </c>
      <c r="B5635" s="13" t="s">
        <v>701</v>
      </c>
      <c r="C5635" s="13" t="s">
        <v>702</v>
      </c>
      <c r="D5635" s="15">
        <v>4.0</v>
      </c>
      <c r="E5635" s="67">
        <f t="shared" si="18"/>
        <v>1000</v>
      </c>
      <c r="F5635" s="67" t="str">
        <f t="shared" si="12"/>
        <v>4 LeadGen Set Appointments</v>
      </c>
    </row>
    <row r="5636" hidden="1">
      <c r="A5636" s="6" t="s">
        <v>73</v>
      </c>
      <c r="B5636" s="13" t="s">
        <v>622</v>
      </c>
      <c r="C5636" s="13" t="s">
        <v>623</v>
      </c>
      <c r="D5636" s="15">
        <v>4.0</v>
      </c>
      <c r="E5636" s="67">
        <f t="shared" si="18"/>
        <v>1000</v>
      </c>
      <c r="F5636" s="67" t="str">
        <f t="shared" si="12"/>
        <v>4 LeadGen Set Appointments</v>
      </c>
    </row>
    <row r="5637" hidden="1">
      <c r="A5637" s="6" t="s">
        <v>73</v>
      </c>
      <c r="B5637" s="13" t="s">
        <v>435</v>
      </c>
      <c r="C5637" s="13" t="s">
        <v>436</v>
      </c>
      <c r="D5637" s="15">
        <v>4.0</v>
      </c>
      <c r="E5637" s="67">
        <f t="shared" si="18"/>
        <v>1000</v>
      </c>
      <c r="F5637" s="67" t="str">
        <f t="shared" si="12"/>
        <v>4 LeadGen Set Appointments</v>
      </c>
    </row>
    <row r="5638" hidden="1">
      <c r="A5638" s="6" t="s">
        <v>73</v>
      </c>
      <c r="B5638" s="13" t="s">
        <v>1945</v>
      </c>
      <c r="C5638" s="13" t="s">
        <v>1946</v>
      </c>
      <c r="D5638" s="15">
        <v>4.0</v>
      </c>
      <c r="E5638" s="67">
        <f t="shared" si="18"/>
        <v>1000</v>
      </c>
      <c r="F5638" s="67" t="str">
        <f t="shared" si="12"/>
        <v>4 LeadGen Set Appointments</v>
      </c>
    </row>
    <row r="5639" hidden="1">
      <c r="A5639" s="6" t="s">
        <v>73</v>
      </c>
      <c r="B5639" s="13" t="s">
        <v>1577</v>
      </c>
      <c r="C5639" s="13" t="s">
        <v>1578</v>
      </c>
      <c r="D5639" s="15">
        <v>3.0</v>
      </c>
      <c r="E5639" s="67">
        <f t="shared" si="18"/>
        <v>750</v>
      </c>
      <c r="F5639" s="67" t="str">
        <f t="shared" si="12"/>
        <v>3 LeadGen Set Appointments</v>
      </c>
    </row>
    <row r="5640" hidden="1">
      <c r="A5640" s="6" t="s">
        <v>73</v>
      </c>
      <c r="B5640" s="13" t="s">
        <v>576</v>
      </c>
      <c r="C5640" s="13" t="s">
        <v>577</v>
      </c>
      <c r="D5640" s="15">
        <v>3.0</v>
      </c>
      <c r="E5640" s="67">
        <f t="shared" si="18"/>
        <v>750</v>
      </c>
      <c r="F5640" s="67" t="str">
        <f t="shared" si="12"/>
        <v>3 LeadGen Set Appointments</v>
      </c>
    </row>
    <row r="5641" hidden="1">
      <c r="A5641" s="6" t="s">
        <v>73</v>
      </c>
      <c r="B5641" s="13" t="s">
        <v>1545</v>
      </c>
      <c r="C5641" s="13" t="s">
        <v>1546</v>
      </c>
      <c r="D5641" s="15">
        <v>3.0</v>
      </c>
      <c r="E5641" s="67">
        <f t="shared" si="18"/>
        <v>750</v>
      </c>
      <c r="F5641" s="67" t="str">
        <f t="shared" si="12"/>
        <v>3 LeadGen Set Appointments</v>
      </c>
    </row>
    <row r="5642" hidden="1">
      <c r="A5642" s="6" t="s">
        <v>73</v>
      </c>
      <c r="B5642" s="13" t="s">
        <v>2350</v>
      </c>
      <c r="C5642" s="13" t="s">
        <v>2351</v>
      </c>
      <c r="D5642" s="15">
        <v>3.0</v>
      </c>
      <c r="E5642" s="67">
        <f t="shared" si="18"/>
        <v>750</v>
      </c>
      <c r="F5642" s="67" t="str">
        <f t="shared" si="12"/>
        <v>3 LeadGen Set Appointments</v>
      </c>
    </row>
    <row r="5643" hidden="1">
      <c r="A5643" s="6" t="s">
        <v>73</v>
      </c>
      <c r="B5643" s="13" t="s">
        <v>2333</v>
      </c>
      <c r="C5643" s="13" t="s">
        <v>2334</v>
      </c>
      <c r="D5643" s="15">
        <v>3.0</v>
      </c>
      <c r="E5643" s="67">
        <f t="shared" si="18"/>
        <v>750</v>
      </c>
      <c r="F5643" s="67" t="str">
        <f t="shared" si="12"/>
        <v>3 LeadGen Set Appointments</v>
      </c>
    </row>
    <row r="5644" hidden="1">
      <c r="A5644" s="6" t="s">
        <v>73</v>
      </c>
      <c r="B5644" s="13" t="s">
        <v>2352</v>
      </c>
      <c r="C5644" s="13" t="s">
        <v>2353</v>
      </c>
      <c r="D5644" s="15">
        <v>3.0</v>
      </c>
      <c r="E5644" s="67">
        <f t="shared" si="18"/>
        <v>750</v>
      </c>
      <c r="F5644" s="67" t="str">
        <f t="shared" si="12"/>
        <v>3 LeadGen Set Appointments</v>
      </c>
    </row>
    <row r="5645" hidden="1">
      <c r="A5645" s="6" t="s">
        <v>73</v>
      </c>
      <c r="B5645" s="13" t="s">
        <v>2393</v>
      </c>
      <c r="C5645" s="13" t="s">
        <v>2394</v>
      </c>
      <c r="D5645" s="15">
        <v>3.0</v>
      </c>
      <c r="E5645" s="67">
        <f t="shared" si="18"/>
        <v>750</v>
      </c>
      <c r="F5645" s="67" t="str">
        <f t="shared" si="12"/>
        <v>3 LeadGen Set Appointments</v>
      </c>
    </row>
    <row r="5646" hidden="1">
      <c r="A5646" s="6" t="s">
        <v>73</v>
      </c>
      <c r="B5646" s="13" t="s">
        <v>1477</v>
      </c>
      <c r="C5646" s="13" t="s">
        <v>1478</v>
      </c>
      <c r="D5646" s="15">
        <v>3.0</v>
      </c>
      <c r="E5646" s="67">
        <f t="shared" si="18"/>
        <v>750</v>
      </c>
      <c r="F5646" s="67" t="str">
        <f t="shared" si="12"/>
        <v>3 LeadGen Set Appointments</v>
      </c>
    </row>
    <row r="5647" hidden="1">
      <c r="A5647" s="6" t="s">
        <v>73</v>
      </c>
      <c r="B5647" s="13" t="s">
        <v>2258</v>
      </c>
      <c r="C5647" s="13" t="s">
        <v>2259</v>
      </c>
      <c r="D5647" s="15">
        <v>3.0</v>
      </c>
      <c r="E5647" s="67">
        <f t="shared" si="18"/>
        <v>750</v>
      </c>
      <c r="F5647" s="67" t="str">
        <f t="shared" si="12"/>
        <v>3 LeadGen Set Appointments</v>
      </c>
    </row>
    <row r="5648" hidden="1">
      <c r="A5648" s="6" t="s">
        <v>73</v>
      </c>
      <c r="B5648" s="13" t="s">
        <v>1325</v>
      </c>
      <c r="C5648" s="13" t="s">
        <v>1326</v>
      </c>
      <c r="D5648" s="15">
        <v>3.0</v>
      </c>
      <c r="E5648" s="67">
        <f t="shared" si="18"/>
        <v>750</v>
      </c>
      <c r="F5648" s="67" t="str">
        <f t="shared" si="12"/>
        <v>3 LeadGen Set Appointments</v>
      </c>
    </row>
    <row r="5649" hidden="1">
      <c r="A5649" s="6" t="s">
        <v>73</v>
      </c>
      <c r="B5649" s="13" t="s">
        <v>1657</v>
      </c>
      <c r="C5649" s="13" t="s">
        <v>1658</v>
      </c>
      <c r="D5649" s="15">
        <v>3.0</v>
      </c>
      <c r="E5649" s="67">
        <f t="shared" si="18"/>
        <v>750</v>
      </c>
      <c r="F5649" s="67" t="str">
        <f t="shared" si="12"/>
        <v>3 LeadGen Set Appointments</v>
      </c>
    </row>
    <row r="5650" hidden="1">
      <c r="A5650" s="6" t="s">
        <v>73</v>
      </c>
      <c r="B5650" s="13" t="s">
        <v>524</v>
      </c>
      <c r="C5650" s="13" t="s">
        <v>525</v>
      </c>
      <c r="D5650" s="15">
        <v>3.0</v>
      </c>
      <c r="E5650" s="67">
        <f t="shared" si="18"/>
        <v>750</v>
      </c>
      <c r="F5650" s="67" t="str">
        <f t="shared" si="12"/>
        <v>3 LeadGen Set Appointments</v>
      </c>
    </row>
    <row r="5651" hidden="1">
      <c r="A5651" s="6" t="s">
        <v>73</v>
      </c>
      <c r="B5651" s="13" t="s">
        <v>518</v>
      </c>
      <c r="C5651" s="13" t="s">
        <v>519</v>
      </c>
      <c r="D5651" s="15">
        <v>3.0</v>
      </c>
      <c r="E5651" s="67">
        <f t="shared" si="18"/>
        <v>750</v>
      </c>
      <c r="F5651" s="67" t="str">
        <f t="shared" si="12"/>
        <v>3 LeadGen Set Appointments</v>
      </c>
    </row>
    <row r="5652" hidden="1">
      <c r="A5652" s="6" t="s">
        <v>73</v>
      </c>
      <c r="B5652" s="13" t="s">
        <v>1567</v>
      </c>
      <c r="C5652" s="13" t="s">
        <v>1568</v>
      </c>
      <c r="D5652" s="15">
        <v>3.0</v>
      </c>
      <c r="E5652" s="67">
        <f t="shared" si="18"/>
        <v>750</v>
      </c>
      <c r="F5652" s="67" t="str">
        <f t="shared" si="12"/>
        <v>3 LeadGen Set Appointments</v>
      </c>
    </row>
    <row r="5653" hidden="1">
      <c r="A5653" s="6" t="s">
        <v>73</v>
      </c>
      <c r="B5653" s="13" t="s">
        <v>1442</v>
      </c>
      <c r="C5653" s="13" t="s">
        <v>749</v>
      </c>
      <c r="D5653" s="15">
        <v>3.0</v>
      </c>
      <c r="E5653" s="67">
        <f t="shared" si="18"/>
        <v>750</v>
      </c>
      <c r="F5653" s="67" t="str">
        <f t="shared" si="12"/>
        <v>3 LeadGen Set Appointments</v>
      </c>
    </row>
    <row r="5654" hidden="1">
      <c r="A5654" s="6" t="s">
        <v>73</v>
      </c>
      <c r="B5654" s="13" t="s">
        <v>1790</v>
      </c>
      <c r="C5654" s="13" t="s">
        <v>2364</v>
      </c>
      <c r="D5654" s="15">
        <v>3.0</v>
      </c>
      <c r="E5654" s="67">
        <f t="shared" si="18"/>
        <v>750</v>
      </c>
      <c r="F5654" s="67" t="str">
        <f t="shared" si="12"/>
        <v>3 LeadGen Set Appointments</v>
      </c>
    </row>
    <row r="5655" hidden="1">
      <c r="A5655" s="6" t="s">
        <v>73</v>
      </c>
      <c r="B5655" s="13" t="s">
        <v>2220</v>
      </c>
      <c r="C5655" s="13" t="s">
        <v>2221</v>
      </c>
      <c r="D5655" s="15">
        <v>3.0</v>
      </c>
      <c r="E5655" s="67">
        <f t="shared" si="18"/>
        <v>750</v>
      </c>
      <c r="F5655" s="67" t="str">
        <f t="shared" si="12"/>
        <v>3 LeadGen Set Appointments</v>
      </c>
    </row>
    <row r="5656" hidden="1">
      <c r="A5656" s="6" t="s">
        <v>73</v>
      </c>
      <c r="B5656" s="13" t="s">
        <v>2207</v>
      </c>
      <c r="C5656" s="13" t="s">
        <v>2208</v>
      </c>
      <c r="D5656" s="15">
        <v>3.0</v>
      </c>
      <c r="E5656" s="67">
        <f t="shared" si="18"/>
        <v>750</v>
      </c>
      <c r="F5656" s="67" t="str">
        <f t="shared" si="12"/>
        <v>3 LeadGen Set Appointments</v>
      </c>
    </row>
    <row r="5657" hidden="1">
      <c r="A5657" s="6" t="s">
        <v>73</v>
      </c>
      <c r="B5657" s="13" t="s">
        <v>258</v>
      </c>
      <c r="C5657" s="13" t="s">
        <v>2386</v>
      </c>
      <c r="D5657" s="15">
        <v>3.0</v>
      </c>
      <c r="E5657" s="67">
        <f t="shared" si="18"/>
        <v>750</v>
      </c>
      <c r="F5657" s="67" t="str">
        <f t="shared" si="12"/>
        <v>3 LeadGen Set Appointments</v>
      </c>
    </row>
    <row r="5658" hidden="1">
      <c r="A5658" s="6" t="s">
        <v>73</v>
      </c>
      <c r="B5658" s="13" t="s">
        <v>2052</v>
      </c>
      <c r="C5658" s="13" t="s">
        <v>2053</v>
      </c>
      <c r="D5658" s="15">
        <v>3.0</v>
      </c>
      <c r="E5658" s="67">
        <f t="shared" si="18"/>
        <v>750</v>
      </c>
      <c r="F5658" s="67" t="str">
        <f t="shared" si="12"/>
        <v>3 LeadGen Set Appointments</v>
      </c>
    </row>
    <row r="5659" hidden="1">
      <c r="A5659" s="6" t="s">
        <v>73</v>
      </c>
      <c r="B5659" s="13" t="s">
        <v>566</v>
      </c>
      <c r="C5659" s="13" t="s">
        <v>567</v>
      </c>
      <c r="D5659" s="15">
        <v>3.0</v>
      </c>
      <c r="E5659" s="67">
        <f t="shared" si="18"/>
        <v>750</v>
      </c>
      <c r="F5659" s="67" t="str">
        <f t="shared" si="12"/>
        <v>3 LeadGen Set Appointments</v>
      </c>
    </row>
    <row r="5660" hidden="1">
      <c r="A5660" s="6" t="s">
        <v>73</v>
      </c>
      <c r="B5660" s="13" t="s">
        <v>2323</v>
      </c>
      <c r="C5660" s="13" t="s">
        <v>2324</v>
      </c>
      <c r="D5660" s="15">
        <v>3.0</v>
      </c>
      <c r="E5660" s="67">
        <f t="shared" si="18"/>
        <v>750</v>
      </c>
      <c r="F5660" s="67" t="str">
        <f t="shared" si="12"/>
        <v>3 LeadGen Set Appointments</v>
      </c>
    </row>
    <row r="5661" hidden="1">
      <c r="A5661" s="6" t="s">
        <v>73</v>
      </c>
      <c r="B5661" s="13" t="s">
        <v>447</v>
      </c>
      <c r="C5661" s="13" t="s">
        <v>448</v>
      </c>
      <c r="D5661" s="15">
        <v>2.0</v>
      </c>
      <c r="E5661" s="67">
        <f t="shared" si="18"/>
        <v>500</v>
      </c>
      <c r="F5661" s="67" t="str">
        <f t="shared" si="12"/>
        <v>2 LeadGen Set Appointments</v>
      </c>
    </row>
    <row r="5662" hidden="1">
      <c r="A5662" s="6" t="s">
        <v>73</v>
      </c>
      <c r="B5662" s="13" t="s">
        <v>2161</v>
      </c>
      <c r="C5662" s="13" t="s">
        <v>2162</v>
      </c>
      <c r="D5662" s="15">
        <v>2.0</v>
      </c>
      <c r="E5662" s="67">
        <f t="shared" si="18"/>
        <v>500</v>
      </c>
      <c r="F5662" s="67" t="str">
        <f t="shared" si="12"/>
        <v>2 LeadGen Set Appointments</v>
      </c>
    </row>
    <row r="5663" hidden="1">
      <c r="A5663" s="6" t="s">
        <v>73</v>
      </c>
      <c r="B5663" s="13" t="s">
        <v>1579</v>
      </c>
      <c r="C5663" s="13" t="s">
        <v>1580</v>
      </c>
      <c r="D5663" s="15">
        <v>2.0</v>
      </c>
      <c r="E5663" s="67">
        <f t="shared" si="18"/>
        <v>500</v>
      </c>
      <c r="F5663" s="67" t="str">
        <f t="shared" si="12"/>
        <v>2 LeadGen Set Appointments</v>
      </c>
    </row>
    <row r="5664" hidden="1">
      <c r="A5664" s="6" t="s">
        <v>73</v>
      </c>
      <c r="B5664" s="13" t="s">
        <v>1448</v>
      </c>
      <c r="C5664" s="13" t="s">
        <v>1449</v>
      </c>
      <c r="D5664" s="15">
        <v>2.0</v>
      </c>
      <c r="E5664" s="67">
        <f t="shared" si="18"/>
        <v>500</v>
      </c>
      <c r="F5664" s="67" t="str">
        <f t="shared" si="12"/>
        <v>2 LeadGen Set Appointments</v>
      </c>
    </row>
    <row r="5665" hidden="1">
      <c r="A5665" s="6" t="s">
        <v>73</v>
      </c>
      <c r="B5665" s="13" t="s">
        <v>1547</v>
      </c>
      <c r="C5665" s="13" t="s">
        <v>1548</v>
      </c>
      <c r="D5665" s="15">
        <v>2.0</v>
      </c>
      <c r="E5665" s="67">
        <f t="shared" si="18"/>
        <v>500</v>
      </c>
      <c r="F5665" s="67" t="str">
        <f t="shared" si="12"/>
        <v>2 LeadGen Set Appointments</v>
      </c>
    </row>
    <row r="5666" hidden="1">
      <c r="A5666" s="6" t="s">
        <v>73</v>
      </c>
      <c r="B5666" s="13" t="s">
        <v>1408</v>
      </c>
      <c r="C5666" s="13" t="s">
        <v>675</v>
      </c>
      <c r="D5666" s="15">
        <v>2.0</v>
      </c>
      <c r="E5666" s="67">
        <f t="shared" si="18"/>
        <v>500</v>
      </c>
      <c r="F5666" s="67" t="str">
        <f t="shared" si="12"/>
        <v>2 LeadGen Set Appointments</v>
      </c>
    </row>
    <row r="5667" hidden="1">
      <c r="A5667" s="6" t="s">
        <v>73</v>
      </c>
      <c r="B5667" s="13" t="s">
        <v>2395</v>
      </c>
      <c r="C5667" s="13" t="s">
        <v>2396</v>
      </c>
      <c r="D5667" s="15">
        <v>2.0</v>
      </c>
      <c r="E5667" s="67">
        <f t="shared" si="18"/>
        <v>500</v>
      </c>
      <c r="F5667" s="67" t="str">
        <f t="shared" si="12"/>
        <v>2 LeadGen Set Appointments</v>
      </c>
    </row>
    <row r="5668" hidden="1">
      <c r="A5668" s="6" t="s">
        <v>73</v>
      </c>
      <c r="B5668" s="13" t="s">
        <v>1778</v>
      </c>
      <c r="C5668" s="13" t="s">
        <v>1779</v>
      </c>
      <c r="D5668" s="15">
        <v>2.0</v>
      </c>
      <c r="E5668" s="67">
        <f t="shared" si="18"/>
        <v>500</v>
      </c>
      <c r="F5668" s="67" t="str">
        <f t="shared" si="12"/>
        <v>2 LeadGen Set Appointments</v>
      </c>
    </row>
    <row r="5669" hidden="1">
      <c r="A5669" s="6" t="s">
        <v>73</v>
      </c>
      <c r="B5669" s="13" t="s">
        <v>2241</v>
      </c>
      <c r="C5669" s="13" t="s">
        <v>2242</v>
      </c>
      <c r="D5669" s="15">
        <v>2.0</v>
      </c>
      <c r="E5669" s="67">
        <f t="shared" si="18"/>
        <v>500</v>
      </c>
      <c r="F5669" s="67" t="str">
        <f t="shared" si="12"/>
        <v>2 LeadGen Set Appointments</v>
      </c>
    </row>
    <row r="5670" hidden="1">
      <c r="A5670" s="6" t="s">
        <v>73</v>
      </c>
      <c r="B5670" s="13" t="s">
        <v>2360</v>
      </c>
      <c r="C5670" s="13" t="s">
        <v>2361</v>
      </c>
      <c r="D5670" s="15">
        <v>2.0</v>
      </c>
      <c r="E5670" s="67">
        <f t="shared" si="18"/>
        <v>500</v>
      </c>
      <c r="F5670" s="67" t="str">
        <f t="shared" si="12"/>
        <v>2 LeadGen Set Appointments</v>
      </c>
    </row>
    <row r="5671" hidden="1">
      <c r="A5671" s="6" t="s">
        <v>73</v>
      </c>
      <c r="B5671" s="13" t="s">
        <v>2260</v>
      </c>
      <c r="C5671" s="13" t="s">
        <v>2261</v>
      </c>
      <c r="D5671" s="15">
        <v>2.0</v>
      </c>
      <c r="E5671" s="67">
        <f t="shared" si="18"/>
        <v>500</v>
      </c>
      <c r="F5671" s="67" t="str">
        <f t="shared" si="12"/>
        <v>2 LeadGen Set Appointments</v>
      </c>
    </row>
    <row r="5672" hidden="1">
      <c r="A5672" s="6" t="s">
        <v>73</v>
      </c>
      <c r="B5672" s="13" t="s">
        <v>1825</v>
      </c>
      <c r="C5672" s="13" t="s">
        <v>2376</v>
      </c>
      <c r="D5672" s="15">
        <v>2.0</v>
      </c>
      <c r="E5672" s="67">
        <f t="shared" si="18"/>
        <v>500</v>
      </c>
      <c r="F5672" s="67" t="str">
        <f t="shared" si="12"/>
        <v>2 LeadGen Set Appointments</v>
      </c>
    </row>
    <row r="5673" hidden="1">
      <c r="A5673" s="6" t="s">
        <v>73</v>
      </c>
      <c r="B5673" s="13" t="s">
        <v>2297</v>
      </c>
      <c r="C5673" s="13" t="s">
        <v>2298</v>
      </c>
      <c r="D5673" s="15">
        <v>2.0</v>
      </c>
      <c r="E5673" s="67">
        <f t="shared" si="18"/>
        <v>500</v>
      </c>
      <c r="F5673" s="67" t="str">
        <f t="shared" si="12"/>
        <v>2 LeadGen Set Appointments</v>
      </c>
    </row>
    <row r="5674" hidden="1">
      <c r="A5674" s="6" t="s">
        <v>73</v>
      </c>
      <c r="B5674" s="13" t="s">
        <v>1493</v>
      </c>
      <c r="C5674" s="13" t="s">
        <v>1494</v>
      </c>
      <c r="D5674" s="15">
        <v>2.0</v>
      </c>
      <c r="E5674" s="67">
        <f t="shared" si="18"/>
        <v>500</v>
      </c>
      <c r="F5674" s="67" t="str">
        <f t="shared" si="12"/>
        <v>2 LeadGen Set Appointments</v>
      </c>
    </row>
    <row r="5675" hidden="1">
      <c r="A5675" s="6" t="s">
        <v>73</v>
      </c>
      <c r="B5675" s="13" t="s">
        <v>2290</v>
      </c>
      <c r="C5675" s="13" t="s">
        <v>2291</v>
      </c>
      <c r="D5675" s="15">
        <v>2.0</v>
      </c>
      <c r="E5675" s="67">
        <f t="shared" si="18"/>
        <v>500</v>
      </c>
      <c r="F5675" s="67" t="str">
        <f t="shared" si="12"/>
        <v>2 LeadGen Set Appointments</v>
      </c>
    </row>
    <row r="5676" hidden="1">
      <c r="A5676" s="6" t="s">
        <v>73</v>
      </c>
      <c r="B5676" s="13" t="s">
        <v>1569</v>
      </c>
      <c r="C5676" s="13" t="s">
        <v>1570</v>
      </c>
      <c r="D5676" s="15">
        <v>2.0</v>
      </c>
      <c r="E5676" s="67">
        <f t="shared" si="18"/>
        <v>500</v>
      </c>
      <c r="F5676" s="67" t="str">
        <f t="shared" si="12"/>
        <v>2 LeadGen Set Appointments</v>
      </c>
    </row>
    <row r="5677" hidden="1">
      <c r="A5677" s="6" t="s">
        <v>73</v>
      </c>
      <c r="B5677" s="13" t="s">
        <v>2224</v>
      </c>
      <c r="C5677" s="13" t="s">
        <v>2225</v>
      </c>
      <c r="D5677" s="15">
        <v>2.0</v>
      </c>
      <c r="E5677" s="67">
        <f t="shared" si="18"/>
        <v>500</v>
      </c>
      <c r="F5677" s="67" t="str">
        <f t="shared" si="12"/>
        <v>2 LeadGen Set Appointments</v>
      </c>
    </row>
    <row r="5678" hidden="1">
      <c r="A5678" s="6" t="s">
        <v>73</v>
      </c>
      <c r="B5678" s="13" t="s">
        <v>2367</v>
      </c>
      <c r="C5678" s="13" t="s">
        <v>2368</v>
      </c>
      <c r="D5678" s="15">
        <v>2.0</v>
      </c>
      <c r="E5678" s="67">
        <f t="shared" si="18"/>
        <v>500</v>
      </c>
      <c r="F5678" s="67" t="str">
        <f t="shared" si="12"/>
        <v>2 LeadGen Set Appointments</v>
      </c>
    </row>
    <row r="5679" hidden="1">
      <c r="A5679" s="6" t="s">
        <v>73</v>
      </c>
      <c r="B5679" s="13" t="s">
        <v>2151</v>
      </c>
      <c r="C5679" s="13" t="s">
        <v>2152</v>
      </c>
      <c r="D5679" s="15">
        <v>2.0</v>
      </c>
      <c r="E5679" s="67">
        <f t="shared" si="18"/>
        <v>500</v>
      </c>
      <c r="F5679" s="67" t="str">
        <f t="shared" si="12"/>
        <v>2 LeadGen Set Appointments</v>
      </c>
    </row>
    <row r="5680" hidden="1">
      <c r="A5680" s="6" t="s">
        <v>73</v>
      </c>
      <c r="B5680" s="13" t="s">
        <v>2183</v>
      </c>
      <c r="C5680" s="13" t="s">
        <v>2184</v>
      </c>
      <c r="D5680" s="15">
        <v>2.0</v>
      </c>
      <c r="E5680" s="67">
        <f t="shared" si="18"/>
        <v>500</v>
      </c>
      <c r="F5680" s="67" t="str">
        <f t="shared" si="12"/>
        <v>2 LeadGen Set Appointments</v>
      </c>
    </row>
    <row r="5681" hidden="1">
      <c r="A5681" s="6" t="s">
        <v>73</v>
      </c>
      <c r="B5681" s="13" t="s">
        <v>2185</v>
      </c>
      <c r="C5681" s="13" t="s">
        <v>2186</v>
      </c>
      <c r="D5681" s="15">
        <v>2.0</v>
      </c>
      <c r="E5681" s="67">
        <f t="shared" si="18"/>
        <v>500</v>
      </c>
      <c r="F5681" s="67" t="str">
        <f t="shared" si="12"/>
        <v>2 LeadGen Set Appointments</v>
      </c>
    </row>
    <row r="5682" hidden="1">
      <c r="A5682" s="6" t="s">
        <v>73</v>
      </c>
      <c r="B5682" s="13" t="s">
        <v>2369</v>
      </c>
      <c r="C5682" s="13" t="s">
        <v>2370</v>
      </c>
      <c r="D5682" s="15">
        <v>2.0</v>
      </c>
      <c r="E5682" s="67">
        <f t="shared" si="18"/>
        <v>500</v>
      </c>
      <c r="F5682" s="67" t="str">
        <f t="shared" si="12"/>
        <v>2 LeadGen Set Appointments</v>
      </c>
    </row>
    <row r="5683" hidden="1">
      <c r="A5683" s="6" t="s">
        <v>73</v>
      </c>
      <c r="B5683" s="13" t="s">
        <v>1351</v>
      </c>
      <c r="C5683" s="13" t="s">
        <v>1352</v>
      </c>
      <c r="D5683" s="15">
        <v>2.0</v>
      </c>
      <c r="E5683" s="67">
        <f t="shared" si="18"/>
        <v>500</v>
      </c>
      <c r="F5683" s="67" t="str">
        <f t="shared" si="12"/>
        <v>2 LeadGen Set Appointments</v>
      </c>
    </row>
    <row r="5684" hidden="1">
      <c r="A5684" s="6" t="s">
        <v>73</v>
      </c>
      <c r="B5684" s="13" t="s">
        <v>2397</v>
      </c>
      <c r="C5684" s="13" t="s">
        <v>2398</v>
      </c>
      <c r="D5684" s="15">
        <v>1.0</v>
      </c>
      <c r="E5684" s="67">
        <f t="shared" si="18"/>
        <v>250</v>
      </c>
      <c r="F5684" s="67" t="str">
        <f t="shared" si="12"/>
        <v>1 LeadGen Set Appointments</v>
      </c>
    </row>
    <row r="5685" hidden="1">
      <c r="A5685" s="6" t="s">
        <v>73</v>
      </c>
      <c r="B5685" s="13" t="s">
        <v>2169</v>
      </c>
      <c r="C5685" s="13" t="s">
        <v>2170</v>
      </c>
      <c r="D5685" s="15">
        <v>1.0</v>
      </c>
      <c r="E5685" s="67">
        <f t="shared" si="18"/>
        <v>250</v>
      </c>
      <c r="F5685" s="67" t="str">
        <f t="shared" si="12"/>
        <v>1 LeadGen Set Appointments</v>
      </c>
    </row>
    <row r="5686" hidden="1">
      <c r="A5686" s="6" t="s">
        <v>73</v>
      </c>
      <c r="B5686" s="13" t="s">
        <v>2212</v>
      </c>
      <c r="C5686" s="13" t="s">
        <v>2213</v>
      </c>
      <c r="D5686" s="15">
        <v>1.0</v>
      </c>
      <c r="E5686" s="67">
        <f t="shared" si="18"/>
        <v>250</v>
      </c>
      <c r="F5686" s="67" t="str">
        <f t="shared" si="12"/>
        <v>1 LeadGen Set Appointments</v>
      </c>
    </row>
    <row r="5687" hidden="1">
      <c r="A5687" s="6" t="s">
        <v>73</v>
      </c>
      <c r="B5687" s="13" t="s">
        <v>1435</v>
      </c>
      <c r="C5687" s="13" t="s">
        <v>741</v>
      </c>
      <c r="D5687" s="15">
        <v>1.0</v>
      </c>
      <c r="E5687" s="67">
        <f t="shared" si="18"/>
        <v>250</v>
      </c>
      <c r="F5687" s="67" t="str">
        <f t="shared" si="12"/>
        <v>1 LeadGen Set Appointments</v>
      </c>
    </row>
    <row r="5688" hidden="1">
      <c r="A5688" s="6" t="s">
        <v>73</v>
      </c>
      <c r="B5688" s="13" t="s">
        <v>1033</v>
      </c>
      <c r="C5688" s="13" t="s">
        <v>1034</v>
      </c>
      <c r="D5688" s="15">
        <v>1.0</v>
      </c>
      <c r="E5688" s="67">
        <f t="shared" si="18"/>
        <v>250</v>
      </c>
      <c r="F5688" s="67" t="str">
        <f t="shared" si="12"/>
        <v>1 LeadGen Set Appointments</v>
      </c>
    </row>
    <row r="5689" hidden="1">
      <c r="A5689" s="6" t="s">
        <v>73</v>
      </c>
      <c r="B5689" s="13" t="s">
        <v>2389</v>
      </c>
      <c r="C5689" s="13" t="s">
        <v>2390</v>
      </c>
      <c r="D5689" s="15">
        <v>1.0</v>
      </c>
      <c r="E5689" s="67">
        <f t="shared" si="18"/>
        <v>250</v>
      </c>
      <c r="F5689" s="67" t="str">
        <f t="shared" si="12"/>
        <v>1 LeadGen Set Appointments</v>
      </c>
    </row>
    <row r="5690" hidden="1">
      <c r="A5690" s="6" t="s">
        <v>73</v>
      </c>
      <c r="B5690" s="13" t="s">
        <v>462</v>
      </c>
      <c r="C5690" s="13" t="s">
        <v>463</v>
      </c>
      <c r="D5690" s="15">
        <v>1.0</v>
      </c>
      <c r="E5690" s="67">
        <f t="shared" si="18"/>
        <v>250</v>
      </c>
      <c r="F5690" s="67" t="str">
        <f t="shared" si="12"/>
        <v>1 LeadGen Set Appointments</v>
      </c>
    </row>
    <row r="5691" hidden="1">
      <c r="A5691" s="6" t="s">
        <v>73</v>
      </c>
      <c r="B5691" s="13" t="s">
        <v>1600</v>
      </c>
      <c r="C5691" s="13" t="s">
        <v>1601</v>
      </c>
      <c r="D5691" s="15">
        <v>1.0</v>
      </c>
      <c r="E5691" s="67">
        <f t="shared" si="18"/>
        <v>250</v>
      </c>
      <c r="F5691" s="67" t="str">
        <f t="shared" si="12"/>
        <v>1 LeadGen Set Appointments</v>
      </c>
    </row>
    <row r="5692" hidden="1">
      <c r="A5692" s="6" t="s">
        <v>73</v>
      </c>
      <c r="B5692" s="13" t="s">
        <v>431</v>
      </c>
      <c r="C5692" s="13" t="s">
        <v>432</v>
      </c>
      <c r="D5692" s="15">
        <v>1.0</v>
      </c>
      <c r="E5692" s="67">
        <f t="shared" si="18"/>
        <v>250</v>
      </c>
      <c r="F5692" s="67" t="str">
        <f t="shared" si="12"/>
        <v>1 LeadGen Set Appointments</v>
      </c>
    </row>
    <row r="5693" hidden="1">
      <c r="A5693" s="6" t="s">
        <v>73</v>
      </c>
      <c r="B5693" s="13" t="s">
        <v>560</v>
      </c>
      <c r="C5693" s="13" t="s">
        <v>561</v>
      </c>
      <c r="D5693" s="15">
        <v>1.0</v>
      </c>
      <c r="E5693" s="67">
        <f t="shared" si="18"/>
        <v>250</v>
      </c>
      <c r="F5693" s="67" t="str">
        <f t="shared" si="12"/>
        <v>1 LeadGen Set Appointments</v>
      </c>
    </row>
    <row r="5694" hidden="1">
      <c r="A5694" s="6" t="s">
        <v>73</v>
      </c>
      <c r="B5694" s="13" t="s">
        <v>2301</v>
      </c>
      <c r="C5694" s="13" t="s">
        <v>2302</v>
      </c>
      <c r="D5694" s="15">
        <v>1.0</v>
      </c>
      <c r="E5694" s="67">
        <f t="shared" si="18"/>
        <v>250</v>
      </c>
      <c r="F5694" s="67" t="str">
        <f t="shared" si="12"/>
        <v>1 LeadGen Set Appointments</v>
      </c>
    </row>
    <row r="5695" hidden="1">
      <c r="A5695" s="6" t="s">
        <v>73</v>
      </c>
      <c r="B5695" s="13" t="s">
        <v>2399</v>
      </c>
      <c r="C5695" s="13" t="s">
        <v>2400</v>
      </c>
      <c r="D5695" s="15">
        <v>1.0</v>
      </c>
      <c r="E5695" s="67">
        <f t="shared" si="18"/>
        <v>250</v>
      </c>
      <c r="F5695" s="67" t="str">
        <f t="shared" si="12"/>
        <v>1 LeadGen Set Appointments</v>
      </c>
    </row>
    <row r="5696" hidden="1">
      <c r="A5696" s="6" t="s">
        <v>73</v>
      </c>
      <c r="B5696" s="13" t="s">
        <v>2382</v>
      </c>
      <c r="C5696" s="13" t="s">
        <v>2383</v>
      </c>
      <c r="D5696" s="15">
        <v>1.0</v>
      </c>
      <c r="E5696" s="67">
        <f t="shared" si="18"/>
        <v>250</v>
      </c>
      <c r="F5696" s="67" t="str">
        <f t="shared" si="12"/>
        <v>1 LeadGen Set Appointments</v>
      </c>
    </row>
    <row r="5697" hidden="1">
      <c r="A5697" s="6" t="s">
        <v>73</v>
      </c>
      <c r="B5697" s="13" t="s">
        <v>2354</v>
      </c>
      <c r="C5697" s="13" t="s">
        <v>2355</v>
      </c>
      <c r="D5697" s="15">
        <v>1.0</v>
      </c>
      <c r="E5697" s="67">
        <f t="shared" si="18"/>
        <v>250</v>
      </c>
      <c r="F5697" s="67" t="str">
        <f t="shared" si="12"/>
        <v>1 LeadGen Set Appointments</v>
      </c>
    </row>
    <row r="5698" hidden="1">
      <c r="A5698" s="6" t="s">
        <v>73</v>
      </c>
      <c r="B5698" s="13" t="s">
        <v>2286</v>
      </c>
      <c r="C5698" s="13" t="s">
        <v>2287</v>
      </c>
      <c r="D5698" s="15">
        <v>1.0</v>
      </c>
      <c r="E5698" s="67">
        <f t="shared" si="18"/>
        <v>250</v>
      </c>
      <c r="F5698" s="67" t="str">
        <f t="shared" si="12"/>
        <v>1 LeadGen Set Appointments</v>
      </c>
    </row>
    <row r="5699" hidden="1">
      <c r="A5699" s="6" t="s">
        <v>73</v>
      </c>
      <c r="B5699" s="13" t="s">
        <v>2401</v>
      </c>
      <c r="C5699" s="13" t="s">
        <v>2402</v>
      </c>
      <c r="D5699" s="15">
        <v>1.0</v>
      </c>
      <c r="E5699" s="67">
        <f t="shared" si="18"/>
        <v>250</v>
      </c>
      <c r="F5699" s="67" t="str">
        <f t="shared" si="12"/>
        <v>1 LeadGen Set Appointments</v>
      </c>
    </row>
    <row r="5700" hidden="1">
      <c r="A5700" s="6" t="s">
        <v>73</v>
      </c>
      <c r="B5700" s="13" t="s">
        <v>2403</v>
      </c>
      <c r="C5700" s="13" t="s">
        <v>2404</v>
      </c>
      <c r="D5700" s="15">
        <v>1.0</v>
      </c>
      <c r="E5700" s="67">
        <f t="shared" si="18"/>
        <v>250</v>
      </c>
      <c r="F5700" s="67" t="str">
        <f t="shared" si="12"/>
        <v>1 LeadGen Set Appointments</v>
      </c>
    </row>
    <row r="5701" hidden="1">
      <c r="A5701" s="6" t="s">
        <v>73</v>
      </c>
      <c r="B5701" s="13" t="s">
        <v>2405</v>
      </c>
      <c r="C5701" s="13" t="s">
        <v>2406</v>
      </c>
      <c r="D5701" s="15">
        <v>1.0</v>
      </c>
      <c r="E5701" s="67">
        <f t="shared" si="18"/>
        <v>250</v>
      </c>
      <c r="F5701" s="67" t="str">
        <f t="shared" si="12"/>
        <v>1 LeadGen Set Appointments</v>
      </c>
    </row>
    <row r="5702" hidden="1">
      <c r="A5702" s="6" t="s">
        <v>73</v>
      </c>
      <c r="B5702" s="13" t="s">
        <v>2407</v>
      </c>
      <c r="C5702" s="13" t="s">
        <v>2408</v>
      </c>
      <c r="D5702" s="15">
        <v>1.0</v>
      </c>
      <c r="E5702" s="67">
        <f t="shared" si="18"/>
        <v>250</v>
      </c>
      <c r="F5702" s="67" t="str">
        <f t="shared" si="12"/>
        <v>1 LeadGen Set Appointments</v>
      </c>
    </row>
    <row r="5703" hidden="1">
      <c r="A5703" s="6" t="s">
        <v>73</v>
      </c>
      <c r="B5703" s="13" t="s">
        <v>2371</v>
      </c>
      <c r="C5703" s="13" t="s">
        <v>2372</v>
      </c>
      <c r="D5703" s="15">
        <v>1.0</v>
      </c>
      <c r="E5703" s="67">
        <f t="shared" si="18"/>
        <v>250</v>
      </c>
      <c r="F5703" s="67" t="str">
        <f t="shared" si="12"/>
        <v>1 LeadGen Set Appointments</v>
      </c>
    </row>
    <row r="5704" hidden="1">
      <c r="A5704" s="6" t="s">
        <v>73</v>
      </c>
      <c r="B5704" s="13" t="s">
        <v>1955</v>
      </c>
      <c r="C5704" s="13" t="s">
        <v>1956</v>
      </c>
      <c r="D5704" s="15">
        <v>1.0</v>
      </c>
      <c r="E5704" s="67">
        <f t="shared" si="18"/>
        <v>250</v>
      </c>
      <c r="F5704" s="67" t="str">
        <f t="shared" si="12"/>
        <v>1 LeadGen Set Appointments</v>
      </c>
    </row>
    <row r="5705" hidden="1">
      <c r="A5705" s="6" t="s">
        <v>73</v>
      </c>
      <c r="B5705" s="13" t="s">
        <v>2345</v>
      </c>
      <c r="C5705" s="13" t="s">
        <v>2346</v>
      </c>
      <c r="D5705" s="15">
        <v>1.0</v>
      </c>
      <c r="E5705" s="67">
        <f t="shared" si="18"/>
        <v>250</v>
      </c>
      <c r="F5705" s="67" t="str">
        <f t="shared" si="12"/>
        <v>1 LeadGen Set Appointments</v>
      </c>
    </row>
    <row r="5706" hidden="1">
      <c r="A5706" s="6" t="s">
        <v>73</v>
      </c>
      <c r="B5706" s="13" t="s">
        <v>2409</v>
      </c>
      <c r="C5706" s="13" t="s">
        <v>2410</v>
      </c>
      <c r="D5706" s="15">
        <v>1.0</v>
      </c>
      <c r="E5706" s="67">
        <f t="shared" si="18"/>
        <v>250</v>
      </c>
      <c r="F5706" s="67" t="str">
        <f t="shared" si="12"/>
        <v>1 LeadGen Set Appointments</v>
      </c>
    </row>
    <row r="5707" hidden="1">
      <c r="A5707" s="6" t="s">
        <v>73</v>
      </c>
      <c r="B5707" s="13" t="s">
        <v>2218</v>
      </c>
      <c r="C5707" s="13" t="s">
        <v>2219</v>
      </c>
      <c r="D5707" s="15">
        <v>1.0</v>
      </c>
      <c r="E5707" s="67">
        <f t="shared" si="18"/>
        <v>250</v>
      </c>
      <c r="F5707" s="67" t="str">
        <f t="shared" si="12"/>
        <v>1 LeadGen Set Appointments</v>
      </c>
    </row>
    <row r="5708" hidden="1">
      <c r="A5708" s="6" t="s">
        <v>73</v>
      </c>
      <c r="B5708" s="13" t="s">
        <v>2325</v>
      </c>
      <c r="C5708" s="13" t="s">
        <v>2326</v>
      </c>
      <c r="D5708" s="15">
        <v>1.0</v>
      </c>
      <c r="E5708" s="67">
        <f t="shared" si="18"/>
        <v>250</v>
      </c>
      <c r="F5708" s="67" t="str">
        <f t="shared" si="12"/>
        <v>1 LeadGen Set Appointments</v>
      </c>
    </row>
    <row r="5709" hidden="1">
      <c r="A5709" s="6" t="s">
        <v>73</v>
      </c>
      <c r="B5709" s="13" t="s">
        <v>984</v>
      </c>
      <c r="C5709" s="13" t="s">
        <v>985</v>
      </c>
      <c r="D5709" s="15">
        <v>1.0</v>
      </c>
      <c r="E5709" s="67">
        <f t="shared" si="18"/>
        <v>250</v>
      </c>
      <c r="F5709" s="67" t="str">
        <f t="shared" si="12"/>
        <v>1 LeadGen Set Appointments</v>
      </c>
    </row>
    <row r="5710" hidden="1">
      <c r="A5710" s="6" t="s">
        <v>73</v>
      </c>
      <c r="B5710" s="13" t="s">
        <v>413</v>
      </c>
      <c r="C5710" s="13" t="s">
        <v>414</v>
      </c>
      <c r="D5710" s="15">
        <v>2.0</v>
      </c>
      <c r="E5710" s="67">
        <f t="shared" si="18"/>
        <v>500</v>
      </c>
      <c r="F5710" s="67" t="str">
        <f t="shared" si="12"/>
        <v>2 LeadGen Set Appointments</v>
      </c>
    </row>
    <row r="5711" hidden="1">
      <c r="A5711" s="6" t="s">
        <v>73</v>
      </c>
      <c r="B5711" s="13" t="s">
        <v>1457</v>
      </c>
      <c r="C5711" s="13" t="s">
        <v>2411</v>
      </c>
      <c r="D5711" s="15">
        <v>3.0</v>
      </c>
      <c r="E5711" s="67">
        <f t="shared" si="18"/>
        <v>750</v>
      </c>
      <c r="F5711" s="67" t="str">
        <f t="shared" si="12"/>
        <v>3 LeadGen Set Appointments</v>
      </c>
    </row>
    <row r="5712" hidden="1">
      <c r="A5712" s="6" t="s">
        <v>73</v>
      </c>
      <c r="B5712" s="13" t="s">
        <v>1939</v>
      </c>
      <c r="C5712" s="13" t="s">
        <v>1940</v>
      </c>
      <c r="D5712" s="15">
        <v>7.0</v>
      </c>
      <c r="E5712" s="67">
        <f t="shared" si="18"/>
        <v>1750</v>
      </c>
      <c r="F5712" s="67" t="str">
        <f t="shared" si="12"/>
        <v>7 LeadGen Set Appointments</v>
      </c>
    </row>
    <row r="5713" hidden="1">
      <c r="A5713" s="6" t="s">
        <v>73</v>
      </c>
      <c r="B5713" s="13" t="s">
        <v>1291</v>
      </c>
      <c r="C5713" s="13" t="s">
        <v>422</v>
      </c>
      <c r="D5713" s="15">
        <v>4.0</v>
      </c>
      <c r="E5713" s="67">
        <f t="shared" si="18"/>
        <v>1000</v>
      </c>
      <c r="F5713" s="67" t="str">
        <f t="shared" si="12"/>
        <v>4 LeadGen Set Appointments</v>
      </c>
    </row>
    <row r="5714" hidden="1">
      <c r="A5714" s="6" t="s">
        <v>73</v>
      </c>
      <c r="B5714" s="13" t="s">
        <v>1931</v>
      </c>
      <c r="C5714" s="13" t="s">
        <v>1932</v>
      </c>
      <c r="D5714" s="15">
        <v>4.0</v>
      </c>
      <c r="E5714" s="67">
        <f t="shared" si="18"/>
        <v>1000</v>
      </c>
      <c r="F5714" s="67" t="str">
        <f t="shared" si="12"/>
        <v>4 LeadGen Set Appointments</v>
      </c>
    </row>
    <row r="5715" hidden="1">
      <c r="A5715" s="6" t="s">
        <v>73</v>
      </c>
      <c r="B5715" s="13" t="s">
        <v>1983</v>
      </c>
      <c r="C5715" s="13" t="s">
        <v>1984</v>
      </c>
      <c r="D5715" s="15">
        <v>3.0</v>
      </c>
      <c r="E5715" s="67">
        <f t="shared" si="18"/>
        <v>750</v>
      </c>
      <c r="F5715" s="67" t="str">
        <f t="shared" si="12"/>
        <v>3 LeadGen Set Appointments</v>
      </c>
    </row>
    <row r="5716" hidden="1">
      <c r="A5716" s="6" t="s">
        <v>73</v>
      </c>
      <c r="B5716" s="13" t="s">
        <v>2022</v>
      </c>
      <c r="C5716" s="13" t="s">
        <v>2023</v>
      </c>
      <c r="D5716" s="15">
        <v>8.0</v>
      </c>
      <c r="E5716" s="67">
        <f t="shared" si="18"/>
        <v>2000</v>
      </c>
      <c r="F5716" s="67" t="str">
        <f t="shared" si="12"/>
        <v>8 LeadGen Set Appointments</v>
      </c>
    </row>
    <row r="5717" hidden="1">
      <c r="A5717" s="6" t="s">
        <v>73</v>
      </c>
      <c r="B5717" s="13" t="s">
        <v>262</v>
      </c>
      <c r="C5717" s="13" t="s">
        <v>290</v>
      </c>
      <c r="D5717" s="15">
        <v>2.0</v>
      </c>
      <c r="E5717" s="67">
        <f t="shared" si="18"/>
        <v>500</v>
      </c>
      <c r="F5717" s="67" t="str">
        <f t="shared" si="12"/>
        <v>2 LeadGen Set Appointments</v>
      </c>
    </row>
    <row r="5718" hidden="1">
      <c r="A5718" s="16" t="s">
        <v>74</v>
      </c>
      <c r="B5718" s="13" t="s">
        <v>476</v>
      </c>
      <c r="C5718" s="13" t="s">
        <v>477</v>
      </c>
      <c r="D5718" s="15">
        <v>49.0</v>
      </c>
      <c r="E5718" s="67">
        <f t="shared" si="18"/>
        <v>24500</v>
      </c>
      <c r="F5718" s="67" t="str">
        <f t="shared" si="12"/>
        <v>49 LeadGen Set Appointments</v>
      </c>
    </row>
    <row r="5719" hidden="1">
      <c r="A5719" s="16" t="s">
        <v>74</v>
      </c>
      <c r="B5719" s="13" t="s">
        <v>644</v>
      </c>
      <c r="C5719" s="13" t="s">
        <v>645</v>
      </c>
      <c r="D5719" s="15">
        <v>22.0</v>
      </c>
      <c r="E5719" s="67">
        <f t="shared" si="18"/>
        <v>11000</v>
      </c>
      <c r="F5719" s="67" t="str">
        <f t="shared" si="12"/>
        <v>22 LeadGen Set Appointments</v>
      </c>
    </row>
    <row r="5720" hidden="1">
      <c r="A5720" s="16" t="s">
        <v>74</v>
      </c>
      <c r="B5720" s="13" t="s">
        <v>540</v>
      </c>
      <c r="C5720" s="13" t="s">
        <v>541</v>
      </c>
      <c r="D5720" s="15">
        <v>19.0</v>
      </c>
      <c r="E5720" s="67">
        <f t="shared" si="18"/>
        <v>9500</v>
      </c>
      <c r="F5720" s="67" t="str">
        <f t="shared" si="12"/>
        <v>19 LeadGen Set Appointments</v>
      </c>
    </row>
    <row r="5721" hidden="1">
      <c r="A5721" s="16" t="s">
        <v>74</v>
      </c>
      <c r="B5721" s="13" t="s">
        <v>1471</v>
      </c>
      <c r="C5721" s="13" t="s">
        <v>1472</v>
      </c>
      <c r="D5721" s="15">
        <v>19.0</v>
      </c>
      <c r="E5721" s="67">
        <f t="shared" si="18"/>
        <v>9500</v>
      </c>
      <c r="F5721" s="67" t="str">
        <f t="shared" si="12"/>
        <v>19 LeadGen Set Appointments</v>
      </c>
    </row>
    <row r="5722" hidden="1">
      <c r="A5722" s="16" t="s">
        <v>74</v>
      </c>
      <c r="B5722" s="13" t="s">
        <v>510</v>
      </c>
      <c r="C5722" s="13" t="s">
        <v>511</v>
      </c>
      <c r="D5722" s="15">
        <v>17.0</v>
      </c>
      <c r="E5722" s="67">
        <f t="shared" si="18"/>
        <v>8500</v>
      </c>
      <c r="F5722" s="67" t="str">
        <f t="shared" si="12"/>
        <v>17 LeadGen Set Appointments</v>
      </c>
    </row>
    <row r="5723" hidden="1">
      <c r="A5723" s="16" t="s">
        <v>74</v>
      </c>
      <c r="B5723" s="13" t="s">
        <v>1415</v>
      </c>
      <c r="C5723" s="13" t="s">
        <v>1416</v>
      </c>
      <c r="D5723" s="15">
        <v>14.0</v>
      </c>
      <c r="E5723" s="67">
        <f t="shared" si="18"/>
        <v>7000</v>
      </c>
      <c r="F5723" s="67" t="str">
        <f t="shared" si="12"/>
        <v>14 LeadGen Set Appointments</v>
      </c>
    </row>
    <row r="5724" hidden="1">
      <c r="A5724" s="16" t="s">
        <v>74</v>
      </c>
      <c r="B5724" s="13" t="s">
        <v>435</v>
      </c>
      <c r="C5724" s="13" t="s">
        <v>436</v>
      </c>
      <c r="D5724" s="15">
        <v>14.0</v>
      </c>
      <c r="E5724" s="67">
        <f t="shared" si="18"/>
        <v>7000</v>
      </c>
      <c r="F5724" s="67" t="str">
        <f t="shared" si="12"/>
        <v>14 LeadGen Set Appointments</v>
      </c>
    </row>
    <row r="5725" hidden="1">
      <c r="A5725" s="16" t="s">
        <v>74</v>
      </c>
      <c r="B5725" s="13" t="s">
        <v>1455</v>
      </c>
      <c r="C5725" s="13" t="s">
        <v>1456</v>
      </c>
      <c r="D5725" s="15">
        <v>13.0</v>
      </c>
      <c r="E5725" s="67">
        <f t="shared" si="18"/>
        <v>6500</v>
      </c>
      <c r="F5725" s="67" t="str">
        <f t="shared" si="12"/>
        <v>13 LeadGen Set Appointments</v>
      </c>
    </row>
    <row r="5726" hidden="1">
      <c r="A5726" s="16" t="s">
        <v>74</v>
      </c>
      <c r="B5726" s="13" t="s">
        <v>1891</v>
      </c>
      <c r="C5726" s="13" t="s">
        <v>1892</v>
      </c>
      <c r="D5726" s="15">
        <v>13.0</v>
      </c>
      <c r="E5726" s="67">
        <f t="shared" si="18"/>
        <v>6500</v>
      </c>
      <c r="F5726" s="67" t="str">
        <f t="shared" si="12"/>
        <v>13 LeadGen Set Appointments</v>
      </c>
    </row>
    <row r="5727" hidden="1">
      <c r="A5727" s="16" t="s">
        <v>74</v>
      </c>
      <c r="B5727" s="13" t="s">
        <v>2220</v>
      </c>
      <c r="C5727" s="13" t="s">
        <v>2221</v>
      </c>
      <c r="D5727" s="15">
        <v>13.0</v>
      </c>
      <c r="E5727" s="67">
        <f t="shared" si="18"/>
        <v>6500</v>
      </c>
      <c r="F5727" s="67" t="str">
        <f t="shared" si="12"/>
        <v>13 LeadGen Set Appointments</v>
      </c>
    </row>
    <row r="5728" hidden="1">
      <c r="A5728" s="16" t="s">
        <v>74</v>
      </c>
      <c r="B5728" s="13" t="s">
        <v>1776</v>
      </c>
      <c r="C5728" s="13" t="s">
        <v>1777</v>
      </c>
      <c r="D5728" s="15">
        <v>13.0</v>
      </c>
      <c r="E5728" s="67">
        <f t="shared" si="18"/>
        <v>6500</v>
      </c>
      <c r="F5728" s="67" t="str">
        <f t="shared" si="12"/>
        <v>13 LeadGen Set Appointments</v>
      </c>
    </row>
    <row r="5729" hidden="1">
      <c r="A5729" s="16" t="s">
        <v>74</v>
      </c>
      <c r="B5729" s="13" t="s">
        <v>1461</v>
      </c>
      <c r="C5729" s="13" t="s">
        <v>1462</v>
      </c>
      <c r="D5729" s="15">
        <v>12.0</v>
      </c>
      <c r="E5729" s="67">
        <f t="shared" si="18"/>
        <v>6000</v>
      </c>
      <c r="F5729" s="67" t="str">
        <f t="shared" si="12"/>
        <v>12 LeadGen Set Appointments</v>
      </c>
    </row>
    <row r="5730" hidden="1">
      <c r="A5730" s="16" t="s">
        <v>74</v>
      </c>
      <c r="B5730" s="13" t="s">
        <v>516</v>
      </c>
      <c r="C5730" s="13" t="s">
        <v>517</v>
      </c>
      <c r="D5730" s="15">
        <v>12.0</v>
      </c>
      <c r="E5730" s="67">
        <f t="shared" si="18"/>
        <v>6000</v>
      </c>
      <c r="F5730" s="67" t="str">
        <f t="shared" si="12"/>
        <v>12 LeadGen Set Appointments</v>
      </c>
    </row>
    <row r="5731" hidden="1">
      <c r="A5731" s="16" t="s">
        <v>74</v>
      </c>
      <c r="B5731" s="13" t="s">
        <v>2022</v>
      </c>
      <c r="C5731" s="13" t="s">
        <v>2023</v>
      </c>
      <c r="D5731" s="15">
        <v>12.0</v>
      </c>
      <c r="E5731" s="67">
        <f t="shared" si="18"/>
        <v>6000</v>
      </c>
      <c r="F5731" s="67" t="str">
        <f t="shared" si="12"/>
        <v>12 LeadGen Set Appointments</v>
      </c>
    </row>
    <row r="5732" hidden="1">
      <c r="A5732" s="16" t="s">
        <v>74</v>
      </c>
      <c r="B5732" s="13" t="s">
        <v>1865</v>
      </c>
      <c r="C5732" s="13" t="s">
        <v>1866</v>
      </c>
      <c r="D5732" s="15">
        <v>12.0</v>
      </c>
      <c r="E5732" s="67">
        <f t="shared" si="18"/>
        <v>6000</v>
      </c>
      <c r="F5732" s="67" t="str">
        <f t="shared" si="12"/>
        <v>12 LeadGen Set Appointments</v>
      </c>
    </row>
    <row r="5733" hidden="1">
      <c r="A5733" s="16" t="s">
        <v>74</v>
      </c>
      <c r="B5733" s="13" t="s">
        <v>1893</v>
      </c>
      <c r="C5733" s="13" t="s">
        <v>1894</v>
      </c>
      <c r="D5733" s="15">
        <v>11.0</v>
      </c>
      <c r="E5733" s="67">
        <f t="shared" si="18"/>
        <v>5500</v>
      </c>
      <c r="F5733" s="67" t="str">
        <f t="shared" si="12"/>
        <v>11 LeadGen Set Appointments</v>
      </c>
    </row>
    <row r="5734" hidden="1">
      <c r="A5734" s="16" t="s">
        <v>74</v>
      </c>
      <c r="B5734" s="13" t="s">
        <v>486</v>
      </c>
      <c r="C5734" s="13" t="s">
        <v>487</v>
      </c>
      <c r="D5734" s="15">
        <v>11.0</v>
      </c>
      <c r="E5734" s="67">
        <f t="shared" si="18"/>
        <v>5500</v>
      </c>
      <c r="F5734" s="67" t="str">
        <f t="shared" si="12"/>
        <v>11 LeadGen Set Appointments</v>
      </c>
    </row>
    <row r="5735" hidden="1">
      <c r="A5735" s="16" t="s">
        <v>74</v>
      </c>
      <c r="B5735" s="13" t="s">
        <v>1491</v>
      </c>
      <c r="C5735" s="13" t="s">
        <v>1492</v>
      </c>
      <c r="D5735" s="15">
        <v>11.0</v>
      </c>
      <c r="E5735" s="67">
        <f t="shared" si="18"/>
        <v>5500</v>
      </c>
      <c r="F5735" s="67" t="str">
        <f t="shared" si="12"/>
        <v>11 LeadGen Set Appointments</v>
      </c>
    </row>
    <row r="5736" hidden="1">
      <c r="A5736" s="16" t="s">
        <v>74</v>
      </c>
      <c r="B5736" s="13" t="s">
        <v>766</v>
      </c>
      <c r="C5736" s="13" t="s">
        <v>767</v>
      </c>
      <c r="D5736" s="15">
        <v>11.0</v>
      </c>
      <c r="E5736" s="67">
        <f t="shared" si="18"/>
        <v>5500</v>
      </c>
      <c r="F5736" s="67" t="str">
        <f t="shared" si="12"/>
        <v>11 LeadGen Set Appointments</v>
      </c>
    </row>
    <row r="5737" hidden="1">
      <c r="A5737" s="16" t="s">
        <v>74</v>
      </c>
      <c r="B5737" s="13" t="s">
        <v>746</v>
      </c>
      <c r="C5737" s="13" t="s">
        <v>747</v>
      </c>
      <c r="D5737" s="15">
        <v>11.0</v>
      </c>
      <c r="E5737" s="67">
        <f t="shared" si="18"/>
        <v>5500</v>
      </c>
      <c r="F5737" s="67" t="str">
        <f t="shared" si="12"/>
        <v>11 LeadGen Set Appointments</v>
      </c>
    </row>
    <row r="5738" hidden="1">
      <c r="A5738" s="16" t="s">
        <v>74</v>
      </c>
      <c r="B5738" s="13" t="s">
        <v>542</v>
      </c>
      <c r="C5738" s="13" t="s">
        <v>543</v>
      </c>
      <c r="D5738" s="15">
        <v>10.0</v>
      </c>
      <c r="E5738" s="67">
        <f t="shared" si="18"/>
        <v>5000</v>
      </c>
      <c r="F5738" s="67" t="str">
        <f t="shared" si="12"/>
        <v>10 LeadGen Set Appointments</v>
      </c>
    </row>
    <row r="5739" hidden="1">
      <c r="A5739" s="16" t="s">
        <v>74</v>
      </c>
      <c r="B5739" s="13" t="s">
        <v>640</v>
      </c>
      <c r="C5739" s="13" t="s">
        <v>641</v>
      </c>
      <c r="D5739" s="15">
        <v>10.0</v>
      </c>
      <c r="E5739" s="67">
        <f t="shared" si="18"/>
        <v>5000</v>
      </c>
      <c r="F5739" s="67" t="str">
        <f t="shared" si="12"/>
        <v>10 LeadGen Set Appointments</v>
      </c>
    </row>
    <row r="5740" hidden="1">
      <c r="A5740" s="16" t="s">
        <v>74</v>
      </c>
      <c r="B5740" s="13" t="s">
        <v>910</v>
      </c>
      <c r="C5740" s="13" t="s">
        <v>911</v>
      </c>
      <c r="D5740" s="15">
        <v>10.0</v>
      </c>
      <c r="E5740" s="67">
        <f t="shared" si="18"/>
        <v>5000</v>
      </c>
      <c r="F5740" s="67" t="str">
        <f t="shared" si="12"/>
        <v>10 LeadGen Set Appointments</v>
      </c>
    </row>
    <row r="5741" hidden="1">
      <c r="A5741" s="16" t="s">
        <v>74</v>
      </c>
      <c r="B5741" s="13" t="s">
        <v>1025</v>
      </c>
      <c r="C5741" s="13" t="s">
        <v>1026</v>
      </c>
      <c r="D5741" s="15">
        <v>10.0</v>
      </c>
      <c r="E5741" s="67">
        <f t="shared" si="18"/>
        <v>5000</v>
      </c>
      <c r="F5741" s="67" t="str">
        <f t="shared" si="12"/>
        <v>10 LeadGen Set Appointments</v>
      </c>
    </row>
    <row r="5742" hidden="1">
      <c r="A5742" s="16" t="s">
        <v>74</v>
      </c>
      <c r="B5742" s="13" t="s">
        <v>1473</v>
      </c>
      <c r="C5742" s="13" t="s">
        <v>1474</v>
      </c>
      <c r="D5742" s="15">
        <v>9.0</v>
      </c>
      <c r="E5742" s="67">
        <f t="shared" si="18"/>
        <v>2250</v>
      </c>
      <c r="F5742" s="67" t="str">
        <f t="shared" si="12"/>
        <v>9 LeadGen Set Appointments</v>
      </c>
    </row>
    <row r="5743" hidden="1">
      <c r="A5743" s="16" t="s">
        <v>74</v>
      </c>
      <c r="B5743" s="13" t="s">
        <v>502</v>
      </c>
      <c r="C5743" s="13" t="s">
        <v>503</v>
      </c>
      <c r="D5743" s="15">
        <v>9.0</v>
      </c>
      <c r="E5743" s="67">
        <f t="shared" si="18"/>
        <v>2250</v>
      </c>
      <c r="F5743" s="67" t="str">
        <f t="shared" si="12"/>
        <v>9 LeadGen Set Appointments</v>
      </c>
    </row>
    <row r="5744" hidden="1">
      <c r="A5744" s="16" t="s">
        <v>74</v>
      </c>
      <c r="B5744" s="13" t="s">
        <v>242</v>
      </c>
      <c r="C5744" s="13" t="s">
        <v>1887</v>
      </c>
      <c r="D5744" s="15">
        <v>9.0</v>
      </c>
      <c r="E5744" s="67">
        <f t="shared" si="18"/>
        <v>2250</v>
      </c>
      <c r="F5744" s="67" t="str">
        <f t="shared" si="12"/>
        <v>9 LeadGen Set Appointments</v>
      </c>
    </row>
    <row r="5745" hidden="1">
      <c r="A5745" s="16" t="s">
        <v>74</v>
      </c>
      <c r="B5745" s="13" t="s">
        <v>699</v>
      </c>
      <c r="C5745" s="13" t="s">
        <v>700</v>
      </c>
      <c r="D5745" s="15">
        <v>9.0</v>
      </c>
      <c r="E5745" s="67">
        <f t="shared" si="18"/>
        <v>2250</v>
      </c>
      <c r="F5745" s="67" t="str">
        <f t="shared" si="12"/>
        <v>9 LeadGen Set Appointments</v>
      </c>
    </row>
    <row r="5746" hidden="1">
      <c r="A5746" s="16" t="s">
        <v>74</v>
      </c>
      <c r="B5746" s="13" t="s">
        <v>411</v>
      </c>
      <c r="C5746" s="13" t="s">
        <v>412</v>
      </c>
      <c r="D5746" s="15">
        <v>9.0</v>
      </c>
      <c r="E5746" s="67">
        <f t="shared" si="18"/>
        <v>2250</v>
      </c>
      <c r="F5746" s="67" t="str">
        <f t="shared" si="12"/>
        <v>9 LeadGen Set Appointments</v>
      </c>
    </row>
    <row r="5747" hidden="1">
      <c r="A5747" s="16" t="s">
        <v>74</v>
      </c>
      <c r="B5747" s="13" t="s">
        <v>723</v>
      </c>
      <c r="C5747" s="13" t="s">
        <v>724</v>
      </c>
      <c r="D5747" s="15">
        <v>9.0</v>
      </c>
      <c r="E5747" s="67">
        <f t="shared" si="18"/>
        <v>2250</v>
      </c>
      <c r="F5747" s="67" t="str">
        <f t="shared" si="12"/>
        <v>9 LeadGen Set Appointments</v>
      </c>
    </row>
    <row r="5748" hidden="1">
      <c r="A5748" s="16" t="s">
        <v>74</v>
      </c>
      <c r="B5748" s="13" t="s">
        <v>736</v>
      </c>
      <c r="C5748" s="13" t="s">
        <v>737</v>
      </c>
      <c r="D5748" s="15">
        <v>8.0</v>
      </c>
      <c r="E5748" s="67">
        <f t="shared" si="18"/>
        <v>2000</v>
      </c>
      <c r="F5748" s="67" t="str">
        <f t="shared" si="12"/>
        <v>8 LeadGen Set Appointments</v>
      </c>
    </row>
    <row r="5749" hidden="1">
      <c r="A5749" s="16" t="s">
        <v>74</v>
      </c>
      <c r="B5749" s="13" t="s">
        <v>628</v>
      </c>
      <c r="C5749" s="13" t="s">
        <v>629</v>
      </c>
      <c r="D5749" s="15">
        <v>8.0</v>
      </c>
      <c r="E5749" s="67">
        <f t="shared" si="18"/>
        <v>2000</v>
      </c>
      <c r="F5749" s="67" t="str">
        <f t="shared" si="12"/>
        <v>8 LeadGen Set Appointments</v>
      </c>
    </row>
    <row r="5750" hidden="1">
      <c r="A5750" s="16" t="s">
        <v>74</v>
      </c>
      <c r="B5750" s="13" t="s">
        <v>1547</v>
      </c>
      <c r="C5750" s="13" t="s">
        <v>1548</v>
      </c>
      <c r="D5750" s="15">
        <v>8.0</v>
      </c>
      <c r="E5750" s="67">
        <f t="shared" si="18"/>
        <v>2000</v>
      </c>
      <c r="F5750" s="67" t="str">
        <f t="shared" si="12"/>
        <v>8 LeadGen Set Appointments</v>
      </c>
    </row>
    <row r="5751" hidden="1">
      <c r="A5751" s="16" t="s">
        <v>74</v>
      </c>
      <c r="B5751" s="13" t="s">
        <v>532</v>
      </c>
      <c r="C5751" s="13" t="s">
        <v>533</v>
      </c>
      <c r="D5751" s="15">
        <v>8.0</v>
      </c>
      <c r="E5751" s="67">
        <f t="shared" si="18"/>
        <v>2000</v>
      </c>
      <c r="F5751" s="67" t="str">
        <f t="shared" si="12"/>
        <v>8 LeadGen Set Appointments</v>
      </c>
    </row>
    <row r="5752" hidden="1">
      <c r="A5752" s="16" t="s">
        <v>74</v>
      </c>
      <c r="B5752" s="13" t="s">
        <v>1493</v>
      </c>
      <c r="C5752" s="13" t="s">
        <v>1494</v>
      </c>
      <c r="D5752" s="15">
        <v>8.0</v>
      </c>
      <c r="E5752" s="67">
        <f t="shared" si="18"/>
        <v>2000</v>
      </c>
      <c r="F5752" s="67" t="str">
        <f t="shared" si="12"/>
        <v>8 LeadGen Set Appointments</v>
      </c>
    </row>
    <row r="5753" hidden="1">
      <c r="A5753" s="16" t="s">
        <v>74</v>
      </c>
      <c r="B5753" s="13" t="s">
        <v>258</v>
      </c>
      <c r="C5753" s="13" t="s">
        <v>2386</v>
      </c>
      <c r="D5753" s="15">
        <v>8.0</v>
      </c>
      <c r="E5753" s="67">
        <f t="shared" si="18"/>
        <v>2000</v>
      </c>
      <c r="F5753" s="67" t="str">
        <f t="shared" si="12"/>
        <v>8 LeadGen Set Appointments</v>
      </c>
    </row>
    <row r="5754" hidden="1">
      <c r="A5754" s="16" t="s">
        <v>74</v>
      </c>
      <c r="B5754" s="13" t="s">
        <v>1774</v>
      </c>
      <c r="C5754" s="13" t="s">
        <v>1775</v>
      </c>
      <c r="D5754" s="15">
        <v>7.0</v>
      </c>
      <c r="E5754" s="67">
        <f t="shared" si="18"/>
        <v>1750</v>
      </c>
      <c r="F5754" s="67" t="str">
        <f t="shared" si="12"/>
        <v>7 LeadGen Set Appointments</v>
      </c>
    </row>
    <row r="5755" hidden="1">
      <c r="A5755" s="16" t="s">
        <v>74</v>
      </c>
      <c r="B5755" s="13" t="s">
        <v>1467</v>
      </c>
      <c r="C5755" s="13" t="s">
        <v>1468</v>
      </c>
      <c r="D5755" s="15">
        <v>7.0</v>
      </c>
      <c r="E5755" s="67">
        <f t="shared" si="18"/>
        <v>1750</v>
      </c>
      <c r="F5755" s="67" t="str">
        <f t="shared" si="12"/>
        <v>7 LeadGen Set Appointments</v>
      </c>
    </row>
    <row r="5756" hidden="1">
      <c r="A5756" s="16" t="s">
        <v>74</v>
      </c>
      <c r="B5756" s="13" t="s">
        <v>1421</v>
      </c>
      <c r="C5756" s="13" t="s">
        <v>712</v>
      </c>
      <c r="D5756" s="15">
        <v>7.0</v>
      </c>
      <c r="E5756" s="67">
        <f t="shared" si="18"/>
        <v>1750</v>
      </c>
      <c r="F5756" s="67" t="str">
        <f t="shared" si="12"/>
        <v>7 LeadGen Set Appointments</v>
      </c>
    </row>
    <row r="5757" hidden="1">
      <c r="A5757" s="16" t="s">
        <v>74</v>
      </c>
      <c r="B5757" s="13" t="s">
        <v>443</v>
      </c>
      <c r="C5757" s="13" t="s">
        <v>444</v>
      </c>
      <c r="D5757" s="15">
        <v>7.0</v>
      </c>
      <c r="E5757" s="67">
        <f t="shared" si="18"/>
        <v>1750</v>
      </c>
      <c r="F5757" s="67" t="str">
        <f t="shared" si="12"/>
        <v>7 LeadGen Set Appointments</v>
      </c>
    </row>
    <row r="5758" hidden="1">
      <c r="A5758" s="16" t="s">
        <v>74</v>
      </c>
      <c r="B5758" s="13" t="s">
        <v>1784</v>
      </c>
      <c r="C5758" s="13" t="s">
        <v>1785</v>
      </c>
      <c r="D5758" s="15">
        <v>7.0</v>
      </c>
      <c r="E5758" s="67">
        <f t="shared" si="18"/>
        <v>1750</v>
      </c>
      <c r="F5758" s="67" t="str">
        <f t="shared" si="12"/>
        <v>7 LeadGen Set Appointments</v>
      </c>
    </row>
    <row r="5759" hidden="1">
      <c r="A5759" s="16" t="s">
        <v>74</v>
      </c>
      <c r="B5759" s="13" t="s">
        <v>2234</v>
      </c>
      <c r="C5759" s="13" t="s">
        <v>2235</v>
      </c>
      <c r="D5759" s="15">
        <v>7.0</v>
      </c>
      <c r="E5759" s="67">
        <f t="shared" si="18"/>
        <v>1750</v>
      </c>
      <c r="F5759" s="67" t="str">
        <f t="shared" si="12"/>
        <v>7 LeadGen Set Appointments</v>
      </c>
    </row>
    <row r="5760" hidden="1">
      <c r="A5760" s="16" t="s">
        <v>74</v>
      </c>
      <c r="B5760" s="13" t="s">
        <v>2151</v>
      </c>
      <c r="C5760" s="13" t="s">
        <v>2152</v>
      </c>
      <c r="D5760" s="15">
        <v>7.0</v>
      </c>
      <c r="E5760" s="67">
        <f t="shared" si="18"/>
        <v>1750</v>
      </c>
      <c r="F5760" s="67" t="str">
        <f t="shared" si="12"/>
        <v>7 LeadGen Set Appointments</v>
      </c>
    </row>
    <row r="5761" hidden="1">
      <c r="A5761" s="16" t="s">
        <v>74</v>
      </c>
      <c r="B5761" s="13" t="s">
        <v>1579</v>
      </c>
      <c r="C5761" s="13" t="s">
        <v>1580</v>
      </c>
      <c r="D5761" s="15">
        <v>6.0</v>
      </c>
      <c r="E5761" s="67">
        <f t="shared" si="18"/>
        <v>1500</v>
      </c>
      <c r="F5761" s="67" t="str">
        <f t="shared" si="12"/>
        <v>6 LeadGen Set Appointments</v>
      </c>
    </row>
    <row r="5762" hidden="1">
      <c r="A5762" s="16" t="s">
        <v>74</v>
      </c>
      <c r="B5762" s="13" t="s">
        <v>2412</v>
      </c>
      <c r="C5762" s="13" t="s">
        <v>2413</v>
      </c>
      <c r="D5762" s="15">
        <v>6.0</v>
      </c>
      <c r="E5762" s="67">
        <f t="shared" si="18"/>
        <v>1500</v>
      </c>
      <c r="F5762" s="67" t="str">
        <f t="shared" si="12"/>
        <v>6 LeadGen Set Appointments</v>
      </c>
    </row>
    <row r="5763" hidden="1">
      <c r="A5763" s="16" t="s">
        <v>74</v>
      </c>
      <c r="B5763" s="13" t="s">
        <v>560</v>
      </c>
      <c r="C5763" s="13" t="s">
        <v>561</v>
      </c>
      <c r="D5763" s="15">
        <v>6.0</v>
      </c>
      <c r="E5763" s="67">
        <f t="shared" si="18"/>
        <v>1500</v>
      </c>
      <c r="F5763" s="67" t="str">
        <f t="shared" si="12"/>
        <v>6 LeadGen Set Appointments</v>
      </c>
    </row>
    <row r="5764" hidden="1">
      <c r="A5764" s="16" t="s">
        <v>74</v>
      </c>
      <c r="B5764" s="13" t="s">
        <v>1778</v>
      </c>
      <c r="C5764" s="13" t="s">
        <v>1779</v>
      </c>
      <c r="D5764" s="15">
        <v>6.0</v>
      </c>
      <c r="E5764" s="67">
        <f t="shared" si="18"/>
        <v>1500</v>
      </c>
      <c r="F5764" s="67" t="str">
        <f t="shared" si="12"/>
        <v>6 LeadGen Set Appointments</v>
      </c>
    </row>
    <row r="5765" hidden="1">
      <c r="A5765" s="16" t="s">
        <v>74</v>
      </c>
      <c r="B5765" s="13" t="s">
        <v>1426</v>
      </c>
      <c r="C5765" s="13" t="s">
        <v>1427</v>
      </c>
      <c r="D5765" s="15">
        <v>6.0</v>
      </c>
      <c r="E5765" s="67">
        <f t="shared" si="18"/>
        <v>1500</v>
      </c>
      <c r="F5765" s="67" t="str">
        <f t="shared" si="12"/>
        <v>6 LeadGen Set Appointments</v>
      </c>
    </row>
    <row r="5766" hidden="1">
      <c r="A5766" s="16" t="s">
        <v>74</v>
      </c>
      <c r="B5766" s="13" t="s">
        <v>693</v>
      </c>
      <c r="C5766" s="13" t="s">
        <v>694</v>
      </c>
      <c r="D5766" s="15">
        <v>6.0</v>
      </c>
      <c r="E5766" s="67">
        <f t="shared" si="18"/>
        <v>1500</v>
      </c>
      <c r="F5766" s="67" t="str">
        <f t="shared" si="12"/>
        <v>6 LeadGen Set Appointments</v>
      </c>
    </row>
    <row r="5767" hidden="1">
      <c r="A5767" s="16" t="s">
        <v>74</v>
      </c>
      <c r="B5767" s="13" t="s">
        <v>1983</v>
      </c>
      <c r="C5767" s="13" t="s">
        <v>1984</v>
      </c>
      <c r="D5767" s="15">
        <v>6.0</v>
      </c>
      <c r="E5767" s="67">
        <f t="shared" si="18"/>
        <v>1500</v>
      </c>
      <c r="F5767" s="67" t="str">
        <f t="shared" si="12"/>
        <v>6 LeadGen Set Appointments</v>
      </c>
    </row>
    <row r="5768" hidden="1">
      <c r="A5768" s="16" t="s">
        <v>74</v>
      </c>
      <c r="B5768" s="13" t="s">
        <v>518</v>
      </c>
      <c r="C5768" s="13" t="s">
        <v>519</v>
      </c>
      <c r="D5768" s="15">
        <v>6.0</v>
      </c>
      <c r="E5768" s="67">
        <f t="shared" si="18"/>
        <v>1500</v>
      </c>
      <c r="F5768" s="67" t="str">
        <f t="shared" si="12"/>
        <v>6 LeadGen Set Appointments</v>
      </c>
    </row>
    <row r="5769" hidden="1">
      <c r="A5769" s="16" t="s">
        <v>74</v>
      </c>
      <c r="B5769" s="13" t="s">
        <v>2167</v>
      </c>
      <c r="C5769" s="13" t="s">
        <v>2168</v>
      </c>
      <c r="D5769" s="15">
        <v>6.0</v>
      </c>
      <c r="E5769" s="67">
        <f t="shared" si="18"/>
        <v>1500</v>
      </c>
      <c r="F5769" s="67" t="str">
        <f t="shared" si="12"/>
        <v>6 LeadGen Set Appointments</v>
      </c>
    </row>
    <row r="5770" hidden="1">
      <c r="A5770" s="16" t="s">
        <v>74</v>
      </c>
      <c r="B5770" s="13" t="s">
        <v>622</v>
      </c>
      <c r="C5770" s="13" t="s">
        <v>623</v>
      </c>
      <c r="D5770" s="15">
        <v>6.0</v>
      </c>
      <c r="E5770" s="67">
        <f t="shared" si="18"/>
        <v>1500</v>
      </c>
      <c r="F5770" s="67" t="str">
        <f t="shared" si="12"/>
        <v>6 LeadGen Set Appointments</v>
      </c>
    </row>
    <row r="5771" hidden="1">
      <c r="A5771" s="16" t="s">
        <v>74</v>
      </c>
      <c r="B5771" s="13" t="s">
        <v>462</v>
      </c>
      <c r="C5771" s="13" t="s">
        <v>463</v>
      </c>
      <c r="D5771" s="15">
        <v>5.0</v>
      </c>
      <c r="E5771" s="67">
        <f t="shared" si="18"/>
        <v>1250</v>
      </c>
      <c r="F5771" s="67" t="str">
        <f t="shared" si="12"/>
        <v>5 LeadGen Set Appointments</v>
      </c>
    </row>
    <row r="5772" hidden="1">
      <c r="A5772" s="16" t="s">
        <v>74</v>
      </c>
      <c r="B5772" s="13" t="s">
        <v>1600</v>
      </c>
      <c r="C5772" s="13" t="s">
        <v>1601</v>
      </c>
      <c r="D5772" s="15">
        <v>5.0</v>
      </c>
      <c r="E5772" s="67">
        <f t="shared" si="18"/>
        <v>1250</v>
      </c>
      <c r="F5772" s="67" t="str">
        <f t="shared" si="12"/>
        <v>5 LeadGen Set Appointments</v>
      </c>
    </row>
    <row r="5773" hidden="1">
      <c r="A5773" s="16" t="s">
        <v>74</v>
      </c>
      <c r="B5773" s="13" t="s">
        <v>1448</v>
      </c>
      <c r="C5773" s="13" t="s">
        <v>1449</v>
      </c>
      <c r="D5773" s="15">
        <v>5.0</v>
      </c>
      <c r="E5773" s="67">
        <f t="shared" si="18"/>
        <v>1250</v>
      </c>
      <c r="F5773" s="67" t="str">
        <f t="shared" si="12"/>
        <v>5 LeadGen Set Appointments</v>
      </c>
    </row>
    <row r="5774" hidden="1">
      <c r="A5774" s="16" t="s">
        <v>74</v>
      </c>
      <c r="B5774" s="13" t="s">
        <v>1543</v>
      </c>
      <c r="C5774" s="13" t="s">
        <v>1544</v>
      </c>
      <c r="D5774" s="15">
        <v>5.0</v>
      </c>
      <c r="E5774" s="67">
        <f t="shared" si="18"/>
        <v>1250</v>
      </c>
      <c r="F5774" s="67" t="str">
        <f t="shared" si="12"/>
        <v>5 LeadGen Set Appointments</v>
      </c>
    </row>
    <row r="5775" hidden="1">
      <c r="A5775" s="16" t="s">
        <v>74</v>
      </c>
      <c r="B5775" s="13" t="s">
        <v>1408</v>
      </c>
      <c r="C5775" s="13" t="s">
        <v>675</v>
      </c>
      <c r="D5775" s="15">
        <v>5.0</v>
      </c>
      <c r="E5775" s="67">
        <f t="shared" si="18"/>
        <v>1250</v>
      </c>
      <c r="F5775" s="67" t="str">
        <f t="shared" si="12"/>
        <v>5 LeadGen Set Appointments</v>
      </c>
    </row>
    <row r="5776" hidden="1">
      <c r="A5776" s="16" t="s">
        <v>74</v>
      </c>
      <c r="B5776" s="13" t="s">
        <v>1510</v>
      </c>
      <c r="C5776" s="13" t="s">
        <v>1511</v>
      </c>
      <c r="D5776" s="15">
        <v>5.0</v>
      </c>
      <c r="E5776" s="67">
        <f t="shared" si="18"/>
        <v>1250</v>
      </c>
      <c r="F5776" s="67" t="str">
        <f t="shared" si="12"/>
        <v>5 LeadGen Set Appointments</v>
      </c>
    </row>
    <row r="5777" hidden="1">
      <c r="A5777" s="16" t="s">
        <v>74</v>
      </c>
      <c r="B5777" s="13" t="s">
        <v>1489</v>
      </c>
      <c r="C5777" s="13" t="s">
        <v>1490</v>
      </c>
      <c r="D5777" s="15">
        <v>5.0</v>
      </c>
      <c r="E5777" s="67">
        <f t="shared" si="18"/>
        <v>1250</v>
      </c>
      <c r="F5777" s="67" t="str">
        <f t="shared" si="12"/>
        <v>5 LeadGen Set Appointments</v>
      </c>
    </row>
    <row r="5778" hidden="1">
      <c r="A5778" s="16" t="s">
        <v>74</v>
      </c>
      <c r="B5778" s="13" t="s">
        <v>626</v>
      </c>
      <c r="C5778" s="13" t="s">
        <v>627</v>
      </c>
      <c r="D5778" s="15">
        <v>5.0</v>
      </c>
      <c r="E5778" s="67">
        <f t="shared" si="18"/>
        <v>1250</v>
      </c>
      <c r="F5778" s="67" t="str">
        <f t="shared" si="12"/>
        <v>5 LeadGen Set Appointments</v>
      </c>
    </row>
    <row r="5779" hidden="1">
      <c r="A5779" s="16" t="s">
        <v>74</v>
      </c>
      <c r="B5779" s="13" t="s">
        <v>1157</v>
      </c>
      <c r="C5779" s="13" t="s">
        <v>1158</v>
      </c>
      <c r="D5779" s="15">
        <v>5.0</v>
      </c>
      <c r="E5779" s="67">
        <f t="shared" si="18"/>
        <v>1250</v>
      </c>
      <c r="F5779" s="67" t="str">
        <f t="shared" si="12"/>
        <v>5 LeadGen Set Appointments</v>
      </c>
    </row>
    <row r="5780" hidden="1">
      <c r="A5780" s="16" t="s">
        <v>74</v>
      </c>
      <c r="B5780" s="13" t="s">
        <v>1442</v>
      </c>
      <c r="C5780" s="13" t="s">
        <v>749</v>
      </c>
      <c r="D5780" s="15">
        <v>5.0</v>
      </c>
      <c r="E5780" s="67">
        <f t="shared" si="18"/>
        <v>1250</v>
      </c>
      <c r="F5780" s="67" t="str">
        <f t="shared" si="12"/>
        <v>5 LeadGen Set Appointments</v>
      </c>
    </row>
    <row r="5781" hidden="1">
      <c r="A5781" s="16" t="s">
        <v>74</v>
      </c>
      <c r="B5781" s="13" t="s">
        <v>1039</v>
      </c>
      <c r="C5781" s="13" t="s">
        <v>1040</v>
      </c>
      <c r="D5781" s="15">
        <v>5.0</v>
      </c>
      <c r="E5781" s="67">
        <f t="shared" si="18"/>
        <v>1250</v>
      </c>
      <c r="F5781" s="67" t="str">
        <f t="shared" si="12"/>
        <v>5 LeadGen Set Appointments</v>
      </c>
    </row>
    <row r="5782" hidden="1">
      <c r="A5782" s="16" t="s">
        <v>74</v>
      </c>
      <c r="B5782" s="13" t="s">
        <v>604</v>
      </c>
      <c r="C5782" s="13" t="s">
        <v>605</v>
      </c>
      <c r="D5782" s="15">
        <v>5.0</v>
      </c>
      <c r="E5782" s="67">
        <f t="shared" si="18"/>
        <v>1250</v>
      </c>
      <c r="F5782" s="67" t="str">
        <f t="shared" si="12"/>
        <v>5 LeadGen Set Appointments</v>
      </c>
    </row>
    <row r="5783" hidden="1">
      <c r="A5783" s="16" t="s">
        <v>74</v>
      </c>
      <c r="B5783" s="13" t="s">
        <v>701</v>
      </c>
      <c r="C5783" s="13" t="s">
        <v>702</v>
      </c>
      <c r="D5783" s="15">
        <v>5.0</v>
      </c>
      <c r="E5783" s="67">
        <f t="shared" si="18"/>
        <v>1250</v>
      </c>
      <c r="F5783" s="67" t="str">
        <f t="shared" si="12"/>
        <v>5 LeadGen Set Appointments</v>
      </c>
    </row>
    <row r="5784" hidden="1">
      <c r="A5784" s="16" t="s">
        <v>74</v>
      </c>
      <c r="B5784" s="13" t="s">
        <v>2185</v>
      </c>
      <c r="C5784" s="13" t="s">
        <v>2186</v>
      </c>
      <c r="D5784" s="15">
        <v>5.0</v>
      </c>
      <c r="E5784" s="67">
        <f t="shared" si="18"/>
        <v>1250</v>
      </c>
      <c r="F5784" s="67" t="str">
        <f t="shared" si="12"/>
        <v>5 LeadGen Set Appointments</v>
      </c>
    </row>
    <row r="5785" hidden="1">
      <c r="A5785" s="16" t="s">
        <v>74</v>
      </c>
      <c r="B5785" s="13" t="s">
        <v>2280</v>
      </c>
      <c r="C5785" s="13" t="s">
        <v>2281</v>
      </c>
      <c r="D5785" s="15">
        <v>5.0</v>
      </c>
      <c r="E5785" s="67">
        <f t="shared" si="18"/>
        <v>1250</v>
      </c>
      <c r="F5785" s="67" t="str">
        <f t="shared" si="12"/>
        <v>5 LeadGen Set Appointments</v>
      </c>
    </row>
    <row r="5786" hidden="1">
      <c r="A5786" s="16" t="s">
        <v>74</v>
      </c>
      <c r="B5786" s="13" t="s">
        <v>1351</v>
      </c>
      <c r="C5786" s="13" t="s">
        <v>1352</v>
      </c>
      <c r="D5786" s="15">
        <v>5.0</v>
      </c>
      <c r="E5786" s="67">
        <f t="shared" si="18"/>
        <v>1250</v>
      </c>
      <c r="F5786" s="67" t="str">
        <f t="shared" si="12"/>
        <v>5 LeadGen Set Appointments</v>
      </c>
    </row>
    <row r="5787" hidden="1">
      <c r="A5787" s="16" t="s">
        <v>74</v>
      </c>
      <c r="B5787" s="13" t="s">
        <v>413</v>
      </c>
      <c r="C5787" s="13" t="s">
        <v>414</v>
      </c>
      <c r="D5787" s="15">
        <v>5.0</v>
      </c>
      <c r="E5787" s="67">
        <f t="shared" si="18"/>
        <v>1250</v>
      </c>
      <c r="F5787" s="67" t="str">
        <f t="shared" si="12"/>
        <v>5 LeadGen Set Appointments</v>
      </c>
    </row>
    <row r="5788" hidden="1">
      <c r="A5788" s="16" t="s">
        <v>74</v>
      </c>
      <c r="B5788" s="13" t="s">
        <v>1457</v>
      </c>
      <c r="C5788" s="13" t="s">
        <v>2411</v>
      </c>
      <c r="D5788" s="15">
        <v>5.0</v>
      </c>
      <c r="E5788" s="67">
        <f t="shared" si="18"/>
        <v>1250</v>
      </c>
      <c r="F5788" s="67" t="str">
        <f t="shared" si="12"/>
        <v>5 LeadGen Set Appointments</v>
      </c>
    </row>
    <row r="5789" hidden="1">
      <c r="A5789" s="16" t="s">
        <v>74</v>
      </c>
      <c r="B5789" s="13" t="s">
        <v>1577</v>
      </c>
      <c r="C5789" s="13" t="s">
        <v>1578</v>
      </c>
      <c r="D5789" s="15">
        <v>4.0</v>
      </c>
      <c r="E5789" s="67">
        <f t="shared" si="18"/>
        <v>1000</v>
      </c>
      <c r="F5789" s="67" t="str">
        <f t="shared" si="12"/>
        <v>4 LeadGen Set Appointments</v>
      </c>
    </row>
    <row r="5790" hidden="1">
      <c r="A5790" s="16" t="s">
        <v>74</v>
      </c>
      <c r="B5790" s="13" t="s">
        <v>744</v>
      </c>
      <c r="C5790" s="13" t="s">
        <v>745</v>
      </c>
      <c r="D5790" s="15">
        <v>4.0</v>
      </c>
      <c r="E5790" s="67">
        <f t="shared" si="18"/>
        <v>1000</v>
      </c>
      <c r="F5790" s="67" t="str">
        <f t="shared" si="12"/>
        <v>4 LeadGen Set Appointments</v>
      </c>
    </row>
    <row r="5791" hidden="1">
      <c r="A5791" s="16" t="s">
        <v>74</v>
      </c>
      <c r="B5791" s="13" t="s">
        <v>500</v>
      </c>
      <c r="C5791" s="13" t="s">
        <v>501</v>
      </c>
      <c r="D5791" s="15">
        <v>4.0</v>
      </c>
      <c r="E5791" s="67">
        <f t="shared" si="18"/>
        <v>1000</v>
      </c>
      <c r="F5791" s="67" t="str">
        <f t="shared" si="12"/>
        <v>4 LeadGen Set Appointments</v>
      </c>
    </row>
    <row r="5792" hidden="1">
      <c r="A5792" s="16" t="s">
        <v>74</v>
      </c>
      <c r="B5792" s="13" t="s">
        <v>2299</v>
      </c>
      <c r="C5792" s="13" t="s">
        <v>2300</v>
      </c>
      <c r="D5792" s="15">
        <v>4.0</v>
      </c>
      <c r="E5792" s="67">
        <f t="shared" si="18"/>
        <v>1000</v>
      </c>
      <c r="F5792" s="67" t="str">
        <f t="shared" si="12"/>
        <v>4 LeadGen Set Appointments</v>
      </c>
    </row>
    <row r="5793" hidden="1">
      <c r="A5793" s="16" t="s">
        <v>74</v>
      </c>
      <c r="B5793" s="13" t="s">
        <v>1545</v>
      </c>
      <c r="C5793" s="13" t="s">
        <v>1546</v>
      </c>
      <c r="D5793" s="15">
        <v>4.0</v>
      </c>
      <c r="E5793" s="67">
        <f t="shared" si="18"/>
        <v>1000</v>
      </c>
      <c r="F5793" s="67" t="str">
        <f t="shared" si="12"/>
        <v>4 LeadGen Set Appointments</v>
      </c>
    </row>
    <row r="5794" hidden="1">
      <c r="A5794" s="16" t="s">
        <v>74</v>
      </c>
      <c r="B5794" s="13" t="s">
        <v>752</v>
      </c>
      <c r="C5794" s="13" t="s">
        <v>753</v>
      </c>
      <c r="D5794" s="15">
        <v>4.0</v>
      </c>
      <c r="E5794" s="67">
        <f t="shared" si="18"/>
        <v>1000</v>
      </c>
      <c r="F5794" s="67" t="str">
        <f t="shared" si="12"/>
        <v>4 LeadGen Set Appointments</v>
      </c>
    </row>
    <row r="5795" hidden="1">
      <c r="A5795" s="16" t="s">
        <v>74</v>
      </c>
      <c r="B5795" s="13" t="s">
        <v>2391</v>
      </c>
      <c r="C5795" s="13" t="s">
        <v>2392</v>
      </c>
      <c r="D5795" s="15">
        <v>4.0</v>
      </c>
      <c r="E5795" s="67">
        <f t="shared" si="18"/>
        <v>1000</v>
      </c>
      <c r="F5795" s="67" t="str">
        <f t="shared" si="12"/>
        <v>4 LeadGen Set Appointments</v>
      </c>
    </row>
    <row r="5796" hidden="1">
      <c r="A5796" s="16" t="s">
        <v>74</v>
      </c>
      <c r="B5796" s="13" t="s">
        <v>2179</v>
      </c>
      <c r="C5796" s="13" t="s">
        <v>2180</v>
      </c>
      <c r="D5796" s="15">
        <v>4.0</v>
      </c>
      <c r="E5796" s="67">
        <f t="shared" si="18"/>
        <v>1000</v>
      </c>
      <c r="F5796" s="67" t="str">
        <f t="shared" si="12"/>
        <v>4 LeadGen Set Appointments</v>
      </c>
    </row>
    <row r="5797" hidden="1">
      <c r="A5797" s="16" t="s">
        <v>74</v>
      </c>
      <c r="B5797" s="13" t="s">
        <v>2270</v>
      </c>
      <c r="C5797" s="13" t="s">
        <v>2271</v>
      </c>
      <c r="D5797" s="15">
        <v>4.0</v>
      </c>
      <c r="E5797" s="67">
        <f t="shared" si="18"/>
        <v>1000</v>
      </c>
      <c r="F5797" s="67" t="str">
        <f t="shared" si="12"/>
        <v>4 LeadGen Set Appointments</v>
      </c>
    </row>
    <row r="5798" hidden="1">
      <c r="A5798" s="16" t="s">
        <v>74</v>
      </c>
      <c r="B5798" s="13" t="s">
        <v>717</v>
      </c>
      <c r="C5798" s="13" t="s">
        <v>718</v>
      </c>
      <c r="D5798" s="15">
        <v>4.0</v>
      </c>
      <c r="E5798" s="67">
        <f t="shared" si="18"/>
        <v>1000</v>
      </c>
      <c r="F5798" s="67" t="str">
        <f t="shared" si="12"/>
        <v>4 LeadGen Set Appointments</v>
      </c>
    </row>
    <row r="5799" hidden="1">
      <c r="A5799" s="16" t="s">
        <v>74</v>
      </c>
      <c r="B5799" s="13" t="s">
        <v>572</v>
      </c>
      <c r="C5799" s="13" t="s">
        <v>573</v>
      </c>
      <c r="D5799" s="15">
        <v>4.0</v>
      </c>
      <c r="E5799" s="67">
        <f t="shared" si="18"/>
        <v>1000</v>
      </c>
      <c r="F5799" s="67" t="str">
        <f t="shared" si="12"/>
        <v>4 LeadGen Set Appointments</v>
      </c>
    </row>
    <row r="5800" hidden="1">
      <c r="A5800" s="16" t="s">
        <v>74</v>
      </c>
      <c r="B5800" s="13" t="s">
        <v>524</v>
      </c>
      <c r="C5800" s="13" t="s">
        <v>525</v>
      </c>
      <c r="D5800" s="15">
        <v>4.0</v>
      </c>
      <c r="E5800" s="67">
        <f t="shared" si="18"/>
        <v>1000</v>
      </c>
      <c r="F5800" s="67" t="str">
        <f t="shared" si="12"/>
        <v>4 LeadGen Set Appointments</v>
      </c>
    </row>
    <row r="5801" hidden="1">
      <c r="A5801" s="16" t="s">
        <v>74</v>
      </c>
      <c r="B5801" s="13" t="s">
        <v>1935</v>
      </c>
      <c r="C5801" s="13" t="s">
        <v>1936</v>
      </c>
      <c r="D5801" s="15">
        <v>4.0</v>
      </c>
      <c r="E5801" s="67">
        <f t="shared" si="18"/>
        <v>1000</v>
      </c>
      <c r="F5801" s="67" t="str">
        <f t="shared" si="12"/>
        <v>4 LeadGen Set Appointments</v>
      </c>
    </row>
    <row r="5802" hidden="1">
      <c r="A5802" s="16" t="s">
        <v>74</v>
      </c>
      <c r="B5802" s="13" t="s">
        <v>2268</v>
      </c>
      <c r="C5802" s="13" t="s">
        <v>2269</v>
      </c>
      <c r="D5802" s="15">
        <v>4.0</v>
      </c>
      <c r="E5802" s="67">
        <f t="shared" si="18"/>
        <v>1000</v>
      </c>
      <c r="F5802" s="67" t="str">
        <f t="shared" si="12"/>
        <v>4 LeadGen Set Appointments</v>
      </c>
    </row>
    <row r="5803" hidden="1">
      <c r="A5803" s="16" t="s">
        <v>74</v>
      </c>
      <c r="B5803" s="13" t="s">
        <v>1716</v>
      </c>
      <c r="C5803" s="13" t="s">
        <v>30</v>
      </c>
      <c r="D5803" s="15">
        <v>4.0</v>
      </c>
      <c r="E5803" s="67">
        <f t="shared" si="18"/>
        <v>1000</v>
      </c>
      <c r="F5803" s="67" t="str">
        <f t="shared" si="12"/>
        <v>4 LeadGen Set Appointments</v>
      </c>
    </row>
    <row r="5804" hidden="1">
      <c r="A5804" s="16" t="s">
        <v>74</v>
      </c>
      <c r="B5804" s="13" t="s">
        <v>1977</v>
      </c>
      <c r="C5804" s="13" t="s">
        <v>1978</v>
      </c>
      <c r="D5804" s="15">
        <v>4.0</v>
      </c>
      <c r="E5804" s="67">
        <f t="shared" si="18"/>
        <v>1000</v>
      </c>
      <c r="F5804" s="67" t="str">
        <f t="shared" si="12"/>
        <v>4 LeadGen Set Appointments</v>
      </c>
    </row>
    <row r="5805" hidden="1">
      <c r="A5805" s="16" t="s">
        <v>74</v>
      </c>
      <c r="B5805" s="13" t="s">
        <v>2248</v>
      </c>
      <c r="C5805" s="13" t="s">
        <v>2249</v>
      </c>
      <c r="D5805" s="15">
        <v>4.0</v>
      </c>
      <c r="E5805" s="67">
        <f t="shared" si="18"/>
        <v>1000</v>
      </c>
      <c r="F5805" s="67" t="str">
        <f t="shared" si="12"/>
        <v>4 LeadGen Set Appointments</v>
      </c>
    </row>
    <row r="5806" hidden="1">
      <c r="A5806" s="16" t="s">
        <v>74</v>
      </c>
      <c r="B5806" s="13" t="s">
        <v>2369</v>
      </c>
      <c r="C5806" s="13" t="s">
        <v>2370</v>
      </c>
      <c r="D5806" s="15">
        <v>4.0</v>
      </c>
      <c r="E5806" s="67">
        <f t="shared" si="18"/>
        <v>1000</v>
      </c>
      <c r="F5806" s="67" t="str">
        <f t="shared" si="12"/>
        <v>4 LeadGen Set Appointments</v>
      </c>
    </row>
    <row r="5807" hidden="1">
      <c r="A5807" s="16" t="s">
        <v>74</v>
      </c>
      <c r="B5807" s="13" t="s">
        <v>566</v>
      </c>
      <c r="C5807" s="13" t="s">
        <v>567</v>
      </c>
      <c r="D5807" s="15">
        <v>4.0</v>
      </c>
      <c r="E5807" s="67">
        <f t="shared" si="18"/>
        <v>1000</v>
      </c>
      <c r="F5807" s="67" t="str">
        <f t="shared" si="12"/>
        <v>4 LeadGen Set Appointments</v>
      </c>
    </row>
    <row r="5808" hidden="1">
      <c r="A5808" s="16" t="s">
        <v>74</v>
      </c>
      <c r="B5808" s="13" t="s">
        <v>1283</v>
      </c>
      <c r="C5808" s="13" t="s">
        <v>404</v>
      </c>
      <c r="D5808" s="15">
        <v>4.0</v>
      </c>
      <c r="E5808" s="67">
        <f t="shared" si="18"/>
        <v>1000</v>
      </c>
      <c r="F5808" s="67" t="str">
        <f t="shared" si="12"/>
        <v>4 LeadGen Set Appointments</v>
      </c>
    </row>
    <row r="5809" hidden="1">
      <c r="A5809" s="16" t="s">
        <v>74</v>
      </c>
      <c r="B5809" s="13" t="s">
        <v>606</v>
      </c>
      <c r="C5809" s="13" t="s">
        <v>607</v>
      </c>
      <c r="D5809" s="15">
        <v>3.0</v>
      </c>
      <c r="E5809" s="67">
        <f t="shared" si="18"/>
        <v>750</v>
      </c>
      <c r="F5809" s="67" t="str">
        <f t="shared" si="12"/>
        <v>3 LeadGen Set Appointments</v>
      </c>
    </row>
    <row r="5810" hidden="1">
      <c r="A5810" s="16" t="s">
        <v>74</v>
      </c>
      <c r="B5810" s="13" t="s">
        <v>447</v>
      </c>
      <c r="C5810" s="13" t="s">
        <v>448</v>
      </c>
      <c r="D5810" s="15">
        <v>3.0</v>
      </c>
      <c r="E5810" s="67">
        <f t="shared" si="18"/>
        <v>750</v>
      </c>
      <c r="F5810" s="67" t="str">
        <f t="shared" si="12"/>
        <v>3 LeadGen Set Appointments</v>
      </c>
    </row>
    <row r="5811" hidden="1">
      <c r="A5811" s="16" t="s">
        <v>74</v>
      </c>
      <c r="B5811" s="13" t="s">
        <v>1171</v>
      </c>
      <c r="C5811" s="13" t="s">
        <v>1172</v>
      </c>
      <c r="D5811" s="15">
        <v>3.0</v>
      </c>
      <c r="E5811" s="67">
        <f t="shared" si="18"/>
        <v>750</v>
      </c>
      <c r="F5811" s="67" t="str">
        <f t="shared" si="12"/>
        <v>3 LeadGen Set Appointments</v>
      </c>
    </row>
    <row r="5812" hidden="1">
      <c r="A5812" s="16" t="s">
        <v>74</v>
      </c>
      <c r="B5812" s="13" t="s">
        <v>576</v>
      </c>
      <c r="C5812" s="13" t="s">
        <v>577</v>
      </c>
      <c r="D5812" s="15">
        <v>3.0</v>
      </c>
      <c r="E5812" s="67">
        <f t="shared" si="18"/>
        <v>750</v>
      </c>
      <c r="F5812" s="67" t="str">
        <f t="shared" si="12"/>
        <v>3 LeadGen Set Appointments</v>
      </c>
    </row>
    <row r="5813" hidden="1">
      <c r="A5813" s="16" t="s">
        <v>74</v>
      </c>
      <c r="B5813" s="13" t="s">
        <v>1761</v>
      </c>
      <c r="C5813" s="13" t="s">
        <v>1762</v>
      </c>
      <c r="D5813" s="15">
        <v>3.0</v>
      </c>
      <c r="E5813" s="67">
        <f t="shared" si="18"/>
        <v>750</v>
      </c>
      <c r="F5813" s="67" t="str">
        <f t="shared" si="12"/>
        <v>3 LeadGen Set Appointments</v>
      </c>
    </row>
    <row r="5814" hidden="1">
      <c r="A5814" s="16" t="s">
        <v>74</v>
      </c>
      <c r="B5814" s="13" t="s">
        <v>2389</v>
      </c>
      <c r="C5814" s="13" t="s">
        <v>2390</v>
      </c>
      <c r="D5814" s="15">
        <v>3.0</v>
      </c>
      <c r="E5814" s="67">
        <f t="shared" si="18"/>
        <v>750</v>
      </c>
      <c r="F5814" s="67" t="str">
        <f t="shared" si="12"/>
        <v>3 LeadGen Set Appointments</v>
      </c>
    </row>
    <row r="5815" hidden="1">
      <c r="A5815" s="16" t="s">
        <v>74</v>
      </c>
      <c r="B5815" s="13" t="s">
        <v>2373</v>
      </c>
      <c r="C5815" s="13" t="s">
        <v>2374</v>
      </c>
      <c r="D5815" s="15">
        <v>3.0</v>
      </c>
      <c r="E5815" s="67">
        <f t="shared" si="18"/>
        <v>750</v>
      </c>
      <c r="F5815" s="67" t="str">
        <f t="shared" si="12"/>
        <v>3 LeadGen Set Appointments</v>
      </c>
    </row>
    <row r="5816" hidden="1">
      <c r="A5816" s="16" t="s">
        <v>74</v>
      </c>
      <c r="B5816" s="13" t="s">
        <v>546</v>
      </c>
      <c r="C5816" s="13" t="s">
        <v>547</v>
      </c>
      <c r="D5816" s="15">
        <v>3.0</v>
      </c>
      <c r="E5816" s="67">
        <f t="shared" si="18"/>
        <v>750</v>
      </c>
      <c r="F5816" s="67" t="str">
        <f t="shared" si="12"/>
        <v>3 LeadGen Set Appointments</v>
      </c>
    </row>
    <row r="5817" hidden="1">
      <c r="A5817" s="16" t="s">
        <v>74</v>
      </c>
      <c r="B5817" s="13" t="s">
        <v>684</v>
      </c>
      <c r="C5817" s="13" t="s">
        <v>685</v>
      </c>
      <c r="D5817" s="15">
        <v>3.0</v>
      </c>
      <c r="E5817" s="67">
        <f t="shared" si="18"/>
        <v>750</v>
      </c>
      <c r="F5817" s="67" t="str">
        <f t="shared" si="12"/>
        <v>3 LeadGen Set Appointments</v>
      </c>
    </row>
    <row r="5818" hidden="1">
      <c r="A5818" s="16" t="s">
        <v>74</v>
      </c>
      <c r="B5818" s="13" t="s">
        <v>431</v>
      </c>
      <c r="C5818" s="13" t="s">
        <v>432</v>
      </c>
      <c r="D5818" s="15">
        <v>3.0</v>
      </c>
      <c r="E5818" s="67">
        <f t="shared" si="18"/>
        <v>750</v>
      </c>
      <c r="F5818" s="67" t="str">
        <f t="shared" si="12"/>
        <v>3 LeadGen Set Appointments</v>
      </c>
    </row>
    <row r="5819" hidden="1">
      <c r="A5819" s="16" t="s">
        <v>74</v>
      </c>
      <c r="B5819" s="13" t="s">
        <v>2333</v>
      </c>
      <c r="C5819" s="13" t="s">
        <v>2334</v>
      </c>
      <c r="D5819" s="15">
        <v>3.0</v>
      </c>
      <c r="E5819" s="67">
        <f t="shared" si="18"/>
        <v>750</v>
      </c>
      <c r="F5819" s="67" t="str">
        <f t="shared" si="12"/>
        <v>3 LeadGen Set Appointments</v>
      </c>
    </row>
    <row r="5820" hidden="1">
      <c r="A5820" s="16" t="s">
        <v>74</v>
      </c>
      <c r="B5820" s="13" t="s">
        <v>288</v>
      </c>
      <c r="C5820" s="13" t="s">
        <v>2375</v>
      </c>
      <c r="D5820" s="15">
        <v>3.0</v>
      </c>
      <c r="E5820" s="67">
        <f t="shared" si="18"/>
        <v>750</v>
      </c>
      <c r="F5820" s="67" t="str">
        <f t="shared" si="12"/>
        <v>3 LeadGen Set Appointments</v>
      </c>
    </row>
    <row r="5821" hidden="1">
      <c r="A5821" s="16" t="s">
        <v>74</v>
      </c>
      <c r="B5821" s="13" t="s">
        <v>1334</v>
      </c>
      <c r="C5821" s="13" t="s">
        <v>553</v>
      </c>
      <c r="D5821" s="15">
        <v>3.0</v>
      </c>
      <c r="E5821" s="67">
        <f t="shared" si="18"/>
        <v>750</v>
      </c>
      <c r="F5821" s="67" t="str">
        <f t="shared" si="12"/>
        <v>3 LeadGen Set Appointments</v>
      </c>
    </row>
    <row r="5822" hidden="1">
      <c r="A5822" s="16" t="s">
        <v>74</v>
      </c>
      <c r="B5822" s="13" t="s">
        <v>1653</v>
      </c>
      <c r="C5822" s="13" t="s">
        <v>1654</v>
      </c>
      <c r="D5822" s="15">
        <v>3.0</v>
      </c>
      <c r="E5822" s="67">
        <f t="shared" si="18"/>
        <v>750</v>
      </c>
      <c r="F5822" s="67" t="str">
        <f t="shared" si="12"/>
        <v>3 LeadGen Set Appointments</v>
      </c>
    </row>
    <row r="5823" hidden="1">
      <c r="A5823" s="16" t="s">
        <v>74</v>
      </c>
      <c r="B5823" s="13" t="s">
        <v>2276</v>
      </c>
      <c r="C5823" s="13" t="s">
        <v>2277</v>
      </c>
      <c r="D5823" s="15">
        <v>3.0</v>
      </c>
      <c r="E5823" s="67">
        <f t="shared" si="18"/>
        <v>750</v>
      </c>
      <c r="F5823" s="67" t="str">
        <f t="shared" si="12"/>
        <v>3 LeadGen Set Appointments</v>
      </c>
    </row>
    <row r="5824" hidden="1">
      <c r="A5824" s="16" t="s">
        <v>74</v>
      </c>
      <c r="B5824" s="13" t="s">
        <v>1477</v>
      </c>
      <c r="C5824" s="13" t="s">
        <v>1478</v>
      </c>
      <c r="D5824" s="15">
        <v>3.0</v>
      </c>
      <c r="E5824" s="67">
        <f t="shared" si="18"/>
        <v>750</v>
      </c>
      <c r="F5824" s="67" t="str">
        <f t="shared" si="12"/>
        <v>3 LeadGen Set Appointments</v>
      </c>
    </row>
    <row r="5825" hidden="1">
      <c r="A5825" s="16" t="s">
        <v>74</v>
      </c>
      <c r="B5825" s="13" t="s">
        <v>1770</v>
      </c>
      <c r="C5825" s="13" t="s">
        <v>1771</v>
      </c>
      <c r="D5825" s="15">
        <v>3.0</v>
      </c>
      <c r="E5825" s="67">
        <f t="shared" si="18"/>
        <v>750</v>
      </c>
      <c r="F5825" s="67" t="str">
        <f t="shared" si="12"/>
        <v>3 LeadGen Set Appointments</v>
      </c>
    </row>
    <row r="5826" hidden="1">
      <c r="A5826" s="16" t="s">
        <v>74</v>
      </c>
      <c r="B5826" s="13" t="s">
        <v>262</v>
      </c>
      <c r="C5826" s="13" t="s">
        <v>290</v>
      </c>
      <c r="D5826" s="15">
        <v>3.0</v>
      </c>
      <c r="E5826" s="67">
        <f t="shared" si="18"/>
        <v>750</v>
      </c>
      <c r="F5826" s="67" t="str">
        <f t="shared" si="12"/>
        <v>3 LeadGen Set Appointments</v>
      </c>
    </row>
    <row r="5827" hidden="1">
      <c r="A5827" s="16" t="s">
        <v>74</v>
      </c>
      <c r="B5827" s="13" t="s">
        <v>1333</v>
      </c>
      <c r="C5827" s="13" t="s">
        <v>551</v>
      </c>
      <c r="D5827" s="15">
        <v>3.0</v>
      </c>
      <c r="E5827" s="67">
        <f t="shared" si="18"/>
        <v>750</v>
      </c>
      <c r="F5827" s="67" t="str">
        <f t="shared" si="12"/>
        <v>3 LeadGen Set Appointments</v>
      </c>
    </row>
    <row r="5828" hidden="1">
      <c r="A5828" s="16" t="s">
        <v>74</v>
      </c>
      <c r="B5828" s="13" t="s">
        <v>2288</v>
      </c>
      <c r="C5828" s="13" t="s">
        <v>2289</v>
      </c>
      <c r="D5828" s="15">
        <v>3.0</v>
      </c>
      <c r="E5828" s="67">
        <f t="shared" si="18"/>
        <v>750</v>
      </c>
      <c r="F5828" s="67" t="str">
        <f t="shared" si="12"/>
        <v>3 LeadGen Set Appointments</v>
      </c>
    </row>
    <row r="5829" hidden="1">
      <c r="A5829" s="16" t="s">
        <v>74</v>
      </c>
      <c r="B5829" s="13" t="s">
        <v>2058</v>
      </c>
      <c r="C5829" s="13" t="s">
        <v>2414</v>
      </c>
      <c r="D5829" s="15">
        <v>3.0</v>
      </c>
      <c r="E5829" s="67">
        <f t="shared" si="18"/>
        <v>750</v>
      </c>
      <c r="F5829" s="67" t="str">
        <f t="shared" si="12"/>
        <v>3 LeadGen Set Appointments</v>
      </c>
    </row>
    <row r="5830" hidden="1">
      <c r="A5830" s="16" t="s">
        <v>74</v>
      </c>
      <c r="B5830" s="13" t="s">
        <v>2407</v>
      </c>
      <c r="C5830" s="13" t="s">
        <v>2408</v>
      </c>
      <c r="D5830" s="15">
        <v>3.0</v>
      </c>
      <c r="E5830" s="67">
        <f t="shared" si="18"/>
        <v>750</v>
      </c>
      <c r="F5830" s="67" t="str">
        <f t="shared" si="12"/>
        <v>3 LeadGen Set Appointments</v>
      </c>
    </row>
    <row r="5831" hidden="1">
      <c r="A5831" s="16" t="s">
        <v>74</v>
      </c>
      <c r="B5831" s="13" t="s">
        <v>1960</v>
      </c>
      <c r="C5831" s="13" t="s">
        <v>1961</v>
      </c>
      <c r="D5831" s="15">
        <v>3.0</v>
      </c>
      <c r="E5831" s="67">
        <f t="shared" si="18"/>
        <v>750</v>
      </c>
      <c r="F5831" s="67" t="str">
        <f t="shared" si="12"/>
        <v>3 LeadGen Set Appointments</v>
      </c>
    </row>
    <row r="5832" hidden="1">
      <c r="A5832" s="16" t="s">
        <v>74</v>
      </c>
      <c r="B5832" s="13" t="s">
        <v>1736</v>
      </c>
      <c r="C5832" s="13" t="s">
        <v>1737</v>
      </c>
      <c r="D5832" s="15">
        <v>3.0</v>
      </c>
      <c r="E5832" s="67">
        <f t="shared" si="18"/>
        <v>750</v>
      </c>
      <c r="F5832" s="67" t="str">
        <f t="shared" si="12"/>
        <v>3 LeadGen Set Appointments</v>
      </c>
    </row>
    <row r="5833" hidden="1">
      <c r="A5833" s="16" t="s">
        <v>74</v>
      </c>
      <c r="B5833" s="13" t="s">
        <v>2371</v>
      </c>
      <c r="C5833" s="13" t="s">
        <v>2372</v>
      </c>
      <c r="D5833" s="15">
        <v>3.0</v>
      </c>
      <c r="E5833" s="67">
        <f t="shared" si="18"/>
        <v>750</v>
      </c>
      <c r="F5833" s="67" t="str">
        <f t="shared" si="12"/>
        <v>3 LeadGen Set Appointments</v>
      </c>
    </row>
    <row r="5834" hidden="1">
      <c r="A5834" s="16" t="s">
        <v>74</v>
      </c>
      <c r="B5834" s="13" t="s">
        <v>2236</v>
      </c>
      <c r="C5834" s="13" t="s">
        <v>2237</v>
      </c>
      <c r="D5834" s="15">
        <v>3.0</v>
      </c>
      <c r="E5834" s="67">
        <f t="shared" si="18"/>
        <v>750</v>
      </c>
      <c r="F5834" s="67" t="str">
        <f t="shared" si="12"/>
        <v>3 LeadGen Set Appointments</v>
      </c>
    </row>
    <row r="5835" hidden="1">
      <c r="A5835" s="16" t="s">
        <v>74</v>
      </c>
      <c r="B5835" s="13" t="s">
        <v>624</v>
      </c>
      <c r="C5835" s="13" t="s">
        <v>625</v>
      </c>
      <c r="D5835" s="15">
        <v>3.0</v>
      </c>
      <c r="E5835" s="67">
        <f t="shared" si="18"/>
        <v>750</v>
      </c>
      <c r="F5835" s="67" t="str">
        <f t="shared" si="12"/>
        <v>3 LeadGen Set Appointments</v>
      </c>
    </row>
    <row r="5836" hidden="1">
      <c r="A5836" s="16" t="s">
        <v>74</v>
      </c>
      <c r="B5836" s="13" t="s">
        <v>2207</v>
      </c>
      <c r="C5836" s="13" t="s">
        <v>2208</v>
      </c>
      <c r="D5836" s="15">
        <v>3.0</v>
      </c>
      <c r="E5836" s="67">
        <f t="shared" si="18"/>
        <v>750</v>
      </c>
      <c r="F5836" s="67" t="str">
        <f t="shared" si="12"/>
        <v>3 LeadGen Set Appointments</v>
      </c>
    </row>
    <row r="5837" hidden="1">
      <c r="A5837" s="16" t="s">
        <v>74</v>
      </c>
      <c r="B5837" s="13" t="s">
        <v>2052</v>
      </c>
      <c r="C5837" s="13" t="s">
        <v>2053</v>
      </c>
      <c r="D5837" s="15">
        <v>3.0</v>
      </c>
      <c r="E5837" s="67">
        <f t="shared" si="18"/>
        <v>750</v>
      </c>
      <c r="F5837" s="67" t="str">
        <f t="shared" si="12"/>
        <v>3 LeadGen Set Appointments</v>
      </c>
    </row>
    <row r="5838" hidden="1">
      <c r="A5838" s="16" t="s">
        <v>74</v>
      </c>
      <c r="B5838" s="13" t="s">
        <v>2264</v>
      </c>
      <c r="C5838" s="13" t="s">
        <v>2265</v>
      </c>
      <c r="D5838" s="15">
        <v>3.0</v>
      </c>
      <c r="E5838" s="67">
        <f t="shared" si="18"/>
        <v>750</v>
      </c>
      <c r="F5838" s="67" t="str">
        <f t="shared" si="12"/>
        <v>3 LeadGen Set Appointments</v>
      </c>
    </row>
    <row r="5839" hidden="1">
      <c r="A5839" s="16" t="s">
        <v>74</v>
      </c>
      <c r="B5839" s="13" t="s">
        <v>2077</v>
      </c>
      <c r="C5839" s="13" t="s">
        <v>2078</v>
      </c>
      <c r="D5839" s="15">
        <v>3.0</v>
      </c>
      <c r="E5839" s="67">
        <f t="shared" si="18"/>
        <v>750</v>
      </c>
      <c r="F5839" s="67" t="str">
        <f t="shared" si="12"/>
        <v>3 LeadGen Set Appointments</v>
      </c>
    </row>
    <row r="5840" hidden="1">
      <c r="A5840" s="16" t="s">
        <v>74</v>
      </c>
      <c r="B5840" s="13" t="s">
        <v>984</v>
      </c>
      <c r="C5840" s="13" t="s">
        <v>985</v>
      </c>
      <c r="D5840" s="15">
        <v>3.0</v>
      </c>
      <c r="E5840" s="67">
        <f t="shared" si="18"/>
        <v>750</v>
      </c>
      <c r="F5840" s="67" t="str">
        <f t="shared" si="12"/>
        <v>3 LeadGen Set Appointments</v>
      </c>
    </row>
    <row r="5841" hidden="1">
      <c r="A5841" s="16" t="s">
        <v>74</v>
      </c>
      <c r="B5841" s="13" t="s">
        <v>2139</v>
      </c>
      <c r="C5841" s="13" t="s">
        <v>2140</v>
      </c>
      <c r="D5841" s="15">
        <v>3.0</v>
      </c>
      <c r="E5841" s="67">
        <f t="shared" si="18"/>
        <v>750</v>
      </c>
      <c r="F5841" s="67" t="str">
        <f t="shared" si="12"/>
        <v>3 LeadGen Set Appointments</v>
      </c>
    </row>
    <row r="5842" hidden="1">
      <c r="A5842" s="16" t="s">
        <v>74</v>
      </c>
      <c r="B5842" s="13" t="s">
        <v>1463</v>
      </c>
      <c r="C5842" s="13" t="s">
        <v>1464</v>
      </c>
      <c r="D5842" s="15">
        <v>2.0</v>
      </c>
      <c r="E5842" s="67">
        <f t="shared" si="18"/>
        <v>500</v>
      </c>
      <c r="F5842" s="67" t="str">
        <f t="shared" si="12"/>
        <v>2 LeadGen Set Appointments</v>
      </c>
    </row>
    <row r="5843" hidden="1">
      <c r="A5843" s="16" t="s">
        <v>74</v>
      </c>
      <c r="B5843" s="13" t="s">
        <v>2415</v>
      </c>
      <c r="C5843" s="13" t="s">
        <v>2416</v>
      </c>
      <c r="D5843" s="15">
        <v>2.0</v>
      </c>
      <c r="E5843" s="67">
        <f t="shared" si="18"/>
        <v>500</v>
      </c>
      <c r="F5843" s="67" t="str">
        <f t="shared" si="12"/>
        <v>2 LeadGen Set Appointments</v>
      </c>
    </row>
    <row r="5844" hidden="1">
      <c r="A5844" s="16" t="s">
        <v>74</v>
      </c>
      <c r="B5844" s="13" t="s">
        <v>2417</v>
      </c>
      <c r="C5844" s="13" t="s">
        <v>2418</v>
      </c>
      <c r="D5844" s="15">
        <v>2.0</v>
      </c>
      <c r="E5844" s="67">
        <f t="shared" si="18"/>
        <v>500</v>
      </c>
      <c r="F5844" s="67" t="str">
        <f t="shared" si="12"/>
        <v>2 LeadGen Set Appointments</v>
      </c>
    </row>
    <row r="5845" hidden="1">
      <c r="A5845" s="16" t="s">
        <v>74</v>
      </c>
      <c r="B5845" s="13" t="s">
        <v>1583</v>
      </c>
      <c r="C5845" s="13" t="s">
        <v>1584</v>
      </c>
      <c r="D5845" s="15">
        <v>2.0</v>
      </c>
      <c r="E5845" s="67">
        <f t="shared" si="18"/>
        <v>500</v>
      </c>
      <c r="F5845" s="67" t="str">
        <f t="shared" si="12"/>
        <v>2 LeadGen Set Appointments</v>
      </c>
    </row>
    <row r="5846" hidden="1">
      <c r="A5846" s="16" t="s">
        <v>74</v>
      </c>
      <c r="B5846" s="13" t="s">
        <v>2352</v>
      </c>
      <c r="C5846" s="13" t="s">
        <v>2353</v>
      </c>
      <c r="D5846" s="15">
        <v>2.0</v>
      </c>
      <c r="E5846" s="67">
        <f t="shared" si="18"/>
        <v>500</v>
      </c>
      <c r="F5846" s="67" t="str">
        <f t="shared" si="12"/>
        <v>2 LeadGen Set Appointments</v>
      </c>
    </row>
    <row r="5847" hidden="1">
      <c r="A5847" s="16" t="s">
        <v>74</v>
      </c>
      <c r="B5847" s="13" t="s">
        <v>2419</v>
      </c>
      <c r="C5847" s="13" t="s">
        <v>2420</v>
      </c>
      <c r="D5847" s="15">
        <v>2.0</v>
      </c>
      <c r="E5847" s="67">
        <f t="shared" si="18"/>
        <v>500</v>
      </c>
      <c r="F5847" s="67" t="str">
        <f t="shared" si="12"/>
        <v>2 LeadGen Set Appointments</v>
      </c>
    </row>
    <row r="5848" hidden="1">
      <c r="A5848" s="16" t="s">
        <v>74</v>
      </c>
      <c r="B5848" s="13" t="s">
        <v>1612</v>
      </c>
      <c r="C5848" s="13" t="s">
        <v>1613</v>
      </c>
      <c r="D5848" s="15">
        <v>2.0</v>
      </c>
      <c r="E5848" s="67">
        <f t="shared" si="18"/>
        <v>500</v>
      </c>
      <c r="F5848" s="67" t="str">
        <f t="shared" si="12"/>
        <v>2 LeadGen Set Appointments</v>
      </c>
    </row>
    <row r="5849" hidden="1">
      <c r="A5849" s="16" t="s">
        <v>74</v>
      </c>
      <c r="B5849" s="13" t="s">
        <v>582</v>
      </c>
      <c r="C5849" s="13" t="s">
        <v>583</v>
      </c>
      <c r="D5849" s="15">
        <v>2.0</v>
      </c>
      <c r="E5849" s="67">
        <f t="shared" si="18"/>
        <v>500</v>
      </c>
      <c r="F5849" s="67" t="str">
        <f t="shared" si="12"/>
        <v>2 LeadGen Set Appointments</v>
      </c>
    </row>
    <row r="5850" hidden="1">
      <c r="A5850" s="16" t="s">
        <v>74</v>
      </c>
      <c r="B5850" s="13" t="s">
        <v>1724</v>
      </c>
      <c r="C5850" s="13" t="s">
        <v>1725</v>
      </c>
      <c r="D5850" s="15">
        <v>2.0</v>
      </c>
      <c r="E5850" s="67">
        <f t="shared" si="18"/>
        <v>500</v>
      </c>
      <c r="F5850" s="67" t="str">
        <f t="shared" si="12"/>
        <v>2 LeadGen Set Appointments</v>
      </c>
    </row>
    <row r="5851" hidden="1">
      <c r="A5851" s="16" t="s">
        <v>74</v>
      </c>
      <c r="B5851" s="13" t="s">
        <v>1325</v>
      </c>
      <c r="C5851" s="13" t="s">
        <v>1326</v>
      </c>
      <c r="D5851" s="15">
        <v>2.0</v>
      </c>
      <c r="E5851" s="67">
        <f t="shared" si="18"/>
        <v>500</v>
      </c>
      <c r="F5851" s="67" t="str">
        <f t="shared" si="12"/>
        <v>2 LeadGen Set Appointments</v>
      </c>
    </row>
    <row r="5852" hidden="1">
      <c r="A5852" s="16" t="s">
        <v>74</v>
      </c>
      <c r="B5852" s="13" t="s">
        <v>2384</v>
      </c>
      <c r="C5852" s="13" t="s">
        <v>2385</v>
      </c>
      <c r="D5852" s="15">
        <v>2.0</v>
      </c>
      <c r="E5852" s="67">
        <f t="shared" si="18"/>
        <v>500</v>
      </c>
      <c r="F5852" s="67" t="str">
        <f t="shared" si="12"/>
        <v>2 LeadGen Set Appointments</v>
      </c>
    </row>
    <row r="5853" hidden="1">
      <c r="A5853" s="16" t="s">
        <v>74</v>
      </c>
      <c r="B5853" s="13" t="s">
        <v>2360</v>
      </c>
      <c r="C5853" s="13" t="s">
        <v>2361</v>
      </c>
      <c r="D5853" s="15">
        <v>2.0</v>
      </c>
      <c r="E5853" s="67">
        <f t="shared" si="18"/>
        <v>500</v>
      </c>
      <c r="F5853" s="67" t="str">
        <f t="shared" si="12"/>
        <v>2 LeadGen Set Appointments</v>
      </c>
    </row>
    <row r="5854" hidden="1">
      <c r="A5854" s="16" t="s">
        <v>74</v>
      </c>
      <c r="B5854" s="13" t="s">
        <v>1825</v>
      </c>
      <c r="C5854" s="13" t="s">
        <v>2376</v>
      </c>
      <c r="D5854" s="15">
        <v>2.0</v>
      </c>
      <c r="E5854" s="67">
        <f t="shared" si="18"/>
        <v>500</v>
      </c>
      <c r="F5854" s="67" t="str">
        <f t="shared" si="12"/>
        <v>2 LeadGen Set Appointments</v>
      </c>
    </row>
    <row r="5855" hidden="1">
      <c r="A5855" s="16" t="s">
        <v>74</v>
      </c>
      <c r="B5855" s="13" t="s">
        <v>2421</v>
      </c>
      <c r="C5855" s="13" t="s">
        <v>2422</v>
      </c>
      <c r="D5855" s="15">
        <v>2.0</v>
      </c>
      <c r="E5855" s="67">
        <f t="shared" si="18"/>
        <v>500</v>
      </c>
      <c r="F5855" s="67" t="str">
        <f t="shared" si="12"/>
        <v>2 LeadGen Set Appointments</v>
      </c>
    </row>
    <row r="5856" hidden="1">
      <c r="A5856" s="16" t="s">
        <v>74</v>
      </c>
      <c r="B5856" s="13" t="s">
        <v>1955</v>
      </c>
      <c r="C5856" s="13" t="s">
        <v>1956</v>
      </c>
      <c r="D5856" s="15">
        <v>2.0</v>
      </c>
      <c r="E5856" s="67">
        <f t="shared" si="18"/>
        <v>500</v>
      </c>
      <c r="F5856" s="67" t="str">
        <f t="shared" si="12"/>
        <v>2 LeadGen Set Appointments</v>
      </c>
    </row>
    <row r="5857" hidden="1">
      <c r="A5857" s="16" t="s">
        <v>74</v>
      </c>
      <c r="B5857" s="13" t="s">
        <v>2423</v>
      </c>
      <c r="C5857" s="13" t="s">
        <v>2424</v>
      </c>
      <c r="D5857" s="15">
        <v>2.0</v>
      </c>
      <c r="E5857" s="67">
        <f t="shared" si="18"/>
        <v>500</v>
      </c>
      <c r="F5857" s="67" t="str">
        <f t="shared" si="12"/>
        <v>2 LeadGen Set Appointments</v>
      </c>
    </row>
    <row r="5858" hidden="1">
      <c r="A5858" s="16" t="s">
        <v>74</v>
      </c>
      <c r="B5858" s="13" t="s">
        <v>2345</v>
      </c>
      <c r="C5858" s="13" t="s">
        <v>2346</v>
      </c>
      <c r="D5858" s="15">
        <v>2.0</v>
      </c>
      <c r="E5858" s="67">
        <f t="shared" si="18"/>
        <v>500</v>
      </c>
      <c r="F5858" s="67" t="str">
        <f t="shared" si="12"/>
        <v>2 LeadGen Set Appointments</v>
      </c>
    </row>
    <row r="5859" hidden="1">
      <c r="A5859" s="16" t="s">
        <v>74</v>
      </c>
      <c r="B5859" s="13" t="s">
        <v>2224</v>
      </c>
      <c r="C5859" s="13" t="s">
        <v>2225</v>
      </c>
      <c r="D5859" s="15">
        <v>2.0</v>
      </c>
      <c r="E5859" s="67">
        <f t="shared" si="18"/>
        <v>500</v>
      </c>
      <c r="F5859" s="67" t="str">
        <f t="shared" si="12"/>
        <v>2 LeadGen Set Appointments</v>
      </c>
    </row>
    <row r="5860" hidden="1">
      <c r="A5860" s="16" t="s">
        <v>74</v>
      </c>
      <c r="B5860" s="13" t="s">
        <v>2081</v>
      </c>
      <c r="C5860" s="13" t="s">
        <v>2082</v>
      </c>
      <c r="D5860" s="15">
        <v>2.0</v>
      </c>
      <c r="E5860" s="67">
        <f t="shared" si="18"/>
        <v>500</v>
      </c>
      <c r="F5860" s="67" t="str">
        <f t="shared" si="12"/>
        <v>2 LeadGen Set Appointments</v>
      </c>
    </row>
    <row r="5861" hidden="1">
      <c r="A5861" s="16" t="s">
        <v>74</v>
      </c>
      <c r="B5861" s="13" t="s">
        <v>2425</v>
      </c>
      <c r="C5861" s="13" t="s">
        <v>2426</v>
      </c>
      <c r="D5861" s="15">
        <v>2.0</v>
      </c>
      <c r="E5861" s="67">
        <f t="shared" si="18"/>
        <v>500</v>
      </c>
      <c r="F5861" s="67" t="str">
        <f t="shared" si="12"/>
        <v>2 LeadGen Set Appointments</v>
      </c>
    </row>
    <row r="5862" hidden="1">
      <c r="A5862" s="16" t="s">
        <v>74</v>
      </c>
      <c r="B5862" s="13" t="s">
        <v>2409</v>
      </c>
      <c r="C5862" s="13" t="s">
        <v>2410</v>
      </c>
      <c r="D5862" s="15">
        <v>2.0</v>
      </c>
      <c r="E5862" s="67">
        <f t="shared" si="18"/>
        <v>500</v>
      </c>
      <c r="F5862" s="67" t="str">
        <f t="shared" si="12"/>
        <v>2 LeadGen Set Appointments</v>
      </c>
    </row>
    <row r="5863" hidden="1">
      <c r="A5863" s="16" t="s">
        <v>74</v>
      </c>
      <c r="B5863" s="13" t="s">
        <v>2218</v>
      </c>
      <c r="C5863" s="13" t="s">
        <v>2219</v>
      </c>
      <c r="D5863" s="15">
        <v>2.0</v>
      </c>
      <c r="E5863" s="67">
        <f t="shared" si="18"/>
        <v>500</v>
      </c>
      <c r="F5863" s="67" t="str">
        <f t="shared" si="12"/>
        <v>2 LeadGen Set Appointments</v>
      </c>
    </row>
    <row r="5864" hidden="1">
      <c r="A5864" s="16" t="s">
        <v>74</v>
      </c>
      <c r="B5864" s="13" t="s">
        <v>2113</v>
      </c>
      <c r="C5864" s="13" t="s">
        <v>2114</v>
      </c>
      <c r="D5864" s="15">
        <v>2.0</v>
      </c>
      <c r="E5864" s="67">
        <f t="shared" si="18"/>
        <v>500</v>
      </c>
      <c r="F5864" s="67" t="str">
        <f t="shared" si="12"/>
        <v>2 LeadGen Set Appointments</v>
      </c>
    </row>
    <row r="5865" hidden="1">
      <c r="A5865" s="16" t="s">
        <v>74</v>
      </c>
      <c r="B5865" s="13" t="s">
        <v>1945</v>
      </c>
      <c r="C5865" s="13" t="s">
        <v>1946</v>
      </c>
      <c r="D5865" s="15">
        <v>2.0</v>
      </c>
      <c r="E5865" s="67">
        <f t="shared" si="18"/>
        <v>500</v>
      </c>
      <c r="F5865" s="67" t="str">
        <f t="shared" si="12"/>
        <v>2 LeadGen Set Appointments</v>
      </c>
    </row>
    <row r="5866" hidden="1">
      <c r="A5866" s="16" t="s">
        <v>74</v>
      </c>
      <c r="B5866" s="13" t="s">
        <v>922</v>
      </c>
      <c r="C5866" s="13" t="s">
        <v>923</v>
      </c>
      <c r="D5866" s="15">
        <v>1.0</v>
      </c>
      <c r="E5866" s="67">
        <f t="shared" si="18"/>
        <v>250</v>
      </c>
      <c r="F5866" s="67" t="str">
        <f t="shared" si="12"/>
        <v>1 LeadGen Set Appointments</v>
      </c>
    </row>
    <row r="5867" hidden="1">
      <c r="A5867" s="16" t="s">
        <v>74</v>
      </c>
      <c r="B5867" s="13" t="s">
        <v>2397</v>
      </c>
      <c r="C5867" s="13" t="s">
        <v>2398</v>
      </c>
      <c r="D5867" s="15">
        <v>1.0</v>
      </c>
      <c r="E5867" s="67">
        <f t="shared" si="18"/>
        <v>250</v>
      </c>
      <c r="F5867" s="67" t="str">
        <f t="shared" si="12"/>
        <v>1 LeadGen Set Appointments</v>
      </c>
    </row>
    <row r="5868" hidden="1">
      <c r="A5868" s="16" t="s">
        <v>74</v>
      </c>
      <c r="B5868" s="13" t="s">
        <v>2427</v>
      </c>
      <c r="C5868" s="13" t="s">
        <v>2428</v>
      </c>
      <c r="D5868" s="15">
        <v>1.0</v>
      </c>
      <c r="E5868" s="67">
        <f t="shared" si="18"/>
        <v>250</v>
      </c>
      <c r="F5868" s="67" t="str">
        <f t="shared" si="12"/>
        <v>1 LeadGen Set Appointments</v>
      </c>
    </row>
    <row r="5869" hidden="1">
      <c r="A5869" s="16" t="s">
        <v>74</v>
      </c>
      <c r="B5869" s="13" t="s">
        <v>2212</v>
      </c>
      <c r="C5869" s="13" t="s">
        <v>2213</v>
      </c>
      <c r="D5869" s="15">
        <v>1.0</v>
      </c>
      <c r="E5869" s="67">
        <f t="shared" si="18"/>
        <v>250</v>
      </c>
      <c r="F5869" s="67" t="str">
        <f t="shared" si="12"/>
        <v>1 LeadGen Set Appointments</v>
      </c>
    </row>
    <row r="5870" hidden="1">
      <c r="A5870" s="16" t="s">
        <v>74</v>
      </c>
      <c r="B5870" s="13" t="s">
        <v>2429</v>
      </c>
      <c r="C5870" s="13" t="s">
        <v>2430</v>
      </c>
      <c r="D5870" s="15">
        <v>1.0</v>
      </c>
      <c r="E5870" s="67">
        <f t="shared" si="18"/>
        <v>250</v>
      </c>
      <c r="F5870" s="67" t="str">
        <f t="shared" si="12"/>
        <v>1 LeadGen Set Appointments</v>
      </c>
    </row>
    <row r="5871" hidden="1">
      <c r="A5871" s="16" t="s">
        <v>74</v>
      </c>
      <c r="B5871" s="13" t="s">
        <v>2350</v>
      </c>
      <c r="C5871" s="13" t="s">
        <v>2351</v>
      </c>
      <c r="D5871" s="15">
        <v>1.0</v>
      </c>
      <c r="E5871" s="67">
        <f t="shared" si="18"/>
        <v>250</v>
      </c>
      <c r="F5871" s="67" t="str">
        <f t="shared" si="12"/>
        <v>1 LeadGen Set Appointments</v>
      </c>
    </row>
    <row r="5872" hidden="1">
      <c r="A5872" s="16" t="s">
        <v>74</v>
      </c>
      <c r="B5872" s="13" t="s">
        <v>2377</v>
      </c>
      <c r="C5872" s="13" t="s">
        <v>2378</v>
      </c>
      <c r="D5872" s="15">
        <v>1.0</v>
      </c>
      <c r="E5872" s="67">
        <f t="shared" si="18"/>
        <v>250</v>
      </c>
      <c r="F5872" s="67" t="str">
        <f t="shared" si="12"/>
        <v>1 LeadGen Set Appointments</v>
      </c>
    </row>
    <row r="5873" hidden="1">
      <c r="A5873" s="16" t="s">
        <v>74</v>
      </c>
      <c r="B5873" s="13" t="s">
        <v>2431</v>
      </c>
      <c r="C5873" s="13" t="s">
        <v>2432</v>
      </c>
      <c r="D5873" s="15">
        <v>1.0</v>
      </c>
      <c r="E5873" s="67">
        <f t="shared" si="18"/>
        <v>250</v>
      </c>
      <c r="F5873" s="67" t="str">
        <f t="shared" si="12"/>
        <v>1 LeadGen Set Appointments</v>
      </c>
    </row>
    <row r="5874" hidden="1">
      <c r="A5874" s="16" t="s">
        <v>74</v>
      </c>
      <c r="B5874" s="13" t="s">
        <v>2395</v>
      </c>
      <c r="C5874" s="13" t="s">
        <v>2396</v>
      </c>
      <c r="D5874" s="15">
        <v>1.0</v>
      </c>
      <c r="E5874" s="67">
        <f t="shared" si="18"/>
        <v>250</v>
      </c>
      <c r="F5874" s="67" t="str">
        <f t="shared" si="12"/>
        <v>1 LeadGen Set Appointments</v>
      </c>
    </row>
    <row r="5875" hidden="1">
      <c r="A5875" s="16" t="s">
        <v>74</v>
      </c>
      <c r="B5875" s="13" t="s">
        <v>494</v>
      </c>
      <c r="C5875" s="13" t="s">
        <v>495</v>
      </c>
      <c r="D5875" s="15">
        <v>1.0</v>
      </c>
      <c r="E5875" s="67">
        <f t="shared" si="18"/>
        <v>250</v>
      </c>
      <c r="F5875" s="67" t="str">
        <f t="shared" si="12"/>
        <v>1 LeadGen Set Appointments</v>
      </c>
    </row>
    <row r="5876" hidden="1">
      <c r="A5876" s="16" t="s">
        <v>74</v>
      </c>
      <c r="B5876" s="13" t="s">
        <v>2393</v>
      </c>
      <c r="C5876" s="13" t="s">
        <v>2394</v>
      </c>
      <c r="D5876" s="15">
        <v>1.0</v>
      </c>
      <c r="E5876" s="67">
        <f t="shared" si="18"/>
        <v>250</v>
      </c>
      <c r="F5876" s="67" t="str">
        <f t="shared" si="12"/>
        <v>1 LeadGen Set Appointments</v>
      </c>
    </row>
    <row r="5877" hidden="1">
      <c r="A5877" s="16" t="s">
        <v>74</v>
      </c>
      <c r="B5877" s="13" t="s">
        <v>2127</v>
      </c>
      <c r="C5877" s="13" t="s">
        <v>2128</v>
      </c>
      <c r="D5877" s="15">
        <v>1.0</v>
      </c>
      <c r="E5877" s="67">
        <f t="shared" si="18"/>
        <v>250</v>
      </c>
      <c r="F5877" s="67" t="str">
        <f t="shared" si="12"/>
        <v>1 LeadGen Set Appointments</v>
      </c>
    </row>
    <row r="5878" hidden="1">
      <c r="A5878" s="16" t="s">
        <v>74</v>
      </c>
      <c r="B5878" s="13" t="s">
        <v>1393</v>
      </c>
      <c r="C5878" s="13" t="s">
        <v>1394</v>
      </c>
      <c r="D5878" s="15">
        <v>1.0</v>
      </c>
      <c r="E5878" s="67">
        <f t="shared" si="18"/>
        <v>250</v>
      </c>
      <c r="F5878" s="67" t="str">
        <f t="shared" si="12"/>
        <v>1 LeadGen Set Appointments</v>
      </c>
    </row>
    <row r="5879" hidden="1">
      <c r="A5879" s="16" t="s">
        <v>74</v>
      </c>
      <c r="B5879" s="13" t="s">
        <v>2433</v>
      </c>
      <c r="C5879" s="13" t="s">
        <v>2434</v>
      </c>
      <c r="D5879" s="15">
        <v>1.0</v>
      </c>
      <c r="E5879" s="67">
        <f t="shared" si="18"/>
        <v>250</v>
      </c>
      <c r="F5879" s="67" t="str">
        <f t="shared" si="12"/>
        <v>1 LeadGen Set Appointments</v>
      </c>
    </row>
    <row r="5880" hidden="1">
      <c r="A5880" s="16" t="s">
        <v>74</v>
      </c>
      <c r="B5880" s="13" t="s">
        <v>2100</v>
      </c>
      <c r="C5880" s="13" t="s">
        <v>2101</v>
      </c>
      <c r="D5880" s="15">
        <v>1.0</v>
      </c>
      <c r="E5880" s="67">
        <f t="shared" si="18"/>
        <v>250</v>
      </c>
      <c r="F5880" s="67" t="str">
        <f t="shared" si="12"/>
        <v>1 LeadGen Set Appointments</v>
      </c>
    </row>
    <row r="5881" hidden="1">
      <c r="A5881" s="16" t="s">
        <v>74</v>
      </c>
      <c r="B5881" s="13" t="s">
        <v>1657</v>
      </c>
      <c r="C5881" s="13" t="s">
        <v>1658</v>
      </c>
      <c r="D5881" s="15">
        <v>1.0</v>
      </c>
      <c r="E5881" s="67">
        <f t="shared" si="18"/>
        <v>250</v>
      </c>
      <c r="F5881" s="67" t="str">
        <f t="shared" si="12"/>
        <v>1 LeadGen Set Appointments</v>
      </c>
    </row>
    <row r="5882" hidden="1">
      <c r="A5882" s="16" t="s">
        <v>74</v>
      </c>
      <c r="B5882" s="13" t="s">
        <v>1317</v>
      </c>
      <c r="C5882" s="13" t="s">
        <v>2435</v>
      </c>
      <c r="D5882" s="15">
        <v>1.0</v>
      </c>
      <c r="E5882" s="67">
        <f t="shared" si="18"/>
        <v>250</v>
      </c>
      <c r="F5882" s="67" t="str">
        <f t="shared" si="12"/>
        <v>1 LeadGen Set Appointments</v>
      </c>
    </row>
    <row r="5883" hidden="1">
      <c r="A5883" s="16" t="s">
        <v>74</v>
      </c>
      <c r="B5883" s="13" t="s">
        <v>2354</v>
      </c>
      <c r="C5883" s="13" t="s">
        <v>2355</v>
      </c>
      <c r="D5883" s="15">
        <v>1.0</v>
      </c>
      <c r="E5883" s="67">
        <f t="shared" si="18"/>
        <v>250</v>
      </c>
      <c r="F5883" s="67" t="str">
        <f t="shared" si="12"/>
        <v>1 LeadGen Set Appointments</v>
      </c>
    </row>
    <row r="5884" hidden="1">
      <c r="A5884" s="16" t="s">
        <v>74</v>
      </c>
      <c r="B5884" s="13" t="s">
        <v>2286</v>
      </c>
      <c r="C5884" s="13" t="s">
        <v>2287</v>
      </c>
      <c r="D5884" s="15">
        <v>1.0</v>
      </c>
      <c r="E5884" s="67">
        <f t="shared" si="18"/>
        <v>250</v>
      </c>
      <c r="F5884" s="67" t="str">
        <f t="shared" si="12"/>
        <v>1 LeadGen Set Appointments</v>
      </c>
    </row>
    <row r="5885" hidden="1">
      <c r="A5885" s="16" t="s">
        <v>74</v>
      </c>
      <c r="B5885" s="13" t="s">
        <v>2401</v>
      </c>
      <c r="C5885" s="13" t="s">
        <v>2402</v>
      </c>
      <c r="D5885" s="15">
        <v>1.0</v>
      </c>
      <c r="E5885" s="67">
        <f t="shared" si="18"/>
        <v>250</v>
      </c>
      <c r="F5885" s="67" t="str">
        <f t="shared" si="12"/>
        <v>1 LeadGen Set Appointments</v>
      </c>
    </row>
    <row r="5886" hidden="1">
      <c r="A5886" s="16" t="s">
        <v>74</v>
      </c>
      <c r="B5886" s="13" t="s">
        <v>2020</v>
      </c>
      <c r="C5886" s="13" t="s">
        <v>2021</v>
      </c>
      <c r="D5886" s="15">
        <v>1.0</v>
      </c>
      <c r="E5886" s="67">
        <f t="shared" si="18"/>
        <v>250</v>
      </c>
      <c r="F5886" s="67" t="str">
        <f t="shared" si="12"/>
        <v>1 LeadGen Set Appointments</v>
      </c>
    </row>
    <row r="5887" hidden="1">
      <c r="A5887" s="16" t="s">
        <v>74</v>
      </c>
      <c r="B5887" s="13" t="s">
        <v>2405</v>
      </c>
      <c r="C5887" s="13" t="s">
        <v>2406</v>
      </c>
      <c r="D5887" s="15">
        <v>1.0</v>
      </c>
      <c r="E5887" s="67">
        <f t="shared" si="18"/>
        <v>250</v>
      </c>
      <c r="F5887" s="67" t="str">
        <f t="shared" si="12"/>
        <v>1 LeadGen Set Appointments</v>
      </c>
    </row>
    <row r="5888" hidden="1">
      <c r="A5888" s="16" t="s">
        <v>74</v>
      </c>
      <c r="B5888" s="13" t="s">
        <v>2290</v>
      </c>
      <c r="C5888" s="13" t="s">
        <v>2291</v>
      </c>
      <c r="D5888" s="15">
        <v>1.0</v>
      </c>
      <c r="E5888" s="67">
        <f t="shared" si="18"/>
        <v>250</v>
      </c>
      <c r="F5888" s="67" t="str">
        <f t="shared" si="12"/>
        <v>1 LeadGen Set Appointments</v>
      </c>
    </row>
    <row r="5889" hidden="1">
      <c r="A5889" s="16" t="s">
        <v>74</v>
      </c>
      <c r="B5889" s="13" t="s">
        <v>2367</v>
      </c>
      <c r="C5889" s="13" t="s">
        <v>2368</v>
      </c>
      <c r="D5889" s="15">
        <v>1.0</v>
      </c>
      <c r="E5889" s="67">
        <f t="shared" si="18"/>
        <v>250</v>
      </c>
      <c r="F5889" s="67" t="str">
        <f t="shared" si="12"/>
        <v>1 LeadGen Set Appointments</v>
      </c>
    </row>
    <row r="5890" hidden="1">
      <c r="A5890" s="16" t="s">
        <v>74</v>
      </c>
      <c r="B5890" s="13" t="s">
        <v>2436</v>
      </c>
      <c r="C5890" s="13" t="s">
        <v>2437</v>
      </c>
      <c r="D5890" s="15">
        <v>1.0</v>
      </c>
      <c r="E5890" s="67">
        <f t="shared" si="18"/>
        <v>250</v>
      </c>
      <c r="F5890" s="67" t="str">
        <f t="shared" si="12"/>
        <v>1 LeadGen Set Appointments</v>
      </c>
    </row>
    <row r="5891" hidden="1">
      <c r="A5891" s="16" t="s">
        <v>74</v>
      </c>
      <c r="B5891" s="13" t="s">
        <v>2438</v>
      </c>
      <c r="C5891" s="13" t="s">
        <v>2439</v>
      </c>
      <c r="D5891" s="15">
        <v>3.0</v>
      </c>
      <c r="E5891" s="67">
        <f t="shared" si="18"/>
        <v>750</v>
      </c>
      <c r="F5891" s="67" t="str">
        <f t="shared" si="12"/>
        <v>3 LeadGen Set Appointments</v>
      </c>
    </row>
    <row r="5892" hidden="1">
      <c r="A5892" s="16" t="s">
        <v>74</v>
      </c>
      <c r="B5892" s="13" t="s">
        <v>2440</v>
      </c>
      <c r="C5892" s="13" t="s">
        <v>2441</v>
      </c>
      <c r="D5892" s="15">
        <v>3.0</v>
      </c>
      <c r="E5892" s="67">
        <f t="shared" si="18"/>
        <v>750</v>
      </c>
      <c r="F5892" s="67" t="str">
        <f t="shared" si="12"/>
        <v>3 LeadGen Set Appointments</v>
      </c>
    </row>
    <row r="5893" hidden="1">
      <c r="A5893" s="16" t="s">
        <v>74</v>
      </c>
      <c r="B5893" s="13" t="s">
        <v>2442</v>
      </c>
      <c r="C5893" s="13" t="s">
        <v>2443</v>
      </c>
      <c r="D5893" s="15">
        <v>2.0</v>
      </c>
      <c r="E5893" s="67">
        <f t="shared" si="18"/>
        <v>500</v>
      </c>
      <c r="F5893" s="67" t="str">
        <f t="shared" si="12"/>
        <v>2 LeadGen Set Appointments</v>
      </c>
    </row>
    <row r="5894" hidden="1">
      <c r="A5894" s="6" t="s">
        <v>75</v>
      </c>
      <c r="B5894" s="13" t="s">
        <v>476</v>
      </c>
      <c r="C5894" s="13" t="s">
        <v>477</v>
      </c>
      <c r="D5894" s="15">
        <v>30.0</v>
      </c>
      <c r="E5894" s="67">
        <f t="shared" si="18"/>
        <v>15000</v>
      </c>
      <c r="F5894" s="67" t="str">
        <f t="shared" si="12"/>
        <v>30 LeadGen Set Appointments</v>
      </c>
    </row>
    <row r="5895" hidden="1">
      <c r="A5895" s="6" t="s">
        <v>75</v>
      </c>
      <c r="B5895" s="13" t="s">
        <v>540</v>
      </c>
      <c r="C5895" s="13" t="s">
        <v>541</v>
      </c>
      <c r="D5895" s="15">
        <v>27.0</v>
      </c>
      <c r="E5895" s="67">
        <f t="shared" si="18"/>
        <v>13500</v>
      </c>
      <c r="F5895" s="67" t="str">
        <f t="shared" si="12"/>
        <v>27 LeadGen Set Appointments</v>
      </c>
    </row>
    <row r="5896" hidden="1">
      <c r="A5896" s="6" t="s">
        <v>75</v>
      </c>
      <c r="B5896" s="13" t="s">
        <v>723</v>
      </c>
      <c r="C5896" s="13" t="s">
        <v>724</v>
      </c>
      <c r="D5896" s="15">
        <v>18.0</v>
      </c>
      <c r="E5896" s="67">
        <f t="shared" si="18"/>
        <v>9000</v>
      </c>
      <c r="F5896" s="67" t="str">
        <f t="shared" si="12"/>
        <v>18 LeadGen Set Appointments</v>
      </c>
    </row>
    <row r="5897" hidden="1">
      <c r="A5897" s="6" t="s">
        <v>75</v>
      </c>
      <c r="B5897" s="13" t="s">
        <v>516</v>
      </c>
      <c r="C5897" s="13" t="s">
        <v>517</v>
      </c>
      <c r="D5897" s="15">
        <v>17.0</v>
      </c>
      <c r="E5897" s="67">
        <f t="shared" si="18"/>
        <v>8500</v>
      </c>
      <c r="F5897" s="67" t="str">
        <f t="shared" si="12"/>
        <v>17 LeadGen Set Appointments</v>
      </c>
    </row>
    <row r="5898" hidden="1">
      <c r="A5898" s="6" t="s">
        <v>75</v>
      </c>
      <c r="B5898" s="13" t="s">
        <v>1471</v>
      </c>
      <c r="C5898" s="13" t="s">
        <v>1472</v>
      </c>
      <c r="D5898" s="15">
        <v>17.0</v>
      </c>
      <c r="E5898" s="67">
        <f t="shared" si="18"/>
        <v>8500</v>
      </c>
      <c r="F5898" s="67" t="str">
        <f t="shared" si="12"/>
        <v>17 LeadGen Set Appointments</v>
      </c>
    </row>
    <row r="5899" hidden="1">
      <c r="A5899" s="6" t="s">
        <v>75</v>
      </c>
      <c r="B5899" s="13" t="s">
        <v>766</v>
      </c>
      <c r="C5899" s="13" t="s">
        <v>767</v>
      </c>
      <c r="D5899" s="15">
        <v>15.0</v>
      </c>
      <c r="E5899" s="67">
        <f t="shared" si="18"/>
        <v>7500</v>
      </c>
      <c r="F5899" s="67" t="str">
        <f t="shared" si="12"/>
        <v>15 LeadGen Set Appointments</v>
      </c>
    </row>
    <row r="5900" hidden="1">
      <c r="A5900" s="6" t="s">
        <v>75</v>
      </c>
      <c r="B5900" s="13" t="s">
        <v>2220</v>
      </c>
      <c r="C5900" s="13" t="s">
        <v>2221</v>
      </c>
      <c r="D5900" s="15">
        <v>14.0</v>
      </c>
      <c r="E5900" s="67">
        <f t="shared" si="18"/>
        <v>7000</v>
      </c>
      <c r="F5900" s="67" t="str">
        <f t="shared" si="12"/>
        <v>14 LeadGen Set Appointments</v>
      </c>
    </row>
    <row r="5901" hidden="1">
      <c r="A5901" s="6" t="s">
        <v>75</v>
      </c>
      <c r="B5901" s="13" t="s">
        <v>1415</v>
      </c>
      <c r="C5901" s="13" t="s">
        <v>1416</v>
      </c>
      <c r="D5901" s="15">
        <v>13.0</v>
      </c>
      <c r="E5901" s="67">
        <f t="shared" si="18"/>
        <v>6500</v>
      </c>
      <c r="F5901" s="67" t="str">
        <f t="shared" si="12"/>
        <v>13 LeadGen Set Appointments</v>
      </c>
    </row>
    <row r="5902" hidden="1">
      <c r="A5902" s="6" t="s">
        <v>75</v>
      </c>
      <c r="B5902" s="13" t="s">
        <v>502</v>
      </c>
      <c r="C5902" s="13" t="s">
        <v>503</v>
      </c>
      <c r="D5902" s="15">
        <v>13.0</v>
      </c>
      <c r="E5902" s="67">
        <f t="shared" si="18"/>
        <v>6500</v>
      </c>
      <c r="F5902" s="67" t="str">
        <f t="shared" si="12"/>
        <v>13 LeadGen Set Appointments</v>
      </c>
    </row>
    <row r="5903" hidden="1">
      <c r="A5903" s="6" t="s">
        <v>75</v>
      </c>
      <c r="B5903" s="13" t="s">
        <v>644</v>
      </c>
      <c r="C5903" s="13" t="s">
        <v>645</v>
      </c>
      <c r="D5903" s="15">
        <v>13.0</v>
      </c>
      <c r="E5903" s="67">
        <f t="shared" si="18"/>
        <v>6500</v>
      </c>
      <c r="F5903" s="67" t="str">
        <f t="shared" si="12"/>
        <v>13 LeadGen Set Appointments</v>
      </c>
    </row>
    <row r="5904" hidden="1">
      <c r="A5904" s="6" t="s">
        <v>75</v>
      </c>
      <c r="B5904" s="13" t="s">
        <v>1491</v>
      </c>
      <c r="C5904" s="13" t="s">
        <v>1492</v>
      </c>
      <c r="D5904" s="15">
        <v>13.0</v>
      </c>
      <c r="E5904" s="67">
        <f t="shared" si="18"/>
        <v>6500</v>
      </c>
      <c r="F5904" s="67" t="str">
        <f t="shared" si="12"/>
        <v>13 LeadGen Set Appointments</v>
      </c>
    </row>
    <row r="5905" hidden="1">
      <c r="A5905" s="6" t="s">
        <v>75</v>
      </c>
      <c r="B5905" s="13" t="s">
        <v>1039</v>
      </c>
      <c r="C5905" s="13" t="s">
        <v>1040</v>
      </c>
      <c r="D5905" s="15">
        <v>13.0</v>
      </c>
      <c r="E5905" s="67">
        <f t="shared" si="18"/>
        <v>6500</v>
      </c>
      <c r="F5905" s="67" t="str">
        <f t="shared" si="12"/>
        <v>13 LeadGen Set Appointments</v>
      </c>
    </row>
    <row r="5906" hidden="1">
      <c r="A5906" s="6" t="s">
        <v>75</v>
      </c>
      <c r="B5906" s="13" t="s">
        <v>2438</v>
      </c>
      <c r="C5906" s="13" t="s">
        <v>2439</v>
      </c>
      <c r="D5906" s="15">
        <v>13.0</v>
      </c>
      <c r="E5906" s="67">
        <f t="shared" si="18"/>
        <v>6500</v>
      </c>
      <c r="F5906" s="67" t="str">
        <f t="shared" si="12"/>
        <v>13 LeadGen Set Appointments</v>
      </c>
    </row>
    <row r="5907" hidden="1">
      <c r="A5907" s="6" t="s">
        <v>75</v>
      </c>
      <c r="B5907" s="13" t="s">
        <v>1467</v>
      </c>
      <c r="C5907" s="13" t="s">
        <v>1468</v>
      </c>
      <c r="D5907" s="15">
        <v>12.0</v>
      </c>
      <c r="E5907" s="67">
        <f t="shared" si="18"/>
        <v>6000</v>
      </c>
      <c r="F5907" s="67" t="str">
        <f t="shared" si="12"/>
        <v>12 LeadGen Set Appointments</v>
      </c>
    </row>
    <row r="5908" hidden="1">
      <c r="A5908" s="6" t="s">
        <v>75</v>
      </c>
      <c r="B5908" s="13" t="s">
        <v>699</v>
      </c>
      <c r="C5908" s="13" t="s">
        <v>700</v>
      </c>
      <c r="D5908" s="15">
        <v>12.0</v>
      </c>
      <c r="E5908" s="67">
        <f t="shared" si="18"/>
        <v>6000</v>
      </c>
      <c r="F5908" s="67" t="str">
        <f t="shared" si="12"/>
        <v>12 LeadGen Set Appointments</v>
      </c>
    </row>
    <row r="5909" hidden="1">
      <c r="A5909" s="6" t="s">
        <v>75</v>
      </c>
      <c r="B5909" s="13" t="s">
        <v>2276</v>
      </c>
      <c r="C5909" s="13" t="s">
        <v>2277</v>
      </c>
      <c r="D5909" s="15">
        <v>11.0</v>
      </c>
      <c r="E5909" s="67">
        <f t="shared" si="18"/>
        <v>5500</v>
      </c>
      <c r="F5909" s="67" t="str">
        <f t="shared" si="12"/>
        <v>11 LeadGen Set Appointments</v>
      </c>
    </row>
    <row r="5910" hidden="1">
      <c r="A5910" s="6" t="s">
        <v>75</v>
      </c>
      <c r="B5910" s="13" t="s">
        <v>1157</v>
      </c>
      <c r="C5910" s="13" t="s">
        <v>1158</v>
      </c>
      <c r="D5910" s="15">
        <v>11.0</v>
      </c>
      <c r="E5910" s="67">
        <f t="shared" si="18"/>
        <v>5500</v>
      </c>
      <c r="F5910" s="67" t="str">
        <f t="shared" si="12"/>
        <v>11 LeadGen Set Appointments</v>
      </c>
    </row>
    <row r="5911" hidden="1">
      <c r="A5911" s="6" t="s">
        <v>75</v>
      </c>
      <c r="B5911" s="13" t="s">
        <v>510</v>
      </c>
      <c r="C5911" s="13" t="s">
        <v>511</v>
      </c>
      <c r="D5911" s="15">
        <v>11.0</v>
      </c>
      <c r="E5911" s="67">
        <f t="shared" si="18"/>
        <v>5500</v>
      </c>
      <c r="F5911" s="67" t="str">
        <f t="shared" si="12"/>
        <v>11 LeadGen Set Appointments</v>
      </c>
    </row>
    <row r="5912" hidden="1">
      <c r="A5912" s="6" t="s">
        <v>75</v>
      </c>
      <c r="B5912" s="13" t="s">
        <v>1865</v>
      </c>
      <c r="C5912" s="13" t="s">
        <v>1866</v>
      </c>
      <c r="D5912" s="15">
        <v>11.0</v>
      </c>
      <c r="E5912" s="67">
        <f t="shared" si="18"/>
        <v>5500</v>
      </c>
      <c r="F5912" s="67" t="str">
        <f t="shared" si="12"/>
        <v>11 LeadGen Set Appointments</v>
      </c>
    </row>
    <row r="5913" hidden="1">
      <c r="A5913" s="6" t="s">
        <v>75</v>
      </c>
      <c r="B5913" s="13" t="s">
        <v>411</v>
      </c>
      <c r="C5913" s="13" t="s">
        <v>412</v>
      </c>
      <c r="D5913" s="15">
        <v>11.0</v>
      </c>
      <c r="E5913" s="67">
        <f t="shared" si="18"/>
        <v>5500</v>
      </c>
      <c r="F5913" s="67" t="str">
        <f t="shared" si="12"/>
        <v>11 LeadGen Set Appointments</v>
      </c>
    </row>
    <row r="5914" hidden="1">
      <c r="A5914" s="6" t="s">
        <v>75</v>
      </c>
      <c r="B5914" s="13" t="s">
        <v>736</v>
      </c>
      <c r="C5914" s="13" t="s">
        <v>737</v>
      </c>
      <c r="D5914" s="15">
        <v>10.0</v>
      </c>
      <c r="E5914" s="67">
        <f t="shared" si="18"/>
        <v>5000</v>
      </c>
      <c r="F5914" s="67" t="str">
        <f t="shared" si="12"/>
        <v>10 LeadGen Set Appointments</v>
      </c>
    </row>
    <row r="5915" hidden="1">
      <c r="A5915" s="6" t="s">
        <v>75</v>
      </c>
      <c r="B5915" s="13" t="s">
        <v>1600</v>
      </c>
      <c r="C5915" s="13" t="s">
        <v>1601</v>
      </c>
      <c r="D5915" s="15">
        <v>10.0</v>
      </c>
      <c r="E5915" s="67">
        <f t="shared" si="18"/>
        <v>5000</v>
      </c>
      <c r="F5915" s="67" t="str">
        <f t="shared" si="12"/>
        <v>10 LeadGen Set Appointments</v>
      </c>
    </row>
    <row r="5916" hidden="1">
      <c r="A5916" s="6" t="s">
        <v>75</v>
      </c>
      <c r="B5916" s="13" t="s">
        <v>2444</v>
      </c>
      <c r="C5916" s="13" t="s">
        <v>2445</v>
      </c>
      <c r="D5916" s="15">
        <v>10.0</v>
      </c>
      <c r="E5916" s="67">
        <f t="shared" si="18"/>
        <v>5000</v>
      </c>
      <c r="F5916" s="67" t="str">
        <f t="shared" si="12"/>
        <v>10 LeadGen Set Appointments</v>
      </c>
    </row>
    <row r="5917" hidden="1">
      <c r="A5917" s="6" t="s">
        <v>75</v>
      </c>
      <c r="B5917" s="13" t="s">
        <v>1025</v>
      </c>
      <c r="C5917" s="13" t="s">
        <v>1026</v>
      </c>
      <c r="D5917" s="15">
        <v>10.0</v>
      </c>
      <c r="E5917" s="67">
        <f t="shared" si="18"/>
        <v>5000</v>
      </c>
      <c r="F5917" s="67" t="str">
        <f t="shared" si="12"/>
        <v>10 LeadGen Set Appointments</v>
      </c>
    </row>
    <row r="5918" hidden="1">
      <c r="A5918" s="6" t="s">
        <v>75</v>
      </c>
      <c r="B5918" s="13" t="s">
        <v>435</v>
      </c>
      <c r="C5918" s="13" t="s">
        <v>436</v>
      </c>
      <c r="D5918" s="15">
        <v>10.0</v>
      </c>
      <c r="E5918" s="67">
        <f t="shared" si="18"/>
        <v>5000</v>
      </c>
      <c r="F5918" s="67" t="str">
        <f t="shared" si="12"/>
        <v>10 LeadGen Set Appointments</v>
      </c>
    </row>
    <row r="5919" hidden="1">
      <c r="A5919" s="6" t="s">
        <v>75</v>
      </c>
      <c r="B5919" s="13" t="s">
        <v>1776</v>
      </c>
      <c r="C5919" s="13" t="s">
        <v>1777</v>
      </c>
      <c r="D5919" s="15">
        <v>10.0</v>
      </c>
      <c r="E5919" s="67">
        <f t="shared" si="18"/>
        <v>5000</v>
      </c>
      <c r="F5919" s="67" t="str">
        <f t="shared" si="12"/>
        <v>10 LeadGen Set Appointments</v>
      </c>
    </row>
    <row r="5920" hidden="1">
      <c r="A5920" s="6" t="s">
        <v>75</v>
      </c>
      <c r="B5920" s="13" t="s">
        <v>746</v>
      </c>
      <c r="C5920" s="13" t="s">
        <v>747</v>
      </c>
      <c r="D5920" s="15">
        <v>10.0</v>
      </c>
      <c r="E5920" s="67">
        <f t="shared" si="18"/>
        <v>5000</v>
      </c>
      <c r="F5920" s="67" t="str">
        <f t="shared" si="12"/>
        <v>10 LeadGen Set Appointments</v>
      </c>
    </row>
    <row r="5921" hidden="1">
      <c r="A5921" s="6" t="s">
        <v>75</v>
      </c>
      <c r="B5921" s="13" t="s">
        <v>1455</v>
      </c>
      <c r="C5921" s="13" t="s">
        <v>1456</v>
      </c>
      <c r="D5921" s="15">
        <v>9.0</v>
      </c>
      <c r="E5921" s="67">
        <f t="shared" si="18"/>
        <v>2250</v>
      </c>
      <c r="F5921" s="67" t="str">
        <f t="shared" si="12"/>
        <v>9 LeadGen Set Appointments</v>
      </c>
    </row>
    <row r="5922" hidden="1">
      <c r="A5922" s="6" t="s">
        <v>75</v>
      </c>
      <c r="B5922" s="13" t="s">
        <v>1461</v>
      </c>
      <c r="C5922" s="13" t="s">
        <v>1462</v>
      </c>
      <c r="D5922" s="15">
        <v>9.0</v>
      </c>
      <c r="E5922" s="67">
        <f t="shared" si="18"/>
        <v>2250</v>
      </c>
      <c r="F5922" s="67" t="str">
        <f t="shared" si="12"/>
        <v>9 LeadGen Set Appointments</v>
      </c>
    </row>
    <row r="5923" hidden="1">
      <c r="A5923" s="6" t="s">
        <v>75</v>
      </c>
      <c r="B5923" s="13" t="s">
        <v>1891</v>
      </c>
      <c r="C5923" s="13" t="s">
        <v>1892</v>
      </c>
      <c r="D5923" s="15">
        <v>9.0</v>
      </c>
      <c r="E5923" s="67">
        <f t="shared" si="18"/>
        <v>2250</v>
      </c>
      <c r="F5923" s="67" t="str">
        <f t="shared" si="12"/>
        <v>9 LeadGen Set Appointments</v>
      </c>
    </row>
    <row r="5924" hidden="1">
      <c r="A5924" s="6" t="s">
        <v>75</v>
      </c>
      <c r="B5924" s="13" t="s">
        <v>524</v>
      </c>
      <c r="C5924" s="13" t="s">
        <v>525</v>
      </c>
      <c r="D5924" s="15">
        <v>9.0</v>
      </c>
      <c r="E5924" s="67">
        <f t="shared" si="18"/>
        <v>2250</v>
      </c>
      <c r="F5924" s="67" t="str">
        <f t="shared" si="12"/>
        <v>9 LeadGen Set Appointments</v>
      </c>
    </row>
    <row r="5925" hidden="1">
      <c r="A5925" s="6" t="s">
        <v>75</v>
      </c>
      <c r="B5925" s="13" t="s">
        <v>2234</v>
      </c>
      <c r="C5925" s="13" t="s">
        <v>2235</v>
      </c>
      <c r="D5925" s="15">
        <v>9.0</v>
      </c>
      <c r="E5925" s="67">
        <f t="shared" si="18"/>
        <v>2250</v>
      </c>
      <c r="F5925" s="67" t="str">
        <f t="shared" si="12"/>
        <v>9 LeadGen Set Appointments</v>
      </c>
    </row>
    <row r="5926" hidden="1">
      <c r="A5926" s="6" t="s">
        <v>75</v>
      </c>
      <c r="B5926" s="13" t="s">
        <v>413</v>
      </c>
      <c r="C5926" s="13" t="s">
        <v>414</v>
      </c>
      <c r="D5926" s="15">
        <v>9.0</v>
      </c>
      <c r="E5926" s="67">
        <f t="shared" si="18"/>
        <v>2250</v>
      </c>
      <c r="F5926" s="67" t="str">
        <f t="shared" si="12"/>
        <v>9 LeadGen Set Appointments</v>
      </c>
    </row>
    <row r="5927" hidden="1">
      <c r="A5927" s="6" t="s">
        <v>75</v>
      </c>
      <c r="B5927" s="13" t="s">
        <v>1774</v>
      </c>
      <c r="C5927" s="13" t="s">
        <v>1775</v>
      </c>
      <c r="D5927" s="15">
        <v>8.0</v>
      </c>
      <c r="E5927" s="67">
        <f t="shared" si="18"/>
        <v>2000</v>
      </c>
      <c r="F5927" s="67" t="str">
        <f t="shared" si="12"/>
        <v>8 LeadGen Set Appointments</v>
      </c>
    </row>
    <row r="5928" hidden="1">
      <c r="A5928" s="6" t="s">
        <v>75</v>
      </c>
      <c r="B5928" s="13" t="s">
        <v>628</v>
      </c>
      <c r="C5928" s="13" t="s">
        <v>629</v>
      </c>
      <c r="D5928" s="15">
        <v>8.0</v>
      </c>
      <c r="E5928" s="67">
        <f t="shared" si="18"/>
        <v>2000</v>
      </c>
      <c r="F5928" s="67" t="str">
        <f t="shared" si="12"/>
        <v>8 LeadGen Set Appointments</v>
      </c>
    </row>
    <row r="5929" hidden="1">
      <c r="A5929" s="6" t="s">
        <v>75</v>
      </c>
      <c r="B5929" s="13" t="s">
        <v>1426</v>
      </c>
      <c r="C5929" s="13" t="s">
        <v>1427</v>
      </c>
      <c r="D5929" s="15">
        <v>8.0</v>
      </c>
      <c r="E5929" s="67">
        <f t="shared" si="18"/>
        <v>2000</v>
      </c>
      <c r="F5929" s="67" t="str">
        <f t="shared" si="12"/>
        <v>8 LeadGen Set Appointments</v>
      </c>
    </row>
    <row r="5930" hidden="1">
      <c r="A5930" s="6" t="s">
        <v>75</v>
      </c>
      <c r="B5930" s="13" t="s">
        <v>1489</v>
      </c>
      <c r="C5930" s="13" t="s">
        <v>1490</v>
      </c>
      <c r="D5930" s="15">
        <v>8.0</v>
      </c>
      <c r="E5930" s="67">
        <f t="shared" si="18"/>
        <v>2000</v>
      </c>
      <c r="F5930" s="67" t="str">
        <f t="shared" si="12"/>
        <v>8 LeadGen Set Appointments</v>
      </c>
    </row>
    <row r="5931" hidden="1">
      <c r="A5931" s="6" t="s">
        <v>75</v>
      </c>
      <c r="B5931" s="13" t="s">
        <v>1716</v>
      </c>
      <c r="C5931" s="13" t="s">
        <v>30</v>
      </c>
      <c r="D5931" s="15">
        <v>8.0</v>
      </c>
      <c r="E5931" s="67">
        <f t="shared" si="18"/>
        <v>2000</v>
      </c>
      <c r="F5931" s="67" t="str">
        <f t="shared" si="12"/>
        <v>8 LeadGen Set Appointments</v>
      </c>
    </row>
    <row r="5932" hidden="1">
      <c r="A5932" s="6" t="s">
        <v>75</v>
      </c>
      <c r="B5932" s="13" t="s">
        <v>1448</v>
      </c>
      <c r="C5932" s="13" t="s">
        <v>1449</v>
      </c>
      <c r="D5932" s="15">
        <v>7.0</v>
      </c>
      <c r="E5932" s="67">
        <f t="shared" si="18"/>
        <v>1750</v>
      </c>
      <c r="F5932" s="67" t="str">
        <f t="shared" si="12"/>
        <v>7 LeadGen Set Appointments</v>
      </c>
    </row>
    <row r="5933" hidden="1">
      <c r="A5933" s="6" t="s">
        <v>75</v>
      </c>
      <c r="B5933" s="13" t="s">
        <v>546</v>
      </c>
      <c r="C5933" s="13" t="s">
        <v>547</v>
      </c>
      <c r="D5933" s="15">
        <v>7.0</v>
      </c>
      <c r="E5933" s="67">
        <f t="shared" si="18"/>
        <v>1750</v>
      </c>
      <c r="F5933" s="67" t="str">
        <f t="shared" si="12"/>
        <v>7 LeadGen Set Appointments</v>
      </c>
    </row>
    <row r="5934" hidden="1">
      <c r="A5934" s="6" t="s">
        <v>75</v>
      </c>
      <c r="B5934" s="13" t="s">
        <v>1778</v>
      </c>
      <c r="C5934" s="13" t="s">
        <v>1779</v>
      </c>
      <c r="D5934" s="15">
        <v>7.0</v>
      </c>
      <c r="E5934" s="67">
        <f t="shared" si="18"/>
        <v>1750</v>
      </c>
      <c r="F5934" s="67" t="str">
        <f t="shared" si="12"/>
        <v>7 LeadGen Set Appointments</v>
      </c>
    </row>
    <row r="5935" hidden="1">
      <c r="A5935" s="6" t="s">
        <v>75</v>
      </c>
      <c r="B5935" s="13" t="s">
        <v>2270</v>
      </c>
      <c r="C5935" s="13" t="s">
        <v>2271</v>
      </c>
      <c r="D5935" s="15">
        <v>7.0</v>
      </c>
      <c r="E5935" s="67">
        <f t="shared" si="18"/>
        <v>1750</v>
      </c>
      <c r="F5935" s="67" t="str">
        <f t="shared" si="12"/>
        <v>7 LeadGen Set Appointments</v>
      </c>
    </row>
    <row r="5936" hidden="1">
      <c r="A5936" s="6" t="s">
        <v>75</v>
      </c>
      <c r="B5936" s="13" t="s">
        <v>486</v>
      </c>
      <c r="C5936" s="13" t="s">
        <v>487</v>
      </c>
      <c r="D5936" s="15">
        <v>7.0</v>
      </c>
      <c r="E5936" s="67">
        <f t="shared" si="18"/>
        <v>1750</v>
      </c>
      <c r="F5936" s="67" t="str">
        <f t="shared" si="12"/>
        <v>7 LeadGen Set Appointments</v>
      </c>
    </row>
    <row r="5937" hidden="1">
      <c r="A5937" s="6" t="s">
        <v>75</v>
      </c>
      <c r="B5937" s="13" t="s">
        <v>1960</v>
      </c>
      <c r="C5937" s="13" t="s">
        <v>1961</v>
      </c>
      <c r="D5937" s="15">
        <v>7.0</v>
      </c>
      <c r="E5937" s="67">
        <f t="shared" si="18"/>
        <v>1750</v>
      </c>
      <c r="F5937" s="67" t="str">
        <f t="shared" si="12"/>
        <v>7 LeadGen Set Appointments</v>
      </c>
    </row>
    <row r="5938" hidden="1">
      <c r="A5938" s="6" t="s">
        <v>75</v>
      </c>
      <c r="B5938" s="13" t="s">
        <v>2345</v>
      </c>
      <c r="C5938" s="13" t="s">
        <v>2346</v>
      </c>
      <c r="D5938" s="15">
        <v>7.0</v>
      </c>
      <c r="E5938" s="67">
        <f t="shared" si="18"/>
        <v>1750</v>
      </c>
      <c r="F5938" s="67" t="str">
        <f t="shared" si="12"/>
        <v>7 LeadGen Set Appointments</v>
      </c>
    </row>
    <row r="5939" hidden="1">
      <c r="A5939" s="6" t="s">
        <v>75</v>
      </c>
      <c r="B5939" s="13" t="s">
        <v>2077</v>
      </c>
      <c r="C5939" s="13" t="s">
        <v>2078</v>
      </c>
      <c r="D5939" s="15">
        <v>7.0</v>
      </c>
      <c r="E5939" s="67">
        <f t="shared" si="18"/>
        <v>1750</v>
      </c>
      <c r="F5939" s="67" t="str">
        <f t="shared" si="12"/>
        <v>7 LeadGen Set Appointments</v>
      </c>
    </row>
    <row r="5940" hidden="1">
      <c r="A5940" s="6" t="s">
        <v>75</v>
      </c>
      <c r="B5940" s="13" t="s">
        <v>2412</v>
      </c>
      <c r="C5940" s="13" t="s">
        <v>2413</v>
      </c>
      <c r="D5940" s="15">
        <v>6.0</v>
      </c>
      <c r="E5940" s="67">
        <f t="shared" si="18"/>
        <v>1500</v>
      </c>
      <c r="F5940" s="67" t="str">
        <f t="shared" si="12"/>
        <v>6 LeadGen Set Appointments</v>
      </c>
    </row>
    <row r="5941" hidden="1">
      <c r="A5941" s="6" t="s">
        <v>75</v>
      </c>
      <c r="B5941" s="13" t="s">
        <v>288</v>
      </c>
      <c r="C5941" s="13" t="s">
        <v>2375</v>
      </c>
      <c r="D5941" s="15">
        <v>6.0</v>
      </c>
      <c r="E5941" s="67">
        <f t="shared" si="18"/>
        <v>1500</v>
      </c>
      <c r="F5941" s="67" t="str">
        <f t="shared" si="12"/>
        <v>6 LeadGen Set Appointments</v>
      </c>
    </row>
    <row r="5942" hidden="1">
      <c r="A5942" s="6" t="s">
        <v>75</v>
      </c>
      <c r="B5942" s="13" t="s">
        <v>2127</v>
      </c>
      <c r="C5942" s="13" t="s">
        <v>2128</v>
      </c>
      <c r="D5942" s="15">
        <v>6.0</v>
      </c>
      <c r="E5942" s="67">
        <f t="shared" si="18"/>
        <v>1500</v>
      </c>
      <c r="F5942" s="67" t="str">
        <f t="shared" si="12"/>
        <v>6 LeadGen Set Appointments</v>
      </c>
    </row>
    <row r="5943" hidden="1">
      <c r="A5943" s="6" t="s">
        <v>75</v>
      </c>
      <c r="B5943" s="13" t="s">
        <v>1421</v>
      </c>
      <c r="C5943" s="13" t="s">
        <v>712</v>
      </c>
      <c r="D5943" s="15">
        <v>6.0</v>
      </c>
      <c r="E5943" s="67">
        <f t="shared" si="18"/>
        <v>1500</v>
      </c>
      <c r="F5943" s="67" t="str">
        <f t="shared" si="12"/>
        <v>6 LeadGen Set Appointments</v>
      </c>
    </row>
    <row r="5944" hidden="1">
      <c r="A5944" s="6" t="s">
        <v>75</v>
      </c>
      <c r="B5944" s="13" t="s">
        <v>626</v>
      </c>
      <c r="C5944" s="13" t="s">
        <v>627</v>
      </c>
      <c r="D5944" s="15">
        <v>6.0</v>
      </c>
      <c r="E5944" s="67">
        <f t="shared" si="18"/>
        <v>1500</v>
      </c>
      <c r="F5944" s="67" t="str">
        <f t="shared" si="12"/>
        <v>6 LeadGen Set Appointments</v>
      </c>
    </row>
    <row r="5945" hidden="1">
      <c r="A5945" s="6" t="s">
        <v>75</v>
      </c>
      <c r="B5945" s="13" t="s">
        <v>443</v>
      </c>
      <c r="C5945" s="13" t="s">
        <v>444</v>
      </c>
      <c r="D5945" s="15">
        <v>6.0</v>
      </c>
      <c r="E5945" s="67">
        <f t="shared" si="18"/>
        <v>1500</v>
      </c>
      <c r="F5945" s="67" t="str">
        <f t="shared" si="12"/>
        <v>6 LeadGen Set Appointments</v>
      </c>
    </row>
    <row r="5946" hidden="1">
      <c r="A5946" s="6" t="s">
        <v>75</v>
      </c>
      <c r="B5946" s="13" t="s">
        <v>1983</v>
      </c>
      <c r="C5946" s="13" t="s">
        <v>1984</v>
      </c>
      <c r="D5946" s="15">
        <v>6.0</v>
      </c>
      <c r="E5946" s="67">
        <f t="shared" si="18"/>
        <v>1500</v>
      </c>
      <c r="F5946" s="67" t="str">
        <f t="shared" si="12"/>
        <v>6 LeadGen Set Appointments</v>
      </c>
    </row>
    <row r="5947" hidden="1">
      <c r="A5947" s="6" t="s">
        <v>75</v>
      </c>
      <c r="B5947" s="13" t="s">
        <v>532</v>
      </c>
      <c r="C5947" s="13" t="s">
        <v>533</v>
      </c>
      <c r="D5947" s="15">
        <v>6.0</v>
      </c>
      <c r="E5947" s="67">
        <f t="shared" si="18"/>
        <v>1500</v>
      </c>
      <c r="F5947" s="67" t="str">
        <f t="shared" si="12"/>
        <v>6 LeadGen Set Appointments</v>
      </c>
    </row>
    <row r="5948" hidden="1">
      <c r="A5948" s="6" t="s">
        <v>75</v>
      </c>
      <c r="B5948" s="13" t="s">
        <v>1825</v>
      </c>
      <c r="C5948" s="13" t="s">
        <v>2376</v>
      </c>
      <c r="D5948" s="15">
        <v>6.0</v>
      </c>
      <c r="E5948" s="67">
        <f t="shared" si="18"/>
        <v>1500</v>
      </c>
      <c r="F5948" s="67" t="str">
        <f t="shared" si="12"/>
        <v>6 LeadGen Set Appointments</v>
      </c>
    </row>
    <row r="5949" hidden="1">
      <c r="A5949" s="6" t="s">
        <v>75</v>
      </c>
      <c r="B5949" s="13" t="s">
        <v>604</v>
      </c>
      <c r="C5949" s="13" t="s">
        <v>605</v>
      </c>
      <c r="D5949" s="15">
        <v>6.0</v>
      </c>
      <c r="E5949" s="67">
        <f t="shared" si="18"/>
        <v>1500</v>
      </c>
      <c r="F5949" s="67" t="str">
        <f t="shared" si="12"/>
        <v>6 LeadGen Set Appointments</v>
      </c>
    </row>
    <row r="5950" hidden="1">
      <c r="A5950" s="6" t="s">
        <v>75</v>
      </c>
      <c r="B5950" s="13" t="s">
        <v>624</v>
      </c>
      <c r="C5950" s="13" t="s">
        <v>625</v>
      </c>
      <c r="D5950" s="15">
        <v>6.0</v>
      </c>
      <c r="E5950" s="67">
        <f t="shared" si="18"/>
        <v>1500</v>
      </c>
      <c r="F5950" s="67" t="str">
        <f t="shared" si="12"/>
        <v>6 LeadGen Set Appointments</v>
      </c>
    </row>
    <row r="5951" hidden="1">
      <c r="A5951" s="6" t="s">
        <v>75</v>
      </c>
      <c r="B5951" s="13" t="s">
        <v>2369</v>
      </c>
      <c r="C5951" s="13" t="s">
        <v>2370</v>
      </c>
      <c r="D5951" s="15">
        <v>6.0</v>
      </c>
      <c r="E5951" s="67">
        <f t="shared" si="18"/>
        <v>1500</v>
      </c>
      <c r="F5951" s="67" t="str">
        <f t="shared" si="12"/>
        <v>6 LeadGen Set Appointments</v>
      </c>
    </row>
    <row r="5952" hidden="1">
      <c r="A5952" s="6" t="s">
        <v>75</v>
      </c>
      <c r="B5952" s="13" t="s">
        <v>542</v>
      </c>
      <c r="C5952" s="13" t="s">
        <v>543</v>
      </c>
      <c r="D5952" s="15">
        <v>5.0</v>
      </c>
      <c r="E5952" s="67">
        <f t="shared" si="18"/>
        <v>1250</v>
      </c>
      <c r="F5952" s="67" t="str">
        <f t="shared" si="12"/>
        <v>5 LeadGen Set Appointments</v>
      </c>
    </row>
    <row r="5953" hidden="1">
      <c r="A5953" s="6" t="s">
        <v>75</v>
      </c>
      <c r="B5953" s="13" t="s">
        <v>462</v>
      </c>
      <c r="C5953" s="13" t="s">
        <v>463</v>
      </c>
      <c r="D5953" s="15">
        <v>5.0</v>
      </c>
      <c r="E5953" s="67">
        <f t="shared" si="18"/>
        <v>1250</v>
      </c>
      <c r="F5953" s="67" t="str">
        <f t="shared" si="12"/>
        <v>5 LeadGen Set Appointments</v>
      </c>
    </row>
    <row r="5954" hidden="1">
      <c r="A5954" s="6" t="s">
        <v>75</v>
      </c>
      <c r="B5954" s="13" t="s">
        <v>500</v>
      </c>
      <c r="C5954" s="13" t="s">
        <v>501</v>
      </c>
      <c r="D5954" s="15">
        <v>5.0</v>
      </c>
      <c r="E5954" s="67">
        <f t="shared" si="18"/>
        <v>1250</v>
      </c>
      <c r="F5954" s="67" t="str">
        <f t="shared" si="12"/>
        <v>5 LeadGen Set Appointments</v>
      </c>
    </row>
    <row r="5955" hidden="1">
      <c r="A5955" s="6" t="s">
        <v>75</v>
      </c>
      <c r="B5955" s="13" t="s">
        <v>1893</v>
      </c>
      <c r="C5955" s="13" t="s">
        <v>1894</v>
      </c>
      <c r="D5955" s="15">
        <v>5.0</v>
      </c>
      <c r="E5955" s="67">
        <f t="shared" si="18"/>
        <v>1250</v>
      </c>
      <c r="F5955" s="67" t="str">
        <f t="shared" si="12"/>
        <v>5 LeadGen Set Appointments</v>
      </c>
    </row>
    <row r="5956" hidden="1">
      <c r="A5956" s="6" t="s">
        <v>75</v>
      </c>
      <c r="B5956" s="13" t="s">
        <v>2373</v>
      </c>
      <c r="C5956" s="13" t="s">
        <v>2374</v>
      </c>
      <c r="D5956" s="15">
        <v>5.0</v>
      </c>
      <c r="E5956" s="67">
        <f t="shared" si="18"/>
        <v>1250</v>
      </c>
      <c r="F5956" s="67" t="str">
        <f t="shared" si="12"/>
        <v>5 LeadGen Set Appointments</v>
      </c>
    </row>
    <row r="5957" hidden="1">
      <c r="A5957" s="6" t="s">
        <v>75</v>
      </c>
      <c r="B5957" s="13" t="s">
        <v>1408</v>
      </c>
      <c r="C5957" s="13" t="s">
        <v>675</v>
      </c>
      <c r="D5957" s="15">
        <v>5.0</v>
      </c>
      <c r="E5957" s="67">
        <f t="shared" si="18"/>
        <v>1250</v>
      </c>
      <c r="F5957" s="67" t="str">
        <f t="shared" si="12"/>
        <v>5 LeadGen Set Appointments</v>
      </c>
    </row>
    <row r="5958" hidden="1">
      <c r="A5958" s="6" t="s">
        <v>75</v>
      </c>
      <c r="B5958" s="13" t="s">
        <v>1334</v>
      </c>
      <c r="C5958" s="13" t="s">
        <v>553</v>
      </c>
      <c r="D5958" s="15">
        <v>5.0</v>
      </c>
      <c r="E5958" s="67">
        <f t="shared" si="18"/>
        <v>1250</v>
      </c>
      <c r="F5958" s="67" t="str">
        <f t="shared" si="12"/>
        <v>5 LeadGen Set Appointments</v>
      </c>
    </row>
    <row r="5959" hidden="1">
      <c r="A5959" s="6" t="s">
        <v>75</v>
      </c>
      <c r="B5959" s="13" t="s">
        <v>2179</v>
      </c>
      <c r="C5959" s="13" t="s">
        <v>2180</v>
      </c>
      <c r="D5959" s="15">
        <v>5.0</v>
      </c>
      <c r="E5959" s="67">
        <f t="shared" si="18"/>
        <v>1250</v>
      </c>
      <c r="F5959" s="67" t="str">
        <f t="shared" si="12"/>
        <v>5 LeadGen Set Appointments</v>
      </c>
    </row>
    <row r="5960" hidden="1">
      <c r="A5960" s="6" t="s">
        <v>75</v>
      </c>
      <c r="B5960" s="13" t="s">
        <v>717</v>
      </c>
      <c r="C5960" s="13" t="s">
        <v>718</v>
      </c>
      <c r="D5960" s="15">
        <v>5.0</v>
      </c>
      <c r="E5960" s="67">
        <f t="shared" si="18"/>
        <v>1250</v>
      </c>
      <c r="F5960" s="67" t="str">
        <f t="shared" si="12"/>
        <v>5 LeadGen Set Appointments</v>
      </c>
    </row>
    <row r="5961" hidden="1">
      <c r="A5961" s="6" t="s">
        <v>75</v>
      </c>
      <c r="B5961" s="13" t="s">
        <v>2020</v>
      </c>
      <c r="C5961" s="13" t="s">
        <v>2021</v>
      </c>
      <c r="D5961" s="15">
        <v>5.0</v>
      </c>
      <c r="E5961" s="67">
        <f t="shared" si="18"/>
        <v>1250</v>
      </c>
      <c r="F5961" s="67" t="str">
        <f t="shared" si="12"/>
        <v>5 LeadGen Set Appointments</v>
      </c>
    </row>
    <row r="5962" hidden="1">
      <c r="A5962" s="6" t="s">
        <v>75</v>
      </c>
      <c r="B5962" s="13" t="s">
        <v>2058</v>
      </c>
      <c r="C5962" s="13" t="s">
        <v>2414</v>
      </c>
      <c r="D5962" s="15">
        <v>5.0</v>
      </c>
      <c r="E5962" s="67">
        <f t="shared" si="18"/>
        <v>1250</v>
      </c>
      <c r="F5962" s="67" t="str">
        <f t="shared" si="12"/>
        <v>5 LeadGen Set Appointments</v>
      </c>
    </row>
    <row r="5963" hidden="1">
      <c r="A5963" s="6" t="s">
        <v>75</v>
      </c>
      <c r="B5963" s="13" t="s">
        <v>518</v>
      </c>
      <c r="C5963" s="13" t="s">
        <v>519</v>
      </c>
      <c r="D5963" s="15">
        <v>5.0</v>
      </c>
      <c r="E5963" s="67">
        <f t="shared" si="18"/>
        <v>1250</v>
      </c>
      <c r="F5963" s="67" t="str">
        <f t="shared" si="12"/>
        <v>5 LeadGen Set Appointments</v>
      </c>
    </row>
    <row r="5964" hidden="1">
      <c r="A5964" s="6" t="s">
        <v>75</v>
      </c>
      <c r="B5964" s="13" t="s">
        <v>1442</v>
      </c>
      <c r="C5964" s="13" t="s">
        <v>749</v>
      </c>
      <c r="D5964" s="15">
        <v>5.0</v>
      </c>
      <c r="E5964" s="67">
        <f t="shared" si="18"/>
        <v>1250</v>
      </c>
      <c r="F5964" s="67" t="str">
        <f t="shared" si="12"/>
        <v>5 LeadGen Set Appointments</v>
      </c>
    </row>
    <row r="5965" hidden="1">
      <c r="A5965" s="6" t="s">
        <v>75</v>
      </c>
      <c r="B5965" s="13" t="s">
        <v>1493</v>
      </c>
      <c r="C5965" s="13" t="s">
        <v>1494</v>
      </c>
      <c r="D5965" s="15">
        <v>5.0</v>
      </c>
      <c r="E5965" s="67">
        <f t="shared" si="18"/>
        <v>1250</v>
      </c>
      <c r="F5965" s="67" t="str">
        <f t="shared" si="12"/>
        <v>5 LeadGen Set Appointments</v>
      </c>
    </row>
    <row r="5966" hidden="1">
      <c r="A5966" s="6" t="s">
        <v>75</v>
      </c>
      <c r="B5966" s="13" t="s">
        <v>1463</v>
      </c>
      <c r="C5966" s="13" t="s">
        <v>1464</v>
      </c>
      <c r="D5966" s="15">
        <v>4.0</v>
      </c>
      <c r="E5966" s="67">
        <f t="shared" si="18"/>
        <v>1000</v>
      </c>
      <c r="F5966" s="67" t="str">
        <f t="shared" si="12"/>
        <v>4 LeadGen Set Appointments</v>
      </c>
    </row>
    <row r="5967" hidden="1">
      <c r="A5967" s="6" t="s">
        <v>75</v>
      </c>
      <c r="B5967" s="13" t="s">
        <v>447</v>
      </c>
      <c r="C5967" s="13" t="s">
        <v>448</v>
      </c>
      <c r="D5967" s="15">
        <v>4.0</v>
      </c>
      <c r="E5967" s="67">
        <f t="shared" si="18"/>
        <v>1000</v>
      </c>
      <c r="F5967" s="67" t="str">
        <f t="shared" si="12"/>
        <v>4 LeadGen Set Appointments</v>
      </c>
    </row>
    <row r="5968" hidden="1">
      <c r="A5968" s="6" t="s">
        <v>75</v>
      </c>
      <c r="B5968" s="13" t="s">
        <v>1171</v>
      </c>
      <c r="C5968" s="13" t="s">
        <v>1172</v>
      </c>
      <c r="D5968" s="15">
        <v>4.0</v>
      </c>
      <c r="E5968" s="67">
        <f t="shared" si="18"/>
        <v>1000</v>
      </c>
      <c r="F5968" s="67" t="str">
        <f t="shared" si="12"/>
        <v>4 LeadGen Set Appointments</v>
      </c>
    </row>
    <row r="5969" hidden="1">
      <c r="A5969" s="6" t="s">
        <v>75</v>
      </c>
      <c r="B5969" s="13" t="s">
        <v>2415</v>
      </c>
      <c r="C5969" s="13" t="s">
        <v>2416</v>
      </c>
      <c r="D5969" s="15">
        <v>4.0</v>
      </c>
      <c r="E5969" s="67">
        <f t="shared" si="18"/>
        <v>1000</v>
      </c>
      <c r="F5969" s="67" t="str">
        <f t="shared" si="12"/>
        <v>4 LeadGen Set Appointments</v>
      </c>
    </row>
    <row r="5970" hidden="1">
      <c r="A5970" s="6" t="s">
        <v>75</v>
      </c>
      <c r="B5970" s="13" t="s">
        <v>576</v>
      </c>
      <c r="C5970" s="13" t="s">
        <v>577</v>
      </c>
      <c r="D5970" s="15">
        <v>4.0</v>
      </c>
      <c r="E5970" s="67">
        <f t="shared" si="18"/>
        <v>1000</v>
      </c>
      <c r="F5970" s="67" t="str">
        <f t="shared" si="12"/>
        <v>4 LeadGen Set Appointments</v>
      </c>
    </row>
    <row r="5971" hidden="1">
      <c r="A5971" s="6" t="s">
        <v>75</v>
      </c>
      <c r="B5971" s="13" t="s">
        <v>2389</v>
      </c>
      <c r="C5971" s="13" t="s">
        <v>2390</v>
      </c>
      <c r="D5971" s="15">
        <v>4.0</v>
      </c>
      <c r="E5971" s="67">
        <f t="shared" si="18"/>
        <v>1000</v>
      </c>
      <c r="F5971" s="67" t="str">
        <f t="shared" si="12"/>
        <v>4 LeadGen Set Appointments</v>
      </c>
    </row>
    <row r="5972" hidden="1">
      <c r="A5972" s="6" t="s">
        <v>75</v>
      </c>
      <c r="B5972" s="13" t="s">
        <v>684</v>
      </c>
      <c r="C5972" s="13" t="s">
        <v>685</v>
      </c>
      <c r="D5972" s="15">
        <v>4.0</v>
      </c>
      <c r="E5972" s="67">
        <f t="shared" si="18"/>
        <v>1000</v>
      </c>
      <c r="F5972" s="67" t="str">
        <f t="shared" si="12"/>
        <v>4 LeadGen Set Appointments</v>
      </c>
    </row>
    <row r="5973" hidden="1">
      <c r="A5973" s="6" t="s">
        <v>75</v>
      </c>
      <c r="B5973" s="13" t="s">
        <v>1547</v>
      </c>
      <c r="C5973" s="13" t="s">
        <v>1548</v>
      </c>
      <c r="D5973" s="15">
        <v>4.0</v>
      </c>
      <c r="E5973" s="67">
        <f t="shared" si="18"/>
        <v>1000</v>
      </c>
      <c r="F5973" s="67" t="str">
        <f t="shared" si="12"/>
        <v>4 LeadGen Set Appointments</v>
      </c>
    </row>
    <row r="5974" hidden="1">
      <c r="A5974" s="6" t="s">
        <v>75</v>
      </c>
      <c r="B5974" s="13" t="s">
        <v>1510</v>
      </c>
      <c r="C5974" s="13" t="s">
        <v>1511</v>
      </c>
      <c r="D5974" s="15">
        <v>4.0</v>
      </c>
      <c r="E5974" s="67">
        <f t="shared" si="18"/>
        <v>1000</v>
      </c>
      <c r="F5974" s="67" t="str">
        <f t="shared" si="12"/>
        <v>4 LeadGen Set Appointments</v>
      </c>
    </row>
    <row r="5975" hidden="1">
      <c r="A5975" s="6" t="s">
        <v>75</v>
      </c>
      <c r="B5975" s="13" t="s">
        <v>1653</v>
      </c>
      <c r="C5975" s="13" t="s">
        <v>1654</v>
      </c>
      <c r="D5975" s="15">
        <v>4.0</v>
      </c>
      <c r="E5975" s="67">
        <f t="shared" si="18"/>
        <v>1000</v>
      </c>
      <c r="F5975" s="67" t="str">
        <f t="shared" si="12"/>
        <v>4 LeadGen Set Appointments</v>
      </c>
    </row>
    <row r="5976" hidden="1">
      <c r="A5976" s="6" t="s">
        <v>75</v>
      </c>
      <c r="B5976" s="13" t="s">
        <v>693</v>
      </c>
      <c r="C5976" s="13" t="s">
        <v>694</v>
      </c>
      <c r="D5976" s="15">
        <v>4.0</v>
      </c>
      <c r="E5976" s="67">
        <f t="shared" si="18"/>
        <v>1000</v>
      </c>
      <c r="F5976" s="67" t="str">
        <f t="shared" si="12"/>
        <v>4 LeadGen Set Appointments</v>
      </c>
    </row>
    <row r="5977" hidden="1">
      <c r="A5977" s="6" t="s">
        <v>75</v>
      </c>
      <c r="B5977" s="13" t="s">
        <v>1724</v>
      </c>
      <c r="C5977" s="13" t="s">
        <v>1725</v>
      </c>
      <c r="D5977" s="15">
        <v>4.0</v>
      </c>
      <c r="E5977" s="67">
        <f t="shared" si="18"/>
        <v>1000</v>
      </c>
      <c r="F5977" s="67" t="str">
        <f t="shared" si="12"/>
        <v>4 LeadGen Set Appointments</v>
      </c>
    </row>
    <row r="5978" hidden="1">
      <c r="A5978" s="6" t="s">
        <v>75</v>
      </c>
      <c r="B5978" s="13" t="s">
        <v>572</v>
      </c>
      <c r="C5978" s="13" t="s">
        <v>573</v>
      </c>
      <c r="D5978" s="15">
        <v>4.0</v>
      </c>
      <c r="E5978" s="67">
        <f t="shared" si="18"/>
        <v>1000</v>
      </c>
      <c r="F5978" s="67" t="str">
        <f t="shared" si="12"/>
        <v>4 LeadGen Set Appointments</v>
      </c>
    </row>
    <row r="5979" hidden="1">
      <c r="A5979" s="6" t="s">
        <v>75</v>
      </c>
      <c r="B5979" s="13" t="s">
        <v>2236</v>
      </c>
      <c r="C5979" s="13" t="s">
        <v>2237</v>
      </c>
      <c r="D5979" s="15">
        <v>4.0</v>
      </c>
      <c r="E5979" s="67">
        <f t="shared" si="18"/>
        <v>1000</v>
      </c>
      <c r="F5979" s="67" t="str">
        <f t="shared" si="12"/>
        <v>4 LeadGen Set Appointments</v>
      </c>
    </row>
    <row r="5980" hidden="1">
      <c r="A5980" s="6" t="s">
        <v>75</v>
      </c>
      <c r="B5980" s="13" t="s">
        <v>910</v>
      </c>
      <c r="C5980" s="13" t="s">
        <v>911</v>
      </c>
      <c r="D5980" s="15">
        <v>4.0</v>
      </c>
      <c r="E5980" s="67">
        <f t="shared" si="18"/>
        <v>1000</v>
      </c>
      <c r="F5980" s="67" t="str">
        <f t="shared" si="12"/>
        <v>4 LeadGen Set Appointments</v>
      </c>
    </row>
    <row r="5981" hidden="1">
      <c r="A5981" s="6" t="s">
        <v>75</v>
      </c>
      <c r="B5981" s="13" t="s">
        <v>1977</v>
      </c>
      <c r="C5981" s="13" t="s">
        <v>1978</v>
      </c>
      <c r="D5981" s="15">
        <v>4.0</v>
      </c>
      <c r="E5981" s="67">
        <f t="shared" si="18"/>
        <v>1000</v>
      </c>
      <c r="F5981" s="67" t="str">
        <f t="shared" si="12"/>
        <v>4 LeadGen Set Appointments</v>
      </c>
    </row>
    <row r="5982" hidden="1">
      <c r="A5982" s="6" t="s">
        <v>75</v>
      </c>
      <c r="B5982" s="13" t="s">
        <v>2425</v>
      </c>
      <c r="C5982" s="13" t="s">
        <v>2426</v>
      </c>
      <c r="D5982" s="15">
        <v>4.0</v>
      </c>
      <c r="E5982" s="67">
        <f t="shared" si="18"/>
        <v>1000</v>
      </c>
      <c r="F5982" s="67" t="str">
        <f t="shared" si="12"/>
        <v>4 LeadGen Set Appointments</v>
      </c>
    </row>
    <row r="5983" hidden="1">
      <c r="A5983" s="6" t="s">
        <v>75</v>
      </c>
      <c r="B5983" s="13" t="s">
        <v>258</v>
      </c>
      <c r="C5983" s="13" t="s">
        <v>2386</v>
      </c>
      <c r="D5983" s="15">
        <v>4.0</v>
      </c>
      <c r="E5983" s="67">
        <f t="shared" si="18"/>
        <v>1000</v>
      </c>
      <c r="F5983" s="67" t="str">
        <f t="shared" si="12"/>
        <v>4 LeadGen Set Appointments</v>
      </c>
    </row>
    <row r="5984" hidden="1">
      <c r="A5984" s="6" t="s">
        <v>75</v>
      </c>
      <c r="B5984" s="13" t="s">
        <v>701</v>
      </c>
      <c r="C5984" s="13" t="s">
        <v>702</v>
      </c>
      <c r="D5984" s="15">
        <v>4.0</v>
      </c>
      <c r="E5984" s="67">
        <f t="shared" si="18"/>
        <v>1000</v>
      </c>
      <c r="F5984" s="67" t="str">
        <f t="shared" si="12"/>
        <v>4 LeadGen Set Appointments</v>
      </c>
    </row>
    <row r="5985" hidden="1">
      <c r="A5985" s="6" t="s">
        <v>75</v>
      </c>
      <c r="B5985" s="13" t="s">
        <v>2442</v>
      </c>
      <c r="C5985" s="13" t="s">
        <v>2443</v>
      </c>
      <c r="D5985" s="15">
        <v>4.0</v>
      </c>
      <c r="E5985" s="67">
        <f t="shared" si="18"/>
        <v>1000</v>
      </c>
      <c r="F5985" s="67" t="str">
        <f t="shared" si="12"/>
        <v>4 LeadGen Set Appointments</v>
      </c>
    </row>
    <row r="5986" hidden="1">
      <c r="A5986" s="6" t="s">
        <v>75</v>
      </c>
      <c r="B5986" s="13" t="s">
        <v>2185</v>
      </c>
      <c r="C5986" s="13" t="s">
        <v>2186</v>
      </c>
      <c r="D5986" s="15">
        <v>4.0</v>
      </c>
      <c r="E5986" s="67">
        <f t="shared" si="18"/>
        <v>1000</v>
      </c>
      <c r="F5986" s="67" t="str">
        <f t="shared" si="12"/>
        <v>4 LeadGen Set Appointments</v>
      </c>
    </row>
    <row r="5987" hidden="1">
      <c r="A5987" s="6" t="s">
        <v>75</v>
      </c>
      <c r="B5987" s="13" t="s">
        <v>1283</v>
      </c>
      <c r="C5987" s="13" t="s">
        <v>404</v>
      </c>
      <c r="D5987" s="15">
        <v>4.0</v>
      </c>
      <c r="E5987" s="67">
        <f t="shared" si="18"/>
        <v>1000</v>
      </c>
      <c r="F5987" s="67" t="str">
        <f t="shared" si="12"/>
        <v>4 LeadGen Set Appointments</v>
      </c>
    </row>
    <row r="5988" hidden="1">
      <c r="A5988" s="6" t="s">
        <v>75</v>
      </c>
      <c r="B5988" s="13" t="s">
        <v>1457</v>
      </c>
      <c r="C5988" s="13" t="s">
        <v>2411</v>
      </c>
      <c r="D5988" s="15">
        <v>4.0</v>
      </c>
      <c r="E5988" s="67">
        <f t="shared" si="18"/>
        <v>1000</v>
      </c>
      <c r="F5988" s="67" t="str">
        <f t="shared" si="12"/>
        <v>4 LeadGen Set Appointments</v>
      </c>
    </row>
    <row r="5989" hidden="1">
      <c r="A5989" s="6" t="s">
        <v>75</v>
      </c>
      <c r="B5989" s="13" t="s">
        <v>2397</v>
      </c>
      <c r="C5989" s="13" t="s">
        <v>2398</v>
      </c>
      <c r="D5989" s="15">
        <v>3.0</v>
      </c>
      <c r="E5989" s="67">
        <f t="shared" si="18"/>
        <v>750</v>
      </c>
      <c r="F5989" s="67" t="str">
        <f t="shared" si="12"/>
        <v>3 LeadGen Set Appointments</v>
      </c>
    </row>
    <row r="5990" hidden="1">
      <c r="A5990" s="6" t="s">
        <v>75</v>
      </c>
      <c r="B5990" s="13" t="s">
        <v>2212</v>
      </c>
      <c r="C5990" s="13" t="s">
        <v>2213</v>
      </c>
      <c r="D5990" s="15">
        <v>3.0</v>
      </c>
      <c r="E5990" s="67">
        <f t="shared" si="18"/>
        <v>750</v>
      </c>
      <c r="F5990" s="67" t="str">
        <f t="shared" si="12"/>
        <v>3 LeadGen Set Appointments</v>
      </c>
    </row>
    <row r="5991" hidden="1">
      <c r="A5991" s="6" t="s">
        <v>75</v>
      </c>
      <c r="B5991" s="13" t="s">
        <v>744</v>
      </c>
      <c r="C5991" s="13" t="s">
        <v>745</v>
      </c>
      <c r="D5991" s="15">
        <v>3.0</v>
      </c>
      <c r="E5991" s="67">
        <f t="shared" si="18"/>
        <v>750</v>
      </c>
      <c r="F5991" s="67" t="str">
        <f t="shared" si="12"/>
        <v>3 LeadGen Set Appointments</v>
      </c>
    </row>
    <row r="5992" hidden="1">
      <c r="A5992" s="6" t="s">
        <v>75</v>
      </c>
      <c r="B5992" s="13" t="s">
        <v>1579</v>
      </c>
      <c r="C5992" s="13" t="s">
        <v>1580</v>
      </c>
      <c r="D5992" s="15">
        <v>3.0</v>
      </c>
      <c r="E5992" s="67">
        <f t="shared" si="18"/>
        <v>750</v>
      </c>
      <c r="F5992" s="67" t="str">
        <f t="shared" si="12"/>
        <v>3 LeadGen Set Appointments</v>
      </c>
    </row>
    <row r="5993" hidden="1">
      <c r="A5993" s="6" t="s">
        <v>75</v>
      </c>
      <c r="B5993" s="13" t="s">
        <v>2446</v>
      </c>
      <c r="C5993" s="13" t="s">
        <v>2447</v>
      </c>
      <c r="D5993" s="15">
        <v>3.0</v>
      </c>
      <c r="E5993" s="67">
        <f t="shared" si="18"/>
        <v>750</v>
      </c>
      <c r="F5993" s="67" t="str">
        <f t="shared" si="12"/>
        <v>3 LeadGen Set Appointments</v>
      </c>
    </row>
    <row r="5994" hidden="1">
      <c r="A5994" s="6" t="s">
        <v>75</v>
      </c>
      <c r="B5994" s="13" t="s">
        <v>1957</v>
      </c>
      <c r="C5994" s="13" t="s">
        <v>1958</v>
      </c>
      <c r="D5994" s="15">
        <v>3.0</v>
      </c>
      <c r="E5994" s="67">
        <f t="shared" si="18"/>
        <v>750</v>
      </c>
      <c r="F5994" s="67" t="str">
        <f t="shared" si="12"/>
        <v>3 LeadGen Set Appointments</v>
      </c>
    </row>
    <row r="5995" hidden="1">
      <c r="A5995" s="6" t="s">
        <v>75</v>
      </c>
      <c r="B5995" s="13" t="s">
        <v>1543</v>
      </c>
      <c r="C5995" s="13" t="s">
        <v>1544</v>
      </c>
      <c r="D5995" s="15">
        <v>3.0</v>
      </c>
      <c r="E5995" s="67">
        <f t="shared" si="18"/>
        <v>750</v>
      </c>
      <c r="F5995" s="67" t="str">
        <f t="shared" si="12"/>
        <v>3 LeadGen Set Appointments</v>
      </c>
    </row>
    <row r="5996" hidden="1">
      <c r="A5996" s="6" t="s">
        <v>75</v>
      </c>
      <c r="B5996" s="13" t="s">
        <v>1545</v>
      </c>
      <c r="C5996" s="13" t="s">
        <v>1546</v>
      </c>
      <c r="D5996" s="15">
        <v>3.0</v>
      </c>
      <c r="E5996" s="67">
        <f t="shared" si="18"/>
        <v>750</v>
      </c>
      <c r="F5996" s="67" t="str">
        <f t="shared" si="12"/>
        <v>3 LeadGen Set Appointments</v>
      </c>
    </row>
    <row r="5997" hidden="1">
      <c r="A5997" s="6" t="s">
        <v>75</v>
      </c>
      <c r="B5997" s="13" t="s">
        <v>560</v>
      </c>
      <c r="C5997" s="13" t="s">
        <v>561</v>
      </c>
      <c r="D5997" s="15">
        <v>3.0</v>
      </c>
      <c r="E5997" s="67">
        <f t="shared" si="18"/>
        <v>750</v>
      </c>
      <c r="F5997" s="67" t="str">
        <f t="shared" si="12"/>
        <v>3 LeadGen Set Appointments</v>
      </c>
    </row>
    <row r="5998" hidden="1">
      <c r="A5998" s="6" t="s">
        <v>75</v>
      </c>
      <c r="B5998" s="13" t="s">
        <v>752</v>
      </c>
      <c r="C5998" s="13" t="s">
        <v>753</v>
      </c>
      <c r="D5998" s="15">
        <v>3.0</v>
      </c>
      <c r="E5998" s="67">
        <f t="shared" si="18"/>
        <v>750</v>
      </c>
      <c r="F5998" s="67" t="str">
        <f t="shared" si="12"/>
        <v>3 LeadGen Set Appointments</v>
      </c>
    </row>
    <row r="5999" hidden="1">
      <c r="A5999" s="6" t="s">
        <v>75</v>
      </c>
      <c r="B5999" s="13" t="s">
        <v>1583</v>
      </c>
      <c r="C5999" s="13" t="s">
        <v>1584</v>
      </c>
      <c r="D5999" s="15">
        <v>3.0</v>
      </c>
      <c r="E5999" s="67">
        <f t="shared" si="18"/>
        <v>750</v>
      </c>
      <c r="F5999" s="67" t="str">
        <f t="shared" si="12"/>
        <v>3 LeadGen Set Appointments</v>
      </c>
    </row>
    <row r="6000" hidden="1">
      <c r="A6000" s="6" t="s">
        <v>75</v>
      </c>
      <c r="B6000" s="13" t="s">
        <v>1770</v>
      </c>
      <c r="C6000" s="13" t="s">
        <v>1771</v>
      </c>
      <c r="D6000" s="15">
        <v>3.0</v>
      </c>
      <c r="E6000" s="67">
        <f t="shared" si="18"/>
        <v>750</v>
      </c>
      <c r="F6000" s="67" t="str">
        <f t="shared" si="12"/>
        <v>3 LeadGen Set Appointments</v>
      </c>
    </row>
    <row r="6001" hidden="1">
      <c r="A6001" s="6" t="s">
        <v>75</v>
      </c>
      <c r="B6001" s="13" t="s">
        <v>1393</v>
      </c>
      <c r="C6001" s="13" t="s">
        <v>1394</v>
      </c>
      <c r="D6001" s="15">
        <v>3.0</v>
      </c>
      <c r="E6001" s="67">
        <f t="shared" si="18"/>
        <v>750</v>
      </c>
      <c r="F6001" s="67" t="str">
        <f t="shared" si="12"/>
        <v>3 LeadGen Set Appointments</v>
      </c>
    </row>
    <row r="6002" hidden="1">
      <c r="A6002" s="6" t="s">
        <v>75</v>
      </c>
      <c r="B6002" s="13" t="s">
        <v>1325</v>
      </c>
      <c r="C6002" s="13" t="s">
        <v>1326</v>
      </c>
      <c r="D6002" s="15">
        <v>3.0</v>
      </c>
      <c r="E6002" s="67">
        <f t="shared" si="18"/>
        <v>750</v>
      </c>
      <c r="F6002" s="67" t="str">
        <f t="shared" si="12"/>
        <v>3 LeadGen Set Appointments</v>
      </c>
    </row>
    <row r="6003" hidden="1">
      <c r="A6003" s="6" t="s">
        <v>75</v>
      </c>
      <c r="B6003" s="13" t="s">
        <v>242</v>
      </c>
      <c r="C6003" s="13" t="s">
        <v>1887</v>
      </c>
      <c r="D6003" s="15">
        <v>3.0</v>
      </c>
      <c r="E6003" s="67">
        <f t="shared" si="18"/>
        <v>750</v>
      </c>
      <c r="F6003" s="67" t="str">
        <f t="shared" si="12"/>
        <v>3 LeadGen Set Appointments</v>
      </c>
    </row>
    <row r="6004" hidden="1">
      <c r="A6004" s="6" t="s">
        <v>75</v>
      </c>
      <c r="B6004" s="13" t="s">
        <v>1333</v>
      </c>
      <c r="C6004" s="13" t="s">
        <v>551</v>
      </c>
      <c r="D6004" s="15">
        <v>3.0</v>
      </c>
      <c r="E6004" s="67">
        <f t="shared" si="18"/>
        <v>750</v>
      </c>
      <c r="F6004" s="67" t="str">
        <f t="shared" si="12"/>
        <v>3 LeadGen Set Appointments</v>
      </c>
    </row>
    <row r="6005" hidden="1">
      <c r="A6005" s="6" t="s">
        <v>75</v>
      </c>
      <c r="B6005" s="13" t="s">
        <v>656</v>
      </c>
      <c r="C6005" s="13" t="s">
        <v>657</v>
      </c>
      <c r="D6005" s="15">
        <v>3.0</v>
      </c>
      <c r="E6005" s="67">
        <f t="shared" si="18"/>
        <v>750</v>
      </c>
      <c r="F6005" s="67" t="str">
        <f t="shared" si="12"/>
        <v>3 LeadGen Set Appointments</v>
      </c>
    </row>
    <row r="6006" hidden="1">
      <c r="A6006" s="6" t="s">
        <v>75</v>
      </c>
      <c r="B6006" s="13" t="s">
        <v>2384</v>
      </c>
      <c r="C6006" s="13" t="s">
        <v>2385</v>
      </c>
      <c r="D6006" s="15">
        <v>3.0</v>
      </c>
      <c r="E6006" s="67">
        <f t="shared" si="18"/>
        <v>750</v>
      </c>
      <c r="F6006" s="67" t="str">
        <f t="shared" si="12"/>
        <v>3 LeadGen Set Appointments</v>
      </c>
    </row>
    <row r="6007" hidden="1">
      <c r="A6007" s="6" t="s">
        <v>75</v>
      </c>
      <c r="B6007" s="13" t="s">
        <v>2288</v>
      </c>
      <c r="C6007" s="13" t="s">
        <v>2289</v>
      </c>
      <c r="D6007" s="15">
        <v>3.0</v>
      </c>
      <c r="E6007" s="67">
        <f t="shared" si="18"/>
        <v>750</v>
      </c>
      <c r="F6007" s="67" t="str">
        <f t="shared" si="12"/>
        <v>3 LeadGen Set Appointments</v>
      </c>
    </row>
    <row r="6008" hidden="1">
      <c r="A6008" s="6" t="s">
        <v>75</v>
      </c>
      <c r="B6008" s="13" t="s">
        <v>2405</v>
      </c>
      <c r="C6008" s="13" t="s">
        <v>2406</v>
      </c>
      <c r="D6008" s="15">
        <v>3.0</v>
      </c>
      <c r="E6008" s="67">
        <f t="shared" si="18"/>
        <v>750</v>
      </c>
      <c r="F6008" s="67" t="str">
        <f t="shared" si="12"/>
        <v>3 LeadGen Set Appointments</v>
      </c>
    </row>
    <row r="6009" hidden="1">
      <c r="A6009" s="6" t="s">
        <v>75</v>
      </c>
      <c r="B6009" s="13" t="s">
        <v>1736</v>
      </c>
      <c r="C6009" s="13" t="s">
        <v>1737</v>
      </c>
      <c r="D6009" s="15">
        <v>3.0</v>
      </c>
      <c r="E6009" s="67">
        <f t="shared" si="18"/>
        <v>750</v>
      </c>
      <c r="F6009" s="67" t="str">
        <f t="shared" si="12"/>
        <v>3 LeadGen Set Appointments</v>
      </c>
    </row>
    <row r="6010" hidden="1">
      <c r="A6010" s="6" t="s">
        <v>75</v>
      </c>
      <c r="B6010" s="13" t="s">
        <v>1935</v>
      </c>
      <c r="C6010" s="13" t="s">
        <v>1936</v>
      </c>
      <c r="D6010" s="15">
        <v>3.0</v>
      </c>
      <c r="E6010" s="67">
        <f t="shared" si="18"/>
        <v>750</v>
      </c>
      <c r="F6010" s="67" t="str">
        <f t="shared" si="12"/>
        <v>3 LeadGen Set Appointments</v>
      </c>
    </row>
    <row r="6011" hidden="1">
      <c r="A6011" s="6" t="s">
        <v>75</v>
      </c>
      <c r="B6011" s="13" t="s">
        <v>1955</v>
      </c>
      <c r="C6011" s="13" t="s">
        <v>1956</v>
      </c>
      <c r="D6011" s="15">
        <v>3.0</v>
      </c>
      <c r="E6011" s="67">
        <f t="shared" si="18"/>
        <v>750</v>
      </c>
      <c r="F6011" s="67" t="str">
        <f t="shared" si="12"/>
        <v>3 LeadGen Set Appointments</v>
      </c>
    </row>
    <row r="6012" hidden="1">
      <c r="A6012" s="6" t="s">
        <v>75</v>
      </c>
      <c r="B6012" s="13" t="s">
        <v>2290</v>
      </c>
      <c r="C6012" s="13" t="s">
        <v>2291</v>
      </c>
      <c r="D6012" s="15">
        <v>3.0</v>
      </c>
      <c r="E6012" s="67">
        <f t="shared" si="18"/>
        <v>750</v>
      </c>
      <c r="F6012" s="67" t="str">
        <f t="shared" si="12"/>
        <v>3 LeadGen Set Appointments</v>
      </c>
    </row>
    <row r="6013" hidden="1">
      <c r="A6013" s="6" t="s">
        <v>75</v>
      </c>
      <c r="B6013" s="13" t="s">
        <v>2367</v>
      </c>
      <c r="C6013" s="13" t="s">
        <v>2368</v>
      </c>
      <c r="D6013" s="15">
        <v>3.0</v>
      </c>
      <c r="E6013" s="67">
        <f t="shared" si="18"/>
        <v>750</v>
      </c>
      <c r="F6013" s="67" t="str">
        <f t="shared" si="12"/>
        <v>3 LeadGen Set Appointments</v>
      </c>
    </row>
    <row r="6014" hidden="1">
      <c r="A6014" s="6" t="s">
        <v>75</v>
      </c>
      <c r="B6014" s="13" t="s">
        <v>2448</v>
      </c>
      <c r="C6014" s="13" t="s">
        <v>2449</v>
      </c>
      <c r="D6014" s="15">
        <v>3.0</v>
      </c>
      <c r="E6014" s="67">
        <f t="shared" si="18"/>
        <v>750</v>
      </c>
      <c r="F6014" s="67" t="str">
        <f t="shared" si="12"/>
        <v>3 LeadGen Set Appointments</v>
      </c>
    </row>
    <row r="6015" hidden="1">
      <c r="A6015" s="6" t="s">
        <v>75</v>
      </c>
      <c r="B6015" s="13" t="s">
        <v>2081</v>
      </c>
      <c r="C6015" s="13" t="s">
        <v>2082</v>
      </c>
      <c r="D6015" s="15">
        <v>3.0</v>
      </c>
      <c r="E6015" s="67">
        <f t="shared" si="18"/>
        <v>750</v>
      </c>
      <c r="F6015" s="67" t="str">
        <f t="shared" si="12"/>
        <v>3 LeadGen Set Appointments</v>
      </c>
    </row>
    <row r="6016" hidden="1">
      <c r="A6016" s="6" t="s">
        <v>75</v>
      </c>
      <c r="B6016" s="13" t="s">
        <v>2167</v>
      </c>
      <c r="C6016" s="13" t="s">
        <v>2168</v>
      </c>
      <c r="D6016" s="15">
        <v>3.0</v>
      </c>
      <c r="E6016" s="67">
        <f t="shared" si="18"/>
        <v>750</v>
      </c>
      <c r="F6016" s="67" t="str">
        <f t="shared" si="12"/>
        <v>3 LeadGen Set Appointments</v>
      </c>
    </row>
    <row r="6017" hidden="1">
      <c r="A6017" s="6" t="s">
        <v>75</v>
      </c>
      <c r="B6017" s="13" t="s">
        <v>622</v>
      </c>
      <c r="C6017" s="13" t="s">
        <v>623</v>
      </c>
      <c r="D6017" s="15">
        <v>3.0</v>
      </c>
      <c r="E6017" s="67">
        <f t="shared" si="18"/>
        <v>750</v>
      </c>
      <c r="F6017" s="67" t="str">
        <f t="shared" si="12"/>
        <v>3 LeadGen Set Appointments</v>
      </c>
    </row>
    <row r="6018" hidden="1">
      <c r="A6018" s="6" t="s">
        <v>75</v>
      </c>
      <c r="B6018" s="13" t="s">
        <v>2280</v>
      </c>
      <c r="C6018" s="13" t="s">
        <v>2281</v>
      </c>
      <c r="D6018" s="15">
        <v>3.0</v>
      </c>
      <c r="E6018" s="67">
        <f t="shared" si="18"/>
        <v>750</v>
      </c>
      <c r="F6018" s="67" t="str">
        <f t="shared" si="12"/>
        <v>3 LeadGen Set Appointments</v>
      </c>
    </row>
    <row r="6019" hidden="1">
      <c r="A6019" s="6" t="s">
        <v>75</v>
      </c>
      <c r="B6019" s="13" t="s">
        <v>984</v>
      </c>
      <c r="C6019" s="13" t="s">
        <v>985</v>
      </c>
      <c r="D6019" s="15">
        <v>3.0</v>
      </c>
      <c r="E6019" s="67">
        <f t="shared" si="18"/>
        <v>750</v>
      </c>
      <c r="F6019" s="67" t="str">
        <f t="shared" si="12"/>
        <v>3 LeadGen Set Appointments</v>
      </c>
    </row>
    <row r="6020" hidden="1">
      <c r="A6020" s="6" t="s">
        <v>75</v>
      </c>
      <c r="B6020" s="13" t="s">
        <v>2113</v>
      </c>
      <c r="C6020" s="13" t="s">
        <v>2114</v>
      </c>
      <c r="D6020" s="15">
        <v>3.0</v>
      </c>
      <c r="E6020" s="67">
        <f t="shared" si="18"/>
        <v>750</v>
      </c>
      <c r="F6020" s="67" t="str">
        <f t="shared" si="12"/>
        <v>3 LeadGen Set Appointments</v>
      </c>
    </row>
    <row r="6021" hidden="1">
      <c r="A6021" s="6" t="s">
        <v>75</v>
      </c>
      <c r="B6021" s="13" t="s">
        <v>2450</v>
      </c>
      <c r="C6021" s="13" t="s">
        <v>2451</v>
      </c>
      <c r="D6021" s="15">
        <v>2.0</v>
      </c>
      <c r="E6021" s="67">
        <f t="shared" si="18"/>
        <v>500</v>
      </c>
      <c r="F6021" s="67" t="str">
        <f t="shared" si="12"/>
        <v>2 LeadGen Set Appointments</v>
      </c>
    </row>
    <row r="6022" hidden="1">
      <c r="A6022" s="6" t="s">
        <v>75</v>
      </c>
      <c r="B6022" s="13" t="s">
        <v>1577</v>
      </c>
      <c r="C6022" s="13" t="s">
        <v>1578</v>
      </c>
      <c r="D6022" s="15">
        <v>2.0</v>
      </c>
      <c r="E6022" s="67">
        <f t="shared" si="18"/>
        <v>500</v>
      </c>
      <c r="F6022" s="67" t="str">
        <f t="shared" si="12"/>
        <v>2 LeadGen Set Appointments</v>
      </c>
    </row>
    <row r="6023" hidden="1">
      <c r="A6023" s="6" t="s">
        <v>75</v>
      </c>
      <c r="B6023" s="13" t="s">
        <v>2452</v>
      </c>
      <c r="C6023" s="13" t="s">
        <v>2453</v>
      </c>
      <c r="D6023" s="15">
        <v>2.0</v>
      </c>
      <c r="E6023" s="67">
        <f t="shared" si="18"/>
        <v>500</v>
      </c>
      <c r="F6023" s="67" t="str">
        <f t="shared" si="12"/>
        <v>2 LeadGen Set Appointments</v>
      </c>
    </row>
    <row r="6024" hidden="1">
      <c r="A6024" s="6" t="s">
        <v>75</v>
      </c>
      <c r="B6024" s="13" t="s">
        <v>596</v>
      </c>
      <c r="C6024" s="13" t="s">
        <v>597</v>
      </c>
      <c r="D6024" s="15">
        <v>2.0</v>
      </c>
      <c r="E6024" s="67">
        <f t="shared" si="18"/>
        <v>500</v>
      </c>
      <c r="F6024" s="67" t="str">
        <f t="shared" si="12"/>
        <v>2 LeadGen Set Appointments</v>
      </c>
    </row>
    <row r="6025" hidden="1">
      <c r="A6025" s="6" t="s">
        <v>75</v>
      </c>
      <c r="B6025" s="13" t="s">
        <v>1473</v>
      </c>
      <c r="C6025" s="13" t="s">
        <v>1474</v>
      </c>
      <c r="D6025" s="15">
        <v>2.0</v>
      </c>
      <c r="E6025" s="67">
        <f t="shared" si="18"/>
        <v>500</v>
      </c>
      <c r="F6025" s="67" t="str">
        <f t="shared" si="12"/>
        <v>2 LeadGen Set Appointments</v>
      </c>
    </row>
    <row r="6026" hidden="1">
      <c r="A6026" s="6" t="s">
        <v>75</v>
      </c>
      <c r="B6026" s="13" t="s">
        <v>431</v>
      </c>
      <c r="C6026" s="13" t="s">
        <v>432</v>
      </c>
      <c r="D6026" s="15">
        <v>2.0</v>
      </c>
      <c r="E6026" s="67">
        <f t="shared" si="18"/>
        <v>500</v>
      </c>
      <c r="F6026" s="67" t="str">
        <f t="shared" si="12"/>
        <v>2 LeadGen Set Appointments</v>
      </c>
    </row>
    <row r="6027" hidden="1">
      <c r="A6027" s="6" t="s">
        <v>75</v>
      </c>
      <c r="B6027" s="13" t="s">
        <v>1612</v>
      </c>
      <c r="C6027" s="13" t="s">
        <v>1613</v>
      </c>
      <c r="D6027" s="15">
        <v>2.0</v>
      </c>
      <c r="E6027" s="67">
        <f t="shared" si="18"/>
        <v>500</v>
      </c>
      <c r="F6027" s="67" t="str">
        <f t="shared" si="12"/>
        <v>2 LeadGen Set Appointments</v>
      </c>
    </row>
    <row r="6028" hidden="1">
      <c r="A6028" s="6" t="s">
        <v>75</v>
      </c>
      <c r="B6028" s="13" t="s">
        <v>2395</v>
      </c>
      <c r="C6028" s="13" t="s">
        <v>2396</v>
      </c>
      <c r="D6028" s="15">
        <v>2.0</v>
      </c>
      <c r="E6028" s="67">
        <f t="shared" si="18"/>
        <v>500</v>
      </c>
      <c r="F6028" s="67" t="str">
        <f t="shared" si="12"/>
        <v>2 LeadGen Set Appointments</v>
      </c>
    </row>
    <row r="6029" hidden="1">
      <c r="A6029" s="6" t="s">
        <v>75</v>
      </c>
      <c r="B6029" s="13" t="s">
        <v>2454</v>
      </c>
      <c r="C6029" s="13" t="s">
        <v>2455</v>
      </c>
      <c r="D6029" s="15">
        <v>2.0</v>
      </c>
      <c r="E6029" s="67">
        <f t="shared" si="18"/>
        <v>500</v>
      </c>
      <c r="F6029" s="67" t="str">
        <f t="shared" si="12"/>
        <v>2 LeadGen Set Appointments</v>
      </c>
    </row>
    <row r="6030" hidden="1">
      <c r="A6030" s="6" t="s">
        <v>75</v>
      </c>
      <c r="B6030" s="13" t="s">
        <v>2393</v>
      </c>
      <c r="C6030" s="13" t="s">
        <v>2394</v>
      </c>
      <c r="D6030" s="15">
        <v>2.0</v>
      </c>
      <c r="E6030" s="67">
        <f t="shared" si="18"/>
        <v>500</v>
      </c>
      <c r="F6030" s="67" t="str">
        <f t="shared" si="12"/>
        <v>2 LeadGen Set Appointments</v>
      </c>
    </row>
    <row r="6031" hidden="1">
      <c r="A6031" s="6" t="s">
        <v>75</v>
      </c>
      <c r="B6031" s="13" t="s">
        <v>1477</v>
      </c>
      <c r="C6031" s="13" t="s">
        <v>1478</v>
      </c>
      <c r="D6031" s="15">
        <v>2.0</v>
      </c>
      <c r="E6031" s="67">
        <f t="shared" si="18"/>
        <v>500</v>
      </c>
      <c r="F6031" s="67" t="str">
        <f t="shared" si="12"/>
        <v>2 LeadGen Set Appointments</v>
      </c>
    </row>
    <row r="6032" hidden="1">
      <c r="A6032" s="6" t="s">
        <v>75</v>
      </c>
      <c r="B6032" s="13" t="s">
        <v>262</v>
      </c>
      <c r="C6032" s="13" t="s">
        <v>290</v>
      </c>
      <c r="D6032" s="15">
        <v>2.0</v>
      </c>
      <c r="E6032" s="67">
        <f t="shared" si="18"/>
        <v>500</v>
      </c>
      <c r="F6032" s="67" t="str">
        <f t="shared" si="12"/>
        <v>2 LeadGen Set Appointments</v>
      </c>
    </row>
    <row r="6033" hidden="1">
      <c r="A6033" s="6" t="s">
        <v>75</v>
      </c>
      <c r="B6033" s="13" t="s">
        <v>582</v>
      </c>
      <c r="C6033" s="13" t="s">
        <v>583</v>
      </c>
      <c r="D6033" s="15">
        <v>2.0</v>
      </c>
      <c r="E6033" s="67">
        <f t="shared" si="18"/>
        <v>500</v>
      </c>
      <c r="F6033" s="67" t="str">
        <f t="shared" si="12"/>
        <v>2 LeadGen Set Appointments</v>
      </c>
    </row>
    <row r="6034" hidden="1">
      <c r="A6034" s="6" t="s">
        <v>75</v>
      </c>
      <c r="B6034" s="13" t="s">
        <v>2456</v>
      </c>
      <c r="C6034" s="13" t="s">
        <v>2457</v>
      </c>
      <c r="D6034" s="15">
        <v>2.0</v>
      </c>
      <c r="E6034" s="67">
        <f t="shared" si="18"/>
        <v>500</v>
      </c>
      <c r="F6034" s="67" t="str">
        <f t="shared" si="12"/>
        <v>2 LeadGen Set Appointments</v>
      </c>
    </row>
    <row r="6035" hidden="1">
      <c r="A6035" s="6" t="s">
        <v>75</v>
      </c>
      <c r="B6035" s="13" t="s">
        <v>2433</v>
      </c>
      <c r="C6035" s="13" t="s">
        <v>2434</v>
      </c>
      <c r="D6035" s="15">
        <v>2.0</v>
      </c>
      <c r="E6035" s="67">
        <f t="shared" si="18"/>
        <v>500</v>
      </c>
      <c r="F6035" s="67" t="str">
        <f t="shared" si="12"/>
        <v>2 LeadGen Set Appointments</v>
      </c>
    </row>
    <row r="6036" hidden="1">
      <c r="A6036" s="6" t="s">
        <v>75</v>
      </c>
      <c r="B6036" s="13" t="s">
        <v>2100</v>
      </c>
      <c r="C6036" s="13" t="s">
        <v>2101</v>
      </c>
      <c r="D6036" s="15">
        <v>2.0</v>
      </c>
      <c r="E6036" s="67">
        <f t="shared" si="18"/>
        <v>500</v>
      </c>
      <c r="F6036" s="67" t="str">
        <f t="shared" si="12"/>
        <v>2 LeadGen Set Appointments</v>
      </c>
    </row>
    <row r="6037" hidden="1">
      <c r="A6037" s="6" t="s">
        <v>75</v>
      </c>
      <c r="B6037" s="13" t="s">
        <v>2458</v>
      </c>
      <c r="C6037" s="13" t="s">
        <v>2459</v>
      </c>
      <c r="D6037" s="15">
        <v>2.0</v>
      </c>
      <c r="E6037" s="67">
        <f t="shared" si="18"/>
        <v>500</v>
      </c>
      <c r="F6037" s="67" t="str">
        <f t="shared" si="12"/>
        <v>2 LeadGen Set Appointments</v>
      </c>
    </row>
    <row r="6038" hidden="1">
      <c r="A6038" s="6" t="s">
        <v>75</v>
      </c>
      <c r="B6038" s="13" t="s">
        <v>1317</v>
      </c>
      <c r="C6038" s="13" t="s">
        <v>2435</v>
      </c>
      <c r="D6038" s="15">
        <v>2.0</v>
      </c>
      <c r="E6038" s="67">
        <f t="shared" si="18"/>
        <v>500</v>
      </c>
      <c r="F6038" s="67" t="str">
        <f t="shared" si="12"/>
        <v>2 LeadGen Set Appointments</v>
      </c>
    </row>
    <row r="6039" hidden="1">
      <c r="A6039" s="6" t="s">
        <v>75</v>
      </c>
      <c r="B6039" s="13" t="s">
        <v>2354</v>
      </c>
      <c r="C6039" s="13" t="s">
        <v>2355</v>
      </c>
      <c r="D6039" s="15">
        <v>2.0</v>
      </c>
      <c r="E6039" s="67">
        <f t="shared" si="18"/>
        <v>500</v>
      </c>
      <c r="F6039" s="67" t="str">
        <f t="shared" si="12"/>
        <v>2 LeadGen Set Appointments</v>
      </c>
    </row>
    <row r="6040" hidden="1">
      <c r="A6040" s="6" t="s">
        <v>75</v>
      </c>
      <c r="B6040" s="13" t="s">
        <v>2286</v>
      </c>
      <c r="C6040" s="13" t="s">
        <v>2287</v>
      </c>
      <c r="D6040" s="15">
        <v>2.0</v>
      </c>
      <c r="E6040" s="67">
        <f t="shared" si="18"/>
        <v>500</v>
      </c>
      <c r="F6040" s="67" t="str">
        <f t="shared" si="12"/>
        <v>2 LeadGen Set Appointments</v>
      </c>
    </row>
    <row r="6041" hidden="1">
      <c r="A6041" s="6" t="s">
        <v>75</v>
      </c>
      <c r="B6041" s="13" t="s">
        <v>2421</v>
      </c>
      <c r="C6041" s="13" t="s">
        <v>2422</v>
      </c>
      <c r="D6041" s="15">
        <v>2.0</v>
      </c>
      <c r="E6041" s="67">
        <f t="shared" si="18"/>
        <v>500</v>
      </c>
      <c r="F6041" s="67" t="str">
        <f t="shared" si="12"/>
        <v>2 LeadGen Set Appointments</v>
      </c>
    </row>
    <row r="6042" hidden="1">
      <c r="A6042" s="6" t="s">
        <v>75</v>
      </c>
      <c r="B6042" s="13" t="s">
        <v>2268</v>
      </c>
      <c r="C6042" s="13" t="s">
        <v>2269</v>
      </c>
      <c r="D6042" s="15">
        <v>2.0</v>
      </c>
      <c r="E6042" s="67">
        <f t="shared" si="18"/>
        <v>500</v>
      </c>
      <c r="F6042" s="67" t="str">
        <f t="shared" si="12"/>
        <v>2 LeadGen Set Appointments</v>
      </c>
    </row>
    <row r="6043" hidden="1">
      <c r="A6043" s="6" t="s">
        <v>75</v>
      </c>
      <c r="B6043" s="13" t="s">
        <v>2151</v>
      </c>
      <c r="C6043" s="13" t="s">
        <v>2152</v>
      </c>
      <c r="D6043" s="15">
        <v>2.0</v>
      </c>
      <c r="E6043" s="67">
        <f t="shared" si="18"/>
        <v>500</v>
      </c>
      <c r="F6043" s="67" t="str">
        <f t="shared" si="12"/>
        <v>2 LeadGen Set Appointments</v>
      </c>
    </row>
    <row r="6044" hidden="1">
      <c r="A6044" s="6" t="s">
        <v>75</v>
      </c>
      <c r="B6044" s="13" t="s">
        <v>1897</v>
      </c>
      <c r="C6044" s="13" t="s">
        <v>2460</v>
      </c>
      <c r="D6044" s="15">
        <v>2.0</v>
      </c>
      <c r="E6044" s="67">
        <f t="shared" si="18"/>
        <v>500</v>
      </c>
      <c r="F6044" s="67" t="str">
        <f t="shared" si="12"/>
        <v>2 LeadGen Set Appointments</v>
      </c>
    </row>
    <row r="6045" hidden="1">
      <c r="A6045" s="6" t="s">
        <v>75</v>
      </c>
      <c r="B6045" s="13" t="s">
        <v>2409</v>
      </c>
      <c r="C6045" s="13" t="s">
        <v>2410</v>
      </c>
      <c r="D6045" s="15">
        <v>2.0</v>
      </c>
      <c r="E6045" s="67">
        <f t="shared" si="18"/>
        <v>500</v>
      </c>
      <c r="F6045" s="67" t="str">
        <f t="shared" si="12"/>
        <v>2 LeadGen Set Appointments</v>
      </c>
    </row>
    <row r="6046" hidden="1">
      <c r="A6046" s="6" t="s">
        <v>75</v>
      </c>
      <c r="B6046" s="13" t="s">
        <v>566</v>
      </c>
      <c r="C6046" s="13" t="s">
        <v>567</v>
      </c>
      <c r="D6046" s="15">
        <v>2.0</v>
      </c>
      <c r="E6046" s="67">
        <f t="shared" si="18"/>
        <v>500</v>
      </c>
      <c r="F6046" s="67" t="str">
        <f t="shared" si="12"/>
        <v>2 LeadGen Set Appointments</v>
      </c>
    </row>
    <row r="6047" hidden="1">
      <c r="A6047" s="6" t="s">
        <v>75</v>
      </c>
      <c r="B6047" s="13" t="s">
        <v>1351</v>
      </c>
      <c r="C6047" s="13" t="s">
        <v>1352</v>
      </c>
      <c r="D6047" s="15">
        <v>2.0</v>
      </c>
      <c r="E6047" s="67">
        <f t="shared" si="18"/>
        <v>500</v>
      </c>
      <c r="F6047" s="67" t="str">
        <f t="shared" si="12"/>
        <v>2 LeadGen Set Appointments</v>
      </c>
    </row>
    <row r="6048" hidden="1">
      <c r="A6048" s="6" t="s">
        <v>75</v>
      </c>
      <c r="B6048" s="13" t="s">
        <v>2440</v>
      </c>
      <c r="C6048" s="13" t="s">
        <v>2441</v>
      </c>
      <c r="D6048" s="15">
        <v>2.0</v>
      </c>
      <c r="E6048" s="67">
        <f t="shared" si="18"/>
        <v>500</v>
      </c>
      <c r="F6048" s="67" t="str">
        <f t="shared" si="12"/>
        <v>2 LeadGen Set Appointments</v>
      </c>
    </row>
    <row r="6049" hidden="1">
      <c r="A6049" s="6" t="s">
        <v>75</v>
      </c>
      <c r="B6049" s="13" t="s">
        <v>2461</v>
      </c>
      <c r="C6049" s="13" t="s">
        <v>2462</v>
      </c>
      <c r="D6049" s="15">
        <v>2.0</v>
      </c>
      <c r="E6049" s="67">
        <f t="shared" si="18"/>
        <v>500</v>
      </c>
      <c r="F6049" s="67" t="str">
        <f t="shared" si="12"/>
        <v>2 LeadGen Set Appointments</v>
      </c>
    </row>
    <row r="6050" hidden="1">
      <c r="A6050" s="6" t="s">
        <v>75</v>
      </c>
      <c r="B6050" s="13" t="s">
        <v>2463</v>
      </c>
      <c r="C6050" s="13" t="s">
        <v>2464</v>
      </c>
      <c r="D6050" s="15">
        <v>2.0</v>
      </c>
      <c r="E6050" s="67">
        <f t="shared" si="18"/>
        <v>500</v>
      </c>
      <c r="F6050" s="67" t="str">
        <f t="shared" si="12"/>
        <v>2 LeadGen Set Appointments</v>
      </c>
    </row>
    <row r="6051" hidden="1">
      <c r="A6051" s="6" t="s">
        <v>75</v>
      </c>
      <c r="B6051" s="13" t="s">
        <v>2465</v>
      </c>
      <c r="C6051" s="13" t="s">
        <v>2466</v>
      </c>
      <c r="D6051" s="15">
        <v>1.0</v>
      </c>
      <c r="E6051" s="67">
        <f t="shared" si="18"/>
        <v>250</v>
      </c>
      <c r="F6051" s="67" t="str">
        <f t="shared" si="12"/>
        <v>1 LeadGen Set Appointments</v>
      </c>
    </row>
    <row r="6052" hidden="1">
      <c r="A6052" s="6" t="s">
        <v>75</v>
      </c>
      <c r="B6052" s="13" t="s">
        <v>2467</v>
      </c>
      <c r="C6052" s="13" t="s">
        <v>2468</v>
      </c>
      <c r="D6052" s="15">
        <v>1.0</v>
      </c>
      <c r="E6052" s="67">
        <f t="shared" si="18"/>
        <v>250</v>
      </c>
      <c r="F6052" s="67" t="str">
        <f t="shared" si="12"/>
        <v>1 LeadGen Set Appointments</v>
      </c>
    </row>
    <row r="6053" hidden="1">
      <c r="A6053" s="6" t="s">
        <v>75</v>
      </c>
      <c r="B6053" s="13" t="s">
        <v>1761</v>
      </c>
      <c r="C6053" s="13" t="s">
        <v>1762</v>
      </c>
      <c r="D6053" s="15">
        <v>1.0</v>
      </c>
      <c r="E6053" s="67">
        <f t="shared" si="18"/>
        <v>250</v>
      </c>
      <c r="F6053" s="67" t="str">
        <f t="shared" si="12"/>
        <v>1 LeadGen Set Appointments</v>
      </c>
    </row>
    <row r="6054" hidden="1">
      <c r="A6054" s="6" t="s">
        <v>75</v>
      </c>
      <c r="B6054" s="13" t="s">
        <v>2469</v>
      </c>
      <c r="C6054" s="13" t="s">
        <v>2470</v>
      </c>
      <c r="D6054" s="15">
        <v>1.0</v>
      </c>
      <c r="E6054" s="67">
        <f t="shared" si="18"/>
        <v>250</v>
      </c>
      <c r="F6054" s="67" t="str">
        <f t="shared" si="12"/>
        <v>1 LeadGen Set Appointments</v>
      </c>
    </row>
    <row r="6055" hidden="1">
      <c r="A6055" s="6" t="s">
        <v>75</v>
      </c>
      <c r="B6055" s="13" t="s">
        <v>2471</v>
      </c>
      <c r="C6055" s="13" t="s">
        <v>2472</v>
      </c>
      <c r="D6055" s="15">
        <v>1.0</v>
      </c>
      <c r="E6055" s="67">
        <f t="shared" si="18"/>
        <v>250</v>
      </c>
      <c r="F6055" s="67" t="str">
        <f t="shared" si="12"/>
        <v>1 LeadGen Set Appointments</v>
      </c>
    </row>
    <row r="6056" hidden="1">
      <c r="A6056" s="6" t="s">
        <v>75</v>
      </c>
      <c r="B6056" s="13" t="s">
        <v>2299</v>
      </c>
      <c r="C6056" s="13" t="s">
        <v>2300</v>
      </c>
      <c r="D6056" s="15">
        <v>1.0</v>
      </c>
      <c r="E6056" s="67">
        <f t="shared" si="18"/>
        <v>250</v>
      </c>
      <c r="F6056" s="67" t="str">
        <f t="shared" si="12"/>
        <v>1 LeadGen Set Appointments</v>
      </c>
    </row>
    <row r="6057" hidden="1">
      <c r="A6057" s="6" t="s">
        <v>75</v>
      </c>
      <c r="B6057" s="13" t="s">
        <v>2419</v>
      </c>
      <c r="C6057" s="13" t="s">
        <v>2420</v>
      </c>
      <c r="D6057" s="15">
        <v>1.0</v>
      </c>
      <c r="E6057" s="67">
        <f t="shared" si="18"/>
        <v>250</v>
      </c>
      <c r="F6057" s="67" t="str">
        <f t="shared" si="12"/>
        <v>1 LeadGen Set Appointments</v>
      </c>
    </row>
    <row r="6058" hidden="1">
      <c r="A6058" s="6" t="s">
        <v>75</v>
      </c>
      <c r="B6058" s="13" t="s">
        <v>2473</v>
      </c>
      <c r="C6058" s="13" t="s">
        <v>2474</v>
      </c>
      <c r="D6058" s="15">
        <v>1.0</v>
      </c>
      <c r="E6058" s="67">
        <f t="shared" si="18"/>
        <v>250</v>
      </c>
      <c r="F6058" s="67" t="str">
        <f t="shared" si="12"/>
        <v>1 LeadGen Set Appointments</v>
      </c>
    </row>
    <row r="6059" hidden="1">
      <c r="A6059" s="6" t="s">
        <v>75</v>
      </c>
      <c r="B6059" s="13" t="s">
        <v>976</v>
      </c>
      <c r="C6059" s="13" t="s">
        <v>977</v>
      </c>
      <c r="D6059" s="15">
        <v>1.0</v>
      </c>
      <c r="E6059" s="67">
        <f t="shared" si="18"/>
        <v>250</v>
      </c>
      <c r="F6059" s="67" t="str">
        <f t="shared" si="12"/>
        <v>1 LeadGen Set Appointments</v>
      </c>
    </row>
    <row r="6060" hidden="1">
      <c r="A6060" s="6" t="s">
        <v>75</v>
      </c>
      <c r="B6060" s="13" t="s">
        <v>494</v>
      </c>
      <c r="C6060" s="13" t="s">
        <v>495</v>
      </c>
      <c r="D6060" s="15">
        <v>1.0</v>
      </c>
      <c r="E6060" s="67">
        <f t="shared" si="18"/>
        <v>250</v>
      </c>
      <c r="F6060" s="67" t="str">
        <f t="shared" si="12"/>
        <v>1 LeadGen Set Appointments</v>
      </c>
    </row>
    <row r="6061" hidden="1">
      <c r="A6061" s="6" t="s">
        <v>75</v>
      </c>
      <c r="B6061" s="13" t="s">
        <v>1784</v>
      </c>
      <c r="C6061" s="13" t="s">
        <v>1785</v>
      </c>
      <c r="D6061" s="15">
        <v>1.0</v>
      </c>
      <c r="E6061" s="67">
        <f t="shared" si="18"/>
        <v>250</v>
      </c>
      <c r="F6061" s="67" t="str">
        <f t="shared" si="12"/>
        <v>1 LeadGen Set Appointments</v>
      </c>
    </row>
    <row r="6062" hidden="1">
      <c r="A6062" s="6" t="s">
        <v>75</v>
      </c>
      <c r="B6062" s="13" t="s">
        <v>1567</v>
      </c>
      <c r="C6062" s="13" t="s">
        <v>1568</v>
      </c>
      <c r="D6062" s="15">
        <v>1.0</v>
      </c>
      <c r="E6062" s="67">
        <f t="shared" si="18"/>
        <v>250</v>
      </c>
      <c r="F6062" s="67" t="str">
        <f t="shared" si="12"/>
        <v>1 LeadGen Set Appointments</v>
      </c>
    </row>
    <row r="6063" hidden="1">
      <c r="A6063" s="6" t="s">
        <v>75</v>
      </c>
      <c r="B6063" s="13" t="s">
        <v>2016</v>
      </c>
      <c r="C6063" s="13" t="s">
        <v>2017</v>
      </c>
      <c r="D6063" s="15">
        <v>1.0</v>
      </c>
      <c r="E6063" s="67">
        <f t="shared" si="18"/>
        <v>250</v>
      </c>
      <c r="F6063" s="67" t="str">
        <f t="shared" si="12"/>
        <v>1 LeadGen Set Appointments</v>
      </c>
    </row>
    <row r="6064" hidden="1">
      <c r="A6064" s="6" t="s">
        <v>75</v>
      </c>
      <c r="B6064" s="13" t="s">
        <v>2371</v>
      </c>
      <c r="C6064" s="13" t="s">
        <v>2372</v>
      </c>
      <c r="D6064" s="15">
        <v>1.0</v>
      </c>
      <c r="E6064" s="67">
        <f t="shared" si="18"/>
        <v>250</v>
      </c>
      <c r="F6064" s="67" t="str">
        <f t="shared" si="12"/>
        <v>1 LeadGen Set Appointments</v>
      </c>
    </row>
    <row r="6065" hidden="1">
      <c r="A6065" s="6" t="s">
        <v>75</v>
      </c>
      <c r="B6065" s="13" t="s">
        <v>2475</v>
      </c>
      <c r="C6065" s="13" t="s">
        <v>2476</v>
      </c>
      <c r="D6065" s="15">
        <v>1.0</v>
      </c>
      <c r="E6065" s="67">
        <f t="shared" si="18"/>
        <v>250</v>
      </c>
      <c r="F6065" s="67" t="str">
        <f t="shared" si="12"/>
        <v>1 LeadGen Set Appointments</v>
      </c>
    </row>
    <row r="6066" hidden="1">
      <c r="A6066" s="6" t="s">
        <v>75</v>
      </c>
      <c r="B6066" s="13" t="s">
        <v>2477</v>
      </c>
      <c r="C6066" s="13" t="s">
        <v>2478</v>
      </c>
      <c r="D6066" s="15">
        <v>1.0</v>
      </c>
      <c r="E6066" s="67">
        <f t="shared" si="18"/>
        <v>250</v>
      </c>
      <c r="F6066" s="67" t="str">
        <f t="shared" si="12"/>
        <v>1 LeadGen Set Appointments</v>
      </c>
    </row>
    <row r="6067" hidden="1">
      <c r="A6067" s="6" t="s">
        <v>75</v>
      </c>
      <c r="B6067" s="13" t="s">
        <v>2218</v>
      </c>
      <c r="C6067" s="13" t="s">
        <v>2219</v>
      </c>
      <c r="D6067" s="15">
        <v>1.0</v>
      </c>
      <c r="E6067" s="67">
        <f t="shared" si="18"/>
        <v>250</v>
      </c>
      <c r="F6067" s="67" t="str">
        <f t="shared" si="12"/>
        <v>1 LeadGen Set Appointments</v>
      </c>
    </row>
    <row r="6068" hidden="1">
      <c r="A6068" s="6" t="s">
        <v>75</v>
      </c>
      <c r="B6068" s="13" t="s">
        <v>1945</v>
      </c>
      <c r="C6068" s="13" t="s">
        <v>1946</v>
      </c>
      <c r="D6068" s="15">
        <v>1.0</v>
      </c>
      <c r="E6068" s="67">
        <f t="shared" si="18"/>
        <v>250</v>
      </c>
      <c r="F6068" s="67" t="str">
        <f t="shared" si="12"/>
        <v>1 LeadGen Set Appointments</v>
      </c>
    </row>
    <row r="6069" hidden="1">
      <c r="A6069" s="6" t="s">
        <v>75</v>
      </c>
      <c r="B6069" s="13" t="s">
        <v>2479</v>
      </c>
      <c r="C6069" s="13" t="s">
        <v>2480</v>
      </c>
      <c r="D6069" s="15">
        <v>1.0</v>
      </c>
      <c r="E6069" s="67">
        <f t="shared" si="18"/>
        <v>250</v>
      </c>
      <c r="F6069" s="67" t="str">
        <f t="shared" si="12"/>
        <v>1 LeadGen Set Appointments</v>
      </c>
    </row>
    <row r="6070" hidden="1">
      <c r="A6070" s="6" t="s">
        <v>75</v>
      </c>
      <c r="B6070" s="13" t="s">
        <v>2034</v>
      </c>
      <c r="C6070" s="13" t="s">
        <v>416</v>
      </c>
      <c r="D6070" s="15">
        <v>1.0</v>
      </c>
      <c r="E6070" s="67">
        <f t="shared" si="18"/>
        <v>250</v>
      </c>
      <c r="F6070" s="67" t="str">
        <f t="shared" si="12"/>
        <v>1 LeadGen Set Appointments</v>
      </c>
    </row>
    <row r="6071" hidden="1">
      <c r="A6071" s="6" t="s">
        <v>75</v>
      </c>
      <c r="B6071" s="13" t="s">
        <v>2481</v>
      </c>
      <c r="C6071" s="13" t="s">
        <v>2482</v>
      </c>
      <c r="D6071" s="15">
        <v>1.0</v>
      </c>
      <c r="E6071" s="67">
        <f t="shared" si="18"/>
        <v>250</v>
      </c>
      <c r="F6071" s="67" t="str">
        <f t="shared" si="12"/>
        <v>1 LeadGen Set Appointments</v>
      </c>
    </row>
    <row r="6072" hidden="1">
      <c r="A6072" s="6" t="s">
        <v>75</v>
      </c>
      <c r="B6072" s="13" t="s">
        <v>1883</v>
      </c>
      <c r="C6072" s="13" t="s">
        <v>1884</v>
      </c>
      <c r="D6072" s="15">
        <v>2.0</v>
      </c>
      <c r="E6072" s="67">
        <f t="shared" si="18"/>
        <v>500</v>
      </c>
      <c r="F6072" s="67" t="str">
        <f t="shared" si="12"/>
        <v>2 LeadGen Set Appointments</v>
      </c>
    </row>
    <row r="6073" hidden="1">
      <c r="A6073" s="6" t="s">
        <v>75</v>
      </c>
      <c r="B6073" s="13" t="s">
        <v>1011</v>
      </c>
      <c r="C6073" s="13" t="s">
        <v>2483</v>
      </c>
      <c r="D6073" s="15">
        <v>2.0</v>
      </c>
      <c r="E6073" s="67">
        <f t="shared" si="18"/>
        <v>500</v>
      </c>
      <c r="F6073" s="67" t="str">
        <f t="shared" si="12"/>
        <v>2 LeadGen Set Appointments</v>
      </c>
    </row>
    <row r="6074" hidden="1">
      <c r="A6074" s="6" t="s">
        <v>75</v>
      </c>
      <c r="B6074" s="13" t="s">
        <v>1700</v>
      </c>
      <c r="C6074" s="13" t="s">
        <v>1701</v>
      </c>
      <c r="D6074" s="15">
        <v>4.0</v>
      </c>
      <c r="E6074" s="67">
        <f t="shared" si="18"/>
        <v>1000</v>
      </c>
      <c r="F6074" s="67" t="str">
        <f t="shared" si="12"/>
        <v>4 LeadGen Set Appointments</v>
      </c>
    </row>
    <row r="6075" hidden="1">
      <c r="A6075" s="6" t="s">
        <v>75</v>
      </c>
      <c r="B6075" s="13" t="s">
        <v>2484</v>
      </c>
      <c r="C6075" s="13" t="s">
        <v>2485</v>
      </c>
      <c r="D6075" s="15">
        <v>4.0</v>
      </c>
      <c r="E6075" s="67">
        <f t="shared" si="18"/>
        <v>1000</v>
      </c>
      <c r="F6075" s="67" t="str">
        <f t="shared" si="12"/>
        <v>4 LeadGen Set Appointments</v>
      </c>
    </row>
    <row r="6076" hidden="1">
      <c r="A6076" s="6" t="s">
        <v>75</v>
      </c>
      <c r="B6076" s="13" t="s">
        <v>2486</v>
      </c>
      <c r="C6076" s="13" t="s">
        <v>2487</v>
      </c>
      <c r="D6076" s="15">
        <v>1.0</v>
      </c>
      <c r="E6076" s="67">
        <f t="shared" si="18"/>
        <v>250</v>
      </c>
      <c r="F6076" s="67" t="str">
        <f t="shared" si="12"/>
        <v>1 LeadGen Set Appointments</v>
      </c>
    </row>
    <row r="6077" hidden="1">
      <c r="A6077" s="6" t="s">
        <v>75</v>
      </c>
      <c r="B6077" s="13" t="s">
        <v>1990</v>
      </c>
      <c r="C6077" s="13" t="s">
        <v>1991</v>
      </c>
      <c r="D6077" s="15">
        <v>3.0</v>
      </c>
      <c r="E6077" s="67">
        <f t="shared" si="18"/>
        <v>750</v>
      </c>
      <c r="F6077" s="67" t="str">
        <f t="shared" si="12"/>
        <v>3 LeadGen Set Appointments</v>
      </c>
    </row>
    <row r="6078" hidden="1">
      <c r="A6078" s="6" t="s">
        <v>75</v>
      </c>
      <c r="B6078" s="13" t="s">
        <v>1483</v>
      </c>
      <c r="C6078" s="13" t="s">
        <v>1484</v>
      </c>
      <c r="D6078" s="15">
        <v>6.0</v>
      </c>
      <c r="E6078" s="67">
        <f t="shared" si="18"/>
        <v>1500</v>
      </c>
      <c r="F6078" s="67" t="str">
        <f t="shared" si="12"/>
        <v>6 LeadGen Set Appointments</v>
      </c>
    </row>
    <row r="6079" hidden="1">
      <c r="A6079" s="6" t="s">
        <v>75</v>
      </c>
      <c r="B6079" s="13" t="s">
        <v>1937</v>
      </c>
      <c r="C6079" s="13" t="s">
        <v>1938</v>
      </c>
      <c r="D6079" s="15">
        <v>3.0</v>
      </c>
      <c r="E6079" s="67">
        <f t="shared" si="18"/>
        <v>750</v>
      </c>
      <c r="F6079" s="67" t="str">
        <f t="shared" si="12"/>
        <v>3 LeadGen Set Appointments</v>
      </c>
    </row>
    <row r="6080" hidden="1">
      <c r="A6080" s="6" t="s">
        <v>75</v>
      </c>
      <c r="B6080" s="13" t="s">
        <v>2488</v>
      </c>
      <c r="C6080" s="13" t="s">
        <v>2489</v>
      </c>
      <c r="D6080" s="15">
        <v>5.0</v>
      </c>
      <c r="E6080" s="67">
        <f t="shared" si="18"/>
        <v>1250</v>
      </c>
      <c r="F6080" s="67" t="str">
        <f t="shared" si="12"/>
        <v>5 LeadGen Set Appointments</v>
      </c>
    </row>
    <row r="6081" hidden="1">
      <c r="A6081" s="6" t="s">
        <v>77</v>
      </c>
      <c r="B6081" s="13" t="s">
        <v>476</v>
      </c>
      <c r="C6081" s="13" t="s">
        <v>477</v>
      </c>
      <c r="D6081" s="15">
        <v>35.0</v>
      </c>
      <c r="E6081" s="67">
        <f t="shared" si="18"/>
        <v>17500</v>
      </c>
      <c r="F6081" s="67" t="str">
        <f t="shared" si="12"/>
        <v>35 LeadGen Set Appointments</v>
      </c>
    </row>
    <row r="6082" hidden="1">
      <c r="A6082" s="6" t="s">
        <v>77</v>
      </c>
      <c r="B6082" s="13" t="s">
        <v>644</v>
      </c>
      <c r="C6082" s="13" t="s">
        <v>645</v>
      </c>
      <c r="D6082" s="15">
        <v>19.0</v>
      </c>
      <c r="E6082" s="67">
        <f t="shared" si="18"/>
        <v>9500</v>
      </c>
      <c r="F6082" s="67" t="str">
        <f t="shared" si="12"/>
        <v>19 LeadGen Set Appointments</v>
      </c>
    </row>
    <row r="6083" hidden="1">
      <c r="A6083" s="6" t="s">
        <v>77</v>
      </c>
      <c r="B6083" s="13" t="s">
        <v>723</v>
      </c>
      <c r="C6083" s="13" t="s">
        <v>724</v>
      </c>
      <c r="D6083" s="15">
        <v>17.0</v>
      </c>
      <c r="E6083" s="67">
        <f t="shared" si="18"/>
        <v>8500</v>
      </c>
      <c r="F6083" s="67" t="str">
        <f t="shared" si="12"/>
        <v>17 LeadGen Set Appointments</v>
      </c>
    </row>
    <row r="6084" hidden="1">
      <c r="A6084" s="6" t="s">
        <v>77</v>
      </c>
      <c r="B6084" s="13" t="s">
        <v>540</v>
      </c>
      <c r="C6084" s="13" t="s">
        <v>541</v>
      </c>
      <c r="D6084" s="15">
        <v>16.0</v>
      </c>
      <c r="E6084" s="67">
        <f t="shared" si="18"/>
        <v>8000</v>
      </c>
      <c r="F6084" s="67" t="str">
        <f t="shared" si="12"/>
        <v>16 LeadGen Set Appointments</v>
      </c>
    </row>
    <row r="6085" hidden="1">
      <c r="A6085" s="6" t="s">
        <v>77</v>
      </c>
      <c r="B6085" s="13" t="s">
        <v>640</v>
      </c>
      <c r="C6085" s="13" t="s">
        <v>641</v>
      </c>
      <c r="D6085" s="15">
        <v>16.0</v>
      </c>
      <c r="E6085" s="67">
        <f t="shared" si="18"/>
        <v>8000</v>
      </c>
      <c r="F6085" s="67" t="str">
        <f t="shared" si="12"/>
        <v>16 LeadGen Set Appointments</v>
      </c>
    </row>
    <row r="6086" hidden="1">
      <c r="A6086" s="6" t="s">
        <v>77</v>
      </c>
      <c r="B6086" s="13" t="s">
        <v>1467</v>
      </c>
      <c r="C6086" s="13" t="s">
        <v>1468</v>
      </c>
      <c r="D6086" s="15">
        <v>15.0</v>
      </c>
      <c r="E6086" s="67">
        <f t="shared" si="18"/>
        <v>7500</v>
      </c>
      <c r="F6086" s="67" t="str">
        <f t="shared" si="12"/>
        <v>15 LeadGen Set Appointments</v>
      </c>
    </row>
    <row r="6087" hidden="1">
      <c r="A6087" s="6" t="s">
        <v>77</v>
      </c>
      <c r="B6087" s="13" t="s">
        <v>486</v>
      </c>
      <c r="C6087" s="13" t="s">
        <v>487</v>
      </c>
      <c r="D6087" s="15">
        <v>15.0</v>
      </c>
      <c r="E6087" s="67">
        <f t="shared" si="18"/>
        <v>7500</v>
      </c>
      <c r="F6087" s="67" t="str">
        <f t="shared" si="12"/>
        <v>15 LeadGen Set Appointments</v>
      </c>
    </row>
    <row r="6088" hidden="1">
      <c r="A6088" s="6" t="s">
        <v>77</v>
      </c>
      <c r="B6088" s="13" t="s">
        <v>1489</v>
      </c>
      <c r="C6088" s="13" t="s">
        <v>1490</v>
      </c>
      <c r="D6088" s="15">
        <v>15.0</v>
      </c>
      <c r="E6088" s="67">
        <f t="shared" si="18"/>
        <v>7500</v>
      </c>
      <c r="F6088" s="67" t="str">
        <f t="shared" si="12"/>
        <v>15 LeadGen Set Appointments</v>
      </c>
    </row>
    <row r="6089" hidden="1">
      <c r="A6089" s="6" t="s">
        <v>77</v>
      </c>
      <c r="B6089" s="13" t="s">
        <v>1891</v>
      </c>
      <c r="C6089" s="13" t="s">
        <v>1892</v>
      </c>
      <c r="D6089" s="15">
        <v>15.0</v>
      </c>
      <c r="E6089" s="67">
        <f t="shared" si="18"/>
        <v>7500</v>
      </c>
      <c r="F6089" s="67" t="str">
        <f t="shared" si="12"/>
        <v>15 LeadGen Set Appointments</v>
      </c>
    </row>
    <row r="6090" hidden="1">
      <c r="A6090" s="6" t="s">
        <v>77</v>
      </c>
      <c r="B6090" s="13" t="s">
        <v>1415</v>
      </c>
      <c r="C6090" s="13" t="s">
        <v>1416</v>
      </c>
      <c r="D6090" s="15">
        <v>14.0</v>
      </c>
      <c r="E6090" s="67">
        <f t="shared" si="18"/>
        <v>7000</v>
      </c>
      <c r="F6090" s="67" t="str">
        <f t="shared" si="12"/>
        <v>14 LeadGen Set Appointments</v>
      </c>
    </row>
    <row r="6091" hidden="1">
      <c r="A6091" s="6" t="s">
        <v>77</v>
      </c>
      <c r="B6091" s="13" t="s">
        <v>1865</v>
      </c>
      <c r="C6091" s="13" t="s">
        <v>1866</v>
      </c>
      <c r="D6091" s="15">
        <v>14.0</v>
      </c>
      <c r="E6091" s="67">
        <f t="shared" si="18"/>
        <v>7000</v>
      </c>
      <c r="F6091" s="67" t="str">
        <f t="shared" si="12"/>
        <v>14 LeadGen Set Appointments</v>
      </c>
    </row>
    <row r="6092" hidden="1">
      <c r="A6092" s="6" t="s">
        <v>77</v>
      </c>
      <c r="B6092" s="13" t="s">
        <v>2220</v>
      </c>
      <c r="C6092" s="13" t="s">
        <v>2221</v>
      </c>
      <c r="D6092" s="15">
        <v>14.0</v>
      </c>
      <c r="E6092" s="67">
        <f t="shared" si="18"/>
        <v>7000</v>
      </c>
      <c r="F6092" s="67" t="str">
        <f t="shared" si="12"/>
        <v>14 LeadGen Set Appointments</v>
      </c>
    </row>
    <row r="6093" hidden="1">
      <c r="A6093" s="6" t="s">
        <v>77</v>
      </c>
      <c r="B6093" s="13" t="s">
        <v>1471</v>
      </c>
      <c r="C6093" s="13" t="s">
        <v>1472</v>
      </c>
      <c r="D6093" s="15">
        <v>14.0</v>
      </c>
      <c r="E6093" s="67">
        <f t="shared" si="18"/>
        <v>7000</v>
      </c>
      <c r="F6093" s="67" t="str">
        <f t="shared" si="12"/>
        <v>14 LeadGen Set Appointments</v>
      </c>
    </row>
    <row r="6094" hidden="1">
      <c r="A6094" s="6" t="s">
        <v>77</v>
      </c>
      <c r="B6094" s="13" t="s">
        <v>411</v>
      </c>
      <c r="C6094" s="13" t="s">
        <v>412</v>
      </c>
      <c r="D6094" s="15">
        <v>13.0</v>
      </c>
      <c r="E6094" s="67">
        <f t="shared" si="18"/>
        <v>6500</v>
      </c>
      <c r="F6094" s="67" t="str">
        <f t="shared" si="12"/>
        <v>13 LeadGen Set Appointments</v>
      </c>
    </row>
    <row r="6095" hidden="1">
      <c r="A6095" s="6" t="s">
        <v>77</v>
      </c>
      <c r="B6095" s="13" t="s">
        <v>1025</v>
      </c>
      <c r="C6095" s="13" t="s">
        <v>1026</v>
      </c>
      <c r="D6095" s="15">
        <v>13.0</v>
      </c>
      <c r="E6095" s="67">
        <f t="shared" si="18"/>
        <v>6500</v>
      </c>
      <c r="F6095" s="67" t="str">
        <f t="shared" si="12"/>
        <v>13 LeadGen Set Appointments</v>
      </c>
    </row>
    <row r="6096" hidden="1">
      <c r="A6096" s="6" t="s">
        <v>77</v>
      </c>
      <c r="B6096" s="13" t="s">
        <v>2234</v>
      </c>
      <c r="C6096" s="13" t="s">
        <v>2235</v>
      </c>
      <c r="D6096" s="15">
        <v>12.0</v>
      </c>
      <c r="E6096" s="67">
        <f t="shared" si="18"/>
        <v>6000</v>
      </c>
      <c r="F6096" s="67" t="str">
        <f t="shared" si="12"/>
        <v>12 LeadGen Set Appointments</v>
      </c>
    </row>
    <row r="6097" hidden="1">
      <c r="A6097" s="6" t="s">
        <v>77</v>
      </c>
      <c r="B6097" s="13" t="s">
        <v>699</v>
      </c>
      <c r="C6097" s="13" t="s">
        <v>700</v>
      </c>
      <c r="D6097" s="15">
        <v>12.0</v>
      </c>
      <c r="E6097" s="67">
        <f t="shared" si="18"/>
        <v>6000</v>
      </c>
      <c r="F6097" s="67" t="str">
        <f t="shared" si="12"/>
        <v>12 LeadGen Set Appointments</v>
      </c>
    </row>
    <row r="6098" hidden="1">
      <c r="A6098" s="6" t="s">
        <v>77</v>
      </c>
      <c r="B6098" s="13" t="s">
        <v>1493</v>
      </c>
      <c r="C6098" s="13" t="s">
        <v>1494</v>
      </c>
      <c r="D6098" s="15">
        <v>12.0</v>
      </c>
      <c r="E6098" s="67">
        <f t="shared" si="18"/>
        <v>6000</v>
      </c>
      <c r="F6098" s="67" t="str">
        <f t="shared" si="12"/>
        <v>12 LeadGen Set Appointments</v>
      </c>
    </row>
    <row r="6099" hidden="1">
      <c r="A6099" s="6" t="s">
        <v>77</v>
      </c>
      <c r="B6099" s="13" t="s">
        <v>1461</v>
      </c>
      <c r="C6099" s="13" t="s">
        <v>1462</v>
      </c>
      <c r="D6099" s="15">
        <v>11.0</v>
      </c>
      <c r="E6099" s="67">
        <f t="shared" si="18"/>
        <v>5500</v>
      </c>
      <c r="F6099" s="67" t="str">
        <f t="shared" si="12"/>
        <v>11 LeadGen Set Appointments</v>
      </c>
    </row>
    <row r="6100" hidden="1">
      <c r="A6100" s="6" t="s">
        <v>77</v>
      </c>
      <c r="B6100" s="13" t="s">
        <v>1426</v>
      </c>
      <c r="C6100" s="13" t="s">
        <v>1427</v>
      </c>
      <c r="D6100" s="15">
        <v>11.0</v>
      </c>
      <c r="E6100" s="67">
        <f t="shared" si="18"/>
        <v>5500</v>
      </c>
      <c r="F6100" s="67" t="str">
        <f t="shared" si="12"/>
        <v>11 LeadGen Set Appointments</v>
      </c>
    </row>
    <row r="6101" hidden="1">
      <c r="A6101" s="6" t="s">
        <v>77</v>
      </c>
      <c r="B6101" s="13" t="s">
        <v>1157</v>
      </c>
      <c r="C6101" s="13" t="s">
        <v>1158</v>
      </c>
      <c r="D6101" s="15">
        <v>11.0</v>
      </c>
      <c r="E6101" s="67">
        <f t="shared" si="18"/>
        <v>5500</v>
      </c>
      <c r="F6101" s="67" t="str">
        <f t="shared" si="12"/>
        <v>11 LeadGen Set Appointments</v>
      </c>
    </row>
    <row r="6102" hidden="1">
      <c r="A6102" s="6" t="s">
        <v>77</v>
      </c>
      <c r="B6102" s="13" t="s">
        <v>510</v>
      </c>
      <c r="C6102" s="13" t="s">
        <v>511</v>
      </c>
      <c r="D6102" s="15">
        <v>11.0</v>
      </c>
      <c r="E6102" s="67">
        <f t="shared" si="18"/>
        <v>5500</v>
      </c>
      <c r="F6102" s="67" t="str">
        <f t="shared" si="12"/>
        <v>11 LeadGen Set Appointments</v>
      </c>
    </row>
    <row r="6103" hidden="1">
      <c r="A6103" s="6" t="s">
        <v>77</v>
      </c>
      <c r="B6103" s="13" t="s">
        <v>766</v>
      </c>
      <c r="C6103" s="13" t="s">
        <v>767</v>
      </c>
      <c r="D6103" s="15">
        <v>11.0</v>
      </c>
      <c r="E6103" s="67">
        <f t="shared" si="18"/>
        <v>5500</v>
      </c>
      <c r="F6103" s="67" t="str">
        <f t="shared" si="12"/>
        <v>11 LeadGen Set Appointments</v>
      </c>
    </row>
    <row r="6104" hidden="1">
      <c r="A6104" s="6" t="s">
        <v>77</v>
      </c>
      <c r="B6104" s="13" t="s">
        <v>736</v>
      </c>
      <c r="C6104" s="13" t="s">
        <v>737</v>
      </c>
      <c r="D6104" s="15">
        <v>10.0</v>
      </c>
      <c r="E6104" s="67">
        <f t="shared" si="18"/>
        <v>5000</v>
      </c>
      <c r="F6104" s="67" t="str">
        <f t="shared" si="12"/>
        <v>10 LeadGen Set Appointments</v>
      </c>
    </row>
    <row r="6105" hidden="1">
      <c r="A6105" s="6" t="s">
        <v>77</v>
      </c>
      <c r="B6105" s="13" t="s">
        <v>516</v>
      </c>
      <c r="C6105" s="13" t="s">
        <v>517</v>
      </c>
      <c r="D6105" s="15">
        <v>10.0</v>
      </c>
      <c r="E6105" s="67">
        <f t="shared" si="18"/>
        <v>5000</v>
      </c>
      <c r="F6105" s="67" t="str">
        <f t="shared" si="12"/>
        <v>10 LeadGen Set Appointments</v>
      </c>
    </row>
    <row r="6106" hidden="1">
      <c r="A6106" s="6" t="s">
        <v>77</v>
      </c>
      <c r="B6106" s="13" t="s">
        <v>443</v>
      </c>
      <c r="C6106" s="13" t="s">
        <v>444</v>
      </c>
      <c r="D6106" s="15">
        <v>10.0</v>
      </c>
      <c r="E6106" s="67">
        <f t="shared" si="18"/>
        <v>5000</v>
      </c>
      <c r="F6106" s="67" t="str">
        <f t="shared" si="12"/>
        <v>10 LeadGen Set Appointments</v>
      </c>
    </row>
    <row r="6107" hidden="1">
      <c r="A6107" s="6" t="s">
        <v>77</v>
      </c>
      <c r="B6107" s="13" t="s">
        <v>910</v>
      </c>
      <c r="C6107" s="13" t="s">
        <v>911</v>
      </c>
      <c r="D6107" s="15">
        <v>10.0</v>
      </c>
      <c r="E6107" s="67">
        <f t="shared" si="18"/>
        <v>5000</v>
      </c>
      <c r="F6107" s="67" t="str">
        <f t="shared" si="12"/>
        <v>10 LeadGen Set Appointments</v>
      </c>
    </row>
    <row r="6108" hidden="1">
      <c r="A6108" s="6" t="s">
        <v>77</v>
      </c>
      <c r="B6108" s="13" t="s">
        <v>2280</v>
      </c>
      <c r="C6108" s="13" t="s">
        <v>2281</v>
      </c>
      <c r="D6108" s="15">
        <v>10.0</v>
      </c>
      <c r="E6108" s="67">
        <f t="shared" si="18"/>
        <v>5000</v>
      </c>
      <c r="F6108" s="67" t="str">
        <f t="shared" si="12"/>
        <v>10 LeadGen Set Appointments</v>
      </c>
    </row>
    <row r="6109" hidden="1">
      <c r="A6109" s="6" t="s">
        <v>77</v>
      </c>
      <c r="B6109" s="13" t="s">
        <v>435</v>
      </c>
      <c r="C6109" s="13" t="s">
        <v>436</v>
      </c>
      <c r="D6109" s="15">
        <v>10.0</v>
      </c>
      <c r="E6109" s="67">
        <f t="shared" si="18"/>
        <v>5000</v>
      </c>
      <c r="F6109" s="67" t="str">
        <f t="shared" si="12"/>
        <v>10 LeadGen Set Appointments</v>
      </c>
    </row>
    <row r="6110" hidden="1">
      <c r="A6110" s="6" t="s">
        <v>77</v>
      </c>
      <c r="B6110" s="13" t="s">
        <v>2276</v>
      </c>
      <c r="C6110" s="13" t="s">
        <v>2277</v>
      </c>
      <c r="D6110" s="15">
        <v>9.0</v>
      </c>
      <c r="E6110" s="67">
        <f t="shared" si="18"/>
        <v>2250</v>
      </c>
      <c r="F6110" s="67" t="str">
        <f t="shared" si="12"/>
        <v>9 LeadGen Set Appointments</v>
      </c>
    </row>
    <row r="6111" hidden="1">
      <c r="A6111" s="6" t="s">
        <v>77</v>
      </c>
      <c r="B6111" s="13" t="s">
        <v>626</v>
      </c>
      <c r="C6111" s="13" t="s">
        <v>627</v>
      </c>
      <c r="D6111" s="15">
        <v>9.0</v>
      </c>
      <c r="E6111" s="67">
        <f t="shared" si="18"/>
        <v>2250</v>
      </c>
      <c r="F6111" s="67" t="str">
        <f t="shared" si="12"/>
        <v>9 LeadGen Set Appointments</v>
      </c>
    </row>
    <row r="6112" hidden="1">
      <c r="A6112" s="6" t="s">
        <v>77</v>
      </c>
      <c r="B6112" s="13" t="s">
        <v>1567</v>
      </c>
      <c r="C6112" s="13" t="s">
        <v>1568</v>
      </c>
      <c r="D6112" s="15">
        <v>9.0</v>
      </c>
      <c r="E6112" s="67">
        <f t="shared" si="18"/>
        <v>2250</v>
      </c>
      <c r="F6112" s="67" t="str">
        <f t="shared" si="12"/>
        <v>9 LeadGen Set Appointments</v>
      </c>
    </row>
    <row r="6113" hidden="1">
      <c r="A6113" s="6" t="s">
        <v>77</v>
      </c>
      <c r="B6113" s="13" t="s">
        <v>542</v>
      </c>
      <c r="C6113" s="13" t="s">
        <v>543</v>
      </c>
      <c r="D6113" s="15">
        <v>8.0</v>
      </c>
      <c r="E6113" s="67">
        <f t="shared" si="18"/>
        <v>2000</v>
      </c>
      <c r="F6113" s="67" t="str">
        <f t="shared" si="12"/>
        <v>8 LeadGen Set Appointments</v>
      </c>
    </row>
    <row r="6114" hidden="1">
      <c r="A6114" s="6" t="s">
        <v>77</v>
      </c>
      <c r="B6114" s="13" t="s">
        <v>546</v>
      </c>
      <c r="C6114" s="13" t="s">
        <v>547</v>
      </c>
      <c r="D6114" s="15">
        <v>8.0</v>
      </c>
      <c r="E6114" s="67">
        <f t="shared" si="18"/>
        <v>2000</v>
      </c>
      <c r="F6114" s="67" t="str">
        <f t="shared" si="12"/>
        <v>8 LeadGen Set Appointments</v>
      </c>
    </row>
    <row r="6115" hidden="1">
      <c r="A6115" s="6" t="s">
        <v>77</v>
      </c>
      <c r="B6115" s="13" t="s">
        <v>2412</v>
      </c>
      <c r="C6115" s="13" t="s">
        <v>2413</v>
      </c>
      <c r="D6115" s="15">
        <v>8.0</v>
      </c>
      <c r="E6115" s="67">
        <f t="shared" si="18"/>
        <v>2000</v>
      </c>
      <c r="F6115" s="67" t="str">
        <f t="shared" si="12"/>
        <v>8 LeadGen Set Appointments</v>
      </c>
    </row>
    <row r="6116" hidden="1">
      <c r="A6116" s="6" t="s">
        <v>77</v>
      </c>
      <c r="B6116" s="13" t="s">
        <v>1512</v>
      </c>
      <c r="C6116" s="13" t="s">
        <v>1513</v>
      </c>
      <c r="D6116" s="15">
        <v>8.0</v>
      </c>
      <c r="E6116" s="67">
        <f t="shared" si="18"/>
        <v>2000</v>
      </c>
      <c r="F6116" s="67" t="str">
        <f t="shared" si="12"/>
        <v>8 LeadGen Set Appointments</v>
      </c>
    </row>
    <row r="6117" hidden="1">
      <c r="A6117" s="6" t="s">
        <v>77</v>
      </c>
      <c r="B6117" s="13" t="s">
        <v>1477</v>
      </c>
      <c r="C6117" s="13" t="s">
        <v>1478</v>
      </c>
      <c r="D6117" s="15">
        <v>8.0</v>
      </c>
      <c r="E6117" s="67">
        <f t="shared" si="18"/>
        <v>2000</v>
      </c>
      <c r="F6117" s="67" t="str">
        <f t="shared" si="12"/>
        <v>8 LeadGen Set Appointments</v>
      </c>
    </row>
    <row r="6118" hidden="1">
      <c r="A6118" s="6" t="s">
        <v>77</v>
      </c>
      <c r="B6118" s="13" t="s">
        <v>1421</v>
      </c>
      <c r="C6118" s="13" t="s">
        <v>712</v>
      </c>
      <c r="D6118" s="15">
        <v>8.0</v>
      </c>
      <c r="E6118" s="67">
        <f t="shared" si="18"/>
        <v>2000</v>
      </c>
      <c r="F6118" s="67" t="str">
        <f t="shared" si="12"/>
        <v>8 LeadGen Set Appointments</v>
      </c>
    </row>
    <row r="6119" hidden="1">
      <c r="A6119" s="6" t="s">
        <v>77</v>
      </c>
      <c r="B6119" s="13" t="s">
        <v>572</v>
      </c>
      <c r="C6119" s="13" t="s">
        <v>573</v>
      </c>
      <c r="D6119" s="15">
        <v>8.0</v>
      </c>
      <c r="E6119" s="67">
        <f t="shared" si="18"/>
        <v>2000</v>
      </c>
      <c r="F6119" s="67" t="str">
        <f t="shared" si="12"/>
        <v>8 LeadGen Set Appointments</v>
      </c>
    </row>
    <row r="6120" hidden="1">
      <c r="A6120" s="6" t="s">
        <v>77</v>
      </c>
      <c r="B6120" s="13" t="s">
        <v>518</v>
      </c>
      <c r="C6120" s="13" t="s">
        <v>519</v>
      </c>
      <c r="D6120" s="15">
        <v>8.0</v>
      </c>
      <c r="E6120" s="67">
        <f t="shared" si="18"/>
        <v>2000</v>
      </c>
      <c r="F6120" s="67" t="str">
        <f t="shared" si="12"/>
        <v>8 LeadGen Set Appointments</v>
      </c>
    </row>
    <row r="6121" hidden="1">
      <c r="A6121" s="6" t="s">
        <v>77</v>
      </c>
      <c r="B6121" s="13" t="s">
        <v>746</v>
      </c>
      <c r="C6121" s="13" t="s">
        <v>747</v>
      </c>
      <c r="D6121" s="15">
        <v>8.0</v>
      </c>
      <c r="E6121" s="67">
        <f t="shared" si="18"/>
        <v>2000</v>
      </c>
      <c r="F6121" s="67" t="str">
        <f t="shared" si="12"/>
        <v>8 LeadGen Set Appointments</v>
      </c>
    </row>
    <row r="6122" hidden="1">
      <c r="A6122" s="6" t="s">
        <v>77</v>
      </c>
      <c r="B6122" s="13" t="s">
        <v>500</v>
      </c>
      <c r="C6122" s="13" t="s">
        <v>501</v>
      </c>
      <c r="D6122" s="15">
        <v>7.0</v>
      </c>
      <c r="E6122" s="67">
        <f t="shared" si="18"/>
        <v>1750</v>
      </c>
      <c r="F6122" s="67" t="str">
        <f t="shared" si="12"/>
        <v>7 LeadGen Set Appointments</v>
      </c>
    </row>
    <row r="6123" hidden="1">
      <c r="A6123" s="6" t="s">
        <v>77</v>
      </c>
      <c r="B6123" s="13" t="s">
        <v>1543</v>
      </c>
      <c r="C6123" s="13" t="s">
        <v>1544</v>
      </c>
      <c r="D6123" s="15">
        <v>7.0</v>
      </c>
      <c r="E6123" s="67">
        <f t="shared" si="18"/>
        <v>1750</v>
      </c>
      <c r="F6123" s="67" t="str">
        <f t="shared" si="12"/>
        <v>7 LeadGen Set Appointments</v>
      </c>
    </row>
    <row r="6124" hidden="1">
      <c r="A6124" s="6" t="s">
        <v>77</v>
      </c>
      <c r="B6124" s="13" t="s">
        <v>1547</v>
      </c>
      <c r="C6124" s="13" t="s">
        <v>1548</v>
      </c>
      <c r="D6124" s="15">
        <v>7.0</v>
      </c>
      <c r="E6124" s="67">
        <f t="shared" si="18"/>
        <v>1750</v>
      </c>
      <c r="F6124" s="67" t="str">
        <f t="shared" si="12"/>
        <v>7 LeadGen Set Appointments</v>
      </c>
    </row>
    <row r="6125" hidden="1">
      <c r="A6125" s="6" t="s">
        <v>77</v>
      </c>
      <c r="B6125" s="13" t="s">
        <v>1585</v>
      </c>
      <c r="C6125" s="13" t="s">
        <v>2490</v>
      </c>
      <c r="D6125" s="15">
        <v>7.0</v>
      </c>
      <c r="E6125" s="67">
        <f t="shared" si="18"/>
        <v>1750</v>
      </c>
      <c r="F6125" s="67" t="str">
        <f t="shared" si="12"/>
        <v>7 LeadGen Set Appointments</v>
      </c>
    </row>
    <row r="6126" hidden="1">
      <c r="A6126" s="6" t="s">
        <v>77</v>
      </c>
      <c r="B6126" s="13" t="s">
        <v>2179</v>
      </c>
      <c r="C6126" s="13" t="s">
        <v>2180</v>
      </c>
      <c r="D6126" s="15">
        <v>7.0</v>
      </c>
      <c r="E6126" s="67">
        <f t="shared" si="18"/>
        <v>1750</v>
      </c>
      <c r="F6126" s="67" t="str">
        <f t="shared" si="12"/>
        <v>7 LeadGen Set Appointments</v>
      </c>
    </row>
    <row r="6127" hidden="1">
      <c r="A6127" s="6" t="s">
        <v>77</v>
      </c>
      <c r="B6127" s="13" t="s">
        <v>1510</v>
      </c>
      <c r="C6127" s="13" t="s">
        <v>1511</v>
      </c>
      <c r="D6127" s="15">
        <v>7.0</v>
      </c>
      <c r="E6127" s="67">
        <f t="shared" si="18"/>
        <v>1750</v>
      </c>
      <c r="F6127" s="67" t="str">
        <f t="shared" si="12"/>
        <v>7 LeadGen Set Appointments</v>
      </c>
    </row>
    <row r="6128" hidden="1">
      <c r="A6128" s="6" t="s">
        <v>77</v>
      </c>
      <c r="B6128" s="13" t="s">
        <v>2444</v>
      </c>
      <c r="C6128" s="13" t="s">
        <v>2445</v>
      </c>
      <c r="D6128" s="15">
        <v>7.0</v>
      </c>
      <c r="E6128" s="67">
        <f t="shared" si="18"/>
        <v>1750</v>
      </c>
      <c r="F6128" s="67" t="str">
        <f t="shared" si="12"/>
        <v>7 LeadGen Set Appointments</v>
      </c>
    </row>
    <row r="6129" hidden="1">
      <c r="A6129" s="6" t="s">
        <v>77</v>
      </c>
      <c r="B6129" s="13" t="s">
        <v>1491</v>
      </c>
      <c r="C6129" s="13" t="s">
        <v>1492</v>
      </c>
      <c r="D6129" s="15">
        <v>7.0</v>
      </c>
      <c r="E6129" s="67">
        <f t="shared" si="18"/>
        <v>1750</v>
      </c>
      <c r="F6129" s="67" t="str">
        <f t="shared" si="12"/>
        <v>7 LeadGen Set Appointments</v>
      </c>
    </row>
    <row r="6130" hidden="1">
      <c r="A6130" s="6" t="s">
        <v>77</v>
      </c>
      <c r="B6130" s="13" t="s">
        <v>532</v>
      </c>
      <c r="C6130" s="13" t="s">
        <v>533</v>
      </c>
      <c r="D6130" s="15">
        <v>7.0</v>
      </c>
      <c r="E6130" s="67">
        <f t="shared" si="18"/>
        <v>1750</v>
      </c>
      <c r="F6130" s="67" t="str">
        <f t="shared" si="12"/>
        <v>7 LeadGen Set Appointments</v>
      </c>
    </row>
    <row r="6131" hidden="1">
      <c r="A6131" s="6" t="s">
        <v>77</v>
      </c>
      <c r="B6131" s="13" t="s">
        <v>2421</v>
      </c>
      <c r="C6131" s="13" t="s">
        <v>2422</v>
      </c>
      <c r="D6131" s="15">
        <v>7.0</v>
      </c>
      <c r="E6131" s="67">
        <f t="shared" si="18"/>
        <v>1750</v>
      </c>
      <c r="F6131" s="67" t="str">
        <f t="shared" si="12"/>
        <v>7 LeadGen Set Appointments</v>
      </c>
    </row>
    <row r="6132" hidden="1">
      <c r="A6132" s="6" t="s">
        <v>77</v>
      </c>
      <c r="B6132" s="13" t="s">
        <v>413</v>
      </c>
      <c r="C6132" s="13" t="s">
        <v>414</v>
      </c>
      <c r="D6132" s="15">
        <v>7.0</v>
      </c>
      <c r="E6132" s="67">
        <f t="shared" si="18"/>
        <v>1750</v>
      </c>
      <c r="F6132" s="67" t="str">
        <f t="shared" si="12"/>
        <v>7 LeadGen Set Appointments</v>
      </c>
    </row>
    <row r="6133" hidden="1">
      <c r="A6133" s="6" t="s">
        <v>77</v>
      </c>
      <c r="B6133" s="13" t="s">
        <v>2484</v>
      </c>
      <c r="C6133" s="13" t="s">
        <v>2485</v>
      </c>
      <c r="D6133" s="15">
        <v>6.0</v>
      </c>
      <c r="E6133" s="67">
        <f t="shared" si="18"/>
        <v>1500</v>
      </c>
      <c r="F6133" s="67" t="str">
        <f t="shared" si="12"/>
        <v>6 LeadGen Set Appointments</v>
      </c>
    </row>
    <row r="6134" hidden="1">
      <c r="A6134" s="6" t="s">
        <v>77</v>
      </c>
      <c r="B6134" s="13" t="s">
        <v>576</v>
      </c>
      <c r="C6134" s="13" t="s">
        <v>577</v>
      </c>
      <c r="D6134" s="15">
        <v>6.0</v>
      </c>
      <c r="E6134" s="67">
        <f t="shared" si="18"/>
        <v>1500</v>
      </c>
      <c r="F6134" s="67" t="str">
        <f t="shared" si="12"/>
        <v>6 LeadGen Set Appointments</v>
      </c>
    </row>
    <row r="6135" hidden="1">
      <c r="A6135" s="6" t="s">
        <v>77</v>
      </c>
      <c r="B6135" s="13" t="s">
        <v>1774</v>
      </c>
      <c r="C6135" s="13" t="s">
        <v>1775</v>
      </c>
      <c r="D6135" s="15">
        <v>6.0</v>
      </c>
      <c r="E6135" s="67">
        <f t="shared" si="18"/>
        <v>1500</v>
      </c>
      <c r="F6135" s="67" t="str">
        <f t="shared" si="12"/>
        <v>6 LeadGen Set Appointments</v>
      </c>
    </row>
    <row r="6136" hidden="1">
      <c r="A6136" s="6" t="s">
        <v>77</v>
      </c>
      <c r="B6136" s="13" t="s">
        <v>560</v>
      </c>
      <c r="C6136" s="13" t="s">
        <v>561</v>
      </c>
      <c r="D6136" s="15">
        <v>6.0</v>
      </c>
      <c r="E6136" s="67">
        <f t="shared" si="18"/>
        <v>1500</v>
      </c>
      <c r="F6136" s="67" t="str">
        <f t="shared" si="12"/>
        <v>6 LeadGen Set Appointments</v>
      </c>
    </row>
    <row r="6137" hidden="1">
      <c r="A6137" s="6" t="s">
        <v>77</v>
      </c>
      <c r="B6137" s="13" t="s">
        <v>1700</v>
      </c>
      <c r="C6137" s="13" t="s">
        <v>1701</v>
      </c>
      <c r="D6137" s="15">
        <v>6.0</v>
      </c>
      <c r="E6137" s="67">
        <f t="shared" si="18"/>
        <v>1500</v>
      </c>
      <c r="F6137" s="67" t="str">
        <f t="shared" si="12"/>
        <v>6 LeadGen Set Appointments</v>
      </c>
    </row>
    <row r="6138" hidden="1">
      <c r="A6138" s="6" t="s">
        <v>77</v>
      </c>
      <c r="B6138" s="13" t="s">
        <v>1408</v>
      </c>
      <c r="C6138" s="13" t="s">
        <v>675</v>
      </c>
      <c r="D6138" s="15">
        <v>6.0</v>
      </c>
      <c r="E6138" s="67">
        <f t="shared" si="18"/>
        <v>1500</v>
      </c>
      <c r="F6138" s="67" t="str">
        <f t="shared" si="12"/>
        <v>6 LeadGen Set Appointments</v>
      </c>
    </row>
    <row r="6139" hidden="1">
      <c r="A6139" s="6" t="s">
        <v>77</v>
      </c>
      <c r="B6139" s="13" t="s">
        <v>1724</v>
      </c>
      <c r="C6139" s="13" t="s">
        <v>1725</v>
      </c>
      <c r="D6139" s="15">
        <v>6.0</v>
      </c>
      <c r="E6139" s="67">
        <f t="shared" si="18"/>
        <v>1500</v>
      </c>
      <c r="F6139" s="67" t="str">
        <f t="shared" si="12"/>
        <v>6 LeadGen Set Appointments</v>
      </c>
    </row>
    <row r="6140" hidden="1">
      <c r="A6140" s="6" t="s">
        <v>77</v>
      </c>
      <c r="B6140" s="13" t="s">
        <v>1011</v>
      </c>
      <c r="C6140" s="13" t="s">
        <v>2483</v>
      </c>
      <c r="D6140" s="15">
        <v>6.0</v>
      </c>
      <c r="E6140" s="67">
        <f t="shared" si="18"/>
        <v>1500</v>
      </c>
      <c r="F6140" s="67" t="str">
        <f t="shared" si="12"/>
        <v>6 LeadGen Set Appointments</v>
      </c>
    </row>
    <row r="6141" hidden="1">
      <c r="A6141" s="6" t="s">
        <v>77</v>
      </c>
      <c r="B6141" s="13" t="s">
        <v>242</v>
      </c>
      <c r="C6141" s="13" t="s">
        <v>1887</v>
      </c>
      <c r="D6141" s="15">
        <v>6.0</v>
      </c>
      <c r="E6141" s="67">
        <f t="shared" si="18"/>
        <v>1500</v>
      </c>
      <c r="F6141" s="67" t="str">
        <f t="shared" si="12"/>
        <v>6 LeadGen Set Appointments</v>
      </c>
    </row>
    <row r="6142" hidden="1">
      <c r="A6142" s="6" t="s">
        <v>77</v>
      </c>
      <c r="B6142" s="13" t="s">
        <v>1784</v>
      </c>
      <c r="C6142" s="13" t="s">
        <v>1785</v>
      </c>
      <c r="D6142" s="15">
        <v>6.0</v>
      </c>
      <c r="E6142" s="67">
        <f t="shared" si="18"/>
        <v>1500</v>
      </c>
      <c r="F6142" s="67" t="str">
        <f t="shared" si="12"/>
        <v>6 LeadGen Set Appointments</v>
      </c>
    </row>
    <row r="6143" hidden="1">
      <c r="A6143" s="6" t="s">
        <v>77</v>
      </c>
      <c r="B6143" s="13" t="s">
        <v>604</v>
      </c>
      <c r="C6143" s="13" t="s">
        <v>605</v>
      </c>
      <c r="D6143" s="15">
        <v>6.0</v>
      </c>
      <c r="E6143" s="67">
        <f t="shared" si="18"/>
        <v>1500</v>
      </c>
      <c r="F6143" s="67" t="str">
        <f t="shared" si="12"/>
        <v>6 LeadGen Set Appointments</v>
      </c>
    </row>
    <row r="6144" hidden="1">
      <c r="A6144" s="6" t="s">
        <v>77</v>
      </c>
      <c r="B6144" s="13" t="s">
        <v>624</v>
      </c>
      <c r="C6144" s="13" t="s">
        <v>625</v>
      </c>
      <c r="D6144" s="15">
        <v>6.0</v>
      </c>
      <c r="E6144" s="67">
        <f t="shared" si="18"/>
        <v>1500</v>
      </c>
      <c r="F6144" s="67" t="str">
        <f t="shared" si="12"/>
        <v>6 LeadGen Set Appointments</v>
      </c>
    </row>
    <row r="6145" hidden="1">
      <c r="A6145" s="6" t="s">
        <v>77</v>
      </c>
      <c r="B6145" s="13" t="s">
        <v>258</v>
      </c>
      <c r="C6145" s="13" t="s">
        <v>2386</v>
      </c>
      <c r="D6145" s="15">
        <v>6.0</v>
      </c>
      <c r="E6145" s="67">
        <f t="shared" si="18"/>
        <v>1500</v>
      </c>
      <c r="F6145" s="67" t="str">
        <f t="shared" si="12"/>
        <v>6 LeadGen Set Appointments</v>
      </c>
    </row>
    <row r="6146" hidden="1">
      <c r="A6146" s="6" t="s">
        <v>77</v>
      </c>
      <c r="B6146" s="13" t="s">
        <v>1776</v>
      </c>
      <c r="C6146" s="13" t="s">
        <v>1777</v>
      </c>
      <c r="D6146" s="15">
        <v>6.0</v>
      </c>
      <c r="E6146" s="67">
        <f t="shared" si="18"/>
        <v>1500</v>
      </c>
      <c r="F6146" s="67" t="str">
        <f t="shared" si="12"/>
        <v>6 LeadGen Set Appointments</v>
      </c>
    </row>
    <row r="6147" hidden="1">
      <c r="A6147" s="6" t="s">
        <v>77</v>
      </c>
      <c r="B6147" s="13" t="s">
        <v>1945</v>
      </c>
      <c r="C6147" s="13" t="s">
        <v>1946</v>
      </c>
      <c r="D6147" s="15">
        <v>6.0</v>
      </c>
      <c r="E6147" s="67">
        <f t="shared" si="18"/>
        <v>1500</v>
      </c>
      <c r="F6147" s="67" t="str">
        <f t="shared" si="12"/>
        <v>6 LeadGen Set Appointments</v>
      </c>
    </row>
    <row r="6148" hidden="1">
      <c r="A6148" s="6" t="s">
        <v>77</v>
      </c>
      <c r="B6148" s="13" t="s">
        <v>1600</v>
      </c>
      <c r="C6148" s="13" t="s">
        <v>1601</v>
      </c>
      <c r="D6148" s="15">
        <v>5.0</v>
      </c>
      <c r="E6148" s="67">
        <f t="shared" si="18"/>
        <v>1250</v>
      </c>
      <c r="F6148" s="67" t="str">
        <f t="shared" si="12"/>
        <v>5 LeadGen Set Appointments</v>
      </c>
    </row>
    <row r="6149" hidden="1">
      <c r="A6149" s="6" t="s">
        <v>77</v>
      </c>
      <c r="B6149" s="13" t="s">
        <v>1893</v>
      </c>
      <c r="C6149" s="13" t="s">
        <v>1894</v>
      </c>
      <c r="D6149" s="15">
        <v>5.0</v>
      </c>
      <c r="E6149" s="67">
        <f t="shared" si="18"/>
        <v>1250</v>
      </c>
      <c r="F6149" s="67" t="str">
        <f t="shared" si="12"/>
        <v>5 LeadGen Set Appointments</v>
      </c>
    </row>
    <row r="6150" hidden="1">
      <c r="A6150" s="6" t="s">
        <v>77</v>
      </c>
      <c r="B6150" s="13" t="s">
        <v>628</v>
      </c>
      <c r="C6150" s="13" t="s">
        <v>629</v>
      </c>
      <c r="D6150" s="15">
        <v>5.0</v>
      </c>
      <c r="E6150" s="67">
        <f t="shared" si="18"/>
        <v>1250</v>
      </c>
      <c r="F6150" s="67" t="str">
        <f t="shared" si="12"/>
        <v>5 LeadGen Set Appointments</v>
      </c>
    </row>
    <row r="6151" hidden="1">
      <c r="A6151" s="6" t="s">
        <v>77</v>
      </c>
      <c r="B6151" s="13" t="s">
        <v>2373</v>
      </c>
      <c r="C6151" s="13" t="s">
        <v>2374</v>
      </c>
      <c r="D6151" s="15">
        <v>5.0</v>
      </c>
      <c r="E6151" s="67">
        <f t="shared" si="18"/>
        <v>1250</v>
      </c>
      <c r="F6151" s="67" t="str">
        <f t="shared" si="12"/>
        <v>5 LeadGen Set Appointments</v>
      </c>
    </row>
    <row r="6152" hidden="1">
      <c r="A6152" s="6" t="s">
        <v>77</v>
      </c>
      <c r="B6152" s="13" t="s">
        <v>2299</v>
      </c>
      <c r="C6152" s="13" t="s">
        <v>2300</v>
      </c>
      <c r="D6152" s="15">
        <v>5.0</v>
      </c>
      <c r="E6152" s="67">
        <f t="shared" si="18"/>
        <v>1250</v>
      </c>
      <c r="F6152" s="67" t="str">
        <f t="shared" si="12"/>
        <v>5 LeadGen Set Appointments</v>
      </c>
    </row>
    <row r="6153" hidden="1">
      <c r="A6153" s="6" t="s">
        <v>77</v>
      </c>
      <c r="B6153" s="13" t="s">
        <v>684</v>
      </c>
      <c r="C6153" s="13" t="s">
        <v>685</v>
      </c>
      <c r="D6153" s="15">
        <v>5.0</v>
      </c>
      <c r="E6153" s="67">
        <f t="shared" si="18"/>
        <v>1250</v>
      </c>
      <c r="F6153" s="67" t="str">
        <f t="shared" si="12"/>
        <v>5 LeadGen Set Appointments</v>
      </c>
    </row>
    <row r="6154" hidden="1">
      <c r="A6154" s="6" t="s">
        <v>77</v>
      </c>
      <c r="B6154" s="13" t="s">
        <v>752</v>
      </c>
      <c r="C6154" s="13" t="s">
        <v>753</v>
      </c>
      <c r="D6154" s="15">
        <v>5.0</v>
      </c>
      <c r="E6154" s="67">
        <f t="shared" si="18"/>
        <v>1250</v>
      </c>
      <c r="F6154" s="67" t="str">
        <f t="shared" si="12"/>
        <v>5 LeadGen Set Appointments</v>
      </c>
    </row>
    <row r="6155" hidden="1">
      <c r="A6155" s="6" t="s">
        <v>77</v>
      </c>
      <c r="B6155" s="13" t="s">
        <v>693</v>
      </c>
      <c r="C6155" s="13" t="s">
        <v>694</v>
      </c>
      <c r="D6155" s="15">
        <v>5.0</v>
      </c>
      <c r="E6155" s="67">
        <f t="shared" si="18"/>
        <v>1250</v>
      </c>
      <c r="F6155" s="67" t="str">
        <f t="shared" si="12"/>
        <v>5 LeadGen Set Appointments</v>
      </c>
    </row>
    <row r="6156" hidden="1">
      <c r="A6156" s="6" t="s">
        <v>77</v>
      </c>
      <c r="B6156" s="13" t="s">
        <v>262</v>
      </c>
      <c r="C6156" s="13" t="s">
        <v>290</v>
      </c>
      <c r="D6156" s="15">
        <v>5.0</v>
      </c>
      <c r="E6156" s="67">
        <f t="shared" si="18"/>
        <v>1250</v>
      </c>
      <c r="F6156" s="67" t="str">
        <f t="shared" si="12"/>
        <v>5 LeadGen Set Appointments</v>
      </c>
    </row>
    <row r="6157" hidden="1">
      <c r="A6157" s="6" t="s">
        <v>77</v>
      </c>
      <c r="B6157" s="13" t="s">
        <v>2456</v>
      </c>
      <c r="C6157" s="13" t="s">
        <v>2457</v>
      </c>
      <c r="D6157" s="15">
        <v>5.0</v>
      </c>
      <c r="E6157" s="67">
        <f t="shared" si="18"/>
        <v>1250</v>
      </c>
      <c r="F6157" s="67" t="str">
        <f t="shared" si="12"/>
        <v>5 LeadGen Set Appointments</v>
      </c>
    </row>
    <row r="6158" hidden="1">
      <c r="A6158" s="6" t="s">
        <v>77</v>
      </c>
      <c r="B6158" s="13" t="s">
        <v>524</v>
      </c>
      <c r="C6158" s="13" t="s">
        <v>525</v>
      </c>
      <c r="D6158" s="15">
        <v>5.0</v>
      </c>
      <c r="E6158" s="67">
        <f t="shared" si="18"/>
        <v>1250</v>
      </c>
      <c r="F6158" s="67" t="str">
        <f t="shared" si="12"/>
        <v>5 LeadGen Set Appointments</v>
      </c>
    </row>
    <row r="6159" hidden="1">
      <c r="A6159" s="6" t="s">
        <v>77</v>
      </c>
      <c r="B6159" s="13" t="s">
        <v>656</v>
      </c>
      <c r="C6159" s="13" t="s">
        <v>657</v>
      </c>
      <c r="D6159" s="15">
        <v>5.0</v>
      </c>
      <c r="E6159" s="67">
        <f t="shared" si="18"/>
        <v>1250</v>
      </c>
      <c r="F6159" s="67" t="str">
        <f t="shared" si="12"/>
        <v>5 LeadGen Set Appointments</v>
      </c>
    </row>
    <row r="6160" hidden="1">
      <c r="A6160" s="6" t="s">
        <v>77</v>
      </c>
      <c r="B6160" s="13" t="s">
        <v>1983</v>
      </c>
      <c r="C6160" s="13" t="s">
        <v>1984</v>
      </c>
      <c r="D6160" s="15">
        <v>5.0</v>
      </c>
      <c r="E6160" s="67">
        <f t="shared" si="18"/>
        <v>1250</v>
      </c>
      <c r="F6160" s="67" t="str">
        <f t="shared" si="12"/>
        <v>5 LeadGen Set Appointments</v>
      </c>
    </row>
    <row r="6161" hidden="1">
      <c r="A6161" s="6" t="s">
        <v>77</v>
      </c>
      <c r="B6161" s="13" t="s">
        <v>1736</v>
      </c>
      <c r="C6161" s="13" t="s">
        <v>1737</v>
      </c>
      <c r="D6161" s="15">
        <v>5.0</v>
      </c>
      <c r="E6161" s="67">
        <f t="shared" si="18"/>
        <v>1250</v>
      </c>
      <c r="F6161" s="67" t="str">
        <f t="shared" si="12"/>
        <v>5 LeadGen Set Appointments</v>
      </c>
    </row>
    <row r="6162" hidden="1">
      <c r="A6162" s="6" t="s">
        <v>77</v>
      </c>
      <c r="B6162" s="13" t="s">
        <v>1825</v>
      </c>
      <c r="C6162" s="13" t="s">
        <v>2376</v>
      </c>
      <c r="D6162" s="15">
        <v>5.0</v>
      </c>
      <c r="E6162" s="67">
        <f t="shared" si="18"/>
        <v>1250</v>
      </c>
      <c r="F6162" s="67" t="str">
        <f t="shared" si="12"/>
        <v>5 LeadGen Set Appointments</v>
      </c>
    </row>
    <row r="6163" hidden="1">
      <c r="A6163" s="6" t="s">
        <v>77</v>
      </c>
      <c r="B6163" s="13" t="s">
        <v>1716</v>
      </c>
      <c r="C6163" s="13" t="s">
        <v>30</v>
      </c>
      <c r="D6163" s="15">
        <v>5.0</v>
      </c>
      <c r="E6163" s="67">
        <f t="shared" si="18"/>
        <v>1250</v>
      </c>
      <c r="F6163" s="67" t="str">
        <f t="shared" si="12"/>
        <v>5 LeadGen Set Appointments</v>
      </c>
    </row>
    <row r="6164" hidden="1">
      <c r="A6164" s="6" t="s">
        <v>77</v>
      </c>
      <c r="B6164" s="13" t="s">
        <v>2477</v>
      </c>
      <c r="C6164" s="13" t="s">
        <v>2478</v>
      </c>
      <c r="D6164" s="15">
        <v>5.0</v>
      </c>
      <c r="E6164" s="67">
        <f t="shared" si="18"/>
        <v>1250</v>
      </c>
      <c r="F6164" s="67" t="str">
        <f t="shared" si="12"/>
        <v>5 LeadGen Set Appointments</v>
      </c>
    </row>
    <row r="6165" hidden="1">
      <c r="A6165" s="6" t="s">
        <v>77</v>
      </c>
      <c r="B6165" s="13" t="s">
        <v>2488</v>
      </c>
      <c r="C6165" s="13" t="s">
        <v>2489</v>
      </c>
      <c r="D6165" s="15">
        <v>5.0</v>
      </c>
      <c r="E6165" s="67">
        <f t="shared" si="18"/>
        <v>1250</v>
      </c>
      <c r="F6165" s="67" t="str">
        <f t="shared" si="12"/>
        <v>5 LeadGen Set Appointments</v>
      </c>
    </row>
    <row r="6166" hidden="1">
      <c r="A6166" s="6" t="s">
        <v>77</v>
      </c>
      <c r="B6166" s="13" t="s">
        <v>622</v>
      </c>
      <c r="C6166" s="13" t="s">
        <v>623</v>
      </c>
      <c r="D6166" s="15">
        <v>5.0</v>
      </c>
      <c r="E6166" s="67">
        <f t="shared" si="18"/>
        <v>1250</v>
      </c>
      <c r="F6166" s="67" t="str">
        <f t="shared" si="12"/>
        <v>5 LeadGen Set Appointments</v>
      </c>
    </row>
    <row r="6167" hidden="1">
      <c r="A6167" s="6" t="s">
        <v>77</v>
      </c>
      <c r="B6167" s="13" t="s">
        <v>2369</v>
      </c>
      <c r="C6167" s="13" t="s">
        <v>2370</v>
      </c>
      <c r="D6167" s="15">
        <v>5.0</v>
      </c>
      <c r="E6167" s="67">
        <f t="shared" si="18"/>
        <v>1250</v>
      </c>
      <c r="F6167" s="67" t="str">
        <f t="shared" si="12"/>
        <v>5 LeadGen Set Appointments</v>
      </c>
    </row>
    <row r="6168" hidden="1">
      <c r="A6168" s="6" t="s">
        <v>77</v>
      </c>
      <c r="B6168" s="13" t="s">
        <v>2218</v>
      </c>
      <c r="C6168" s="13" t="s">
        <v>2219</v>
      </c>
      <c r="D6168" s="15">
        <v>5.0</v>
      </c>
      <c r="E6168" s="67">
        <f t="shared" si="18"/>
        <v>1250</v>
      </c>
      <c r="F6168" s="67" t="str">
        <f t="shared" si="12"/>
        <v>5 LeadGen Set Appointments</v>
      </c>
    </row>
    <row r="6169" hidden="1">
      <c r="A6169" s="6" t="s">
        <v>77</v>
      </c>
      <c r="B6169" s="13" t="s">
        <v>744</v>
      </c>
      <c r="C6169" s="13" t="s">
        <v>745</v>
      </c>
      <c r="D6169" s="15">
        <v>4.0</v>
      </c>
      <c r="E6169" s="67">
        <f t="shared" si="18"/>
        <v>1000</v>
      </c>
      <c r="F6169" s="67" t="str">
        <f t="shared" si="12"/>
        <v>4 LeadGen Set Appointments</v>
      </c>
    </row>
    <row r="6170" hidden="1">
      <c r="A6170" s="6" t="s">
        <v>77</v>
      </c>
      <c r="B6170" s="13" t="s">
        <v>2469</v>
      </c>
      <c r="C6170" s="13" t="s">
        <v>2470</v>
      </c>
      <c r="D6170" s="15">
        <v>4.0</v>
      </c>
      <c r="E6170" s="67">
        <f t="shared" si="18"/>
        <v>1000</v>
      </c>
      <c r="F6170" s="67" t="str">
        <f t="shared" si="12"/>
        <v>4 LeadGen Set Appointments</v>
      </c>
    </row>
    <row r="6171" hidden="1">
      <c r="A6171" s="6" t="s">
        <v>77</v>
      </c>
      <c r="B6171" s="13" t="s">
        <v>1473</v>
      </c>
      <c r="C6171" s="13" t="s">
        <v>1474</v>
      </c>
      <c r="D6171" s="15">
        <v>4.0</v>
      </c>
      <c r="E6171" s="67">
        <f t="shared" si="18"/>
        <v>1000</v>
      </c>
      <c r="F6171" s="67" t="str">
        <f t="shared" si="12"/>
        <v>4 LeadGen Set Appointments</v>
      </c>
    </row>
    <row r="6172" hidden="1">
      <c r="A6172" s="6" t="s">
        <v>77</v>
      </c>
      <c r="B6172" s="13" t="s">
        <v>1957</v>
      </c>
      <c r="C6172" s="13" t="s">
        <v>1958</v>
      </c>
      <c r="D6172" s="15">
        <v>4.0</v>
      </c>
      <c r="E6172" s="67">
        <f t="shared" si="18"/>
        <v>1000</v>
      </c>
      <c r="F6172" s="67" t="str">
        <f t="shared" si="12"/>
        <v>4 LeadGen Set Appointments</v>
      </c>
    </row>
    <row r="6173" hidden="1">
      <c r="A6173" s="6" t="s">
        <v>77</v>
      </c>
      <c r="B6173" s="13" t="s">
        <v>1545</v>
      </c>
      <c r="C6173" s="13" t="s">
        <v>1546</v>
      </c>
      <c r="D6173" s="15">
        <v>4.0</v>
      </c>
      <c r="E6173" s="67">
        <f t="shared" si="18"/>
        <v>1000</v>
      </c>
      <c r="F6173" s="67" t="str">
        <f t="shared" si="12"/>
        <v>4 LeadGen Set Appointments</v>
      </c>
    </row>
    <row r="6174" hidden="1">
      <c r="A6174" s="6" t="s">
        <v>77</v>
      </c>
      <c r="B6174" s="13" t="s">
        <v>1778</v>
      </c>
      <c r="C6174" s="13" t="s">
        <v>1779</v>
      </c>
      <c r="D6174" s="15">
        <v>4.0</v>
      </c>
      <c r="E6174" s="67">
        <f t="shared" si="18"/>
        <v>1000</v>
      </c>
      <c r="F6174" s="67" t="str">
        <f t="shared" si="12"/>
        <v>4 LeadGen Set Appointments</v>
      </c>
    </row>
    <row r="6175" hidden="1">
      <c r="A6175" s="6" t="s">
        <v>77</v>
      </c>
      <c r="B6175" s="13" t="s">
        <v>494</v>
      </c>
      <c r="C6175" s="13" t="s">
        <v>495</v>
      </c>
      <c r="D6175" s="15">
        <v>4.0</v>
      </c>
      <c r="E6175" s="67">
        <f t="shared" si="18"/>
        <v>1000</v>
      </c>
      <c r="F6175" s="67" t="str">
        <f t="shared" si="12"/>
        <v>4 LeadGen Set Appointments</v>
      </c>
    </row>
    <row r="6176" hidden="1">
      <c r="A6176" s="6" t="s">
        <v>77</v>
      </c>
      <c r="B6176" s="13" t="s">
        <v>1990</v>
      </c>
      <c r="C6176" s="13" t="s">
        <v>1991</v>
      </c>
      <c r="D6176" s="15">
        <v>4.0</v>
      </c>
      <c r="E6176" s="67">
        <f t="shared" si="18"/>
        <v>1000</v>
      </c>
      <c r="F6176" s="67" t="str">
        <f t="shared" si="12"/>
        <v>4 LeadGen Set Appointments</v>
      </c>
    </row>
    <row r="6177" hidden="1">
      <c r="A6177" s="6" t="s">
        <v>77</v>
      </c>
      <c r="B6177" s="13" t="s">
        <v>2288</v>
      </c>
      <c r="C6177" s="13" t="s">
        <v>2289</v>
      </c>
      <c r="D6177" s="15">
        <v>4.0</v>
      </c>
      <c r="E6177" s="67">
        <f t="shared" si="18"/>
        <v>1000</v>
      </c>
      <c r="F6177" s="67" t="str">
        <f t="shared" si="12"/>
        <v>4 LeadGen Set Appointments</v>
      </c>
    </row>
    <row r="6178" hidden="1">
      <c r="A6178" s="6" t="s">
        <v>77</v>
      </c>
      <c r="B6178" s="13" t="s">
        <v>2481</v>
      </c>
      <c r="C6178" s="13" t="s">
        <v>2482</v>
      </c>
      <c r="D6178" s="15">
        <v>4.0</v>
      </c>
      <c r="E6178" s="67">
        <f t="shared" si="18"/>
        <v>1000</v>
      </c>
      <c r="F6178" s="67" t="str">
        <f t="shared" si="12"/>
        <v>4 LeadGen Set Appointments</v>
      </c>
    </row>
    <row r="6179" hidden="1">
      <c r="A6179" s="6" t="s">
        <v>77</v>
      </c>
      <c r="B6179" s="13" t="s">
        <v>2016</v>
      </c>
      <c r="C6179" s="13" t="s">
        <v>2017</v>
      </c>
      <c r="D6179" s="15">
        <v>4.0</v>
      </c>
      <c r="E6179" s="67">
        <f t="shared" si="18"/>
        <v>1000</v>
      </c>
      <c r="F6179" s="67" t="str">
        <f t="shared" si="12"/>
        <v>4 LeadGen Set Appointments</v>
      </c>
    </row>
    <row r="6180" hidden="1">
      <c r="A6180" s="6" t="s">
        <v>77</v>
      </c>
      <c r="B6180" s="13" t="s">
        <v>1955</v>
      </c>
      <c r="C6180" s="13" t="s">
        <v>1956</v>
      </c>
      <c r="D6180" s="15">
        <v>4.0</v>
      </c>
      <c r="E6180" s="67">
        <f t="shared" si="18"/>
        <v>1000</v>
      </c>
      <c r="F6180" s="67" t="str">
        <f t="shared" si="12"/>
        <v>4 LeadGen Set Appointments</v>
      </c>
    </row>
    <row r="6181" hidden="1">
      <c r="A6181" s="6" t="s">
        <v>77</v>
      </c>
      <c r="B6181" s="13" t="s">
        <v>2077</v>
      </c>
      <c r="C6181" s="13" t="s">
        <v>2078</v>
      </c>
      <c r="D6181" s="15">
        <v>4.0</v>
      </c>
      <c r="E6181" s="67">
        <f t="shared" si="18"/>
        <v>1000</v>
      </c>
      <c r="F6181" s="67" t="str">
        <f t="shared" si="12"/>
        <v>4 LeadGen Set Appointments</v>
      </c>
    </row>
    <row r="6182" hidden="1">
      <c r="A6182" s="6" t="s">
        <v>77</v>
      </c>
      <c r="B6182" s="13" t="s">
        <v>984</v>
      </c>
      <c r="C6182" s="13" t="s">
        <v>985</v>
      </c>
      <c r="D6182" s="15">
        <v>4.0</v>
      </c>
      <c r="E6182" s="67">
        <f t="shared" si="18"/>
        <v>1000</v>
      </c>
      <c r="F6182" s="67" t="str">
        <f t="shared" si="12"/>
        <v>4 LeadGen Set Appointments</v>
      </c>
    </row>
    <row r="6183" hidden="1">
      <c r="A6183" s="6" t="s">
        <v>77</v>
      </c>
      <c r="B6183" s="13" t="s">
        <v>2113</v>
      </c>
      <c r="C6183" s="13" t="s">
        <v>2114</v>
      </c>
      <c r="D6183" s="15">
        <v>4.0</v>
      </c>
      <c r="E6183" s="67">
        <f t="shared" si="18"/>
        <v>1000</v>
      </c>
      <c r="F6183" s="67" t="str">
        <f t="shared" si="12"/>
        <v>4 LeadGen Set Appointments</v>
      </c>
    </row>
    <row r="6184" hidden="1">
      <c r="A6184" s="6" t="s">
        <v>77</v>
      </c>
      <c r="B6184" s="13" t="s">
        <v>2450</v>
      </c>
      <c r="C6184" s="13" t="s">
        <v>2451</v>
      </c>
      <c r="D6184" s="15">
        <v>3.0</v>
      </c>
      <c r="E6184" s="67">
        <f t="shared" si="18"/>
        <v>750</v>
      </c>
      <c r="F6184" s="67" t="str">
        <f t="shared" si="12"/>
        <v>3 LeadGen Set Appointments</v>
      </c>
    </row>
    <row r="6185" hidden="1">
      <c r="A6185" s="6" t="s">
        <v>77</v>
      </c>
      <c r="B6185" s="13" t="s">
        <v>1171</v>
      </c>
      <c r="C6185" s="13" t="s">
        <v>1172</v>
      </c>
      <c r="D6185" s="15">
        <v>3.0</v>
      </c>
      <c r="E6185" s="67">
        <f t="shared" si="18"/>
        <v>750</v>
      </c>
      <c r="F6185" s="67" t="str">
        <f t="shared" si="12"/>
        <v>3 LeadGen Set Appointments</v>
      </c>
    </row>
    <row r="6186" hidden="1">
      <c r="A6186" s="6" t="s">
        <v>77</v>
      </c>
      <c r="B6186" s="13" t="s">
        <v>2212</v>
      </c>
      <c r="C6186" s="13" t="s">
        <v>2213</v>
      </c>
      <c r="D6186" s="15">
        <v>3.0</v>
      </c>
      <c r="E6186" s="67">
        <f t="shared" si="18"/>
        <v>750</v>
      </c>
      <c r="F6186" s="67" t="str">
        <f t="shared" si="12"/>
        <v>3 LeadGen Set Appointments</v>
      </c>
    </row>
    <row r="6187" hidden="1">
      <c r="A6187" s="6" t="s">
        <v>77</v>
      </c>
      <c r="B6187" s="13" t="s">
        <v>2389</v>
      </c>
      <c r="C6187" s="13" t="s">
        <v>2390</v>
      </c>
      <c r="D6187" s="15">
        <v>3.0</v>
      </c>
      <c r="E6187" s="67">
        <f t="shared" si="18"/>
        <v>750</v>
      </c>
      <c r="F6187" s="67" t="str">
        <f t="shared" si="12"/>
        <v>3 LeadGen Set Appointments</v>
      </c>
    </row>
    <row r="6188" hidden="1">
      <c r="A6188" s="6" t="s">
        <v>77</v>
      </c>
      <c r="B6188" s="13" t="s">
        <v>2471</v>
      </c>
      <c r="C6188" s="13" t="s">
        <v>2472</v>
      </c>
      <c r="D6188" s="15">
        <v>3.0</v>
      </c>
      <c r="E6188" s="67">
        <f t="shared" si="18"/>
        <v>750</v>
      </c>
      <c r="F6188" s="67" t="str">
        <f t="shared" si="12"/>
        <v>3 LeadGen Set Appointments</v>
      </c>
    </row>
    <row r="6189" hidden="1">
      <c r="A6189" s="6" t="s">
        <v>77</v>
      </c>
      <c r="B6189" s="13" t="s">
        <v>2491</v>
      </c>
      <c r="C6189" s="13" t="s">
        <v>2492</v>
      </c>
      <c r="D6189" s="15">
        <v>3.0</v>
      </c>
      <c r="E6189" s="67">
        <f t="shared" si="18"/>
        <v>750</v>
      </c>
      <c r="F6189" s="67" t="str">
        <f t="shared" si="12"/>
        <v>3 LeadGen Set Appointments</v>
      </c>
    </row>
    <row r="6190" hidden="1">
      <c r="A6190" s="6" t="s">
        <v>77</v>
      </c>
      <c r="B6190" s="13" t="s">
        <v>1583</v>
      </c>
      <c r="C6190" s="13" t="s">
        <v>1584</v>
      </c>
      <c r="D6190" s="15">
        <v>3.0</v>
      </c>
      <c r="E6190" s="67">
        <f t="shared" si="18"/>
        <v>750</v>
      </c>
      <c r="F6190" s="67" t="str">
        <f t="shared" si="12"/>
        <v>3 LeadGen Set Appointments</v>
      </c>
    </row>
    <row r="6191" hidden="1">
      <c r="A6191" s="6" t="s">
        <v>77</v>
      </c>
      <c r="B6191" s="13" t="s">
        <v>288</v>
      </c>
      <c r="C6191" s="13" t="s">
        <v>2375</v>
      </c>
      <c r="D6191" s="15">
        <v>3.0</v>
      </c>
      <c r="E6191" s="67">
        <f t="shared" si="18"/>
        <v>750</v>
      </c>
      <c r="F6191" s="67" t="str">
        <f t="shared" si="12"/>
        <v>3 LeadGen Set Appointments</v>
      </c>
    </row>
    <row r="6192" hidden="1">
      <c r="A6192" s="6" t="s">
        <v>77</v>
      </c>
      <c r="B6192" s="13" t="s">
        <v>2493</v>
      </c>
      <c r="C6192" s="13" t="s">
        <v>2494</v>
      </c>
      <c r="D6192" s="15">
        <v>3.0</v>
      </c>
      <c r="E6192" s="67">
        <f t="shared" si="18"/>
        <v>750</v>
      </c>
      <c r="F6192" s="67" t="str">
        <f t="shared" si="12"/>
        <v>3 LeadGen Set Appointments</v>
      </c>
    </row>
    <row r="6193" hidden="1">
      <c r="A6193" s="6" t="s">
        <v>77</v>
      </c>
      <c r="B6193" s="13" t="s">
        <v>1334</v>
      </c>
      <c r="C6193" s="13" t="s">
        <v>553</v>
      </c>
      <c r="D6193" s="15">
        <v>3.0</v>
      </c>
      <c r="E6193" s="67">
        <f t="shared" si="18"/>
        <v>750</v>
      </c>
      <c r="F6193" s="67" t="str">
        <f t="shared" si="12"/>
        <v>3 LeadGen Set Appointments</v>
      </c>
    </row>
    <row r="6194" hidden="1">
      <c r="A6194" s="6" t="s">
        <v>77</v>
      </c>
      <c r="B6194" s="13" t="s">
        <v>2473</v>
      </c>
      <c r="C6194" s="13" t="s">
        <v>2474</v>
      </c>
      <c r="D6194" s="15">
        <v>3.0</v>
      </c>
      <c r="E6194" s="67">
        <f t="shared" si="18"/>
        <v>750</v>
      </c>
      <c r="F6194" s="67" t="str">
        <f t="shared" si="12"/>
        <v>3 LeadGen Set Appointments</v>
      </c>
    </row>
    <row r="6195" hidden="1">
      <c r="A6195" s="6" t="s">
        <v>77</v>
      </c>
      <c r="B6195" s="13" t="s">
        <v>2454</v>
      </c>
      <c r="C6195" s="13" t="s">
        <v>2455</v>
      </c>
      <c r="D6195" s="15">
        <v>3.0</v>
      </c>
      <c r="E6195" s="67">
        <f t="shared" si="18"/>
        <v>750</v>
      </c>
      <c r="F6195" s="67" t="str">
        <f t="shared" si="12"/>
        <v>3 LeadGen Set Appointments</v>
      </c>
    </row>
    <row r="6196" hidden="1">
      <c r="A6196" s="6" t="s">
        <v>77</v>
      </c>
      <c r="B6196" s="13" t="s">
        <v>2097</v>
      </c>
      <c r="C6196" s="13" t="s">
        <v>828</v>
      </c>
      <c r="D6196" s="15">
        <v>3.0</v>
      </c>
      <c r="E6196" s="67">
        <f t="shared" si="18"/>
        <v>750</v>
      </c>
      <c r="F6196" s="67" t="str">
        <f t="shared" si="12"/>
        <v>3 LeadGen Set Appointments</v>
      </c>
    </row>
    <row r="6197" hidden="1">
      <c r="A6197" s="6" t="s">
        <v>77</v>
      </c>
      <c r="B6197" s="13" t="s">
        <v>2127</v>
      </c>
      <c r="C6197" s="13" t="s">
        <v>2128</v>
      </c>
      <c r="D6197" s="15">
        <v>3.0</v>
      </c>
      <c r="E6197" s="67">
        <f t="shared" si="18"/>
        <v>750</v>
      </c>
      <c r="F6197" s="67" t="str">
        <f t="shared" si="12"/>
        <v>3 LeadGen Set Appointments</v>
      </c>
    </row>
    <row r="6198" hidden="1">
      <c r="A6198" s="6" t="s">
        <v>77</v>
      </c>
      <c r="B6198" s="13" t="s">
        <v>1770</v>
      </c>
      <c r="C6198" s="13" t="s">
        <v>1771</v>
      </c>
      <c r="D6198" s="15">
        <v>3.0</v>
      </c>
      <c r="E6198" s="67">
        <f t="shared" si="18"/>
        <v>750</v>
      </c>
      <c r="F6198" s="67" t="str">
        <f t="shared" si="12"/>
        <v>3 LeadGen Set Appointments</v>
      </c>
    </row>
    <row r="6199" hidden="1">
      <c r="A6199" s="6" t="s">
        <v>77</v>
      </c>
      <c r="B6199" s="13" t="s">
        <v>502</v>
      </c>
      <c r="C6199" s="13" t="s">
        <v>503</v>
      </c>
      <c r="D6199" s="15">
        <v>3.0</v>
      </c>
      <c r="E6199" s="67">
        <f t="shared" si="18"/>
        <v>750</v>
      </c>
      <c r="F6199" s="67" t="str">
        <f t="shared" si="12"/>
        <v>3 LeadGen Set Appointments</v>
      </c>
    </row>
    <row r="6200" hidden="1">
      <c r="A6200" s="6" t="s">
        <v>77</v>
      </c>
      <c r="B6200" s="13" t="s">
        <v>582</v>
      </c>
      <c r="C6200" s="13" t="s">
        <v>583</v>
      </c>
      <c r="D6200" s="15">
        <v>3.0</v>
      </c>
      <c r="E6200" s="67">
        <f t="shared" si="18"/>
        <v>750</v>
      </c>
      <c r="F6200" s="67" t="str">
        <f t="shared" si="12"/>
        <v>3 LeadGen Set Appointments</v>
      </c>
    </row>
    <row r="6201" hidden="1">
      <c r="A6201" s="6" t="s">
        <v>77</v>
      </c>
      <c r="B6201" s="13" t="s">
        <v>1393</v>
      </c>
      <c r="C6201" s="13" t="s">
        <v>1394</v>
      </c>
      <c r="D6201" s="15">
        <v>3.0</v>
      </c>
      <c r="E6201" s="67">
        <f t="shared" si="18"/>
        <v>750</v>
      </c>
      <c r="F6201" s="67" t="str">
        <f t="shared" si="12"/>
        <v>3 LeadGen Set Appointments</v>
      </c>
    </row>
    <row r="6202" hidden="1">
      <c r="A6202" s="6" t="s">
        <v>77</v>
      </c>
      <c r="B6202" s="13" t="s">
        <v>717</v>
      </c>
      <c r="C6202" s="13" t="s">
        <v>718</v>
      </c>
      <c r="D6202" s="15">
        <v>3.0</v>
      </c>
      <c r="E6202" s="67">
        <f t="shared" si="18"/>
        <v>750</v>
      </c>
      <c r="F6202" s="67" t="str">
        <f t="shared" si="12"/>
        <v>3 LeadGen Set Appointments</v>
      </c>
    </row>
    <row r="6203" hidden="1">
      <c r="A6203" s="6" t="s">
        <v>77</v>
      </c>
      <c r="B6203" s="13" t="s">
        <v>1325</v>
      </c>
      <c r="C6203" s="13" t="s">
        <v>1326</v>
      </c>
      <c r="D6203" s="15">
        <v>3.0</v>
      </c>
      <c r="E6203" s="67">
        <f t="shared" si="18"/>
        <v>750</v>
      </c>
      <c r="F6203" s="67" t="str">
        <f t="shared" si="12"/>
        <v>3 LeadGen Set Appointments</v>
      </c>
    </row>
    <row r="6204" hidden="1">
      <c r="A6204" s="6" t="s">
        <v>77</v>
      </c>
      <c r="B6204" s="13" t="s">
        <v>2100</v>
      </c>
      <c r="C6204" s="13" t="s">
        <v>2101</v>
      </c>
      <c r="D6204" s="15">
        <v>3.0</v>
      </c>
      <c r="E6204" s="67">
        <f t="shared" si="18"/>
        <v>750</v>
      </c>
      <c r="F6204" s="67" t="str">
        <f t="shared" si="12"/>
        <v>3 LeadGen Set Appointments</v>
      </c>
    </row>
    <row r="6205" hidden="1">
      <c r="A6205" s="6" t="s">
        <v>77</v>
      </c>
      <c r="B6205" s="13" t="s">
        <v>1657</v>
      </c>
      <c r="C6205" s="13" t="s">
        <v>1658</v>
      </c>
      <c r="D6205" s="15">
        <v>3.0</v>
      </c>
      <c r="E6205" s="67">
        <f t="shared" si="18"/>
        <v>750</v>
      </c>
      <c r="F6205" s="67" t="str">
        <f t="shared" si="12"/>
        <v>3 LeadGen Set Appointments</v>
      </c>
    </row>
    <row r="6206" hidden="1">
      <c r="A6206" s="6" t="s">
        <v>77</v>
      </c>
      <c r="B6206" s="13" t="s">
        <v>1333</v>
      </c>
      <c r="C6206" s="13" t="s">
        <v>551</v>
      </c>
      <c r="D6206" s="15">
        <v>3.0</v>
      </c>
      <c r="E6206" s="67">
        <f t="shared" si="18"/>
        <v>750</v>
      </c>
      <c r="F6206" s="67" t="str">
        <f t="shared" si="12"/>
        <v>3 LeadGen Set Appointments</v>
      </c>
    </row>
    <row r="6207" hidden="1">
      <c r="A6207" s="6" t="s">
        <v>77</v>
      </c>
      <c r="B6207" s="13" t="s">
        <v>2360</v>
      </c>
      <c r="C6207" s="13" t="s">
        <v>2361</v>
      </c>
      <c r="D6207" s="15">
        <v>3.0</v>
      </c>
      <c r="E6207" s="67">
        <f t="shared" si="18"/>
        <v>750</v>
      </c>
      <c r="F6207" s="67" t="str">
        <f t="shared" si="12"/>
        <v>3 LeadGen Set Appointments</v>
      </c>
    </row>
    <row r="6208" hidden="1">
      <c r="A6208" s="6" t="s">
        <v>77</v>
      </c>
      <c r="B6208" s="13" t="s">
        <v>1442</v>
      </c>
      <c r="C6208" s="13" t="s">
        <v>749</v>
      </c>
      <c r="D6208" s="15">
        <v>3.0</v>
      </c>
      <c r="E6208" s="67">
        <f t="shared" si="18"/>
        <v>750</v>
      </c>
      <c r="F6208" s="67" t="str">
        <f t="shared" si="12"/>
        <v>3 LeadGen Set Appointments</v>
      </c>
    </row>
    <row r="6209" hidden="1">
      <c r="A6209" s="6" t="s">
        <v>77</v>
      </c>
      <c r="B6209" s="13" t="s">
        <v>1039</v>
      </c>
      <c r="C6209" s="13" t="s">
        <v>1040</v>
      </c>
      <c r="D6209" s="15">
        <v>3.0</v>
      </c>
      <c r="E6209" s="67">
        <f t="shared" si="18"/>
        <v>750</v>
      </c>
      <c r="F6209" s="67" t="str">
        <f t="shared" si="12"/>
        <v>3 LeadGen Set Appointments</v>
      </c>
    </row>
    <row r="6210" hidden="1">
      <c r="A6210" s="6" t="s">
        <v>77</v>
      </c>
      <c r="B6210" s="13" t="s">
        <v>2268</v>
      </c>
      <c r="C6210" s="13" t="s">
        <v>2269</v>
      </c>
      <c r="D6210" s="15">
        <v>3.0</v>
      </c>
      <c r="E6210" s="67">
        <f t="shared" si="18"/>
        <v>750</v>
      </c>
      <c r="F6210" s="67" t="str">
        <f t="shared" si="12"/>
        <v>3 LeadGen Set Appointments</v>
      </c>
    </row>
    <row r="6211" hidden="1">
      <c r="A6211" s="6" t="s">
        <v>77</v>
      </c>
      <c r="B6211" s="13" t="s">
        <v>2423</v>
      </c>
      <c r="C6211" s="13" t="s">
        <v>2424</v>
      </c>
      <c r="D6211" s="15">
        <v>3.0</v>
      </c>
      <c r="E6211" s="67">
        <f t="shared" si="18"/>
        <v>750</v>
      </c>
      <c r="F6211" s="67" t="str">
        <f t="shared" si="12"/>
        <v>3 LeadGen Set Appointments</v>
      </c>
    </row>
    <row r="6212" hidden="1">
      <c r="A6212" s="6" t="s">
        <v>77</v>
      </c>
      <c r="B6212" s="13" t="s">
        <v>2345</v>
      </c>
      <c r="C6212" s="13" t="s">
        <v>2346</v>
      </c>
      <c r="D6212" s="15">
        <v>3.0</v>
      </c>
      <c r="E6212" s="67">
        <f t="shared" si="18"/>
        <v>750</v>
      </c>
      <c r="F6212" s="67" t="str">
        <f t="shared" si="12"/>
        <v>3 LeadGen Set Appointments</v>
      </c>
    </row>
    <row r="6213" hidden="1">
      <c r="A6213" s="6" t="s">
        <v>77</v>
      </c>
      <c r="B6213" s="13" t="s">
        <v>1923</v>
      </c>
      <c r="C6213" s="13" t="s">
        <v>1924</v>
      </c>
      <c r="D6213" s="15">
        <v>3.0</v>
      </c>
      <c r="E6213" s="67">
        <f t="shared" si="18"/>
        <v>750</v>
      </c>
      <c r="F6213" s="67" t="str">
        <f t="shared" si="12"/>
        <v>3 LeadGen Set Appointments</v>
      </c>
    </row>
    <row r="6214" hidden="1">
      <c r="A6214" s="6" t="s">
        <v>77</v>
      </c>
      <c r="B6214" s="13" t="s">
        <v>2367</v>
      </c>
      <c r="C6214" s="13" t="s">
        <v>2368</v>
      </c>
      <c r="D6214" s="15">
        <v>3.0</v>
      </c>
      <c r="E6214" s="67">
        <f t="shared" si="18"/>
        <v>750</v>
      </c>
      <c r="F6214" s="67" t="str">
        <f t="shared" si="12"/>
        <v>3 LeadGen Set Appointments</v>
      </c>
    </row>
    <row r="6215" hidden="1">
      <c r="A6215" s="6" t="s">
        <v>77</v>
      </c>
      <c r="B6215" s="13" t="s">
        <v>2475</v>
      </c>
      <c r="C6215" s="13" t="s">
        <v>2476</v>
      </c>
      <c r="D6215" s="15">
        <v>3.0</v>
      </c>
      <c r="E6215" s="67">
        <f t="shared" si="18"/>
        <v>750</v>
      </c>
      <c r="F6215" s="67" t="str">
        <f t="shared" si="12"/>
        <v>3 LeadGen Set Appointments</v>
      </c>
    </row>
    <row r="6216" hidden="1">
      <c r="A6216" s="6" t="s">
        <v>77</v>
      </c>
      <c r="B6216" s="13" t="s">
        <v>2151</v>
      </c>
      <c r="C6216" s="13" t="s">
        <v>2152</v>
      </c>
      <c r="D6216" s="15">
        <v>3.0</v>
      </c>
      <c r="E6216" s="67">
        <f t="shared" si="18"/>
        <v>750</v>
      </c>
      <c r="F6216" s="67" t="str">
        <f t="shared" si="12"/>
        <v>3 LeadGen Set Appointments</v>
      </c>
    </row>
    <row r="6217" hidden="1">
      <c r="A6217" s="6" t="s">
        <v>77</v>
      </c>
      <c r="B6217" s="13" t="s">
        <v>566</v>
      </c>
      <c r="C6217" s="13" t="s">
        <v>567</v>
      </c>
      <c r="D6217" s="15">
        <v>3.0</v>
      </c>
      <c r="E6217" s="67">
        <f t="shared" si="18"/>
        <v>750</v>
      </c>
      <c r="F6217" s="67" t="str">
        <f t="shared" si="12"/>
        <v>3 LeadGen Set Appointments</v>
      </c>
    </row>
    <row r="6218" hidden="1">
      <c r="A6218" s="6" t="s">
        <v>77</v>
      </c>
      <c r="B6218" s="13" t="s">
        <v>1351</v>
      </c>
      <c r="C6218" s="13" t="s">
        <v>1352</v>
      </c>
      <c r="D6218" s="15">
        <v>3.0</v>
      </c>
      <c r="E6218" s="67">
        <f t="shared" si="18"/>
        <v>750</v>
      </c>
      <c r="F6218" s="67" t="str">
        <f t="shared" si="12"/>
        <v>3 LeadGen Set Appointments</v>
      </c>
    </row>
    <row r="6219" hidden="1">
      <c r="A6219" s="6" t="s">
        <v>77</v>
      </c>
      <c r="B6219" s="13" t="s">
        <v>2440</v>
      </c>
      <c r="C6219" s="13" t="s">
        <v>2441</v>
      </c>
      <c r="D6219" s="15">
        <v>3.0</v>
      </c>
      <c r="E6219" s="67">
        <f t="shared" si="18"/>
        <v>750</v>
      </c>
      <c r="F6219" s="67" t="str">
        <f t="shared" si="12"/>
        <v>3 LeadGen Set Appointments</v>
      </c>
    </row>
    <row r="6220" hidden="1">
      <c r="A6220" s="6" t="s">
        <v>77</v>
      </c>
      <c r="B6220" s="13" t="s">
        <v>1483</v>
      </c>
      <c r="C6220" s="13" t="s">
        <v>1484</v>
      </c>
      <c r="D6220" s="15">
        <v>3.0</v>
      </c>
      <c r="E6220" s="67">
        <f t="shared" si="18"/>
        <v>750</v>
      </c>
      <c r="F6220" s="67" t="str">
        <f t="shared" si="12"/>
        <v>3 LeadGen Set Appointments</v>
      </c>
    </row>
    <row r="6221" hidden="1">
      <c r="A6221" s="6" t="s">
        <v>77</v>
      </c>
      <c r="B6221" s="13" t="s">
        <v>1463</v>
      </c>
      <c r="C6221" s="13" t="s">
        <v>1464</v>
      </c>
      <c r="D6221" s="15">
        <v>2.0</v>
      </c>
      <c r="E6221" s="67">
        <f t="shared" si="18"/>
        <v>500</v>
      </c>
      <c r="F6221" s="67" t="str">
        <f t="shared" si="12"/>
        <v>2 LeadGen Set Appointments</v>
      </c>
    </row>
    <row r="6222" hidden="1">
      <c r="A6222" s="6" t="s">
        <v>77</v>
      </c>
      <c r="B6222" s="13" t="s">
        <v>2467</v>
      </c>
      <c r="C6222" s="13" t="s">
        <v>2468</v>
      </c>
      <c r="D6222" s="15">
        <v>2.0</v>
      </c>
      <c r="E6222" s="67">
        <f t="shared" si="18"/>
        <v>500</v>
      </c>
      <c r="F6222" s="67" t="str">
        <f t="shared" si="12"/>
        <v>2 LeadGen Set Appointments</v>
      </c>
    </row>
    <row r="6223" hidden="1">
      <c r="A6223" s="6" t="s">
        <v>77</v>
      </c>
      <c r="B6223" s="13" t="s">
        <v>462</v>
      </c>
      <c r="C6223" s="13" t="s">
        <v>463</v>
      </c>
      <c r="D6223" s="15">
        <v>2.0</v>
      </c>
      <c r="E6223" s="67">
        <f t="shared" si="18"/>
        <v>500</v>
      </c>
      <c r="F6223" s="67" t="str">
        <f t="shared" si="12"/>
        <v>2 LeadGen Set Appointments</v>
      </c>
    </row>
    <row r="6224" hidden="1">
      <c r="A6224" s="6" t="s">
        <v>77</v>
      </c>
      <c r="B6224" s="13" t="s">
        <v>1579</v>
      </c>
      <c r="C6224" s="13" t="s">
        <v>1580</v>
      </c>
      <c r="D6224" s="15">
        <v>2.0</v>
      </c>
      <c r="E6224" s="67">
        <f t="shared" si="18"/>
        <v>500</v>
      </c>
      <c r="F6224" s="67" t="str">
        <f t="shared" si="12"/>
        <v>2 LeadGen Set Appointments</v>
      </c>
    </row>
    <row r="6225" hidden="1">
      <c r="A6225" s="6" t="s">
        <v>77</v>
      </c>
      <c r="B6225" s="13" t="s">
        <v>2495</v>
      </c>
      <c r="C6225" s="13" t="s">
        <v>2496</v>
      </c>
      <c r="D6225" s="15">
        <v>2.0</v>
      </c>
      <c r="E6225" s="67">
        <f t="shared" si="18"/>
        <v>500</v>
      </c>
      <c r="F6225" s="67" t="str">
        <f t="shared" si="12"/>
        <v>2 LeadGen Set Appointments</v>
      </c>
    </row>
    <row r="6226" hidden="1">
      <c r="A6226" s="6" t="s">
        <v>77</v>
      </c>
      <c r="B6226" s="13" t="s">
        <v>1448</v>
      </c>
      <c r="C6226" s="13" t="s">
        <v>1449</v>
      </c>
      <c r="D6226" s="15">
        <v>2.0</v>
      </c>
      <c r="E6226" s="67">
        <f t="shared" si="18"/>
        <v>500</v>
      </c>
      <c r="F6226" s="67" t="str">
        <f t="shared" si="12"/>
        <v>2 LeadGen Set Appointments</v>
      </c>
    </row>
    <row r="6227" hidden="1">
      <c r="A6227" s="6" t="s">
        <v>77</v>
      </c>
      <c r="B6227" s="13" t="s">
        <v>2034</v>
      </c>
      <c r="C6227" s="13" t="s">
        <v>416</v>
      </c>
      <c r="D6227" s="15">
        <v>2.0</v>
      </c>
      <c r="E6227" s="67">
        <f t="shared" si="18"/>
        <v>500</v>
      </c>
      <c r="F6227" s="67" t="str">
        <f t="shared" si="12"/>
        <v>2 LeadGen Set Appointments</v>
      </c>
    </row>
    <row r="6228" hidden="1">
      <c r="A6228" s="6" t="s">
        <v>77</v>
      </c>
      <c r="B6228" s="13" t="s">
        <v>2417</v>
      </c>
      <c r="C6228" s="13" t="s">
        <v>2418</v>
      </c>
      <c r="D6228" s="15">
        <v>2.0</v>
      </c>
      <c r="E6228" s="67">
        <f t="shared" si="18"/>
        <v>500</v>
      </c>
      <c r="F6228" s="67" t="str">
        <f t="shared" si="12"/>
        <v>2 LeadGen Set Appointments</v>
      </c>
    </row>
    <row r="6229" hidden="1">
      <c r="A6229" s="6" t="s">
        <v>77</v>
      </c>
      <c r="B6229" s="13" t="s">
        <v>431</v>
      </c>
      <c r="C6229" s="13" t="s">
        <v>432</v>
      </c>
      <c r="D6229" s="15">
        <v>2.0</v>
      </c>
      <c r="E6229" s="67">
        <f t="shared" si="18"/>
        <v>500</v>
      </c>
      <c r="F6229" s="67" t="str">
        <f t="shared" si="12"/>
        <v>2 LeadGen Set Appointments</v>
      </c>
    </row>
    <row r="6230" hidden="1">
      <c r="A6230" s="6" t="s">
        <v>77</v>
      </c>
      <c r="B6230" s="13" t="s">
        <v>2497</v>
      </c>
      <c r="C6230" s="13" t="s">
        <v>2498</v>
      </c>
      <c r="D6230" s="15">
        <v>2.0</v>
      </c>
      <c r="E6230" s="67">
        <f t="shared" si="18"/>
        <v>500</v>
      </c>
      <c r="F6230" s="67" t="str">
        <f t="shared" si="12"/>
        <v>2 LeadGen Set Appointments</v>
      </c>
    </row>
    <row r="6231" hidden="1">
      <c r="A6231" s="6" t="s">
        <v>77</v>
      </c>
      <c r="B6231" s="13" t="s">
        <v>2393</v>
      </c>
      <c r="C6231" s="13" t="s">
        <v>2394</v>
      </c>
      <c r="D6231" s="15">
        <v>2.0</v>
      </c>
      <c r="E6231" s="67">
        <f t="shared" si="18"/>
        <v>500</v>
      </c>
      <c r="F6231" s="67" t="str">
        <f t="shared" si="12"/>
        <v>2 LeadGen Set Appointments</v>
      </c>
    </row>
    <row r="6232" hidden="1">
      <c r="A6232" s="6" t="s">
        <v>77</v>
      </c>
      <c r="B6232" s="13" t="s">
        <v>2384</v>
      </c>
      <c r="C6232" s="13" t="s">
        <v>2385</v>
      </c>
      <c r="D6232" s="15">
        <v>2.0</v>
      </c>
      <c r="E6232" s="67">
        <f t="shared" si="18"/>
        <v>500</v>
      </c>
      <c r="F6232" s="67" t="str">
        <f t="shared" si="12"/>
        <v>2 LeadGen Set Appointments</v>
      </c>
    </row>
    <row r="6233" hidden="1">
      <c r="A6233" s="6" t="s">
        <v>77</v>
      </c>
      <c r="B6233" s="13" t="s">
        <v>1960</v>
      </c>
      <c r="C6233" s="13" t="s">
        <v>1961</v>
      </c>
      <c r="D6233" s="15">
        <v>2.0</v>
      </c>
      <c r="E6233" s="67">
        <f t="shared" si="18"/>
        <v>500</v>
      </c>
      <c r="F6233" s="67" t="str">
        <f t="shared" si="12"/>
        <v>2 LeadGen Set Appointments</v>
      </c>
    </row>
    <row r="6234" hidden="1">
      <c r="A6234" s="6" t="s">
        <v>77</v>
      </c>
      <c r="B6234" s="13" t="s">
        <v>2499</v>
      </c>
      <c r="C6234" s="13" t="s">
        <v>2500</v>
      </c>
      <c r="D6234" s="15">
        <v>2.0</v>
      </c>
      <c r="E6234" s="67">
        <f t="shared" si="18"/>
        <v>500</v>
      </c>
      <c r="F6234" s="67" t="str">
        <f t="shared" si="12"/>
        <v>2 LeadGen Set Appointments</v>
      </c>
    </row>
    <row r="6235" hidden="1">
      <c r="A6235" s="6" t="s">
        <v>77</v>
      </c>
      <c r="B6235" s="13" t="s">
        <v>2501</v>
      </c>
      <c r="C6235" s="13" t="s">
        <v>2502</v>
      </c>
      <c r="D6235" s="15">
        <v>2.0</v>
      </c>
      <c r="E6235" s="67">
        <f t="shared" si="18"/>
        <v>500</v>
      </c>
      <c r="F6235" s="67" t="str">
        <f t="shared" si="12"/>
        <v>2 LeadGen Set Appointments</v>
      </c>
    </row>
    <row r="6236" hidden="1">
      <c r="A6236" s="6" t="s">
        <v>77</v>
      </c>
      <c r="B6236" s="13" t="s">
        <v>1935</v>
      </c>
      <c r="C6236" s="13" t="s">
        <v>1936</v>
      </c>
      <c r="D6236" s="15">
        <v>2.0</v>
      </c>
      <c r="E6236" s="67">
        <f t="shared" si="18"/>
        <v>500</v>
      </c>
      <c r="F6236" s="67" t="str">
        <f t="shared" si="12"/>
        <v>2 LeadGen Set Appointments</v>
      </c>
    </row>
    <row r="6237" hidden="1">
      <c r="A6237" s="6" t="s">
        <v>77</v>
      </c>
      <c r="B6237" s="13" t="s">
        <v>2503</v>
      </c>
      <c r="C6237" s="13" t="s">
        <v>2504</v>
      </c>
      <c r="D6237" s="15">
        <v>2.0</v>
      </c>
      <c r="E6237" s="67">
        <f t="shared" si="18"/>
        <v>500</v>
      </c>
      <c r="F6237" s="67" t="str">
        <f t="shared" si="12"/>
        <v>2 LeadGen Set Appointments</v>
      </c>
    </row>
    <row r="6238" hidden="1">
      <c r="A6238" s="6" t="s">
        <v>77</v>
      </c>
      <c r="B6238" s="13" t="s">
        <v>2236</v>
      </c>
      <c r="C6238" s="13" t="s">
        <v>2237</v>
      </c>
      <c r="D6238" s="15">
        <v>2.0</v>
      </c>
      <c r="E6238" s="67">
        <f t="shared" si="18"/>
        <v>500</v>
      </c>
      <c r="F6238" s="67" t="str">
        <f t="shared" si="12"/>
        <v>2 LeadGen Set Appointments</v>
      </c>
    </row>
    <row r="6239" hidden="1">
      <c r="A6239" s="6" t="s">
        <v>77</v>
      </c>
      <c r="B6239" s="13" t="s">
        <v>1883</v>
      </c>
      <c r="C6239" s="13" t="s">
        <v>1884</v>
      </c>
      <c r="D6239" s="15">
        <v>2.0</v>
      </c>
      <c r="E6239" s="67">
        <f t="shared" si="18"/>
        <v>500</v>
      </c>
      <c r="F6239" s="67" t="str">
        <f t="shared" si="12"/>
        <v>2 LeadGen Set Appointments</v>
      </c>
    </row>
    <row r="6240" hidden="1">
      <c r="A6240" s="6" t="s">
        <v>77</v>
      </c>
      <c r="B6240" s="13" t="s">
        <v>2081</v>
      </c>
      <c r="C6240" s="13" t="s">
        <v>2082</v>
      </c>
      <c r="D6240" s="15">
        <v>2.0</v>
      </c>
      <c r="E6240" s="67">
        <f t="shared" si="18"/>
        <v>500</v>
      </c>
      <c r="F6240" s="67" t="str">
        <f t="shared" si="12"/>
        <v>2 LeadGen Set Appointments</v>
      </c>
    </row>
    <row r="6241" hidden="1">
      <c r="A6241" s="6" t="s">
        <v>77</v>
      </c>
      <c r="B6241" s="13" t="s">
        <v>2185</v>
      </c>
      <c r="C6241" s="13" t="s">
        <v>2186</v>
      </c>
      <c r="D6241" s="15">
        <v>2.0</v>
      </c>
      <c r="E6241" s="67">
        <f t="shared" si="18"/>
        <v>500</v>
      </c>
      <c r="F6241" s="67" t="str">
        <f t="shared" si="12"/>
        <v>2 LeadGen Set Appointments</v>
      </c>
    </row>
    <row r="6242" hidden="1">
      <c r="A6242" s="6" t="s">
        <v>77</v>
      </c>
      <c r="B6242" s="13" t="s">
        <v>1283</v>
      </c>
      <c r="C6242" s="13" t="s">
        <v>404</v>
      </c>
      <c r="D6242" s="15">
        <v>2.0</v>
      </c>
      <c r="E6242" s="67">
        <f t="shared" si="18"/>
        <v>500</v>
      </c>
      <c r="F6242" s="67" t="str">
        <f t="shared" si="12"/>
        <v>2 LeadGen Set Appointments</v>
      </c>
    </row>
    <row r="6243" hidden="1">
      <c r="A6243" s="6" t="s">
        <v>77</v>
      </c>
      <c r="B6243" s="13" t="s">
        <v>2461</v>
      </c>
      <c r="C6243" s="13" t="s">
        <v>2462</v>
      </c>
      <c r="D6243" s="15">
        <v>2.0</v>
      </c>
      <c r="E6243" s="67">
        <f t="shared" si="18"/>
        <v>500</v>
      </c>
      <c r="F6243" s="67" t="str">
        <f t="shared" si="12"/>
        <v>2 LeadGen Set Appointments</v>
      </c>
    </row>
    <row r="6244" hidden="1">
      <c r="A6244" s="6" t="s">
        <v>77</v>
      </c>
      <c r="B6244" s="13" t="s">
        <v>2463</v>
      </c>
      <c r="C6244" s="13" t="s">
        <v>2464</v>
      </c>
      <c r="D6244" s="15">
        <v>2.0</v>
      </c>
      <c r="E6244" s="67">
        <f t="shared" si="18"/>
        <v>500</v>
      </c>
      <c r="F6244" s="67" t="str">
        <f t="shared" si="12"/>
        <v>2 LeadGen Set Appointments</v>
      </c>
    </row>
    <row r="6245" hidden="1">
      <c r="A6245" s="6" t="s">
        <v>77</v>
      </c>
      <c r="B6245" s="13" t="s">
        <v>2397</v>
      </c>
      <c r="C6245" s="13" t="s">
        <v>2398</v>
      </c>
      <c r="D6245" s="15">
        <v>1.0</v>
      </c>
      <c r="E6245" s="67">
        <f t="shared" si="18"/>
        <v>250</v>
      </c>
      <c r="F6245" s="67" t="str">
        <f t="shared" si="12"/>
        <v>1 LeadGen Set Appointments</v>
      </c>
    </row>
    <row r="6246" hidden="1">
      <c r="A6246" s="6" t="s">
        <v>77</v>
      </c>
      <c r="B6246" s="13" t="s">
        <v>447</v>
      </c>
      <c r="C6246" s="13" t="s">
        <v>448</v>
      </c>
      <c r="D6246" s="15">
        <v>1.0</v>
      </c>
      <c r="E6246" s="67">
        <f t="shared" si="18"/>
        <v>250</v>
      </c>
      <c r="F6246" s="67" t="str">
        <f t="shared" si="12"/>
        <v>1 LeadGen Set Appointments</v>
      </c>
    </row>
    <row r="6247" hidden="1">
      <c r="A6247" s="6" t="s">
        <v>77</v>
      </c>
      <c r="B6247" s="13" t="s">
        <v>2465</v>
      </c>
      <c r="C6247" s="13" t="s">
        <v>2466</v>
      </c>
      <c r="D6247" s="15">
        <v>1.0</v>
      </c>
      <c r="E6247" s="67">
        <f t="shared" si="18"/>
        <v>250</v>
      </c>
      <c r="F6247" s="67" t="str">
        <f t="shared" si="12"/>
        <v>1 LeadGen Set Appointments</v>
      </c>
    </row>
    <row r="6248" hidden="1">
      <c r="A6248" s="6" t="s">
        <v>77</v>
      </c>
      <c r="B6248" s="13" t="s">
        <v>1577</v>
      </c>
      <c r="C6248" s="13" t="s">
        <v>1578</v>
      </c>
      <c r="D6248" s="15">
        <v>1.0</v>
      </c>
      <c r="E6248" s="67">
        <f t="shared" si="18"/>
        <v>250</v>
      </c>
      <c r="F6248" s="67" t="str">
        <f t="shared" si="12"/>
        <v>1 LeadGen Set Appointments</v>
      </c>
    </row>
    <row r="6249" hidden="1">
      <c r="A6249" s="6" t="s">
        <v>77</v>
      </c>
      <c r="B6249" s="13" t="s">
        <v>596</v>
      </c>
      <c r="C6249" s="13" t="s">
        <v>597</v>
      </c>
      <c r="D6249" s="15">
        <v>1.0</v>
      </c>
      <c r="E6249" s="67">
        <f t="shared" si="18"/>
        <v>250</v>
      </c>
      <c r="F6249" s="67" t="str">
        <f t="shared" si="12"/>
        <v>1 LeadGen Set Appointments</v>
      </c>
    </row>
    <row r="6250" hidden="1">
      <c r="A6250" s="6" t="s">
        <v>77</v>
      </c>
      <c r="B6250" s="13" t="s">
        <v>1033</v>
      </c>
      <c r="C6250" s="13" t="s">
        <v>1034</v>
      </c>
      <c r="D6250" s="15">
        <v>1.0</v>
      </c>
      <c r="E6250" s="67">
        <f t="shared" si="18"/>
        <v>250</v>
      </c>
      <c r="F6250" s="67" t="str">
        <f t="shared" si="12"/>
        <v>1 LeadGen Set Appointments</v>
      </c>
    </row>
    <row r="6251" hidden="1">
      <c r="A6251" s="6" t="s">
        <v>77</v>
      </c>
      <c r="B6251" s="13" t="s">
        <v>1761</v>
      </c>
      <c r="C6251" s="13" t="s">
        <v>1762</v>
      </c>
      <c r="D6251" s="15">
        <v>1.0</v>
      </c>
      <c r="E6251" s="67">
        <f t="shared" si="18"/>
        <v>250</v>
      </c>
      <c r="F6251" s="67" t="str">
        <f t="shared" si="12"/>
        <v>1 LeadGen Set Appointments</v>
      </c>
    </row>
    <row r="6252" hidden="1">
      <c r="A6252" s="6" t="s">
        <v>77</v>
      </c>
      <c r="B6252" s="13" t="s">
        <v>2486</v>
      </c>
      <c r="C6252" s="13" t="s">
        <v>2487</v>
      </c>
      <c r="D6252" s="15">
        <v>1.0</v>
      </c>
      <c r="E6252" s="67">
        <f t="shared" si="18"/>
        <v>250</v>
      </c>
      <c r="F6252" s="67" t="str">
        <f t="shared" si="12"/>
        <v>1 LeadGen Set Appointments</v>
      </c>
    </row>
    <row r="6253" hidden="1">
      <c r="A6253" s="6" t="s">
        <v>77</v>
      </c>
      <c r="B6253" s="13" t="s">
        <v>2419</v>
      </c>
      <c r="C6253" s="13" t="s">
        <v>2420</v>
      </c>
      <c r="D6253" s="15">
        <v>1.0</v>
      </c>
      <c r="E6253" s="67">
        <f t="shared" si="18"/>
        <v>250</v>
      </c>
      <c r="F6253" s="67" t="str">
        <f t="shared" si="12"/>
        <v>1 LeadGen Set Appointments</v>
      </c>
    </row>
    <row r="6254" hidden="1">
      <c r="A6254" s="6" t="s">
        <v>77</v>
      </c>
      <c r="B6254" s="13" t="s">
        <v>976</v>
      </c>
      <c r="C6254" s="13" t="s">
        <v>977</v>
      </c>
      <c r="D6254" s="15">
        <v>1.0</v>
      </c>
      <c r="E6254" s="67">
        <f t="shared" si="18"/>
        <v>250</v>
      </c>
      <c r="F6254" s="67" t="str">
        <f t="shared" si="12"/>
        <v>1 LeadGen Set Appointments</v>
      </c>
    </row>
    <row r="6255" hidden="1">
      <c r="A6255" s="6" t="s">
        <v>77</v>
      </c>
      <c r="B6255" s="13" t="s">
        <v>1937</v>
      </c>
      <c r="C6255" s="13" t="s">
        <v>1938</v>
      </c>
      <c r="D6255" s="15">
        <v>1.0</v>
      </c>
      <c r="E6255" s="67">
        <f t="shared" si="18"/>
        <v>250</v>
      </c>
      <c r="F6255" s="67" t="str">
        <f t="shared" si="12"/>
        <v>1 LeadGen Set Appointments</v>
      </c>
    </row>
    <row r="6256" hidden="1">
      <c r="A6256" s="6" t="s">
        <v>77</v>
      </c>
      <c r="B6256" s="13" t="s">
        <v>2505</v>
      </c>
      <c r="C6256" s="13" t="s">
        <v>2506</v>
      </c>
      <c r="D6256" s="15">
        <v>1.0</v>
      </c>
      <c r="E6256" s="67">
        <f t="shared" si="18"/>
        <v>250</v>
      </c>
      <c r="F6256" s="67" t="str">
        <f t="shared" si="12"/>
        <v>1 LeadGen Set Appointments</v>
      </c>
    </row>
    <row r="6257" hidden="1">
      <c r="A6257" s="6" t="s">
        <v>77</v>
      </c>
      <c r="B6257" s="13" t="s">
        <v>2458</v>
      </c>
      <c r="C6257" s="13" t="s">
        <v>2459</v>
      </c>
      <c r="D6257" s="15">
        <v>1.0</v>
      </c>
      <c r="E6257" s="67">
        <f t="shared" si="18"/>
        <v>250</v>
      </c>
      <c r="F6257" s="67" t="str">
        <f t="shared" si="12"/>
        <v>1 LeadGen Set Appointments</v>
      </c>
    </row>
    <row r="6258" hidden="1">
      <c r="A6258" s="6" t="s">
        <v>77</v>
      </c>
      <c r="B6258" s="13" t="s">
        <v>2286</v>
      </c>
      <c r="C6258" s="13" t="s">
        <v>2287</v>
      </c>
      <c r="D6258" s="15">
        <v>1.0</v>
      </c>
      <c r="E6258" s="67">
        <f t="shared" si="18"/>
        <v>250</v>
      </c>
      <c r="F6258" s="67" t="str">
        <f t="shared" si="12"/>
        <v>1 LeadGen Set Appointments</v>
      </c>
    </row>
    <row r="6259" hidden="1">
      <c r="A6259" s="6" t="s">
        <v>77</v>
      </c>
      <c r="B6259" s="13" t="s">
        <v>2507</v>
      </c>
      <c r="C6259" s="13" t="s">
        <v>2508</v>
      </c>
      <c r="D6259" s="15">
        <v>1.0</v>
      </c>
      <c r="E6259" s="67">
        <f t="shared" si="18"/>
        <v>250</v>
      </c>
      <c r="F6259" s="67" t="str">
        <f t="shared" si="12"/>
        <v>1 LeadGen Set Appointments</v>
      </c>
    </row>
    <row r="6260" hidden="1">
      <c r="A6260" s="6" t="s">
        <v>77</v>
      </c>
      <c r="B6260" s="13" t="s">
        <v>2405</v>
      </c>
      <c r="C6260" s="13" t="s">
        <v>2406</v>
      </c>
      <c r="D6260" s="15">
        <v>1.0</v>
      </c>
      <c r="E6260" s="67">
        <f t="shared" si="18"/>
        <v>250</v>
      </c>
      <c r="F6260" s="67" t="str">
        <f t="shared" si="12"/>
        <v>1 LeadGen Set Appointments</v>
      </c>
    </row>
    <row r="6261" hidden="1">
      <c r="A6261" s="6" t="s">
        <v>77</v>
      </c>
      <c r="B6261" s="13" t="s">
        <v>2058</v>
      </c>
      <c r="C6261" s="13" t="s">
        <v>2414</v>
      </c>
      <c r="D6261" s="15">
        <v>1.0</v>
      </c>
      <c r="E6261" s="67">
        <f t="shared" si="18"/>
        <v>250</v>
      </c>
      <c r="F6261" s="67" t="str">
        <f t="shared" si="12"/>
        <v>1 LeadGen Set Appointments</v>
      </c>
    </row>
    <row r="6262" hidden="1">
      <c r="A6262" s="6" t="s">
        <v>77</v>
      </c>
      <c r="B6262" s="13" t="s">
        <v>2509</v>
      </c>
      <c r="C6262" s="13" t="s">
        <v>2510</v>
      </c>
      <c r="D6262" s="15">
        <v>1.0</v>
      </c>
      <c r="E6262" s="67">
        <f t="shared" si="18"/>
        <v>250</v>
      </c>
      <c r="F6262" s="67" t="str">
        <f t="shared" si="12"/>
        <v>1 LeadGen Set Appointments</v>
      </c>
    </row>
    <row r="6263" hidden="1">
      <c r="A6263" s="6" t="s">
        <v>77</v>
      </c>
      <c r="B6263" s="13" t="s">
        <v>2290</v>
      </c>
      <c r="C6263" s="13" t="s">
        <v>2291</v>
      </c>
      <c r="D6263" s="15">
        <v>1.0</v>
      </c>
      <c r="E6263" s="67">
        <f t="shared" si="18"/>
        <v>250</v>
      </c>
      <c r="F6263" s="67" t="str">
        <f t="shared" si="12"/>
        <v>1 LeadGen Set Appointments</v>
      </c>
    </row>
    <row r="6264" hidden="1">
      <c r="A6264" s="6" t="s">
        <v>77</v>
      </c>
      <c r="B6264" s="13" t="s">
        <v>2442</v>
      </c>
      <c r="C6264" s="13" t="s">
        <v>2443</v>
      </c>
      <c r="D6264" s="15">
        <v>1.0</v>
      </c>
      <c r="E6264" s="67">
        <f t="shared" si="18"/>
        <v>250</v>
      </c>
      <c r="F6264" s="67" t="str">
        <f t="shared" si="12"/>
        <v>1 LeadGen Set Appointments</v>
      </c>
    </row>
    <row r="6265" hidden="1">
      <c r="A6265" s="6" t="s">
        <v>77</v>
      </c>
      <c r="B6265" s="13" t="s">
        <v>2511</v>
      </c>
      <c r="C6265" s="13" t="s">
        <v>2512</v>
      </c>
      <c r="D6265" s="15">
        <v>1.0</v>
      </c>
      <c r="E6265" s="67">
        <f t="shared" si="18"/>
        <v>250</v>
      </c>
      <c r="F6265" s="67" t="str">
        <f t="shared" si="12"/>
        <v>1 LeadGen Set Appointments</v>
      </c>
    </row>
    <row r="6266" hidden="1">
      <c r="A6266" s="6" t="s">
        <v>77</v>
      </c>
      <c r="B6266" s="13" t="s">
        <v>2264</v>
      </c>
      <c r="C6266" s="13" t="s">
        <v>2265</v>
      </c>
      <c r="D6266" s="15">
        <v>1.0</v>
      </c>
      <c r="E6266" s="67">
        <f t="shared" si="18"/>
        <v>250</v>
      </c>
      <c r="F6266" s="67" t="str">
        <f t="shared" si="12"/>
        <v>1 LeadGen Set Appointments</v>
      </c>
    </row>
    <row r="6267" hidden="1">
      <c r="A6267" s="6" t="s">
        <v>77</v>
      </c>
      <c r="B6267" s="13" t="s">
        <v>1457</v>
      </c>
      <c r="C6267" s="13" t="s">
        <v>2411</v>
      </c>
      <c r="D6267" s="15">
        <v>1.0</v>
      </c>
      <c r="E6267" s="67">
        <f t="shared" si="18"/>
        <v>250</v>
      </c>
      <c r="F6267" s="67" t="str">
        <f t="shared" si="12"/>
        <v>1 LeadGen Set Appointments</v>
      </c>
    </row>
    <row r="6268" hidden="1">
      <c r="A6268" s="6" t="s">
        <v>77</v>
      </c>
      <c r="B6268" s="13" t="s">
        <v>2479</v>
      </c>
      <c r="C6268" s="13" t="s">
        <v>2480</v>
      </c>
      <c r="D6268" s="15">
        <v>1.0</v>
      </c>
      <c r="E6268" s="67">
        <f t="shared" si="18"/>
        <v>250</v>
      </c>
      <c r="F6268" s="67" t="str">
        <f t="shared" si="12"/>
        <v>1 LeadGen Set Appointments</v>
      </c>
    </row>
    <row r="6269" hidden="1">
      <c r="A6269" s="6" t="s">
        <v>77</v>
      </c>
      <c r="B6269" s="13" t="s">
        <v>2513</v>
      </c>
      <c r="C6269" s="13" t="s">
        <v>2514</v>
      </c>
      <c r="D6269" s="15">
        <v>1.0</v>
      </c>
      <c r="E6269" s="67">
        <f t="shared" si="18"/>
        <v>250</v>
      </c>
      <c r="F6269" s="67" t="str">
        <f t="shared" si="12"/>
        <v>1 LeadGen Set Appointments</v>
      </c>
    </row>
    <row r="6270" hidden="1">
      <c r="A6270" s="6" t="s">
        <v>77</v>
      </c>
      <c r="B6270" s="13" t="s">
        <v>2515</v>
      </c>
      <c r="C6270" s="13" t="s">
        <v>2516</v>
      </c>
      <c r="D6270" s="15">
        <v>1.0</v>
      </c>
      <c r="E6270" s="67">
        <f t="shared" si="18"/>
        <v>250</v>
      </c>
      <c r="F6270" s="67" t="str">
        <f t="shared" si="12"/>
        <v>1 LeadGen Set Appointments</v>
      </c>
    </row>
    <row r="6271" hidden="1">
      <c r="A6271" s="6" t="s">
        <v>77</v>
      </c>
      <c r="B6271" s="13" t="s">
        <v>590</v>
      </c>
      <c r="C6271" s="13" t="s">
        <v>591</v>
      </c>
      <c r="D6271" s="15">
        <v>3.0</v>
      </c>
      <c r="E6271" s="67">
        <f t="shared" si="18"/>
        <v>750</v>
      </c>
      <c r="F6271" s="67" t="str">
        <f t="shared" si="12"/>
        <v>3 LeadGen Set Appointments</v>
      </c>
    </row>
    <row r="6272" hidden="1">
      <c r="A6272" s="6" t="s">
        <v>77</v>
      </c>
      <c r="B6272" s="13" t="s">
        <v>445</v>
      </c>
      <c r="C6272" s="13" t="s">
        <v>446</v>
      </c>
      <c r="D6272" s="15">
        <v>4.0</v>
      </c>
      <c r="E6272" s="67">
        <f t="shared" si="18"/>
        <v>1000</v>
      </c>
      <c r="F6272" s="67" t="str">
        <f t="shared" si="12"/>
        <v>4 LeadGen Set Appointments</v>
      </c>
    </row>
    <row r="6273" hidden="1">
      <c r="A6273" s="6" t="s">
        <v>77</v>
      </c>
      <c r="B6273" s="13" t="s">
        <v>1475</v>
      </c>
      <c r="C6273" s="13" t="s">
        <v>1476</v>
      </c>
      <c r="D6273" s="15">
        <v>5.0</v>
      </c>
      <c r="E6273" s="67">
        <f t="shared" si="18"/>
        <v>1250</v>
      </c>
      <c r="F6273" s="67" t="str">
        <f t="shared" si="12"/>
        <v>5 LeadGen Set Appointments</v>
      </c>
    </row>
    <row r="6274" hidden="1">
      <c r="A6274" s="6" t="s">
        <v>79</v>
      </c>
      <c r="B6274" s="13" t="s">
        <v>476</v>
      </c>
      <c r="C6274" s="13" t="s">
        <v>477</v>
      </c>
      <c r="D6274" s="15">
        <v>43.0</v>
      </c>
      <c r="E6274" s="67">
        <f t="shared" si="18"/>
        <v>21500</v>
      </c>
      <c r="F6274" s="67" t="str">
        <f t="shared" si="12"/>
        <v>43 LeadGen Set Appointments</v>
      </c>
    </row>
    <row r="6275" hidden="1">
      <c r="A6275" s="6" t="s">
        <v>79</v>
      </c>
      <c r="B6275" s="13" t="s">
        <v>644</v>
      </c>
      <c r="C6275" s="13" t="s">
        <v>645</v>
      </c>
      <c r="D6275" s="15">
        <v>26.0</v>
      </c>
      <c r="E6275" s="67">
        <f t="shared" si="18"/>
        <v>13000</v>
      </c>
      <c r="F6275" s="67" t="str">
        <f t="shared" si="12"/>
        <v>26 LeadGen Set Appointments</v>
      </c>
    </row>
    <row r="6276" hidden="1">
      <c r="A6276" s="6" t="s">
        <v>79</v>
      </c>
      <c r="B6276" s="13" t="s">
        <v>540</v>
      </c>
      <c r="C6276" s="13" t="s">
        <v>541</v>
      </c>
      <c r="D6276" s="15">
        <v>25.0</v>
      </c>
      <c r="E6276" s="67">
        <f t="shared" si="18"/>
        <v>12500</v>
      </c>
      <c r="F6276" s="67" t="str">
        <f t="shared" si="12"/>
        <v>25 LeadGen Set Appointments</v>
      </c>
    </row>
    <row r="6277" hidden="1">
      <c r="A6277" s="6" t="s">
        <v>79</v>
      </c>
      <c r="B6277" s="13" t="s">
        <v>1426</v>
      </c>
      <c r="C6277" s="13" t="s">
        <v>1427</v>
      </c>
      <c r="D6277" s="15">
        <v>21.0</v>
      </c>
      <c r="E6277" s="67">
        <f t="shared" si="18"/>
        <v>10500</v>
      </c>
      <c r="F6277" s="67" t="str">
        <f t="shared" si="12"/>
        <v>21 LeadGen Set Appointments</v>
      </c>
    </row>
    <row r="6278" hidden="1">
      <c r="A6278" s="6" t="s">
        <v>79</v>
      </c>
      <c r="B6278" s="13" t="s">
        <v>1865</v>
      </c>
      <c r="C6278" s="13" t="s">
        <v>1866</v>
      </c>
      <c r="D6278" s="15">
        <v>21.0</v>
      </c>
      <c r="E6278" s="67">
        <f t="shared" si="18"/>
        <v>10500</v>
      </c>
      <c r="F6278" s="67" t="str">
        <f t="shared" si="12"/>
        <v>21 LeadGen Set Appointments</v>
      </c>
    </row>
    <row r="6279" hidden="1">
      <c r="A6279" s="6" t="s">
        <v>79</v>
      </c>
      <c r="B6279" s="13" t="s">
        <v>516</v>
      </c>
      <c r="C6279" s="13" t="s">
        <v>517</v>
      </c>
      <c r="D6279" s="15">
        <v>17.0</v>
      </c>
      <c r="E6279" s="67">
        <f t="shared" si="18"/>
        <v>8500</v>
      </c>
      <c r="F6279" s="67" t="str">
        <f t="shared" si="12"/>
        <v>17 LeadGen Set Appointments</v>
      </c>
    </row>
    <row r="6280" hidden="1">
      <c r="A6280" s="6" t="s">
        <v>79</v>
      </c>
      <c r="B6280" s="13" t="s">
        <v>1471</v>
      </c>
      <c r="C6280" s="13" t="s">
        <v>1472</v>
      </c>
      <c r="D6280" s="15">
        <v>16.0</v>
      </c>
      <c r="E6280" s="67">
        <f t="shared" si="18"/>
        <v>8000</v>
      </c>
      <c r="F6280" s="67" t="str">
        <f t="shared" si="12"/>
        <v>16 LeadGen Set Appointments</v>
      </c>
    </row>
    <row r="6281" hidden="1">
      <c r="A6281" s="6" t="s">
        <v>79</v>
      </c>
      <c r="B6281" s="13" t="s">
        <v>411</v>
      </c>
      <c r="C6281" s="13" t="s">
        <v>412</v>
      </c>
      <c r="D6281" s="15">
        <v>14.0</v>
      </c>
      <c r="E6281" s="67">
        <f t="shared" si="18"/>
        <v>7000</v>
      </c>
      <c r="F6281" s="67" t="str">
        <f t="shared" si="12"/>
        <v>14 LeadGen Set Appointments</v>
      </c>
    </row>
    <row r="6282" hidden="1">
      <c r="A6282" s="6" t="s">
        <v>79</v>
      </c>
      <c r="B6282" s="13" t="s">
        <v>766</v>
      </c>
      <c r="C6282" s="13" t="s">
        <v>767</v>
      </c>
      <c r="D6282" s="15">
        <v>14.0</v>
      </c>
      <c r="E6282" s="67">
        <f t="shared" si="18"/>
        <v>7000</v>
      </c>
      <c r="F6282" s="67" t="str">
        <f t="shared" si="12"/>
        <v>14 LeadGen Set Appointments</v>
      </c>
    </row>
    <row r="6283" hidden="1">
      <c r="A6283" s="6" t="s">
        <v>79</v>
      </c>
      <c r="B6283" s="13" t="s">
        <v>435</v>
      </c>
      <c r="C6283" s="13" t="s">
        <v>436</v>
      </c>
      <c r="D6283" s="15">
        <v>14.0</v>
      </c>
      <c r="E6283" s="67">
        <f t="shared" si="18"/>
        <v>7000</v>
      </c>
      <c r="F6283" s="67" t="str">
        <f t="shared" si="12"/>
        <v>14 LeadGen Set Appointments</v>
      </c>
    </row>
    <row r="6284" hidden="1">
      <c r="A6284" s="6" t="s">
        <v>79</v>
      </c>
      <c r="B6284" s="13" t="s">
        <v>604</v>
      </c>
      <c r="C6284" s="13" t="s">
        <v>605</v>
      </c>
      <c r="D6284" s="15">
        <v>13.0</v>
      </c>
      <c r="E6284" s="67">
        <f t="shared" si="18"/>
        <v>6500</v>
      </c>
      <c r="F6284" s="67" t="str">
        <f t="shared" si="12"/>
        <v>13 LeadGen Set Appointments</v>
      </c>
    </row>
    <row r="6285" hidden="1">
      <c r="A6285" s="6" t="s">
        <v>79</v>
      </c>
      <c r="B6285" s="13" t="s">
        <v>2276</v>
      </c>
      <c r="C6285" s="13" t="s">
        <v>2277</v>
      </c>
      <c r="D6285" s="15">
        <v>12.0</v>
      </c>
      <c r="E6285" s="67">
        <f t="shared" si="18"/>
        <v>6000</v>
      </c>
      <c r="F6285" s="67" t="str">
        <f t="shared" si="12"/>
        <v>12 LeadGen Set Appointments</v>
      </c>
    </row>
    <row r="6286" hidden="1">
      <c r="A6286" s="6" t="s">
        <v>79</v>
      </c>
      <c r="B6286" s="13" t="s">
        <v>1415</v>
      </c>
      <c r="C6286" s="13" t="s">
        <v>1416</v>
      </c>
      <c r="D6286" s="15">
        <v>12.0</v>
      </c>
      <c r="E6286" s="67">
        <f t="shared" si="18"/>
        <v>6000</v>
      </c>
      <c r="F6286" s="67" t="str">
        <f t="shared" si="12"/>
        <v>12 LeadGen Set Appointments</v>
      </c>
    </row>
    <row r="6287" hidden="1">
      <c r="A6287" s="6" t="s">
        <v>79</v>
      </c>
      <c r="B6287" s="13" t="s">
        <v>486</v>
      </c>
      <c r="C6287" s="13" t="s">
        <v>487</v>
      </c>
      <c r="D6287" s="15">
        <v>12.0</v>
      </c>
      <c r="E6287" s="67">
        <f t="shared" si="18"/>
        <v>6000</v>
      </c>
      <c r="F6287" s="67" t="str">
        <f t="shared" si="12"/>
        <v>12 LeadGen Set Appointments</v>
      </c>
    </row>
    <row r="6288" hidden="1">
      <c r="A6288" s="6" t="s">
        <v>79</v>
      </c>
      <c r="B6288" s="13" t="s">
        <v>1491</v>
      </c>
      <c r="C6288" s="13" t="s">
        <v>1492</v>
      </c>
      <c r="D6288" s="15">
        <v>12.0</v>
      </c>
      <c r="E6288" s="67">
        <f t="shared" si="18"/>
        <v>6000</v>
      </c>
      <c r="F6288" s="67" t="str">
        <f t="shared" si="12"/>
        <v>12 LeadGen Set Appointments</v>
      </c>
    </row>
    <row r="6289" hidden="1">
      <c r="A6289" s="6" t="s">
        <v>79</v>
      </c>
      <c r="B6289" s="13" t="s">
        <v>693</v>
      </c>
      <c r="C6289" s="13" t="s">
        <v>694</v>
      </c>
      <c r="D6289" s="15">
        <v>11.0</v>
      </c>
      <c r="E6289" s="67">
        <f t="shared" si="18"/>
        <v>5500</v>
      </c>
      <c r="F6289" s="67" t="str">
        <f t="shared" si="12"/>
        <v>11 LeadGen Set Appointments</v>
      </c>
    </row>
    <row r="6290" hidden="1">
      <c r="A6290" s="6" t="s">
        <v>79</v>
      </c>
      <c r="B6290" s="13" t="s">
        <v>1493</v>
      </c>
      <c r="C6290" s="13" t="s">
        <v>1494</v>
      </c>
      <c r="D6290" s="15">
        <v>11.0</v>
      </c>
      <c r="E6290" s="67">
        <f t="shared" si="18"/>
        <v>5500</v>
      </c>
      <c r="F6290" s="67" t="str">
        <f t="shared" si="12"/>
        <v>11 LeadGen Set Appointments</v>
      </c>
    </row>
    <row r="6291" hidden="1">
      <c r="A6291" s="6" t="s">
        <v>79</v>
      </c>
      <c r="B6291" s="13" t="s">
        <v>746</v>
      </c>
      <c r="C6291" s="13" t="s">
        <v>747</v>
      </c>
      <c r="D6291" s="15">
        <v>11.0</v>
      </c>
      <c r="E6291" s="67">
        <f t="shared" si="18"/>
        <v>5500</v>
      </c>
      <c r="F6291" s="67" t="str">
        <f t="shared" si="12"/>
        <v>11 LeadGen Set Appointments</v>
      </c>
    </row>
    <row r="6292" hidden="1">
      <c r="A6292" s="6" t="s">
        <v>79</v>
      </c>
      <c r="B6292" s="13" t="s">
        <v>640</v>
      </c>
      <c r="C6292" s="13" t="s">
        <v>641</v>
      </c>
      <c r="D6292" s="15">
        <v>10.0</v>
      </c>
      <c r="E6292" s="67">
        <f t="shared" si="18"/>
        <v>5000</v>
      </c>
      <c r="F6292" s="67" t="str">
        <f t="shared" si="12"/>
        <v>10 LeadGen Set Appointments</v>
      </c>
    </row>
    <row r="6293" hidden="1">
      <c r="A6293" s="6" t="s">
        <v>79</v>
      </c>
      <c r="B6293" s="13" t="s">
        <v>1891</v>
      </c>
      <c r="C6293" s="13" t="s">
        <v>1892</v>
      </c>
      <c r="D6293" s="15">
        <v>10.0</v>
      </c>
      <c r="E6293" s="67">
        <f t="shared" si="18"/>
        <v>5000</v>
      </c>
      <c r="F6293" s="67" t="str">
        <f t="shared" si="12"/>
        <v>10 LeadGen Set Appointments</v>
      </c>
    </row>
    <row r="6294" hidden="1">
      <c r="A6294" s="6" t="s">
        <v>79</v>
      </c>
      <c r="B6294" s="13" t="s">
        <v>1333</v>
      </c>
      <c r="C6294" s="13" t="s">
        <v>551</v>
      </c>
      <c r="D6294" s="15">
        <v>10.0</v>
      </c>
      <c r="E6294" s="67">
        <f t="shared" si="18"/>
        <v>5000</v>
      </c>
      <c r="F6294" s="67" t="str">
        <f t="shared" si="12"/>
        <v>10 LeadGen Set Appointments</v>
      </c>
    </row>
    <row r="6295" hidden="1">
      <c r="A6295" s="6" t="s">
        <v>79</v>
      </c>
      <c r="B6295" s="13" t="s">
        <v>1025</v>
      </c>
      <c r="C6295" s="13" t="s">
        <v>1026</v>
      </c>
      <c r="D6295" s="15">
        <v>10.0</v>
      </c>
      <c r="E6295" s="67">
        <f t="shared" si="18"/>
        <v>5000</v>
      </c>
      <c r="F6295" s="67" t="str">
        <f t="shared" si="12"/>
        <v>10 LeadGen Set Appointments</v>
      </c>
    </row>
    <row r="6296" hidden="1">
      <c r="A6296" s="6" t="s">
        <v>79</v>
      </c>
      <c r="B6296" s="13" t="s">
        <v>413</v>
      </c>
      <c r="C6296" s="13" t="s">
        <v>414</v>
      </c>
      <c r="D6296" s="15">
        <v>10.0</v>
      </c>
      <c r="E6296" s="67">
        <f t="shared" si="18"/>
        <v>5000</v>
      </c>
      <c r="F6296" s="67" t="str">
        <f t="shared" si="12"/>
        <v>10 LeadGen Set Appointments</v>
      </c>
    </row>
    <row r="6297" hidden="1">
      <c r="A6297" s="6" t="s">
        <v>79</v>
      </c>
      <c r="B6297" s="13" t="s">
        <v>1700</v>
      </c>
      <c r="C6297" s="13" t="s">
        <v>1701</v>
      </c>
      <c r="D6297" s="15">
        <v>9.0</v>
      </c>
      <c r="E6297" s="67">
        <f t="shared" si="18"/>
        <v>2250</v>
      </c>
      <c r="F6297" s="67" t="str">
        <f t="shared" si="12"/>
        <v>9 LeadGen Set Appointments</v>
      </c>
    </row>
    <row r="6298" hidden="1">
      <c r="A6298" s="6" t="s">
        <v>79</v>
      </c>
      <c r="B6298" s="13" t="s">
        <v>1778</v>
      </c>
      <c r="C6298" s="13" t="s">
        <v>1779</v>
      </c>
      <c r="D6298" s="15">
        <v>9.0</v>
      </c>
      <c r="E6298" s="67">
        <f t="shared" si="18"/>
        <v>2250</v>
      </c>
      <c r="F6298" s="67" t="str">
        <f t="shared" si="12"/>
        <v>9 LeadGen Set Appointments</v>
      </c>
    </row>
    <row r="6299" hidden="1">
      <c r="A6299" s="6" t="s">
        <v>79</v>
      </c>
      <c r="B6299" s="13" t="s">
        <v>1477</v>
      </c>
      <c r="C6299" s="13" t="s">
        <v>1478</v>
      </c>
      <c r="D6299" s="15">
        <v>9.0</v>
      </c>
      <c r="E6299" s="67">
        <f t="shared" si="18"/>
        <v>2250</v>
      </c>
      <c r="F6299" s="67" t="str">
        <f t="shared" si="12"/>
        <v>9 LeadGen Set Appointments</v>
      </c>
    </row>
    <row r="6300" hidden="1">
      <c r="A6300" s="6" t="s">
        <v>79</v>
      </c>
      <c r="B6300" s="13" t="s">
        <v>626</v>
      </c>
      <c r="C6300" s="13" t="s">
        <v>627</v>
      </c>
      <c r="D6300" s="15">
        <v>9.0</v>
      </c>
      <c r="E6300" s="67">
        <f t="shared" si="18"/>
        <v>2250</v>
      </c>
      <c r="F6300" s="67" t="str">
        <f t="shared" si="12"/>
        <v>9 LeadGen Set Appointments</v>
      </c>
    </row>
    <row r="6301" hidden="1">
      <c r="A6301" s="6" t="s">
        <v>79</v>
      </c>
      <c r="B6301" s="13" t="s">
        <v>1825</v>
      </c>
      <c r="C6301" s="13" t="s">
        <v>2376</v>
      </c>
      <c r="D6301" s="15">
        <v>9.0</v>
      </c>
      <c r="E6301" s="67">
        <f t="shared" si="18"/>
        <v>2250</v>
      </c>
      <c r="F6301" s="67" t="str">
        <f t="shared" si="12"/>
        <v>9 LeadGen Set Appointments</v>
      </c>
    </row>
    <row r="6302" hidden="1">
      <c r="A6302" s="6" t="s">
        <v>79</v>
      </c>
      <c r="B6302" s="13" t="s">
        <v>1935</v>
      </c>
      <c r="C6302" s="13" t="s">
        <v>1936</v>
      </c>
      <c r="D6302" s="15">
        <v>9.0</v>
      </c>
      <c r="E6302" s="67">
        <f t="shared" si="18"/>
        <v>2250</v>
      </c>
      <c r="F6302" s="67" t="str">
        <f t="shared" si="12"/>
        <v>9 LeadGen Set Appointments</v>
      </c>
    </row>
    <row r="6303" hidden="1">
      <c r="A6303" s="6" t="s">
        <v>79</v>
      </c>
      <c r="B6303" s="13" t="s">
        <v>723</v>
      </c>
      <c r="C6303" s="13" t="s">
        <v>724</v>
      </c>
      <c r="D6303" s="15">
        <v>9.0</v>
      </c>
      <c r="E6303" s="67">
        <f t="shared" si="18"/>
        <v>2250</v>
      </c>
      <c r="F6303" s="67" t="str">
        <f t="shared" si="12"/>
        <v>9 LeadGen Set Appointments</v>
      </c>
    </row>
    <row r="6304" hidden="1">
      <c r="A6304" s="6" t="s">
        <v>79</v>
      </c>
      <c r="B6304" s="13" t="s">
        <v>1776</v>
      </c>
      <c r="C6304" s="13" t="s">
        <v>1777</v>
      </c>
      <c r="D6304" s="15">
        <v>9.0</v>
      </c>
      <c r="E6304" s="67">
        <f t="shared" si="18"/>
        <v>2250</v>
      </c>
      <c r="F6304" s="67" t="str">
        <f t="shared" si="12"/>
        <v>9 LeadGen Set Appointments</v>
      </c>
    </row>
    <row r="6305" hidden="1">
      <c r="A6305" s="6" t="s">
        <v>79</v>
      </c>
      <c r="B6305" s="13" t="s">
        <v>1461</v>
      </c>
      <c r="C6305" s="13" t="s">
        <v>1462</v>
      </c>
      <c r="D6305" s="15">
        <v>8.0</v>
      </c>
      <c r="E6305" s="67">
        <f t="shared" si="18"/>
        <v>2000</v>
      </c>
      <c r="F6305" s="67" t="str">
        <f t="shared" si="12"/>
        <v>8 LeadGen Set Appointments</v>
      </c>
    </row>
    <row r="6306" hidden="1">
      <c r="A6306" s="6" t="s">
        <v>79</v>
      </c>
      <c r="B6306" s="13" t="s">
        <v>2497</v>
      </c>
      <c r="C6306" s="13" t="s">
        <v>2498</v>
      </c>
      <c r="D6306" s="15">
        <v>8.0</v>
      </c>
      <c r="E6306" s="67">
        <f t="shared" si="18"/>
        <v>2000</v>
      </c>
      <c r="F6306" s="67" t="str">
        <f t="shared" si="12"/>
        <v>8 LeadGen Set Appointments</v>
      </c>
    </row>
    <row r="6307" hidden="1">
      <c r="A6307" s="6" t="s">
        <v>79</v>
      </c>
      <c r="B6307" s="13" t="s">
        <v>2456</v>
      </c>
      <c r="C6307" s="13" t="s">
        <v>2457</v>
      </c>
      <c r="D6307" s="15">
        <v>8.0</v>
      </c>
      <c r="E6307" s="67">
        <f t="shared" si="18"/>
        <v>2000</v>
      </c>
      <c r="F6307" s="67" t="str">
        <f t="shared" si="12"/>
        <v>8 LeadGen Set Appointments</v>
      </c>
    </row>
    <row r="6308" hidden="1">
      <c r="A6308" s="6" t="s">
        <v>79</v>
      </c>
      <c r="B6308" s="13" t="s">
        <v>524</v>
      </c>
      <c r="C6308" s="13" t="s">
        <v>525</v>
      </c>
      <c r="D6308" s="15">
        <v>8.0</v>
      </c>
      <c r="E6308" s="67">
        <f t="shared" si="18"/>
        <v>2000</v>
      </c>
      <c r="F6308" s="67" t="str">
        <f t="shared" si="12"/>
        <v>8 LeadGen Set Appointments</v>
      </c>
    </row>
    <row r="6309" hidden="1">
      <c r="A6309" s="6" t="s">
        <v>79</v>
      </c>
      <c r="B6309" s="13" t="s">
        <v>1039</v>
      </c>
      <c r="C6309" s="13" t="s">
        <v>1040</v>
      </c>
      <c r="D6309" s="15">
        <v>8.0</v>
      </c>
      <c r="E6309" s="67">
        <f t="shared" si="18"/>
        <v>2000</v>
      </c>
      <c r="F6309" s="67" t="str">
        <f t="shared" si="12"/>
        <v>8 LeadGen Set Appointments</v>
      </c>
    </row>
    <row r="6310" hidden="1">
      <c r="A6310" s="6" t="s">
        <v>79</v>
      </c>
      <c r="B6310" s="13" t="s">
        <v>1883</v>
      </c>
      <c r="C6310" s="13" t="s">
        <v>1884</v>
      </c>
      <c r="D6310" s="15">
        <v>8.0</v>
      </c>
      <c r="E6310" s="67">
        <f t="shared" si="18"/>
        <v>2000</v>
      </c>
      <c r="F6310" s="67" t="str">
        <f t="shared" si="12"/>
        <v>8 LeadGen Set Appointments</v>
      </c>
    </row>
    <row r="6311" hidden="1">
      <c r="A6311" s="6" t="s">
        <v>79</v>
      </c>
      <c r="B6311" s="13" t="s">
        <v>2484</v>
      </c>
      <c r="C6311" s="13" t="s">
        <v>2485</v>
      </c>
      <c r="D6311" s="15">
        <v>7.0</v>
      </c>
      <c r="E6311" s="67">
        <f t="shared" si="18"/>
        <v>1750</v>
      </c>
      <c r="F6311" s="67" t="str">
        <f t="shared" si="12"/>
        <v>7 LeadGen Set Appointments</v>
      </c>
    </row>
    <row r="6312" hidden="1">
      <c r="A6312" s="6" t="s">
        <v>79</v>
      </c>
      <c r="B6312" s="13" t="s">
        <v>546</v>
      </c>
      <c r="C6312" s="13" t="s">
        <v>547</v>
      </c>
      <c r="D6312" s="15">
        <v>7.0</v>
      </c>
      <c r="E6312" s="67">
        <f t="shared" si="18"/>
        <v>1750</v>
      </c>
      <c r="F6312" s="67" t="str">
        <f t="shared" si="12"/>
        <v>7 LeadGen Set Appointments</v>
      </c>
    </row>
    <row r="6313" hidden="1">
      <c r="A6313" s="6" t="s">
        <v>79</v>
      </c>
      <c r="B6313" s="13" t="s">
        <v>1475</v>
      </c>
      <c r="C6313" s="13" t="s">
        <v>1476</v>
      </c>
      <c r="D6313" s="15">
        <v>7.0</v>
      </c>
      <c r="E6313" s="67">
        <f t="shared" si="18"/>
        <v>1750</v>
      </c>
      <c r="F6313" s="67" t="str">
        <f t="shared" si="12"/>
        <v>7 LeadGen Set Appointments</v>
      </c>
    </row>
    <row r="6314" hidden="1">
      <c r="A6314" s="6" t="s">
        <v>79</v>
      </c>
      <c r="B6314" s="13" t="s">
        <v>502</v>
      </c>
      <c r="C6314" s="13" t="s">
        <v>503</v>
      </c>
      <c r="D6314" s="15">
        <v>7.0</v>
      </c>
      <c r="E6314" s="67">
        <f t="shared" si="18"/>
        <v>1750</v>
      </c>
      <c r="F6314" s="67" t="str">
        <f t="shared" si="12"/>
        <v>7 LeadGen Set Appointments</v>
      </c>
    </row>
    <row r="6315" hidden="1">
      <c r="A6315" s="6" t="s">
        <v>79</v>
      </c>
      <c r="B6315" s="13" t="s">
        <v>590</v>
      </c>
      <c r="C6315" s="13" t="s">
        <v>591</v>
      </c>
      <c r="D6315" s="15">
        <v>7.0</v>
      </c>
      <c r="E6315" s="67">
        <f t="shared" si="18"/>
        <v>1750</v>
      </c>
      <c r="F6315" s="67" t="str">
        <f t="shared" si="12"/>
        <v>7 LeadGen Set Appointments</v>
      </c>
    </row>
    <row r="6316" hidden="1">
      <c r="A6316" s="6" t="s">
        <v>79</v>
      </c>
      <c r="B6316" s="13" t="s">
        <v>2499</v>
      </c>
      <c r="C6316" s="13" t="s">
        <v>2500</v>
      </c>
      <c r="D6316" s="15">
        <v>7.0</v>
      </c>
      <c r="E6316" s="67">
        <f t="shared" si="18"/>
        <v>1750</v>
      </c>
      <c r="F6316" s="67" t="str">
        <f t="shared" si="12"/>
        <v>7 LeadGen Set Appointments</v>
      </c>
    </row>
    <row r="6317" hidden="1">
      <c r="A6317" s="6" t="s">
        <v>79</v>
      </c>
      <c r="B6317" s="13" t="s">
        <v>2501</v>
      </c>
      <c r="C6317" s="13" t="s">
        <v>2502</v>
      </c>
      <c r="D6317" s="15">
        <v>7.0</v>
      </c>
      <c r="E6317" s="67">
        <f t="shared" si="18"/>
        <v>1750</v>
      </c>
      <c r="F6317" s="67" t="str">
        <f t="shared" si="12"/>
        <v>7 LeadGen Set Appointments</v>
      </c>
    </row>
    <row r="6318" hidden="1">
      <c r="A6318" s="6" t="s">
        <v>79</v>
      </c>
      <c r="B6318" s="13" t="s">
        <v>510</v>
      </c>
      <c r="C6318" s="13" t="s">
        <v>511</v>
      </c>
      <c r="D6318" s="15">
        <v>7.0</v>
      </c>
      <c r="E6318" s="67">
        <f t="shared" si="18"/>
        <v>1750</v>
      </c>
      <c r="F6318" s="67" t="str">
        <f t="shared" si="12"/>
        <v>7 LeadGen Set Appointments</v>
      </c>
    </row>
    <row r="6319" hidden="1">
      <c r="A6319" s="6" t="s">
        <v>79</v>
      </c>
      <c r="B6319" s="13" t="s">
        <v>2077</v>
      </c>
      <c r="C6319" s="13" t="s">
        <v>2078</v>
      </c>
      <c r="D6319" s="15">
        <v>7.0</v>
      </c>
      <c r="E6319" s="67">
        <f t="shared" si="18"/>
        <v>1750</v>
      </c>
      <c r="F6319" s="67" t="str">
        <f t="shared" si="12"/>
        <v>7 LeadGen Set Appointments</v>
      </c>
    </row>
    <row r="6320" hidden="1">
      <c r="A6320" s="6" t="s">
        <v>79</v>
      </c>
      <c r="B6320" s="13" t="s">
        <v>542</v>
      </c>
      <c r="C6320" s="13" t="s">
        <v>543</v>
      </c>
      <c r="D6320" s="15">
        <v>6.0</v>
      </c>
      <c r="E6320" s="67">
        <f t="shared" si="18"/>
        <v>1500</v>
      </c>
      <c r="F6320" s="67" t="str">
        <f t="shared" si="12"/>
        <v>6 LeadGen Set Appointments</v>
      </c>
    </row>
    <row r="6321" hidden="1">
      <c r="A6321" s="6" t="s">
        <v>79</v>
      </c>
      <c r="B6321" s="13" t="s">
        <v>1579</v>
      </c>
      <c r="C6321" s="13" t="s">
        <v>1580</v>
      </c>
      <c r="D6321" s="15">
        <v>6.0</v>
      </c>
      <c r="E6321" s="67">
        <f t="shared" si="18"/>
        <v>1500</v>
      </c>
      <c r="F6321" s="67" t="str">
        <f t="shared" si="12"/>
        <v>6 LeadGen Set Appointments</v>
      </c>
    </row>
    <row r="6322" hidden="1">
      <c r="A6322" s="6" t="s">
        <v>79</v>
      </c>
      <c r="B6322" s="13" t="s">
        <v>1448</v>
      </c>
      <c r="C6322" s="13" t="s">
        <v>1449</v>
      </c>
      <c r="D6322" s="15">
        <v>6.0</v>
      </c>
      <c r="E6322" s="67">
        <f t="shared" si="18"/>
        <v>1500</v>
      </c>
      <c r="F6322" s="67" t="str">
        <f t="shared" si="12"/>
        <v>6 LeadGen Set Appointments</v>
      </c>
    </row>
    <row r="6323" hidden="1">
      <c r="A6323" s="6" t="s">
        <v>79</v>
      </c>
      <c r="B6323" s="13" t="s">
        <v>1543</v>
      </c>
      <c r="C6323" s="13" t="s">
        <v>1544</v>
      </c>
      <c r="D6323" s="15">
        <v>6.0</v>
      </c>
      <c r="E6323" s="67">
        <f t="shared" si="18"/>
        <v>1500</v>
      </c>
      <c r="F6323" s="67" t="str">
        <f t="shared" si="12"/>
        <v>6 LeadGen Set Appointments</v>
      </c>
    </row>
    <row r="6324" hidden="1">
      <c r="A6324" s="6" t="s">
        <v>79</v>
      </c>
      <c r="B6324" s="13" t="s">
        <v>288</v>
      </c>
      <c r="C6324" s="13" t="s">
        <v>2375</v>
      </c>
      <c r="D6324" s="15">
        <v>6.0</v>
      </c>
      <c r="E6324" s="67">
        <f t="shared" si="18"/>
        <v>1500</v>
      </c>
      <c r="F6324" s="67" t="str">
        <f t="shared" si="12"/>
        <v>6 LeadGen Set Appointments</v>
      </c>
    </row>
    <row r="6325" hidden="1">
      <c r="A6325" s="6" t="s">
        <v>79</v>
      </c>
      <c r="B6325" s="13" t="s">
        <v>2179</v>
      </c>
      <c r="C6325" s="13" t="s">
        <v>2180</v>
      </c>
      <c r="D6325" s="15">
        <v>6.0</v>
      </c>
      <c r="E6325" s="67">
        <f t="shared" si="18"/>
        <v>1500</v>
      </c>
      <c r="F6325" s="67" t="str">
        <f t="shared" si="12"/>
        <v>6 LeadGen Set Appointments</v>
      </c>
    </row>
    <row r="6326" hidden="1">
      <c r="A6326" s="6" t="s">
        <v>79</v>
      </c>
      <c r="B6326" s="13" t="s">
        <v>2517</v>
      </c>
      <c r="C6326" s="13" t="s">
        <v>2518</v>
      </c>
      <c r="D6326" s="15">
        <v>6.0</v>
      </c>
      <c r="E6326" s="67">
        <f t="shared" si="18"/>
        <v>1500</v>
      </c>
      <c r="F6326" s="67" t="str">
        <f t="shared" si="12"/>
        <v>6 LeadGen Set Appointments</v>
      </c>
    </row>
    <row r="6327" hidden="1">
      <c r="A6327" s="6" t="s">
        <v>79</v>
      </c>
      <c r="B6327" s="13" t="s">
        <v>1489</v>
      </c>
      <c r="C6327" s="13" t="s">
        <v>1490</v>
      </c>
      <c r="D6327" s="15">
        <v>6.0</v>
      </c>
      <c r="E6327" s="67">
        <f t="shared" si="18"/>
        <v>1500</v>
      </c>
      <c r="F6327" s="67" t="str">
        <f t="shared" si="12"/>
        <v>6 LeadGen Set Appointments</v>
      </c>
    </row>
    <row r="6328" hidden="1">
      <c r="A6328" s="6" t="s">
        <v>79</v>
      </c>
      <c r="B6328" s="13" t="s">
        <v>1325</v>
      </c>
      <c r="C6328" s="13" t="s">
        <v>1326</v>
      </c>
      <c r="D6328" s="15">
        <v>6.0</v>
      </c>
      <c r="E6328" s="67">
        <f t="shared" si="18"/>
        <v>1500</v>
      </c>
      <c r="F6328" s="67" t="str">
        <f t="shared" si="12"/>
        <v>6 LeadGen Set Appointments</v>
      </c>
    </row>
    <row r="6329" hidden="1">
      <c r="A6329" s="6" t="s">
        <v>79</v>
      </c>
      <c r="B6329" s="13" t="s">
        <v>2100</v>
      </c>
      <c r="C6329" s="13" t="s">
        <v>2101</v>
      </c>
      <c r="D6329" s="15">
        <v>6.0</v>
      </c>
      <c r="E6329" s="67">
        <f t="shared" si="18"/>
        <v>1500</v>
      </c>
      <c r="F6329" s="67" t="str">
        <f t="shared" si="12"/>
        <v>6 LeadGen Set Appointments</v>
      </c>
    </row>
    <row r="6330" hidden="1">
      <c r="A6330" s="6" t="s">
        <v>79</v>
      </c>
      <c r="B6330" s="13" t="s">
        <v>1011</v>
      </c>
      <c r="C6330" s="13" t="s">
        <v>2483</v>
      </c>
      <c r="D6330" s="15">
        <v>6.0</v>
      </c>
      <c r="E6330" s="67">
        <f t="shared" si="18"/>
        <v>1500</v>
      </c>
      <c r="F6330" s="67" t="str">
        <f t="shared" si="12"/>
        <v>6 LeadGen Set Appointments</v>
      </c>
    </row>
    <row r="6331" hidden="1">
      <c r="A6331" s="6" t="s">
        <v>79</v>
      </c>
      <c r="B6331" s="13" t="s">
        <v>2481</v>
      </c>
      <c r="C6331" s="13" t="s">
        <v>2482</v>
      </c>
      <c r="D6331" s="15">
        <v>6.0</v>
      </c>
      <c r="E6331" s="67">
        <f t="shared" si="18"/>
        <v>1500</v>
      </c>
      <c r="F6331" s="67" t="str">
        <f t="shared" si="12"/>
        <v>6 LeadGen Set Appointments</v>
      </c>
    </row>
    <row r="6332" hidden="1">
      <c r="A6332" s="6" t="s">
        <v>79</v>
      </c>
      <c r="B6332" s="13" t="s">
        <v>518</v>
      </c>
      <c r="C6332" s="13" t="s">
        <v>519</v>
      </c>
      <c r="D6332" s="15">
        <v>6.0</v>
      </c>
      <c r="E6332" s="67">
        <f t="shared" si="18"/>
        <v>1500</v>
      </c>
      <c r="F6332" s="67" t="str">
        <f t="shared" si="12"/>
        <v>6 LeadGen Set Appointments</v>
      </c>
    </row>
    <row r="6333" hidden="1">
      <c r="A6333" s="6" t="s">
        <v>79</v>
      </c>
      <c r="B6333" s="13" t="s">
        <v>1442</v>
      </c>
      <c r="C6333" s="13" t="s">
        <v>749</v>
      </c>
      <c r="D6333" s="15">
        <v>6.0</v>
      </c>
      <c r="E6333" s="67">
        <f t="shared" si="18"/>
        <v>1500</v>
      </c>
      <c r="F6333" s="67" t="str">
        <f t="shared" si="12"/>
        <v>6 LeadGen Set Appointments</v>
      </c>
    </row>
    <row r="6334" hidden="1">
      <c r="A6334" s="6" t="s">
        <v>79</v>
      </c>
      <c r="B6334" s="13" t="s">
        <v>532</v>
      </c>
      <c r="C6334" s="13" t="s">
        <v>533</v>
      </c>
      <c r="D6334" s="15">
        <v>6.0</v>
      </c>
      <c r="E6334" s="67">
        <f t="shared" si="18"/>
        <v>1500</v>
      </c>
      <c r="F6334" s="67" t="str">
        <f t="shared" si="12"/>
        <v>6 LeadGen Set Appointments</v>
      </c>
    </row>
    <row r="6335" hidden="1">
      <c r="A6335" s="6" t="s">
        <v>79</v>
      </c>
      <c r="B6335" s="13" t="s">
        <v>1716</v>
      </c>
      <c r="C6335" s="13" t="s">
        <v>30</v>
      </c>
      <c r="D6335" s="15">
        <v>6.0</v>
      </c>
      <c r="E6335" s="67">
        <f t="shared" si="18"/>
        <v>1500</v>
      </c>
      <c r="F6335" s="67" t="str">
        <f t="shared" si="12"/>
        <v>6 LeadGen Set Appointments</v>
      </c>
    </row>
    <row r="6336" hidden="1">
      <c r="A6336" s="6" t="s">
        <v>79</v>
      </c>
      <c r="B6336" s="13" t="s">
        <v>2519</v>
      </c>
      <c r="C6336" s="13" t="s">
        <v>2520</v>
      </c>
      <c r="D6336" s="15">
        <v>6.0</v>
      </c>
      <c r="E6336" s="67">
        <f t="shared" si="18"/>
        <v>1500</v>
      </c>
      <c r="F6336" s="67" t="str">
        <f t="shared" si="12"/>
        <v>6 LeadGen Set Appointments</v>
      </c>
    </row>
    <row r="6337" hidden="1">
      <c r="A6337" s="6" t="s">
        <v>79</v>
      </c>
      <c r="B6337" s="13" t="s">
        <v>2280</v>
      </c>
      <c r="C6337" s="13" t="s">
        <v>2281</v>
      </c>
      <c r="D6337" s="15">
        <v>6.0</v>
      </c>
      <c r="E6337" s="67">
        <f t="shared" si="18"/>
        <v>1500</v>
      </c>
      <c r="F6337" s="67" t="str">
        <f t="shared" si="12"/>
        <v>6 LeadGen Set Appointments</v>
      </c>
    </row>
    <row r="6338" hidden="1">
      <c r="A6338" s="6" t="s">
        <v>79</v>
      </c>
      <c r="B6338" s="13" t="s">
        <v>1283</v>
      </c>
      <c r="C6338" s="13" t="s">
        <v>404</v>
      </c>
      <c r="D6338" s="15">
        <v>6.0</v>
      </c>
      <c r="E6338" s="67">
        <f t="shared" si="18"/>
        <v>1500</v>
      </c>
      <c r="F6338" s="67" t="str">
        <f t="shared" si="12"/>
        <v>6 LeadGen Set Appointments</v>
      </c>
    </row>
    <row r="6339" hidden="1">
      <c r="A6339" s="6" t="s">
        <v>79</v>
      </c>
      <c r="B6339" s="13" t="s">
        <v>2479</v>
      </c>
      <c r="C6339" s="13" t="s">
        <v>2480</v>
      </c>
      <c r="D6339" s="15">
        <v>6.0</v>
      </c>
      <c r="E6339" s="67">
        <f t="shared" si="18"/>
        <v>1500</v>
      </c>
      <c r="F6339" s="67" t="str">
        <f t="shared" si="12"/>
        <v>6 LeadGen Set Appointments</v>
      </c>
    </row>
    <row r="6340" hidden="1">
      <c r="A6340" s="6" t="s">
        <v>79</v>
      </c>
      <c r="B6340" s="13" t="s">
        <v>1463</v>
      </c>
      <c r="C6340" s="13" t="s">
        <v>1464</v>
      </c>
      <c r="D6340" s="15">
        <v>5.0</v>
      </c>
      <c r="E6340" s="67">
        <f t="shared" si="18"/>
        <v>1250</v>
      </c>
      <c r="F6340" s="67" t="str">
        <f t="shared" si="12"/>
        <v>5 LeadGen Set Appointments</v>
      </c>
    </row>
    <row r="6341" hidden="1">
      <c r="A6341" s="6" t="s">
        <v>79</v>
      </c>
      <c r="B6341" s="13" t="s">
        <v>576</v>
      </c>
      <c r="C6341" s="13" t="s">
        <v>577</v>
      </c>
      <c r="D6341" s="15">
        <v>5.0</v>
      </c>
      <c r="E6341" s="67">
        <f t="shared" si="18"/>
        <v>1250</v>
      </c>
      <c r="F6341" s="67" t="str">
        <f t="shared" si="12"/>
        <v>5 LeadGen Set Appointments</v>
      </c>
    </row>
    <row r="6342" hidden="1">
      <c r="A6342" s="6" t="s">
        <v>79</v>
      </c>
      <c r="B6342" s="13" t="s">
        <v>736</v>
      </c>
      <c r="C6342" s="13" t="s">
        <v>737</v>
      </c>
      <c r="D6342" s="15">
        <v>5.0</v>
      </c>
      <c r="E6342" s="67">
        <f t="shared" si="18"/>
        <v>1250</v>
      </c>
      <c r="F6342" s="67" t="str">
        <f t="shared" si="12"/>
        <v>5 LeadGen Set Appointments</v>
      </c>
    </row>
    <row r="6343" hidden="1">
      <c r="A6343" s="6" t="s">
        <v>79</v>
      </c>
      <c r="B6343" s="13" t="s">
        <v>2469</v>
      </c>
      <c r="C6343" s="13" t="s">
        <v>2470</v>
      </c>
      <c r="D6343" s="15">
        <v>5.0</v>
      </c>
      <c r="E6343" s="67">
        <f t="shared" si="18"/>
        <v>1250</v>
      </c>
      <c r="F6343" s="67" t="str">
        <f t="shared" si="12"/>
        <v>5 LeadGen Set Appointments</v>
      </c>
    </row>
    <row r="6344" hidden="1">
      <c r="A6344" s="6" t="s">
        <v>79</v>
      </c>
      <c r="B6344" s="13" t="s">
        <v>1473</v>
      </c>
      <c r="C6344" s="13" t="s">
        <v>1474</v>
      </c>
      <c r="D6344" s="15">
        <v>5.0</v>
      </c>
      <c r="E6344" s="67">
        <f t="shared" si="18"/>
        <v>1250</v>
      </c>
      <c r="F6344" s="67" t="str">
        <f t="shared" si="12"/>
        <v>5 LeadGen Set Appointments</v>
      </c>
    </row>
    <row r="6345" hidden="1">
      <c r="A6345" s="6" t="s">
        <v>79</v>
      </c>
      <c r="B6345" s="13" t="s">
        <v>1467</v>
      </c>
      <c r="C6345" s="13" t="s">
        <v>1468</v>
      </c>
      <c r="D6345" s="15">
        <v>5.0</v>
      </c>
      <c r="E6345" s="67">
        <f t="shared" si="18"/>
        <v>1250</v>
      </c>
      <c r="F6345" s="67" t="str">
        <f t="shared" si="12"/>
        <v>5 LeadGen Set Appointments</v>
      </c>
    </row>
    <row r="6346" hidden="1">
      <c r="A6346" s="6" t="s">
        <v>79</v>
      </c>
      <c r="B6346" s="13" t="s">
        <v>2419</v>
      </c>
      <c r="C6346" s="13" t="s">
        <v>2420</v>
      </c>
      <c r="D6346" s="15">
        <v>5.0</v>
      </c>
      <c r="E6346" s="67">
        <f t="shared" si="18"/>
        <v>1250</v>
      </c>
      <c r="F6346" s="67" t="str">
        <f t="shared" si="12"/>
        <v>5 LeadGen Set Appointments</v>
      </c>
    </row>
    <row r="6347" hidden="1">
      <c r="A6347" s="6" t="s">
        <v>79</v>
      </c>
      <c r="B6347" s="13" t="s">
        <v>1393</v>
      </c>
      <c r="C6347" s="13" t="s">
        <v>1394</v>
      </c>
      <c r="D6347" s="15">
        <v>5.0</v>
      </c>
      <c r="E6347" s="67">
        <f t="shared" si="18"/>
        <v>1250</v>
      </c>
      <c r="F6347" s="67" t="str">
        <f t="shared" si="12"/>
        <v>5 LeadGen Set Appointments</v>
      </c>
    </row>
    <row r="6348" hidden="1">
      <c r="A6348" s="6" t="s">
        <v>79</v>
      </c>
      <c r="B6348" s="13" t="s">
        <v>2521</v>
      </c>
      <c r="C6348" s="13" t="s">
        <v>2522</v>
      </c>
      <c r="D6348" s="15">
        <v>5.0</v>
      </c>
      <c r="E6348" s="67">
        <f t="shared" si="18"/>
        <v>1250</v>
      </c>
      <c r="F6348" s="67" t="str">
        <f t="shared" si="12"/>
        <v>5 LeadGen Set Appointments</v>
      </c>
    </row>
    <row r="6349" hidden="1">
      <c r="A6349" s="6" t="s">
        <v>79</v>
      </c>
      <c r="B6349" s="13" t="s">
        <v>1657</v>
      </c>
      <c r="C6349" s="13" t="s">
        <v>1658</v>
      </c>
      <c r="D6349" s="15">
        <v>5.0</v>
      </c>
      <c r="E6349" s="67">
        <f t="shared" si="18"/>
        <v>1250</v>
      </c>
      <c r="F6349" s="67" t="str">
        <f t="shared" si="12"/>
        <v>5 LeadGen Set Appointments</v>
      </c>
    </row>
    <row r="6350" hidden="1">
      <c r="A6350" s="6" t="s">
        <v>79</v>
      </c>
      <c r="B6350" s="13" t="s">
        <v>2421</v>
      </c>
      <c r="C6350" s="13" t="s">
        <v>2422</v>
      </c>
      <c r="D6350" s="15">
        <v>5.0</v>
      </c>
      <c r="E6350" s="67">
        <f t="shared" si="18"/>
        <v>1250</v>
      </c>
      <c r="F6350" s="67" t="str">
        <f t="shared" si="12"/>
        <v>5 LeadGen Set Appointments</v>
      </c>
    </row>
    <row r="6351" hidden="1">
      <c r="A6351" s="6" t="s">
        <v>79</v>
      </c>
      <c r="B6351" s="13" t="s">
        <v>2423</v>
      </c>
      <c r="C6351" s="13" t="s">
        <v>2424</v>
      </c>
      <c r="D6351" s="15">
        <v>5.0</v>
      </c>
      <c r="E6351" s="67">
        <f t="shared" si="18"/>
        <v>1250</v>
      </c>
      <c r="F6351" s="67" t="str">
        <f t="shared" si="12"/>
        <v>5 LeadGen Set Appointments</v>
      </c>
    </row>
    <row r="6352" hidden="1">
      <c r="A6352" s="6" t="s">
        <v>79</v>
      </c>
      <c r="B6352" s="13" t="s">
        <v>624</v>
      </c>
      <c r="C6352" s="13" t="s">
        <v>625</v>
      </c>
      <c r="D6352" s="15">
        <v>5.0</v>
      </c>
      <c r="E6352" s="67">
        <f t="shared" si="18"/>
        <v>1250</v>
      </c>
      <c r="F6352" s="67" t="str">
        <f t="shared" si="12"/>
        <v>5 LeadGen Set Appointments</v>
      </c>
    </row>
    <row r="6353" hidden="1">
      <c r="A6353" s="6" t="s">
        <v>79</v>
      </c>
      <c r="B6353" s="13" t="s">
        <v>258</v>
      </c>
      <c r="C6353" s="13" t="s">
        <v>2386</v>
      </c>
      <c r="D6353" s="15">
        <v>5.0</v>
      </c>
      <c r="E6353" s="67">
        <f t="shared" si="18"/>
        <v>1250</v>
      </c>
      <c r="F6353" s="67" t="str">
        <f t="shared" si="12"/>
        <v>5 LeadGen Set Appointments</v>
      </c>
    </row>
    <row r="6354" hidden="1">
      <c r="A6354" s="6" t="s">
        <v>79</v>
      </c>
      <c r="B6354" s="13" t="s">
        <v>2488</v>
      </c>
      <c r="C6354" s="13" t="s">
        <v>2489</v>
      </c>
      <c r="D6354" s="15">
        <v>5.0</v>
      </c>
      <c r="E6354" s="67">
        <f t="shared" si="18"/>
        <v>1250</v>
      </c>
      <c r="F6354" s="67" t="str">
        <f t="shared" si="12"/>
        <v>5 LeadGen Set Appointments</v>
      </c>
    </row>
    <row r="6355" hidden="1">
      <c r="A6355" s="6" t="s">
        <v>79</v>
      </c>
      <c r="B6355" s="13" t="s">
        <v>622</v>
      </c>
      <c r="C6355" s="13" t="s">
        <v>623</v>
      </c>
      <c r="D6355" s="15">
        <v>5.0</v>
      </c>
      <c r="E6355" s="67">
        <f t="shared" si="18"/>
        <v>1250</v>
      </c>
      <c r="F6355" s="67" t="str">
        <f t="shared" si="12"/>
        <v>5 LeadGen Set Appointments</v>
      </c>
    </row>
    <row r="6356" hidden="1">
      <c r="A6356" s="6" t="s">
        <v>79</v>
      </c>
      <c r="B6356" s="13" t="s">
        <v>445</v>
      </c>
      <c r="C6356" s="13" t="s">
        <v>446</v>
      </c>
      <c r="D6356" s="15">
        <v>5.0</v>
      </c>
      <c r="E6356" s="67">
        <f t="shared" si="18"/>
        <v>1250</v>
      </c>
      <c r="F6356" s="67" t="str">
        <f t="shared" si="12"/>
        <v>5 LeadGen Set Appointments</v>
      </c>
    </row>
    <row r="6357" hidden="1">
      <c r="A6357" s="6" t="s">
        <v>79</v>
      </c>
      <c r="B6357" s="13" t="s">
        <v>2113</v>
      </c>
      <c r="C6357" s="13" t="s">
        <v>2114</v>
      </c>
      <c r="D6357" s="15">
        <v>5.0</v>
      </c>
      <c r="E6357" s="67">
        <f t="shared" si="18"/>
        <v>1250</v>
      </c>
      <c r="F6357" s="67" t="str">
        <f t="shared" si="12"/>
        <v>5 LeadGen Set Appointments</v>
      </c>
    </row>
    <row r="6358" hidden="1">
      <c r="A6358" s="6" t="s">
        <v>79</v>
      </c>
      <c r="B6358" s="13" t="s">
        <v>1945</v>
      </c>
      <c r="C6358" s="13" t="s">
        <v>1946</v>
      </c>
      <c r="D6358" s="15">
        <v>5.0</v>
      </c>
      <c r="E6358" s="67">
        <f t="shared" si="18"/>
        <v>1250</v>
      </c>
      <c r="F6358" s="67" t="str">
        <f t="shared" si="12"/>
        <v>5 LeadGen Set Appointments</v>
      </c>
    </row>
    <row r="6359" hidden="1">
      <c r="A6359" s="6" t="s">
        <v>79</v>
      </c>
      <c r="B6359" s="13" t="s">
        <v>2523</v>
      </c>
      <c r="C6359" s="13" t="s">
        <v>2524</v>
      </c>
      <c r="D6359" s="15">
        <v>4.0</v>
      </c>
      <c r="E6359" s="67">
        <f t="shared" si="18"/>
        <v>1000</v>
      </c>
      <c r="F6359" s="67" t="str">
        <f t="shared" si="12"/>
        <v>4 LeadGen Set Appointments</v>
      </c>
    </row>
    <row r="6360" hidden="1">
      <c r="A6360" s="6" t="s">
        <v>79</v>
      </c>
      <c r="B6360" s="13" t="s">
        <v>744</v>
      </c>
      <c r="C6360" s="13" t="s">
        <v>745</v>
      </c>
      <c r="D6360" s="15">
        <v>4.0</v>
      </c>
      <c r="E6360" s="67">
        <f t="shared" si="18"/>
        <v>1000</v>
      </c>
      <c r="F6360" s="67" t="str">
        <f t="shared" si="12"/>
        <v>4 LeadGen Set Appointments</v>
      </c>
    </row>
    <row r="6361" hidden="1">
      <c r="A6361" s="6" t="s">
        <v>79</v>
      </c>
      <c r="B6361" s="13" t="s">
        <v>2389</v>
      </c>
      <c r="C6361" s="13" t="s">
        <v>2390</v>
      </c>
      <c r="D6361" s="15">
        <v>4.0</v>
      </c>
      <c r="E6361" s="67">
        <f t="shared" si="18"/>
        <v>1000</v>
      </c>
      <c r="F6361" s="67" t="str">
        <f t="shared" si="12"/>
        <v>4 LeadGen Set Appointments</v>
      </c>
    </row>
    <row r="6362" hidden="1">
      <c r="A6362" s="6" t="s">
        <v>79</v>
      </c>
      <c r="B6362" s="13" t="s">
        <v>462</v>
      </c>
      <c r="C6362" s="13" t="s">
        <v>463</v>
      </c>
      <c r="D6362" s="15">
        <v>4.0</v>
      </c>
      <c r="E6362" s="67">
        <f t="shared" si="18"/>
        <v>1000</v>
      </c>
      <c r="F6362" s="67" t="str">
        <f t="shared" si="12"/>
        <v>4 LeadGen Set Appointments</v>
      </c>
    </row>
    <row r="6363" hidden="1">
      <c r="A6363" s="6" t="s">
        <v>79</v>
      </c>
      <c r="B6363" s="13" t="s">
        <v>1957</v>
      </c>
      <c r="C6363" s="13" t="s">
        <v>1958</v>
      </c>
      <c r="D6363" s="15">
        <v>4.0</v>
      </c>
      <c r="E6363" s="67">
        <f t="shared" si="18"/>
        <v>1000</v>
      </c>
      <c r="F6363" s="67" t="str">
        <f t="shared" si="12"/>
        <v>4 LeadGen Set Appointments</v>
      </c>
    </row>
    <row r="6364" hidden="1">
      <c r="A6364" s="6" t="s">
        <v>79</v>
      </c>
      <c r="B6364" s="13" t="s">
        <v>431</v>
      </c>
      <c r="C6364" s="13" t="s">
        <v>432</v>
      </c>
      <c r="D6364" s="15">
        <v>4.0</v>
      </c>
      <c r="E6364" s="67">
        <f t="shared" si="18"/>
        <v>1000</v>
      </c>
      <c r="F6364" s="67" t="str">
        <f t="shared" si="12"/>
        <v>4 LeadGen Set Appointments</v>
      </c>
    </row>
    <row r="6365" hidden="1">
      <c r="A6365" s="6" t="s">
        <v>79</v>
      </c>
      <c r="B6365" s="13" t="s">
        <v>752</v>
      </c>
      <c r="C6365" s="13" t="s">
        <v>753</v>
      </c>
      <c r="D6365" s="15">
        <v>4.0</v>
      </c>
      <c r="E6365" s="67">
        <f t="shared" si="18"/>
        <v>1000</v>
      </c>
      <c r="F6365" s="67" t="str">
        <f t="shared" si="12"/>
        <v>4 LeadGen Set Appointments</v>
      </c>
    </row>
    <row r="6366" hidden="1">
      <c r="A6366" s="6" t="s">
        <v>79</v>
      </c>
      <c r="B6366" s="13" t="s">
        <v>1583</v>
      </c>
      <c r="C6366" s="13" t="s">
        <v>1584</v>
      </c>
      <c r="D6366" s="15">
        <v>4.0</v>
      </c>
      <c r="E6366" s="67">
        <f t="shared" si="18"/>
        <v>1000</v>
      </c>
      <c r="F6366" s="67" t="str">
        <f t="shared" si="12"/>
        <v>4 LeadGen Set Appointments</v>
      </c>
    </row>
    <row r="6367" hidden="1">
      <c r="A6367" s="6" t="s">
        <v>79</v>
      </c>
      <c r="B6367" s="13" t="s">
        <v>1510</v>
      </c>
      <c r="C6367" s="13" t="s">
        <v>1511</v>
      </c>
      <c r="D6367" s="15">
        <v>4.0</v>
      </c>
      <c r="E6367" s="67">
        <f t="shared" si="18"/>
        <v>1000</v>
      </c>
      <c r="F6367" s="67" t="str">
        <f t="shared" si="12"/>
        <v>4 LeadGen Set Appointments</v>
      </c>
    </row>
    <row r="6368" hidden="1">
      <c r="A6368" s="6" t="s">
        <v>79</v>
      </c>
      <c r="B6368" s="13" t="s">
        <v>2393</v>
      </c>
      <c r="C6368" s="13" t="s">
        <v>2394</v>
      </c>
      <c r="D6368" s="15">
        <v>4.0</v>
      </c>
      <c r="E6368" s="67">
        <f t="shared" si="18"/>
        <v>1000</v>
      </c>
      <c r="F6368" s="67" t="str">
        <f t="shared" si="12"/>
        <v>4 LeadGen Set Appointments</v>
      </c>
    </row>
    <row r="6369" hidden="1">
      <c r="A6369" s="6" t="s">
        <v>79</v>
      </c>
      <c r="B6369" s="13" t="s">
        <v>1512</v>
      </c>
      <c r="C6369" s="13" t="s">
        <v>1513</v>
      </c>
      <c r="D6369" s="15">
        <v>4.0</v>
      </c>
      <c r="E6369" s="67">
        <f t="shared" si="18"/>
        <v>1000</v>
      </c>
      <c r="F6369" s="67" t="str">
        <f t="shared" si="12"/>
        <v>4 LeadGen Set Appointments</v>
      </c>
    </row>
    <row r="6370" hidden="1">
      <c r="A6370" s="6" t="s">
        <v>79</v>
      </c>
      <c r="B6370" s="13" t="s">
        <v>2127</v>
      </c>
      <c r="C6370" s="13" t="s">
        <v>2128</v>
      </c>
      <c r="D6370" s="15">
        <v>4.0</v>
      </c>
      <c r="E6370" s="67">
        <f t="shared" si="18"/>
        <v>1000</v>
      </c>
      <c r="F6370" s="67" t="str">
        <f t="shared" si="12"/>
        <v>4 LeadGen Set Appointments</v>
      </c>
    </row>
    <row r="6371" hidden="1">
      <c r="A6371" s="6" t="s">
        <v>79</v>
      </c>
      <c r="B6371" s="13" t="s">
        <v>262</v>
      </c>
      <c r="C6371" s="13" t="s">
        <v>290</v>
      </c>
      <c r="D6371" s="15">
        <v>4.0</v>
      </c>
      <c r="E6371" s="67">
        <f t="shared" si="18"/>
        <v>1000</v>
      </c>
      <c r="F6371" s="67" t="str">
        <f t="shared" si="12"/>
        <v>4 LeadGen Set Appointments</v>
      </c>
    </row>
    <row r="6372" hidden="1">
      <c r="A6372" s="6" t="s">
        <v>79</v>
      </c>
      <c r="B6372" s="13" t="s">
        <v>582</v>
      </c>
      <c r="C6372" s="13" t="s">
        <v>583</v>
      </c>
      <c r="D6372" s="15">
        <v>4.0</v>
      </c>
      <c r="E6372" s="67">
        <f t="shared" si="18"/>
        <v>1000</v>
      </c>
      <c r="F6372" s="67" t="str">
        <f t="shared" si="12"/>
        <v>4 LeadGen Set Appointments</v>
      </c>
    </row>
    <row r="6373" hidden="1">
      <c r="A6373" s="6" t="s">
        <v>79</v>
      </c>
      <c r="B6373" s="13" t="s">
        <v>1421</v>
      </c>
      <c r="C6373" s="13" t="s">
        <v>712</v>
      </c>
      <c r="D6373" s="15">
        <v>4.0</v>
      </c>
      <c r="E6373" s="67">
        <f t="shared" si="18"/>
        <v>1000</v>
      </c>
      <c r="F6373" s="67" t="str">
        <f t="shared" si="12"/>
        <v>4 LeadGen Set Appointments</v>
      </c>
    </row>
    <row r="6374" hidden="1">
      <c r="A6374" s="6" t="s">
        <v>79</v>
      </c>
      <c r="B6374" s="13" t="s">
        <v>572</v>
      </c>
      <c r="C6374" s="13" t="s">
        <v>573</v>
      </c>
      <c r="D6374" s="15">
        <v>4.0</v>
      </c>
      <c r="E6374" s="67">
        <f t="shared" si="18"/>
        <v>1000</v>
      </c>
      <c r="F6374" s="67" t="str">
        <f t="shared" si="12"/>
        <v>4 LeadGen Set Appointments</v>
      </c>
    </row>
    <row r="6375" hidden="1">
      <c r="A6375" s="6" t="s">
        <v>79</v>
      </c>
      <c r="B6375" s="13" t="s">
        <v>242</v>
      </c>
      <c r="C6375" s="13" t="s">
        <v>1887</v>
      </c>
      <c r="D6375" s="15">
        <v>4.0</v>
      </c>
      <c r="E6375" s="67">
        <f t="shared" si="18"/>
        <v>1000</v>
      </c>
      <c r="F6375" s="67" t="str">
        <f t="shared" si="12"/>
        <v>4 LeadGen Set Appointments</v>
      </c>
    </row>
    <row r="6376" hidden="1">
      <c r="A6376" s="6" t="s">
        <v>79</v>
      </c>
      <c r="B6376" s="13" t="s">
        <v>656</v>
      </c>
      <c r="C6376" s="13" t="s">
        <v>657</v>
      </c>
      <c r="D6376" s="15">
        <v>4.0</v>
      </c>
      <c r="E6376" s="67">
        <f t="shared" si="18"/>
        <v>1000</v>
      </c>
      <c r="F6376" s="67" t="str">
        <f t="shared" si="12"/>
        <v>4 LeadGen Set Appointments</v>
      </c>
    </row>
    <row r="6377" hidden="1">
      <c r="A6377" s="6" t="s">
        <v>79</v>
      </c>
      <c r="B6377" s="13" t="s">
        <v>1784</v>
      </c>
      <c r="C6377" s="13" t="s">
        <v>1785</v>
      </c>
      <c r="D6377" s="15">
        <v>4.0</v>
      </c>
      <c r="E6377" s="67">
        <f t="shared" si="18"/>
        <v>1000</v>
      </c>
      <c r="F6377" s="67" t="str">
        <f t="shared" si="12"/>
        <v>4 LeadGen Set Appointments</v>
      </c>
    </row>
    <row r="6378" hidden="1">
      <c r="A6378" s="6" t="s">
        <v>79</v>
      </c>
      <c r="B6378" s="13" t="s">
        <v>1983</v>
      </c>
      <c r="C6378" s="13" t="s">
        <v>1984</v>
      </c>
      <c r="D6378" s="15">
        <v>4.0</v>
      </c>
      <c r="E6378" s="67">
        <f t="shared" si="18"/>
        <v>1000</v>
      </c>
      <c r="F6378" s="67" t="str">
        <f t="shared" si="12"/>
        <v>4 LeadGen Set Appointments</v>
      </c>
    </row>
    <row r="6379" hidden="1">
      <c r="A6379" s="6" t="s">
        <v>79</v>
      </c>
      <c r="B6379" s="13" t="s">
        <v>1567</v>
      </c>
      <c r="C6379" s="13" t="s">
        <v>1568</v>
      </c>
      <c r="D6379" s="15">
        <v>4.0</v>
      </c>
      <c r="E6379" s="67">
        <f t="shared" si="18"/>
        <v>1000</v>
      </c>
      <c r="F6379" s="67" t="str">
        <f t="shared" si="12"/>
        <v>4 LeadGen Set Appointments</v>
      </c>
    </row>
    <row r="6380" hidden="1">
      <c r="A6380" s="6" t="s">
        <v>79</v>
      </c>
      <c r="B6380" s="13" t="s">
        <v>699</v>
      </c>
      <c r="C6380" s="13" t="s">
        <v>700</v>
      </c>
      <c r="D6380" s="15">
        <v>4.0</v>
      </c>
      <c r="E6380" s="67">
        <f t="shared" si="18"/>
        <v>1000</v>
      </c>
      <c r="F6380" s="67" t="str">
        <f t="shared" si="12"/>
        <v>4 LeadGen Set Appointments</v>
      </c>
    </row>
    <row r="6381" hidden="1">
      <c r="A6381" s="6" t="s">
        <v>79</v>
      </c>
      <c r="B6381" s="13" t="s">
        <v>2268</v>
      </c>
      <c r="C6381" s="13" t="s">
        <v>2269</v>
      </c>
      <c r="D6381" s="15">
        <v>4.0</v>
      </c>
      <c r="E6381" s="67">
        <f t="shared" si="18"/>
        <v>1000</v>
      </c>
      <c r="F6381" s="67" t="str">
        <f t="shared" si="12"/>
        <v>4 LeadGen Set Appointments</v>
      </c>
    </row>
    <row r="6382" hidden="1">
      <c r="A6382" s="6" t="s">
        <v>79</v>
      </c>
      <c r="B6382" s="13" t="s">
        <v>2345</v>
      </c>
      <c r="C6382" s="13" t="s">
        <v>2346</v>
      </c>
      <c r="D6382" s="15">
        <v>4.0</v>
      </c>
      <c r="E6382" s="67">
        <f t="shared" si="18"/>
        <v>1000</v>
      </c>
      <c r="F6382" s="67" t="str">
        <f t="shared" si="12"/>
        <v>4 LeadGen Set Appointments</v>
      </c>
    </row>
    <row r="6383" hidden="1">
      <c r="A6383" s="6" t="s">
        <v>79</v>
      </c>
      <c r="B6383" s="13" t="s">
        <v>1923</v>
      </c>
      <c r="C6383" s="13" t="s">
        <v>1924</v>
      </c>
      <c r="D6383" s="15">
        <v>4.0</v>
      </c>
      <c r="E6383" s="67">
        <f t="shared" si="18"/>
        <v>1000</v>
      </c>
      <c r="F6383" s="67" t="str">
        <f t="shared" si="12"/>
        <v>4 LeadGen Set Appointments</v>
      </c>
    </row>
    <row r="6384" hidden="1">
      <c r="A6384" s="6" t="s">
        <v>79</v>
      </c>
      <c r="B6384" s="13" t="s">
        <v>910</v>
      </c>
      <c r="C6384" s="13" t="s">
        <v>911</v>
      </c>
      <c r="D6384" s="15">
        <v>4.0</v>
      </c>
      <c r="E6384" s="67">
        <f t="shared" si="18"/>
        <v>1000</v>
      </c>
      <c r="F6384" s="67" t="str">
        <f t="shared" si="12"/>
        <v>4 LeadGen Set Appointments</v>
      </c>
    </row>
    <row r="6385" hidden="1">
      <c r="A6385" s="6" t="s">
        <v>79</v>
      </c>
      <c r="B6385" s="13" t="s">
        <v>2367</v>
      </c>
      <c r="C6385" s="13" t="s">
        <v>2368</v>
      </c>
      <c r="D6385" s="15">
        <v>4.0</v>
      </c>
      <c r="E6385" s="67">
        <f t="shared" si="18"/>
        <v>1000</v>
      </c>
      <c r="F6385" s="67" t="str">
        <f t="shared" si="12"/>
        <v>4 LeadGen Set Appointments</v>
      </c>
    </row>
    <row r="6386" hidden="1">
      <c r="A6386" s="6" t="s">
        <v>79</v>
      </c>
      <c r="B6386" s="13" t="s">
        <v>2220</v>
      </c>
      <c r="C6386" s="13" t="s">
        <v>2221</v>
      </c>
      <c r="D6386" s="15">
        <v>4.0</v>
      </c>
      <c r="E6386" s="67">
        <f t="shared" si="18"/>
        <v>1000</v>
      </c>
      <c r="F6386" s="67" t="str">
        <f t="shared" si="12"/>
        <v>4 LeadGen Set Appointments</v>
      </c>
    </row>
    <row r="6387" hidden="1">
      <c r="A6387" s="6" t="s">
        <v>79</v>
      </c>
      <c r="B6387" s="13" t="s">
        <v>984</v>
      </c>
      <c r="C6387" s="13" t="s">
        <v>985</v>
      </c>
      <c r="D6387" s="15">
        <v>4.0</v>
      </c>
      <c r="E6387" s="67">
        <f t="shared" si="18"/>
        <v>1000</v>
      </c>
      <c r="F6387" s="67" t="str">
        <f t="shared" si="12"/>
        <v>4 LeadGen Set Appointments</v>
      </c>
    </row>
    <row r="6388" hidden="1">
      <c r="A6388" s="6" t="s">
        <v>79</v>
      </c>
      <c r="B6388" s="13" t="s">
        <v>2450</v>
      </c>
      <c r="C6388" s="13" t="s">
        <v>2451</v>
      </c>
      <c r="D6388" s="15">
        <v>3.0</v>
      </c>
      <c r="E6388" s="67">
        <f t="shared" si="18"/>
        <v>750</v>
      </c>
      <c r="F6388" s="67" t="str">
        <f t="shared" si="12"/>
        <v>3 LeadGen Set Appointments</v>
      </c>
    </row>
    <row r="6389" hidden="1">
      <c r="A6389" s="6" t="s">
        <v>79</v>
      </c>
      <c r="B6389" s="13" t="s">
        <v>1577</v>
      </c>
      <c r="C6389" s="13" t="s">
        <v>1578</v>
      </c>
      <c r="D6389" s="15">
        <v>3.0</v>
      </c>
      <c r="E6389" s="67">
        <f t="shared" si="18"/>
        <v>750</v>
      </c>
      <c r="F6389" s="67" t="str">
        <f t="shared" si="12"/>
        <v>3 LeadGen Set Appointments</v>
      </c>
    </row>
    <row r="6390" hidden="1">
      <c r="A6390" s="6" t="s">
        <v>79</v>
      </c>
      <c r="B6390" s="13" t="s">
        <v>2467</v>
      </c>
      <c r="C6390" s="13" t="s">
        <v>2468</v>
      </c>
      <c r="D6390" s="15">
        <v>3.0</v>
      </c>
      <c r="E6390" s="67">
        <f t="shared" si="18"/>
        <v>750</v>
      </c>
      <c r="F6390" s="67" t="str">
        <f t="shared" si="12"/>
        <v>3 LeadGen Set Appointments</v>
      </c>
    </row>
    <row r="6391" hidden="1">
      <c r="A6391" s="6" t="s">
        <v>79</v>
      </c>
      <c r="B6391" s="13" t="s">
        <v>500</v>
      </c>
      <c r="C6391" s="13" t="s">
        <v>501</v>
      </c>
      <c r="D6391" s="15">
        <v>3.0</v>
      </c>
      <c r="E6391" s="67">
        <f t="shared" si="18"/>
        <v>750</v>
      </c>
      <c r="F6391" s="67" t="str">
        <f t="shared" si="12"/>
        <v>3 LeadGen Set Appointments</v>
      </c>
    </row>
    <row r="6392" hidden="1">
      <c r="A6392" s="6" t="s">
        <v>79</v>
      </c>
      <c r="B6392" s="13" t="s">
        <v>1774</v>
      </c>
      <c r="C6392" s="13" t="s">
        <v>1775</v>
      </c>
      <c r="D6392" s="15">
        <v>3.0</v>
      </c>
      <c r="E6392" s="67">
        <f t="shared" si="18"/>
        <v>750</v>
      </c>
      <c r="F6392" s="67" t="str">
        <f t="shared" si="12"/>
        <v>3 LeadGen Set Appointments</v>
      </c>
    </row>
    <row r="6393" hidden="1">
      <c r="A6393" s="6" t="s">
        <v>79</v>
      </c>
      <c r="B6393" s="13" t="s">
        <v>1893</v>
      </c>
      <c r="C6393" s="13" t="s">
        <v>1894</v>
      </c>
      <c r="D6393" s="15">
        <v>3.0</v>
      </c>
      <c r="E6393" s="67">
        <f t="shared" si="18"/>
        <v>750</v>
      </c>
      <c r="F6393" s="67" t="str">
        <f t="shared" si="12"/>
        <v>3 LeadGen Set Appointments</v>
      </c>
    </row>
    <row r="6394" hidden="1">
      <c r="A6394" s="6" t="s">
        <v>79</v>
      </c>
      <c r="B6394" s="13" t="s">
        <v>628</v>
      </c>
      <c r="C6394" s="13" t="s">
        <v>629</v>
      </c>
      <c r="D6394" s="15">
        <v>3.0</v>
      </c>
      <c r="E6394" s="67">
        <f t="shared" si="18"/>
        <v>750</v>
      </c>
      <c r="F6394" s="67" t="str">
        <f t="shared" si="12"/>
        <v>3 LeadGen Set Appointments</v>
      </c>
    </row>
    <row r="6395" hidden="1">
      <c r="A6395" s="6" t="s">
        <v>79</v>
      </c>
      <c r="B6395" s="13" t="s">
        <v>2299</v>
      </c>
      <c r="C6395" s="13" t="s">
        <v>2300</v>
      </c>
      <c r="D6395" s="15">
        <v>3.0</v>
      </c>
      <c r="E6395" s="67">
        <f t="shared" si="18"/>
        <v>750</v>
      </c>
      <c r="F6395" s="67" t="str">
        <f t="shared" si="12"/>
        <v>3 LeadGen Set Appointments</v>
      </c>
    </row>
    <row r="6396" hidden="1">
      <c r="A6396" s="6" t="s">
        <v>79</v>
      </c>
      <c r="B6396" s="13" t="s">
        <v>2412</v>
      </c>
      <c r="C6396" s="13" t="s">
        <v>2413</v>
      </c>
      <c r="D6396" s="15">
        <v>3.0</v>
      </c>
      <c r="E6396" s="67">
        <f t="shared" si="18"/>
        <v>750</v>
      </c>
      <c r="F6396" s="67" t="str">
        <f t="shared" si="12"/>
        <v>3 LeadGen Set Appointments</v>
      </c>
    </row>
    <row r="6397" hidden="1">
      <c r="A6397" s="6" t="s">
        <v>79</v>
      </c>
      <c r="B6397" s="13" t="s">
        <v>1547</v>
      </c>
      <c r="C6397" s="13" t="s">
        <v>1548</v>
      </c>
      <c r="D6397" s="15">
        <v>3.0</v>
      </c>
      <c r="E6397" s="67">
        <f t="shared" si="18"/>
        <v>750</v>
      </c>
      <c r="F6397" s="67" t="str">
        <f t="shared" si="12"/>
        <v>3 LeadGen Set Appointments</v>
      </c>
    </row>
    <row r="6398" hidden="1">
      <c r="A6398" s="6" t="s">
        <v>79</v>
      </c>
      <c r="B6398" s="13" t="s">
        <v>560</v>
      </c>
      <c r="C6398" s="13" t="s">
        <v>561</v>
      </c>
      <c r="D6398" s="15">
        <v>3.0</v>
      </c>
      <c r="E6398" s="67">
        <f t="shared" si="18"/>
        <v>750</v>
      </c>
      <c r="F6398" s="67" t="str">
        <f t="shared" si="12"/>
        <v>3 LeadGen Set Appointments</v>
      </c>
    </row>
    <row r="6399" hidden="1">
      <c r="A6399" s="6" t="s">
        <v>79</v>
      </c>
      <c r="B6399" s="13" t="s">
        <v>1585</v>
      </c>
      <c r="C6399" s="13" t="s">
        <v>2490</v>
      </c>
      <c r="D6399" s="15">
        <v>3.0</v>
      </c>
      <c r="E6399" s="67">
        <f t="shared" si="18"/>
        <v>750</v>
      </c>
      <c r="F6399" s="67" t="str">
        <f t="shared" si="12"/>
        <v>3 LeadGen Set Appointments</v>
      </c>
    </row>
    <row r="6400" hidden="1">
      <c r="A6400" s="6" t="s">
        <v>79</v>
      </c>
      <c r="B6400" s="13" t="s">
        <v>1334</v>
      </c>
      <c r="C6400" s="13" t="s">
        <v>553</v>
      </c>
      <c r="D6400" s="15">
        <v>3.0</v>
      </c>
      <c r="E6400" s="67">
        <f t="shared" si="18"/>
        <v>750</v>
      </c>
      <c r="F6400" s="67" t="str">
        <f t="shared" si="12"/>
        <v>3 LeadGen Set Appointments</v>
      </c>
    </row>
    <row r="6401" hidden="1">
      <c r="A6401" s="6" t="s">
        <v>79</v>
      </c>
      <c r="B6401" s="13" t="s">
        <v>2473</v>
      </c>
      <c r="C6401" s="13" t="s">
        <v>2474</v>
      </c>
      <c r="D6401" s="15">
        <v>3.0</v>
      </c>
      <c r="E6401" s="67">
        <f t="shared" si="18"/>
        <v>750</v>
      </c>
      <c r="F6401" s="67" t="str">
        <f t="shared" si="12"/>
        <v>3 LeadGen Set Appointments</v>
      </c>
    </row>
    <row r="6402" hidden="1">
      <c r="A6402" s="6" t="s">
        <v>79</v>
      </c>
      <c r="B6402" s="13" t="s">
        <v>2513</v>
      </c>
      <c r="C6402" s="13" t="s">
        <v>2514</v>
      </c>
      <c r="D6402" s="15">
        <v>3.0</v>
      </c>
      <c r="E6402" s="67">
        <f t="shared" si="18"/>
        <v>750</v>
      </c>
      <c r="F6402" s="67" t="str">
        <f t="shared" si="12"/>
        <v>3 LeadGen Set Appointments</v>
      </c>
    </row>
    <row r="6403" hidden="1">
      <c r="A6403" s="6" t="s">
        <v>79</v>
      </c>
      <c r="B6403" s="13" t="s">
        <v>2097</v>
      </c>
      <c r="C6403" s="13" t="s">
        <v>828</v>
      </c>
      <c r="D6403" s="15">
        <v>3.0</v>
      </c>
      <c r="E6403" s="67">
        <f t="shared" si="18"/>
        <v>750</v>
      </c>
      <c r="F6403" s="67" t="str">
        <f t="shared" si="12"/>
        <v>3 LeadGen Set Appointments</v>
      </c>
    </row>
    <row r="6404" hidden="1">
      <c r="A6404" s="6" t="s">
        <v>79</v>
      </c>
      <c r="B6404" s="13" t="s">
        <v>1937</v>
      </c>
      <c r="C6404" s="13" t="s">
        <v>1938</v>
      </c>
      <c r="D6404" s="15">
        <v>3.0</v>
      </c>
      <c r="E6404" s="67">
        <f t="shared" si="18"/>
        <v>750</v>
      </c>
      <c r="F6404" s="67" t="str">
        <f t="shared" si="12"/>
        <v>3 LeadGen Set Appointments</v>
      </c>
    </row>
    <row r="6405" hidden="1">
      <c r="A6405" s="6" t="s">
        <v>79</v>
      </c>
      <c r="B6405" s="13" t="s">
        <v>1770</v>
      </c>
      <c r="C6405" s="13" t="s">
        <v>1771</v>
      </c>
      <c r="D6405" s="15">
        <v>3.0</v>
      </c>
      <c r="E6405" s="67">
        <f t="shared" si="18"/>
        <v>750</v>
      </c>
      <c r="F6405" s="67" t="str">
        <f t="shared" si="12"/>
        <v>3 LeadGen Set Appointments</v>
      </c>
    </row>
    <row r="6406" hidden="1">
      <c r="A6406" s="6" t="s">
        <v>79</v>
      </c>
      <c r="B6406" s="13" t="s">
        <v>717</v>
      </c>
      <c r="C6406" s="13" t="s">
        <v>718</v>
      </c>
      <c r="D6406" s="15">
        <v>3.0</v>
      </c>
      <c r="E6406" s="67">
        <f t="shared" si="18"/>
        <v>750</v>
      </c>
      <c r="F6406" s="67" t="str">
        <f t="shared" si="12"/>
        <v>3 LeadGen Set Appointments</v>
      </c>
    </row>
    <row r="6407" hidden="1">
      <c r="A6407" s="6" t="s">
        <v>79</v>
      </c>
      <c r="B6407" s="13" t="s">
        <v>1724</v>
      </c>
      <c r="C6407" s="13" t="s">
        <v>1725</v>
      </c>
      <c r="D6407" s="15">
        <v>3.0</v>
      </c>
      <c r="E6407" s="67">
        <f t="shared" si="18"/>
        <v>750</v>
      </c>
      <c r="F6407" s="67" t="str">
        <f t="shared" si="12"/>
        <v>3 LeadGen Set Appointments</v>
      </c>
    </row>
    <row r="6408" hidden="1">
      <c r="A6408" s="6" t="s">
        <v>79</v>
      </c>
      <c r="B6408" s="13" t="s">
        <v>2444</v>
      </c>
      <c r="C6408" s="13" t="s">
        <v>2445</v>
      </c>
      <c r="D6408" s="15">
        <v>3.0</v>
      </c>
      <c r="E6408" s="67">
        <f t="shared" si="18"/>
        <v>750</v>
      </c>
      <c r="F6408" s="67" t="str">
        <f t="shared" si="12"/>
        <v>3 LeadGen Set Appointments</v>
      </c>
    </row>
    <row r="6409" hidden="1">
      <c r="A6409" s="6" t="s">
        <v>79</v>
      </c>
      <c r="B6409" s="13" t="s">
        <v>2458</v>
      </c>
      <c r="C6409" s="13" t="s">
        <v>2459</v>
      </c>
      <c r="D6409" s="15">
        <v>3.0</v>
      </c>
      <c r="E6409" s="67">
        <f t="shared" si="18"/>
        <v>750</v>
      </c>
      <c r="F6409" s="67" t="str">
        <f t="shared" si="12"/>
        <v>3 LeadGen Set Appointments</v>
      </c>
    </row>
    <row r="6410" hidden="1">
      <c r="A6410" s="6" t="s">
        <v>79</v>
      </c>
      <c r="B6410" s="13" t="s">
        <v>1990</v>
      </c>
      <c r="C6410" s="13" t="s">
        <v>1991</v>
      </c>
      <c r="D6410" s="15">
        <v>3.0</v>
      </c>
      <c r="E6410" s="67">
        <f t="shared" si="18"/>
        <v>750</v>
      </c>
      <c r="F6410" s="67" t="str">
        <f t="shared" si="12"/>
        <v>3 LeadGen Set Appointments</v>
      </c>
    </row>
    <row r="6411" hidden="1">
      <c r="A6411" s="6" t="s">
        <v>79</v>
      </c>
      <c r="B6411" s="13" t="s">
        <v>443</v>
      </c>
      <c r="C6411" s="13" t="s">
        <v>444</v>
      </c>
      <c r="D6411" s="15">
        <v>3.0</v>
      </c>
      <c r="E6411" s="67">
        <f t="shared" si="18"/>
        <v>750</v>
      </c>
      <c r="F6411" s="67" t="str">
        <f t="shared" si="12"/>
        <v>3 LeadGen Set Appointments</v>
      </c>
    </row>
    <row r="6412" hidden="1">
      <c r="A6412" s="6" t="s">
        <v>79</v>
      </c>
      <c r="B6412" s="13" t="s">
        <v>2286</v>
      </c>
      <c r="C6412" s="13" t="s">
        <v>2287</v>
      </c>
      <c r="D6412" s="15">
        <v>3.0</v>
      </c>
      <c r="E6412" s="67">
        <f t="shared" si="18"/>
        <v>750</v>
      </c>
      <c r="F6412" s="67" t="str">
        <f t="shared" si="12"/>
        <v>3 LeadGen Set Appointments</v>
      </c>
    </row>
    <row r="6413" hidden="1">
      <c r="A6413" s="6" t="s">
        <v>79</v>
      </c>
      <c r="B6413" s="13" t="s">
        <v>2507</v>
      </c>
      <c r="C6413" s="13" t="s">
        <v>2508</v>
      </c>
      <c r="D6413" s="15">
        <v>3.0</v>
      </c>
      <c r="E6413" s="67">
        <f t="shared" si="18"/>
        <v>750</v>
      </c>
      <c r="F6413" s="67" t="str">
        <f t="shared" si="12"/>
        <v>3 LeadGen Set Appointments</v>
      </c>
    </row>
    <row r="6414" hidden="1">
      <c r="A6414" s="6" t="s">
        <v>79</v>
      </c>
      <c r="B6414" s="13" t="s">
        <v>2384</v>
      </c>
      <c r="C6414" s="13" t="s">
        <v>2385</v>
      </c>
      <c r="D6414" s="15">
        <v>3.0</v>
      </c>
      <c r="E6414" s="67">
        <f t="shared" si="18"/>
        <v>750</v>
      </c>
      <c r="F6414" s="67" t="str">
        <f t="shared" si="12"/>
        <v>3 LeadGen Set Appointments</v>
      </c>
    </row>
    <row r="6415" hidden="1">
      <c r="A6415" s="6" t="s">
        <v>79</v>
      </c>
      <c r="B6415" s="13" t="s">
        <v>2234</v>
      </c>
      <c r="C6415" s="13" t="s">
        <v>2235</v>
      </c>
      <c r="D6415" s="15">
        <v>3.0</v>
      </c>
      <c r="E6415" s="67">
        <f t="shared" si="18"/>
        <v>750</v>
      </c>
      <c r="F6415" s="67" t="str">
        <f t="shared" si="12"/>
        <v>3 LeadGen Set Appointments</v>
      </c>
    </row>
    <row r="6416" hidden="1">
      <c r="A6416" s="6" t="s">
        <v>79</v>
      </c>
      <c r="B6416" s="13" t="s">
        <v>2360</v>
      </c>
      <c r="C6416" s="13" t="s">
        <v>2361</v>
      </c>
      <c r="D6416" s="15">
        <v>3.0</v>
      </c>
      <c r="E6416" s="67">
        <f t="shared" si="18"/>
        <v>750</v>
      </c>
      <c r="F6416" s="67" t="str">
        <f t="shared" si="12"/>
        <v>3 LeadGen Set Appointments</v>
      </c>
    </row>
    <row r="6417" hidden="1">
      <c r="A6417" s="6" t="s">
        <v>79</v>
      </c>
      <c r="B6417" s="13" t="s">
        <v>1736</v>
      </c>
      <c r="C6417" s="13" t="s">
        <v>1737</v>
      </c>
      <c r="D6417" s="15">
        <v>3.0</v>
      </c>
      <c r="E6417" s="67">
        <f t="shared" si="18"/>
        <v>750</v>
      </c>
      <c r="F6417" s="67" t="str">
        <f t="shared" si="12"/>
        <v>3 LeadGen Set Appointments</v>
      </c>
    </row>
    <row r="6418" hidden="1">
      <c r="A6418" s="6" t="s">
        <v>79</v>
      </c>
      <c r="B6418" s="13" t="s">
        <v>1955</v>
      </c>
      <c r="C6418" s="13" t="s">
        <v>1956</v>
      </c>
      <c r="D6418" s="15">
        <v>3.0</v>
      </c>
      <c r="E6418" s="67">
        <f t="shared" si="18"/>
        <v>750</v>
      </c>
      <c r="F6418" s="67" t="str">
        <f t="shared" si="12"/>
        <v>3 LeadGen Set Appointments</v>
      </c>
    </row>
    <row r="6419" hidden="1">
      <c r="A6419" s="6" t="s">
        <v>79</v>
      </c>
      <c r="B6419" s="13" t="s">
        <v>2151</v>
      </c>
      <c r="C6419" s="13" t="s">
        <v>2152</v>
      </c>
      <c r="D6419" s="15">
        <v>3.0</v>
      </c>
      <c r="E6419" s="67">
        <f t="shared" si="18"/>
        <v>750</v>
      </c>
      <c r="F6419" s="67" t="str">
        <f t="shared" si="12"/>
        <v>3 LeadGen Set Appointments</v>
      </c>
    </row>
    <row r="6420" hidden="1">
      <c r="A6420" s="6" t="s">
        <v>79</v>
      </c>
      <c r="B6420" s="13" t="s">
        <v>2081</v>
      </c>
      <c r="C6420" s="13" t="s">
        <v>2082</v>
      </c>
      <c r="D6420" s="15">
        <v>3.0</v>
      </c>
      <c r="E6420" s="67">
        <f t="shared" si="18"/>
        <v>750</v>
      </c>
      <c r="F6420" s="67" t="str">
        <f t="shared" si="12"/>
        <v>3 LeadGen Set Appointments</v>
      </c>
    </row>
    <row r="6421" hidden="1">
      <c r="A6421" s="6" t="s">
        <v>79</v>
      </c>
      <c r="B6421" s="13" t="s">
        <v>2477</v>
      </c>
      <c r="C6421" s="13" t="s">
        <v>2478</v>
      </c>
      <c r="D6421" s="15">
        <v>3.0</v>
      </c>
      <c r="E6421" s="67">
        <f t="shared" si="18"/>
        <v>750</v>
      </c>
      <c r="F6421" s="67" t="str">
        <f t="shared" si="12"/>
        <v>3 LeadGen Set Appointments</v>
      </c>
    </row>
    <row r="6422" hidden="1">
      <c r="A6422" s="6" t="s">
        <v>79</v>
      </c>
      <c r="B6422" s="13" t="s">
        <v>701</v>
      </c>
      <c r="C6422" s="13" t="s">
        <v>702</v>
      </c>
      <c r="D6422" s="15">
        <v>3.0</v>
      </c>
      <c r="E6422" s="67">
        <f t="shared" si="18"/>
        <v>750</v>
      </c>
      <c r="F6422" s="67" t="str">
        <f t="shared" si="12"/>
        <v>3 LeadGen Set Appointments</v>
      </c>
    </row>
    <row r="6423" hidden="1">
      <c r="A6423" s="6" t="s">
        <v>79</v>
      </c>
      <c r="B6423" s="13" t="s">
        <v>2525</v>
      </c>
      <c r="C6423" s="13" t="s">
        <v>2526</v>
      </c>
      <c r="D6423" s="15">
        <v>3.0</v>
      </c>
      <c r="E6423" s="67">
        <f t="shared" si="18"/>
        <v>750</v>
      </c>
      <c r="F6423" s="67" t="str">
        <f t="shared" si="12"/>
        <v>3 LeadGen Set Appointments</v>
      </c>
    </row>
    <row r="6424" hidden="1">
      <c r="A6424" s="6" t="s">
        <v>79</v>
      </c>
      <c r="B6424" s="13" t="s">
        <v>2369</v>
      </c>
      <c r="C6424" s="13" t="s">
        <v>2370</v>
      </c>
      <c r="D6424" s="15">
        <v>3.0</v>
      </c>
      <c r="E6424" s="67">
        <f t="shared" si="18"/>
        <v>750</v>
      </c>
      <c r="F6424" s="67" t="str">
        <f t="shared" si="12"/>
        <v>3 LeadGen Set Appointments</v>
      </c>
    </row>
    <row r="6425" hidden="1">
      <c r="A6425" s="6" t="s">
        <v>79</v>
      </c>
      <c r="B6425" s="13" t="s">
        <v>566</v>
      </c>
      <c r="C6425" s="13" t="s">
        <v>567</v>
      </c>
      <c r="D6425" s="15">
        <v>3.0</v>
      </c>
      <c r="E6425" s="67">
        <f t="shared" si="18"/>
        <v>750</v>
      </c>
      <c r="F6425" s="67" t="str">
        <f t="shared" si="12"/>
        <v>3 LeadGen Set Appointments</v>
      </c>
    </row>
    <row r="6426" hidden="1">
      <c r="A6426" s="6" t="s">
        <v>79</v>
      </c>
      <c r="B6426" s="13" t="s">
        <v>2511</v>
      </c>
      <c r="C6426" s="13" t="s">
        <v>2512</v>
      </c>
      <c r="D6426" s="15">
        <v>3.0</v>
      </c>
      <c r="E6426" s="67">
        <f t="shared" si="18"/>
        <v>750</v>
      </c>
      <c r="F6426" s="67" t="str">
        <f t="shared" si="12"/>
        <v>3 LeadGen Set Appointments</v>
      </c>
    </row>
    <row r="6427" hidden="1">
      <c r="A6427" s="6" t="s">
        <v>79</v>
      </c>
      <c r="B6427" s="13" t="s">
        <v>2218</v>
      </c>
      <c r="C6427" s="13" t="s">
        <v>2219</v>
      </c>
      <c r="D6427" s="15">
        <v>3.0</v>
      </c>
      <c r="E6427" s="67">
        <f t="shared" si="18"/>
        <v>750</v>
      </c>
      <c r="F6427" s="67" t="str">
        <f t="shared" si="12"/>
        <v>3 LeadGen Set Appointments</v>
      </c>
    </row>
    <row r="6428" hidden="1">
      <c r="A6428" s="6" t="s">
        <v>79</v>
      </c>
      <c r="B6428" s="13" t="s">
        <v>1351</v>
      </c>
      <c r="C6428" s="13" t="s">
        <v>1352</v>
      </c>
      <c r="D6428" s="15">
        <v>3.0</v>
      </c>
      <c r="E6428" s="67">
        <f t="shared" si="18"/>
        <v>750</v>
      </c>
      <c r="F6428" s="67" t="str">
        <f t="shared" si="12"/>
        <v>3 LeadGen Set Appointments</v>
      </c>
    </row>
    <row r="6429" hidden="1">
      <c r="A6429" s="6" t="s">
        <v>79</v>
      </c>
      <c r="B6429" s="13" t="s">
        <v>1483</v>
      </c>
      <c r="C6429" s="13" t="s">
        <v>1484</v>
      </c>
      <c r="D6429" s="15">
        <v>3.0</v>
      </c>
      <c r="E6429" s="67">
        <f t="shared" si="18"/>
        <v>750</v>
      </c>
      <c r="F6429" s="67" t="str">
        <f t="shared" si="12"/>
        <v>3 LeadGen Set Appointments</v>
      </c>
    </row>
    <row r="6430" hidden="1">
      <c r="A6430" s="6" t="s">
        <v>79</v>
      </c>
      <c r="B6430" s="13" t="s">
        <v>1457</v>
      </c>
      <c r="C6430" s="13" t="s">
        <v>2411</v>
      </c>
      <c r="D6430" s="15">
        <v>3.0</v>
      </c>
      <c r="E6430" s="67">
        <f t="shared" si="18"/>
        <v>750</v>
      </c>
      <c r="F6430" s="67" t="str">
        <f t="shared" si="12"/>
        <v>3 LeadGen Set Appointments</v>
      </c>
    </row>
    <row r="6431" hidden="1">
      <c r="A6431" s="6" t="s">
        <v>79</v>
      </c>
      <c r="B6431" s="13" t="s">
        <v>2465</v>
      </c>
      <c r="C6431" s="13" t="s">
        <v>2466</v>
      </c>
      <c r="D6431" s="15">
        <v>2.0</v>
      </c>
      <c r="E6431" s="67">
        <f t="shared" si="18"/>
        <v>500</v>
      </c>
      <c r="F6431" s="67" t="str">
        <f t="shared" si="12"/>
        <v>2 LeadGen Set Appointments</v>
      </c>
    </row>
    <row r="6432" hidden="1">
      <c r="A6432" s="6" t="s">
        <v>79</v>
      </c>
      <c r="B6432" s="13" t="s">
        <v>2212</v>
      </c>
      <c r="C6432" s="13" t="s">
        <v>2213</v>
      </c>
      <c r="D6432" s="15">
        <v>2.0</v>
      </c>
      <c r="E6432" s="67">
        <f t="shared" si="18"/>
        <v>500</v>
      </c>
      <c r="F6432" s="67" t="str">
        <f t="shared" si="12"/>
        <v>2 LeadGen Set Appointments</v>
      </c>
    </row>
    <row r="6433" hidden="1">
      <c r="A6433" s="6" t="s">
        <v>79</v>
      </c>
      <c r="B6433" s="13" t="s">
        <v>2527</v>
      </c>
      <c r="C6433" s="13" t="s">
        <v>2528</v>
      </c>
      <c r="D6433" s="15">
        <v>2.0</v>
      </c>
      <c r="E6433" s="67">
        <f t="shared" si="18"/>
        <v>500</v>
      </c>
      <c r="F6433" s="67" t="str">
        <f t="shared" si="12"/>
        <v>2 LeadGen Set Appointments</v>
      </c>
    </row>
    <row r="6434" hidden="1">
      <c r="A6434" s="6" t="s">
        <v>79</v>
      </c>
      <c r="B6434" s="13" t="s">
        <v>684</v>
      </c>
      <c r="C6434" s="13" t="s">
        <v>685</v>
      </c>
      <c r="D6434" s="15">
        <v>2.0</v>
      </c>
      <c r="E6434" s="67">
        <f t="shared" si="18"/>
        <v>500</v>
      </c>
      <c r="F6434" s="67" t="str">
        <f t="shared" si="12"/>
        <v>2 LeadGen Set Appointments</v>
      </c>
    </row>
    <row r="6435" hidden="1">
      <c r="A6435" s="6" t="s">
        <v>79</v>
      </c>
      <c r="B6435" s="13" t="s">
        <v>2491</v>
      </c>
      <c r="C6435" s="13" t="s">
        <v>2492</v>
      </c>
      <c r="D6435" s="15">
        <v>2.0</v>
      </c>
      <c r="E6435" s="67">
        <f t="shared" si="18"/>
        <v>500</v>
      </c>
      <c r="F6435" s="67" t="str">
        <f t="shared" si="12"/>
        <v>2 LeadGen Set Appointments</v>
      </c>
    </row>
    <row r="6436" hidden="1">
      <c r="A6436" s="6" t="s">
        <v>79</v>
      </c>
      <c r="B6436" s="13" t="s">
        <v>2486</v>
      </c>
      <c r="C6436" s="13" t="s">
        <v>2487</v>
      </c>
      <c r="D6436" s="15">
        <v>2.0</v>
      </c>
      <c r="E6436" s="67">
        <f t="shared" si="18"/>
        <v>500</v>
      </c>
      <c r="F6436" s="67" t="str">
        <f t="shared" si="12"/>
        <v>2 LeadGen Set Appointments</v>
      </c>
    </row>
    <row r="6437" hidden="1">
      <c r="A6437" s="6" t="s">
        <v>79</v>
      </c>
      <c r="B6437" s="13" t="s">
        <v>1408</v>
      </c>
      <c r="C6437" s="13" t="s">
        <v>675</v>
      </c>
      <c r="D6437" s="15">
        <v>2.0</v>
      </c>
      <c r="E6437" s="67">
        <f t="shared" si="18"/>
        <v>500</v>
      </c>
      <c r="F6437" s="67" t="str">
        <f t="shared" si="12"/>
        <v>2 LeadGen Set Appointments</v>
      </c>
    </row>
    <row r="6438" hidden="1">
      <c r="A6438" s="6" t="s">
        <v>79</v>
      </c>
      <c r="B6438" s="13" t="s">
        <v>976</v>
      </c>
      <c r="C6438" s="13" t="s">
        <v>977</v>
      </c>
      <c r="D6438" s="15">
        <v>2.0</v>
      </c>
      <c r="E6438" s="67">
        <f t="shared" si="18"/>
        <v>500</v>
      </c>
      <c r="F6438" s="67" t="str">
        <f t="shared" si="12"/>
        <v>2 LeadGen Set Appointments</v>
      </c>
    </row>
    <row r="6439" hidden="1">
      <c r="A6439" s="6" t="s">
        <v>79</v>
      </c>
      <c r="B6439" s="13" t="s">
        <v>2529</v>
      </c>
      <c r="C6439" s="13" t="s">
        <v>2530</v>
      </c>
      <c r="D6439" s="15">
        <v>2.0</v>
      </c>
      <c r="E6439" s="67">
        <f t="shared" si="18"/>
        <v>500</v>
      </c>
      <c r="F6439" s="67" t="str">
        <f t="shared" si="12"/>
        <v>2 LeadGen Set Appointments</v>
      </c>
    </row>
    <row r="6440" hidden="1">
      <c r="A6440" s="6" t="s">
        <v>79</v>
      </c>
      <c r="B6440" s="13" t="s">
        <v>1443</v>
      </c>
      <c r="C6440" s="13" t="s">
        <v>755</v>
      </c>
      <c r="D6440" s="15">
        <v>2.0</v>
      </c>
      <c r="E6440" s="67">
        <f t="shared" si="18"/>
        <v>500</v>
      </c>
      <c r="F6440" s="67" t="str">
        <f t="shared" si="12"/>
        <v>2 LeadGen Set Appointments</v>
      </c>
    </row>
    <row r="6441" hidden="1">
      <c r="A6441" s="6" t="s">
        <v>79</v>
      </c>
      <c r="B6441" s="13" t="s">
        <v>2505</v>
      </c>
      <c r="C6441" s="13" t="s">
        <v>2506</v>
      </c>
      <c r="D6441" s="15">
        <v>2.0</v>
      </c>
      <c r="E6441" s="67">
        <f t="shared" si="18"/>
        <v>500</v>
      </c>
      <c r="F6441" s="67" t="str">
        <f t="shared" si="12"/>
        <v>2 LeadGen Set Appointments</v>
      </c>
    </row>
    <row r="6442" hidden="1">
      <c r="A6442" s="6" t="s">
        <v>79</v>
      </c>
      <c r="B6442" s="13" t="s">
        <v>2531</v>
      </c>
      <c r="C6442" s="13" t="s">
        <v>2532</v>
      </c>
      <c r="D6442" s="15">
        <v>2.0</v>
      </c>
      <c r="E6442" s="67">
        <f t="shared" si="18"/>
        <v>500</v>
      </c>
      <c r="F6442" s="67" t="str">
        <f t="shared" si="12"/>
        <v>2 LeadGen Set Appointments</v>
      </c>
    </row>
    <row r="6443" hidden="1">
      <c r="A6443" s="6" t="s">
        <v>79</v>
      </c>
      <c r="B6443" s="13" t="s">
        <v>2288</v>
      </c>
      <c r="C6443" s="13" t="s">
        <v>2289</v>
      </c>
      <c r="D6443" s="15">
        <v>2.0</v>
      </c>
      <c r="E6443" s="67">
        <f t="shared" si="18"/>
        <v>500</v>
      </c>
      <c r="F6443" s="67" t="str">
        <f t="shared" si="12"/>
        <v>2 LeadGen Set Appointments</v>
      </c>
    </row>
    <row r="6444" hidden="1">
      <c r="A6444" s="6" t="s">
        <v>79</v>
      </c>
      <c r="B6444" s="13" t="s">
        <v>1960</v>
      </c>
      <c r="C6444" s="13" t="s">
        <v>1961</v>
      </c>
      <c r="D6444" s="15">
        <v>2.0</v>
      </c>
      <c r="E6444" s="67">
        <f t="shared" si="18"/>
        <v>500</v>
      </c>
      <c r="F6444" s="67" t="str">
        <f t="shared" si="12"/>
        <v>2 LeadGen Set Appointments</v>
      </c>
    </row>
    <row r="6445" hidden="1">
      <c r="A6445" s="6" t="s">
        <v>79</v>
      </c>
      <c r="B6445" s="13" t="s">
        <v>1487</v>
      </c>
      <c r="C6445" s="13" t="s">
        <v>2533</v>
      </c>
      <c r="D6445" s="15">
        <v>2.0</v>
      </c>
      <c r="E6445" s="67">
        <f t="shared" si="18"/>
        <v>500</v>
      </c>
      <c r="F6445" s="67" t="str">
        <f t="shared" si="12"/>
        <v>2 LeadGen Set Appointments</v>
      </c>
    </row>
    <row r="6446" hidden="1">
      <c r="A6446" s="6" t="s">
        <v>79</v>
      </c>
      <c r="B6446" s="13" t="s">
        <v>2016</v>
      </c>
      <c r="C6446" s="13" t="s">
        <v>2017</v>
      </c>
      <c r="D6446" s="15">
        <v>2.0</v>
      </c>
      <c r="E6446" s="67">
        <f t="shared" si="18"/>
        <v>500</v>
      </c>
      <c r="F6446" s="67" t="str">
        <f t="shared" si="12"/>
        <v>2 LeadGen Set Appointments</v>
      </c>
    </row>
    <row r="6447" hidden="1">
      <c r="A6447" s="6" t="s">
        <v>79</v>
      </c>
      <c r="B6447" s="13" t="s">
        <v>2236</v>
      </c>
      <c r="C6447" s="13" t="s">
        <v>2237</v>
      </c>
      <c r="D6447" s="15">
        <v>2.0</v>
      </c>
      <c r="E6447" s="67">
        <f t="shared" si="18"/>
        <v>500</v>
      </c>
      <c r="F6447" s="67" t="str">
        <f t="shared" si="12"/>
        <v>2 LeadGen Set Appointments</v>
      </c>
    </row>
    <row r="6448" hidden="1">
      <c r="A6448" s="6" t="s">
        <v>79</v>
      </c>
      <c r="B6448" s="13" t="s">
        <v>2290</v>
      </c>
      <c r="C6448" s="13" t="s">
        <v>2291</v>
      </c>
      <c r="D6448" s="15">
        <v>2.0</v>
      </c>
      <c r="E6448" s="67">
        <f t="shared" si="18"/>
        <v>500</v>
      </c>
      <c r="F6448" s="67" t="str">
        <f t="shared" si="12"/>
        <v>2 LeadGen Set Appointments</v>
      </c>
    </row>
    <row r="6449" hidden="1">
      <c r="A6449" s="6" t="s">
        <v>79</v>
      </c>
      <c r="B6449" s="13" t="s">
        <v>2475</v>
      </c>
      <c r="C6449" s="13" t="s">
        <v>2476</v>
      </c>
      <c r="D6449" s="15">
        <v>2.0</v>
      </c>
      <c r="E6449" s="67">
        <f t="shared" si="18"/>
        <v>500</v>
      </c>
      <c r="F6449" s="67" t="str">
        <f t="shared" si="12"/>
        <v>2 LeadGen Set Appointments</v>
      </c>
    </row>
    <row r="6450" hidden="1">
      <c r="A6450" s="6" t="s">
        <v>79</v>
      </c>
      <c r="B6450" s="13" t="s">
        <v>1897</v>
      </c>
      <c r="C6450" s="13" t="s">
        <v>2460</v>
      </c>
      <c r="D6450" s="15">
        <v>2.0</v>
      </c>
      <c r="E6450" s="67">
        <f t="shared" si="18"/>
        <v>500</v>
      </c>
      <c r="F6450" s="67" t="str">
        <f t="shared" si="12"/>
        <v>2 LeadGen Set Appointments</v>
      </c>
    </row>
    <row r="6451" hidden="1">
      <c r="A6451" s="6" t="s">
        <v>79</v>
      </c>
      <c r="B6451" s="13" t="s">
        <v>2534</v>
      </c>
      <c r="C6451" s="13" t="s">
        <v>2535</v>
      </c>
      <c r="D6451" s="15">
        <v>2.0</v>
      </c>
      <c r="E6451" s="67">
        <f t="shared" si="18"/>
        <v>500</v>
      </c>
      <c r="F6451" s="67" t="str">
        <f t="shared" si="12"/>
        <v>2 LeadGen Set Appointments</v>
      </c>
    </row>
    <row r="6452" hidden="1">
      <c r="A6452" s="6" t="s">
        <v>79</v>
      </c>
      <c r="B6452" s="13" t="s">
        <v>2397</v>
      </c>
      <c r="C6452" s="13" t="s">
        <v>2398</v>
      </c>
      <c r="D6452" s="15">
        <v>1.0</v>
      </c>
      <c r="E6452" s="67">
        <f t="shared" si="18"/>
        <v>250</v>
      </c>
      <c r="F6452" s="67" t="str">
        <f t="shared" si="12"/>
        <v>1 LeadGen Set Appointments</v>
      </c>
    </row>
    <row r="6453" hidden="1">
      <c r="A6453" s="6" t="s">
        <v>79</v>
      </c>
      <c r="B6453" s="13" t="s">
        <v>447</v>
      </c>
      <c r="C6453" s="13" t="s">
        <v>448</v>
      </c>
      <c r="D6453" s="15">
        <v>1.0</v>
      </c>
      <c r="E6453" s="67">
        <f t="shared" si="18"/>
        <v>250</v>
      </c>
      <c r="F6453" s="67" t="str">
        <f t="shared" si="12"/>
        <v>1 LeadGen Set Appointments</v>
      </c>
    </row>
    <row r="6454" hidden="1">
      <c r="A6454" s="6" t="s">
        <v>79</v>
      </c>
      <c r="B6454" s="13" t="s">
        <v>606</v>
      </c>
      <c r="C6454" s="13" t="s">
        <v>607</v>
      </c>
      <c r="D6454" s="15">
        <v>1.0</v>
      </c>
      <c r="E6454" s="67">
        <f t="shared" si="18"/>
        <v>250</v>
      </c>
      <c r="F6454" s="67" t="str">
        <f t="shared" si="12"/>
        <v>1 LeadGen Set Appointments</v>
      </c>
    </row>
    <row r="6455" hidden="1">
      <c r="A6455" s="6" t="s">
        <v>79</v>
      </c>
      <c r="B6455" s="13" t="s">
        <v>2471</v>
      </c>
      <c r="C6455" s="13" t="s">
        <v>2472</v>
      </c>
      <c r="D6455" s="15">
        <v>1.0</v>
      </c>
      <c r="E6455" s="67">
        <f t="shared" si="18"/>
        <v>250</v>
      </c>
      <c r="F6455" s="67" t="str">
        <f t="shared" si="12"/>
        <v>1 LeadGen Set Appointments</v>
      </c>
    </row>
    <row r="6456" hidden="1">
      <c r="A6456" s="6" t="s">
        <v>79</v>
      </c>
      <c r="B6456" s="13" t="s">
        <v>2536</v>
      </c>
      <c r="C6456" s="13" t="s">
        <v>2537</v>
      </c>
      <c r="D6456" s="15">
        <v>1.0</v>
      </c>
      <c r="E6456" s="67">
        <f t="shared" si="18"/>
        <v>250</v>
      </c>
      <c r="F6456" s="67" t="str">
        <f t="shared" si="12"/>
        <v>1 LeadGen Set Appointments</v>
      </c>
    </row>
    <row r="6457" hidden="1">
      <c r="A6457" s="6" t="s">
        <v>79</v>
      </c>
      <c r="B6457" s="13" t="s">
        <v>2373</v>
      </c>
      <c r="C6457" s="13" t="s">
        <v>2374</v>
      </c>
      <c r="D6457" s="15">
        <v>1.0</v>
      </c>
      <c r="E6457" s="67">
        <f t="shared" si="18"/>
        <v>250</v>
      </c>
      <c r="F6457" s="67" t="str">
        <f t="shared" si="12"/>
        <v>1 LeadGen Set Appointments</v>
      </c>
    </row>
    <row r="6458" hidden="1">
      <c r="A6458" s="6" t="s">
        <v>79</v>
      </c>
      <c r="B6458" s="13" t="s">
        <v>2538</v>
      </c>
      <c r="C6458" s="13" t="s">
        <v>2539</v>
      </c>
      <c r="D6458" s="15">
        <v>1.0</v>
      </c>
      <c r="E6458" s="67">
        <f t="shared" si="18"/>
        <v>250</v>
      </c>
      <c r="F6458" s="67" t="str">
        <f t="shared" si="12"/>
        <v>1 LeadGen Set Appointments</v>
      </c>
    </row>
    <row r="6459" hidden="1">
      <c r="A6459" s="6" t="s">
        <v>79</v>
      </c>
      <c r="B6459" s="13" t="s">
        <v>1545</v>
      </c>
      <c r="C6459" s="13" t="s">
        <v>1546</v>
      </c>
      <c r="D6459" s="15">
        <v>1.0</v>
      </c>
      <c r="E6459" s="67">
        <f t="shared" si="18"/>
        <v>250</v>
      </c>
      <c r="F6459" s="67" t="str">
        <f t="shared" si="12"/>
        <v>1 LeadGen Set Appointments</v>
      </c>
    </row>
    <row r="6460" hidden="1">
      <c r="A6460" s="6" t="s">
        <v>79</v>
      </c>
      <c r="B6460" s="13" t="s">
        <v>2540</v>
      </c>
      <c r="C6460" s="13" t="s">
        <v>2541</v>
      </c>
      <c r="D6460" s="15">
        <v>1.0</v>
      </c>
      <c r="E6460" s="67">
        <f t="shared" si="18"/>
        <v>250</v>
      </c>
      <c r="F6460" s="67" t="str">
        <f t="shared" si="12"/>
        <v>1 LeadGen Set Appointments</v>
      </c>
    </row>
    <row r="6461" hidden="1">
      <c r="A6461" s="6" t="s">
        <v>79</v>
      </c>
      <c r="B6461" s="13" t="s">
        <v>2454</v>
      </c>
      <c r="C6461" s="13" t="s">
        <v>2455</v>
      </c>
      <c r="D6461" s="15">
        <v>1.0</v>
      </c>
      <c r="E6461" s="67">
        <f t="shared" si="18"/>
        <v>250</v>
      </c>
      <c r="F6461" s="67" t="str">
        <f t="shared" si="12"/>
        <v>1 LeadGen Set Appointments</v>
      </c>
    </row>
    <row r="6462" hidden="1">
      <c r="A6462" s="6" t="s">
        <v>79</v>
      </c>
      <c r="B6462" s="13" t="s">
        <v>2542</v>
      </c>
      <c r="C6462" s="13" t="s">
        <v>2543</v>
      </c>
      <c r="D6462" s="15">
        <v>1.0</v>
      </c>
      <c r="E6462" s="67">
        <f t="shared" si="18"/>
        <v>250</v>
      </c>
      <c r="F6462" s="67" t="str">
        <f t="shared" si="12"/>
        <v>1 LeadGen Set Appointments</v>
      </c>
    </row>
    <row r="6463" hidden="1">
      <c r="A6463" s="6" t="s">
        <v>79</v>
      </c>
      <c r="B6463" s="13" t="s">
        <v>2515</v>
      </c>
      <c r="C6463" s="13" t="s">
        <v>2516</v>
      </c>
      <c r="D6463" s="15">
        <v>1.0</v>
      </c>
      <c r="E6463" s="67">
        <f t="shared" si="18"/>
        <v>250</v>
      </c>
      <c r="F6463" s="67" t="str">
        <f t="shared" si="12"/>
        <v>1 LeadGen Set Appointments</v>
      </c>
    </row>
    <row r="6464" hidden="1">
      <c r="A6464" s="6" t="s">
        <v>79</v>
      </c>
      <c r="B6464" s="13" t="s">
        <v>2405</v>
      </c>
      <c r="C6464" s="13" t="s">
        <v>2406</v>
      </c>
      <c r="D6464" s="15">
        <v>1.0</v>
      </c>
      <c r="E6464" s="67">
        <f t="shared" si="18"/>
        <v>250</v>
      </c>
      <c r="F6464" s="67" t="str">
        <f t="shared" si="12"/>
        <v>1 LeadGen Set Appointments</v>
      </c>
    </row>
    <row r="6465" hidden="1">
      <c r="A6465" s="6" t="s">
        <v>79</v>
      </c>
      <c r="B6465" s="13" t="s">
        <v>2544</v>
      </c>
      <c r="C6465" s="13" t="s">
        <v>2545</v>
      </c>
      <c r="D6465" s="15">
        <v>1.0</v>
      </c>
      <c r="E6465" s="67">
        <f t="shared" si="18"/>
        <v>250</v>
      </c>
      <c r="F6465" s="67" t="str">
        <f t="shared" si="12"/>
        <v>1 LeadGen Set Appointments</v>
      </c>
    </row>
    <row r="6466" hidden="1">
      <c r="A6466" s="6" t="s">
        <v>79</v>
      </c>
      <c r="B6466" s="13" t="s">
        <v>2546</v>
      </c>
      <c r="C6466" s="13" t="s">
        <v>2547</v>
      </c>
      <c r="D6466" s="15">
        <v>1.0</v>
      </c>
      <c r="E6466" s="67">
        <f t="shared" si="18"/>
        <v>250</v>
      </c>
      <c r="F6466" s="67" t="str">
        <f t="shared" si="12"/>
        <v>1 LeadGen Set Appointments</v>
      </c>
    </row>
    <row r="6467" hidden="1">
      <c r="A6467" s="6" t="s">
        <v>79</v>
      </c>
      <c r="B6467" s="13" t="s">
        <v>2461</v>
      </c>
      <c r="C6467" s="13" t="s">
        <v>2462</v>
      </c>
      <c r="D6467" s="15">
        <v>1.0</v>
      </c>
      <c r="E6467" s="67">
        <f t="shared" si="18"/>
        <v>250</v>
      </c>
      <c r="F6467" s="67" t="str">
        <f t="shared" si="12"/>
        <v>1 LeadGen Set Appointments</v>
      </c>
    </row>
    <row r="6468" hidden="1">
      <c r="A6468" s="6" t="s">
        <v>79</v>
      </c>
      <c r="B6468" s="13" t="s">
        <v>2463</v>
      </c>
      <c r="C6468" s="13" t="s">
        <v>2464</v>
      </c>
      <c r="D6468" s="15">
        <v>1.0</v>
      </c>
      <c r="E6468" s="67">
        <f t="shared" si="18"/>
        <v>250</v>
      </c>
      <c r="F6468" s="67" t="str">
        <f t="shared" si="12"/>
        <v>1 LeadGen Set Appointments</v>
      </c>
    </row>
    <row r="6469" hidden="1">
      <c r="A6469" s="6" t="s">
        <v>79</v>
      </c>
      <c r="B6469" s="13" t="s">
        <v>1925</v>
      </c>
      <c r="C6469" s="13" t="s">
        <v>35</v>
      </c>
      <c r="D6469" s="15">
        <v>9.0</v>
      </c>
      <c r="E6469" s="67">
        <f t="shared" si="18"/>
        <v>2250</v>
      </c>
      <c r="F6469" s="67" t="str">
        <f t="shared" si="12"/>
        <v>9 LeadGen Set Appointments</v>
      </c>
    </row>
    <row r="6470" hidden="1">
      <c r="A6470" s="6" t="s">
        <v>79</v>
      </c>
      <c r="B6470" s="13" t="s">
        <v>2548</v>
      </c>
      <c r="C6470" s="13" t="s">
        <v>2549</v>
      </c>
      <c r="D6470" s="15">
        <v>4.0</v>
      </c>
      <c r="E6470" s="67">
        <f t="shared" si="18"/>
        <v>1000</v>
      </c>
      <c r="F6470" s="67" t="str">
        <f t="shared" si="12"/>
        <v>4 LeadGen Set Appointments</v>
      </c>
    </row>
    <row r="6471" hidden="1">
      <c r="A6471" s="6" t="s">
        <v>79</v>
      </c>
      <c r="B6471" s="13" t="s">
        <v>2155</v>
      </c>
      <c r="C6471" s="13" t="s">
        <v>2214</v>
      </c>
      <c r="D6471" s="15">
        <v>2.0</v>
      </c>
      <c r="E6471" s="67">
        <f t="shared" si="18"/>
        <v>500</v>
      </c>
      <c r="F6471" s="67" t="str">
        <f t="shared" si="12"/>
        <v>2 LeadGen Set Appointments</v>
      </c>
    </row>
    <row r="6472" hidden="1">
      <c r="A6472" s="6" t="s">
        <v>79</v>
      </c>
      <c r="B6472" s="13" t="s">
        <v>302</v>
      </c>
      <c r="C6472" s="13" t="s">
        <v>2110</v>
      </c>
      <c r="D6472" s="15">
        <v>7.0</v>
      </c>
      <c r="E6472" s="67">
        <f t="shared" si="18"/>
        <v>1750</v>
      </c>
      <c r="F6472" s="67" t="str">
        <f t="shared" si="12"/>
        <v>7 LeadGen Set Appointments</v>
      </c>
    </row>
    <row r="6473" hidden="1">
      <c r="A6473" s="6" t="s">
        <v>79</v>
      </c>
      <c r="B6473" s="13" t="s">
        <v>2550</v>
      </c>
      <c r="C6473" s="13" t="s">
        <v>2551</v>
      </c>
      <c r="D6473" s="15">
        <v>2.0</v>
      </c>
      <c r="E6473" s="67">
        <f t="shared" si="18"/>
        <v>500</v>
      </c>
      <c r="F6473" s="67" t="str">
        <f t="shared" si="12"/>
        <v>2 LeadGen Set Appointments</v>
      </c>
    </row>
    <row r="6474" hidden="1">
      <c r="A6474" s="6" t="s">
        <v>79</v>
      </c>
      <c r="B6474" s="13" t="s">
        <v>305</v>
      </c>
      <c r="C6474" s="13" t="s">
        <v>2552</v>
      </c>
      <c r="D6474" s="15">
        <v>5.0</v>
      </c>
      <c r="E6474" s="67">
        <f t="shared" si="18"/>
        <v>1250</v>
      </c>
      <c r="F6474" s="67" t="str">
        <f t="shared" si="12"/>
        <v>5 LeadGen Set Appointments</v>
      </c>
    </row>
    <row r="6475" hidden="1">
      <c r="A6475" s="6" t="s">
        <v>79</v>
      </c>
      <c r="B6475" s="13" t="s">
        <v>273</v>
      </c>
      <c r="C6475" s="13" t="s">
        <v>274</v>
      </c>
      <c r="D6475" s="15">
        <v>2.0</v>
      </c>
      <c r="E6475" s="67">
        <f t="shared" si="18"/>
        <v>500</v>
      </c>
      <c r="F6475" s="67" t="str">
        <f t="shared" si="12"/>
        <v>2 LeadGen Set Appointments</v>
      </c>
    </row>
    <row r="6476" hidden="1">
      <c r="A6476" s="6" t="s">
        <v>81</v>
      </c>
      <c r="B6476" s="13" t="s">
        <v>476</v>
      </c>
      <c r="C6476" s="13" t="s">
        <v>477</v>
      </c>
      <c r="D6476" s="15">
        <v>29.0</v>
      </c>
      <c r="E6476" s="67">
        <f t="shared" si="18"/>
        <v>14500</v>
      </c>
      <c r="F6476" s="67" t="str">
        <f t="shared" si="12"/>
        <v>29 LeadGen Set Appointments</v>
      </c>
    </row>
    <row r="6477" hidden="1">
      <c r="A6477" s="6" t="s">
        <v>81</v>
      </c>
      <c r="B6477" s="13" t="s">
        <v>723</v>
      </c>
      <c r="C6477" s="13" t="s">
        <v>724</v>
      </c>
      <c r="D6477" s="15">
        <v>24.0</v>
      </c>
      <c r="E6477" s="67">
        <f t="shared" si="18"/>
        <v>12000</v>
      </c>
      <c r="F6477" s="67" t="str">
        <f t="shared" si="12"/>
        <v>24 LeadGen Set Appointments</v>
      </c>
    </row>
    <row r="6478" hidden="1">
      <c r="A6478" s="6" t="s">
        <v>81</v>
      </c>
      <c r="B6478" s="13" t="s">
        <v>540</v>
      </c>
      <c r="C6478" s="13" t="s">
        <v>541</v>
      </c>
      <c r="D6478" s="15">
        <v>23.0</v>
      </c>
      <c r="E6478" s="67">
        <f t="shared" si="18"/>
        <v>11500</v>
      </c>
      <c r="F6478" s="67" t="str">
        <f t="shared" si="12"/>
        <v>23 LeadGen Set Appointments</v>
      </c>
    </row>
    <row r="6479" hidden="1">
      <c r="A6479" s="6" t="s">
        <v>81</v>
      </c>
      <c r="B6479" s="13" t="s">
        <v>746</v>
      </c>
      <c r="C6479" s="13" t="s">
        <v>747</v>
      </c>
      <c r="D6479" s="15">
        <v>21.0</v>
      </c>
      <c r="E6479" s="67">
        <f t="shared" si="18"/>
        <v>10500</v>
      </c>
      <c r="F6479" s="67" t="str">
        <f t="shared" si="12"/>
        <v>21 LeadGen Set Appointments</v>
      </c>
    </row>
    <row r="6480" hidden="1">
      <c r="A6480" s="6" t="s">
        <v>81</v>
      </c>
      <c r="B6480" s="13" t="s">
        <v>640</v>
      </c>
      <c r="C6480" s="13" t="s">
        <v>641</v>
      </c>
      <c r="D6480" s="15">
        <v>14.0</v>
      </c>
      <c r="E6480" s="67">
        <f t="shared" si="18"/>
        <v>7000</v>
      </c>
      <c r="F6480" s="67" t="str">
        <f t="shared" si="12"/>
        <v>14 LeadGen Set Appointments</v>
      </c>
    </row>
    <row r="6481" hidden="1">
      <c r="A6481" s="6" t="s">
        <v>81</v>
      </c>
      <c r="B6481" s="13" t="s">
        <v>516</v>
      </c>
      <c r="C6481" s="13" t="s">
        <v>517</v>
      </c>
      <c r="D6481" s="15">
        <v>14.0</v>
      </c>
      <c r="E6481" s="67">
        <f t="shared" si="18"/>
        <v>7000</v>
      </c>
      <c r="F6481" s="67" t="str">
        <f t="shared" si="12"/>
        <v>14 LeadGen Set Appointments</v>
      </c>
    </row>
    <row r="6482" hidden="1">
      <c r="A6482" s="6" t="s">
        <v>81</v>
      </c>
      <c r="B6482" s="13" t="s">
        <v>1865</v>
      </c>
      <c r="C6482" s="13" t="s">
        <v>1866</v>
      </c>
      <c r="D6482" s="15">
        <v>14.0</v>
      </c>
      <c r="E6482" s="67">
        <f t="shared" si="18"/>
        <v>7000</v>
      </c>
      <c r="F6482" s="67" t="str">
        <f t="shared" si="12"/>
        <v>14 LeadGen Set Appointments</v>
      </c>
    </row>
    <row r="6483" hidden="1">
      <c r="A6483" s="6" t="s">
        <v>81</v>
      </c>
      <c r="B6483" s="13" t="s">
        <v>435</v>
      </c>
      <c r="C6483" s="13" t="s">
        <v>436</v>
      </c>
      <c r="D6483" s="15">
        <v>14.0</v>
      </c>
      <c r="E6483" s="67">
        <f t="shared" si="18"/>
        <v>7000</v>
      </c>
      <c r="F6483" s="67" t="str">
        <f t="shared" si="12"/>
        <v>14 LeadGen Set Appointments</v>
      </c>
    </row>
    <row r="6484" hidden="1">
      <c r="A6484" s="6" t="s">
        <v>81</v>
      </c>
      <c r="B6484" s="13" t="s">
        <v>1471</v>
      </c>
      <c r="C6484" s="13" t="s">
        <v>1472</v>
      </c>
      <c r="D6484" s="15">
        <v>13.0</v>
      </c>
      <c r="E6484" s="67">
        <f t="shared" si="18"/>
        <v>6500</v>
      </c>
      <c r="F6484" s="67" t="str">
        <f t="shared" si="12"/>
        <v>13 LeadGen Set Appointments</v>
      </c>
    </row>
    <row r="6485" hidden="1">
      <c r="A6485" s="6" t="s">
        <v>81</v>
      </c>
      <c r="B6485" s="13" t="s">
        <v>1415</v>
      </c>
      <c r="C6485" s="13" t="s">
        <v>1416</v>
      </c>
      <c r="D6485" s="15">
        <v>12.0</v>
      </c>
      <c r="E6485" s="67">
        <f t="shared" si="18"/>
        <v>6000</v>
      </c>
      <c r="F6485" s="67" t="str">
        <f t="shared" si="12"/>
        <v>12 LeadGen Set Appointments</v>
      </c>
    </row>
    <row r="6486" hidden="1">
      <c r="A6486" s="6" t="s">
        <v>81</v>
      </c>
      <c r="B6486" s="13" t="s">
        <v>486</v>
      </c>
      <c r="C6486" s="13" t="s">
        <v>487</v>
      </c>
      <c r="D6486" s="15">
        <v>12.0</v>
      </c>
      <c r="E6486" s="67">
        <f t="shared" si="18"/>
        <v>6000</v>
      </c>
      <c r="F6486" s="67" t="str">
        <f t="shared" si="12"/>
        <v>12 LeadGen Set Appointments</v>
      </c>
    </row>
    <row r="6487" hidden="1">
      <c r="A6487" s="6" t="s">
        <v>81</v>
      </c>
      <c r="B6487" s="13" t="s">
        <v>644</v>
      </c>
      <c r="C6487" s="13" t="s">
        <v>645</v>
      </c>
      <c r="D6487" s="15">
        <v>12.0</v>
      </c>
      <c r="E6487" s="67">
        <f t="shared" si="18"/>
        <v>6000</v>
      </c>
      <c r="F6487" s="67" t="str">
        <f t="shared" si="12"/>
        <v>12 LeadGen Set Appointments</v>
      </c>
    </row>
    <row r="6488" hidden="1">
      <c r="A6488" s="6" t="s">
        <v>81</v>
      </c>
      <c r="B6488" s="13" t="s">
        <v>1891</v>
      </c>
      <c r="C6488" s="13" t="s">
        <v>1892</v>
      </c>
      <c r="D6488" s="15">
        <v>12.0</v>
      </c>
      <c r="E6488" s="67">
        <f t="shared" si="18"/>
        <v>6000</v>
      </c>
      <c r="F6488" s="67" t="str">
        <f t="shared" si="12"/>
        <v>12 LeadGen Set Appointments</v>
      </c>
    </row>
    <row r="6489" hidden="1">
      <c r="A6489" s="6" t="s">
        <v>81</v>
      </c>
      <c r="B6489" s="13" t="s">
        <v>2212</v>
      </c>
      <c r="C6489" s="13" t="s">
        <v>2213</v>
      </c>
      <c r="D6489" s="15">
        <v>11.0</v>
      </c>
      <c r="E6489" s="67">
        <f t="shared" si="18"/>
        <v>5500</v>
      </c>
      <c r="F6489" s="67" t="str">
        <f t="shared" si="12"/>
        <v>11 LeadGen Set Appointments</v>
      </c>
    </row>
    <row r="6490" hidden="1">
      <c r="A6490" s="6" t="s">
        <v>81</v>
      </c>
      <c r="B6490" s="13" t="s">
        <v>1461</v>
      </c>
      <c r="C6490" s="13" t="s">
        <v>1462</v>
      </c>
      <c r="D6490" s="15">
        <v>11.0</v>
      </c>
      <c r="E6490" s="67">
        <f t="shared" si="18"/>
        <v>5500</v>
      </c>
      <c r="F6490" s="67" t="str">
        <f t="shared" si="12"/>
        <v>11 LeadGen Set Appointments</v>
      </c>
    </row>
    <row r="6491" hidden="1">
      <c r="A6491" s="6" t="s">
        <v>81</v>
      </c>
      <c r="B6491" s="13" t="s">
        <v>1426</v>
      </c>
      <c r="C6491" s="13" t="s">
        <v>1427</v>
      </c>
      <c r="D6491" s="15">
        <v>11.0</v>
      </c>
      <c r="E6491" s="67">
        <f t="shared" si="18"/>
        <v>5500</v>
      </c>
      <c r="F6491" s="67" t="str">
        <f t="shared" si="12"/>
        <v>11 LeadGen Set Appointments</v>
      </c>
    </row>
    <row r="6492" hidden="1">
      <c r="A6492" s="6" t="s">
        <v>81</v>
      </c>
      <c r="B6492" s="13" t="s">
        <v>1489</v>
      </c>
      <c r="C6492" s="13" t="s">
        <v>1490</v>
      </c>
      <c r="D6492" s="15">
        <v>11.0</v>
      </c>
      <c r="E6492" s="67">
        <f t="shared" si="18"/>
        <v>5500</v>
      </c>
      <c r="F6492" s="67" t="str">
        <f t="shared" si="12"/>
        <v>11 LeadGen Set Appointments</v>
      </c>
    </row>
    <row r="6493" hidden="1">
      <c r="A6493" s="6" t="s">
        <v>81</v>
      </c>
      <c r="B6493" s="13" t="s">
        <v>411</v>
      </c>
      <c r="C6493" s="13" t="s">
        <v>412</v>
      </c>
      <c r="D6493" s="15">
        <v>11.0</v>
      </c>
      <c r="E6493" s="67">
        <f t="shared" si="18"/>
        <v>5500</v>
      </c>
      <c r="F6493" s="67" t="str">
        <f t="shared" si="12"/>
        <v>11 LeadGen Set Appointments</v>
      </c>
    </row>
    <row r="6494" hidden="1">
      <c r="A6494" s="6" t="s">
        <v>81</v>
      </c>
      <c r="B6494" s="13" t="s">
        <v>736</v>
      </c>
      <c r="C6494" s="13" t="s">
        <v>737</v>
      </c>
      <c r="D6494" s="15">
        <v>10.0</v>
      </c>
      <c r="E6494" s="67">
        <f t="shared" si="18"/>
        <v>5000</v>
      </c>
      <c r="F6494" s="67" t="str">
        <f t="shared" si="12"/>
        <v>10 LeadGen Set Appointments</v>
      </c>
    </row>
    <row r="6495" hidden="1">
      <c r="A6495" s="6" t="s">
        <v>81</v>
      </c>
      <c r="B6495" s="13" t="s">
        <v>1408</v>
      </c>
      <c r="C6495" s="13" t="s">
        <v>675</v>
      </c>
      <c r="D6495" s="15">
        <v>10.0</v>
      </c>
      <c r="E6495" s="67">
        <f t="shared" si="18"/>
        <v>5000</v>
      </c>
      <c r="F6495" s="67" t="str">
        <f t="shared" si="12"/>
        <v>10 LeadGen Set Appointments</v>
      </c>
    </row>
    <row r="6496" hidden="1">
      <c r="A6496" s="6" t="s">
        <v>81</v>
      </c>
      <c r="B6496" s="13" t="s">
        <v>2276</v>
      </c>
      <c r="C6496" s="13" t="s">
        <v>2277</v>
      </c>
      <c r="D6496" s="15">
        <v>10.0</v>
      </c>
      <c r="E6496" s="67">
        <f t="shared" si="18"/>
        <v>5000</v>
      </c>
      <c r="F6496" s="67" t="str">
        <f t="shared" si="12"/>
        <v>10 LeadGen Set Appointments</v>
      </c>
    </row>
    <row r="6497" hidden="1">
      <c r="A6497" s="6" t="s">
        <v>81</v>
      </c>
      <c r="B6497" s="13" t="s">
        <v>502</v>
      </c>
      <c r="C6497" s="13" t="s">
        <v>503</v>
      </c>
      <c r="D6497" s="15">
        <v>10.0</v>
      </c>
      <c r="E6497" s="67">
        <f t="shared" si="18"/>
        <v>5000</v>
      </c>
      <c r="F6497" s="67" t="str">
        <f t="shared" si="12"/>
        <v>10 LeadGen Set Appointments</v>
      </c>
    </row>
    <row r="6498" hidden="1">
      <c r="A6498" s="6" t="s">
        <v>81</v>
      </c>
      <c r="B6498" s="13" t="s">
        <v>693</v>
      </c>
      <c r="C6498" s="13" t="s">
        <v>694</v>
      </c>
      <c r="D6498" s="15">
        <v>10.0</v>
      </c>
      <c r="E6498" s="67">
        <f t="shared" si="18"/>
        <v>5000</v>
      </c>
      <c r="F6498" s="67" t="str">
        <f t="shared" si="12"/>
        <v>10 LeadGen Set Appointments</v>
      </c>
    </row>
    <row r="6499" hidden="1">
      <c r="A6499" s="6" t="s">
        <v>81</v>
      </c>
      <c r="B6499" s="13" t="s">
        <v>443</v>
      </c>
      <c r="C6499" s="13" t="s">
        <v>444</v>
      </c>
      <c r="D6499" s="15">
        <v>10.0</v>
      </c>
      <c r="E6499" s="67">
        <f t="shared" si="18"/>
        <v>5000</v>
      </c>
      <c r="F6499" s="67" t="str">
        <f t="shared" si="12"/>
        <v>10 LeadGen Set Appointments</v>
      </c>
    </row>
    <row r="6500" hidden="1">
      <c r="A6500" s="6" t="s">
        <v>81</v>
      </c>
      <c r="B6500" s="13" t="s">
        <v>699</v>
      </c>
      <c r="C6500" s="13" t="s">
        <v>700</v>
      </c>
      <c r="D6500" s="15">
        <v>10.0</v>
      </c>
      <c r="E6500" s="67">
        <f t="shared" si="18"/>
        <v>5000</v>
      </c>
      <c r="F6500" s="67" t="str">
        <f t="shared" si="12"/>
        <v>10 LeadGen Set Appointments</v>
      </c>
    </row>
    <row r="6501" hidden="1">
      <c r="A6501" s="6" t="s">
        <v>81</v>
      </c>
      <c r="B6501" s="13" t="s">
        <v>532</v>
      </c>
      <c r="C6501" s="13" t="s">
        <v>533</v>
      </c>
      <c r="D6501" s="15">
        <v>10.0</v>
      </c>
      <c r="E6501" s="67">
        <f t="shared" si="18"/>
        <v>5000</v>
      </c>
      <c r="F6501" s="67" t="str">
        <f t="shared" si="12"/>
        <v>10 LeadGen Set Appointments</v>
      </c>
    </row>
    <row r="6502" hidden="1">
      <c r="A6502" s="6" t="s">
        <v>81</v>
      </c>
      <c r="B6502" s="13" t="s">
        <v>1700</v>
      </c>
      <c r="C6502" s="13" t="s">
        <v>1701</v>
      </c>
      <c r="D6502" s="15">
        <v>9.0</v>
      </c>
      <c r="E6502" s="67">
        <f t="shared" si="18"/>
        <v>2250</v>
      </c>
      <c r="F6502" s="67" t="str">
        <f t="shared" si="12"/>
        <v>9 LeadGen Set Appointments</v>
      </c>
    </row>
    <row r="6503" hidden="1">
      <c r="A6503" s="6" t="s">
        <v>81</v>
      </c>
      <c r="B6503" s="13" t="s">
        <v>1477</v>
      </c>
      <c r="C6503" s="13" t="s">
        <v>1478</v>
      </c>
      <c r="D6503" s="15">
        <v>9.0</v>
      </c>
      <c r="E6503" s="67">
        <f t="shared" si="18"/>
        <v>2250</v>
      </c>
      <c r="F6503" s="67" t="str">
        <f t="shared" si="12"/>
        <v>9 LeadGen Set Appointments</v>
      </c>
    </row>
    <row r="6504" hidden="1">
      <c r="A6504" s="6" t="s">
        <v>81</v>
      </c>
      <c r="B6504" s="13" t="s">
        <v>582</v>
      </c>
      <c r="C6504" s="13" t="s">
        <v>583</v>
      </c>
      <c r="D6504" s="15">
        <v>9.0</v>
      </c>
      <c r="E6504" s="67">
        <f t="shared" si="18"/>
        <v>2250</v>
      </c>
      <c r="F6504" s="67" t="str">
        <f t="shared" si="12"/>
        <v>9 LeadGen Set Appointments</v>
      </c>
    </row>
    <row r="6505" hidden="1">
      <c r="A6505" s="6" t="s">
        <v>81</v>
      </c>
      <c r="B6505" s="13" t="s">
        <v>656</v>
      </c>
      <c r="C6505" s="13" t="s">
        <v>657</v>
      </c>
      <c r="D6505" s="15">
        <v>9.0</v>
      </c>
      <c r="E6505" s="67">
        <f t="shared" si="18"/>
        <v>2250</v>
      </c>
      <c r="F6505" s="67" t="str">
        <f t="shared" si="12"/>
        <v>9 LeadGen Set Appointments</v>
      </c>
    </row>
    <row r="6506" hidden="1">
      <c r="A6506" s="6" t="s">
        <v>81</v>
      </c>
      <c r="B6506" s="13" t="s">
        <v>518</v>
      </c>
      <c r="C6506" s="13" t="s">
        <v>519</v>
      </c>
      <c r="D6506" s="15">
        <v>9.0</v>
      </c>
      <c r="E6506" s="67">
        <f t="shared" si="18"/>
        <v>2250</v>
      </c>
      <c r="F6506" s="67" t="str">
        <f t="shared" si="12"/>
        <v>9 LeadGen Set Appointments</v>
      </c>
    </row>
    <row r="6507" hidden="1">
      <c r="A6507" s="6" t="s">
        <v>81</v>
      </c>
      <c r="B6507" s="13" t="s">
        <v>510</v>
      </c>
      <c r="C6507" s="13" t="s">
        <v>511</v>
      </c>
      <c r="D6507" s="15">
        <v>9.0</v>
      </c>
      <c r="E6507" s="67">
        <f t="shared" si="18"/>
        <v>2250</v>
      </c>
      <c r="F6507" s="67" t="str">
        <f t="shared" si="12"/>
        <v>9 LeadGen Set Appointments</v>
      </c>
    </row>
    <row r="6508" hidden="1">
      <c r="A6508" s="6" t="s">
        <v>81</v>
      </c>
      <c r="B6508" s="13" t="s">
        <v>2220</v>
      </c>
      <c r="C6508" s="13" t="s">
        <v>2221</v>
      </c>
      <c r="D6508" s="15">
        <v>9.0</v>
      </c>
      <c r="E6508" s="67">
        <f t="shared" si="18"/>
        <v>2250</v>
      </c>
      <c r="F6508" s="67" t="str">
        <f t="shared" si="12"/>
        <v>9 LeadGen Set Appointments</v>
      </c>
    </row>
    <row r="6509" hidden="1">
      <c r="A6509" s="6" t="s">
        <v>81</v>
      </c>
      <c r="B6509" s="13" t="s">
        <v>1025</v>
      </c>
      <c r="C6509" s="13" t="s">
        <v>1026</v>
      </c>
      <c r="D6509" s="15">
        <v>9.0</v>
      </c>
      <c r="E6509" s="67">
        <f t="shared" si="18"/>
        <v>2250</v>
      </c>
      <c r="F6509" s="67" t="str">
        <f t="shared" si="12"/>
        <v>9 LeadGen Set Appointments</v>
      </c>
    </row>
    <row r="6510" hidden="1">
      <c r="A6510" s="6" t="s">
        <v>81</v>
      </c>
      <c r="B6510" s="13" t="s">
        <v>2389</v>
      </c>
      <c r="C6510" s="13" t="s">
        <v>2390</v>
      </c>
      <c r="D6510" s="15">
        <v>8.0</v>
      </c>
      <c r="E6510" s="67">
        <f t="shared" si="18"/>
        <v>2000</v>
      </c>
      <c r="F6510" s="67" t="str">
        <f t="shared" si="12"/>
        <v>8 LeadGen Set Appointments</v>
      </c>
    </row>
    <row r="6511" hidden="1">
      <c r="A6511" s="6" t="s">
        <v>81</v>
      </c>
      <c r="B6511" s="13" t="s">
        <v>500</v>
      </c>
      <c r="C6511" s="13" t="s">
        <v>501</v>
      </c>
      <c r="D6511" s="15">
        <v>8.0</v>
      </c>
      <c r="E6511" s="67">
        <f t="shared" si="18"/>
        <v>2000</v>
      </c>
      <c r="F6511" s="67" t="str">
        <f t="shared" si="12"/>
        <v>8 LeadGen Set Appointments</v>
      </c>
    </row>
    <row r="6512" hidden="1">
      <c r="A6512" s="6" t="s">
        <v>81</v>
      </c>
      <c r="B6512" s="13" t="s">
        <v>1774</v>
      </c>
      <c r="C6512" s="13" t="s">
        <v>1775</v>
      </c>
      <c r="D6512" s="15">
        <v>8.0</v>
      </c>
      <c r="E6512" s="67">
        <f t="shared" si="18"/>
        <v>2000</v>
      </c>
      <c r="F6512" s="67" t="str">
        <f t="shared" si="12"/>
        <v>8 LeadGen Set Appointments</v>
      </c>
    </row>
    <row r="6513" hidden="1">
      <c r="A6513" s="6" t="s">
        <v>81</v>
      </c>
      <c r="B6513" s="13" t="s">
        <v>1545</v>
      </c>
      <c r="C6513" s="13" t="s">
        <v>1546</v>
      </c>
      <c r="D6513" s="15">
        <v>8.0</v>
      </c>
      <c r="E6513" s="67">
        <f t="shared" si="18"/>
        <v>2000</v>
      </c>
      <c r="F6513" s="67" t="str">
        <f t="shared" si="12"/>
        <v>8 LeadGen Set Appointments</v>
      </c>
    </row>
    <row r="6514" hidden="1">
      <c r="A6514" s="6" t="s">
        <v>81</v>
      </c>
      <c r="B6514" s="13" t="s">
        <v>288</v>
      </c>
      <c r="C6514" s="13" t="s">
        <v>2375</v>
      </c>
      <c r="D6514" s="15">
        <v>8.0</v>
      </c>
      <c r="E6514" s="67">
        <f t="shared" si="18"/>
        <v>2000</v>
      </c>
      <c r="F6514" s="67" t="str">
        <f t="shared" si="12"/>
        <v>8 LeadGen Set Appointments</v>
      </c>
    </row>
    <row r="6515" hidden="1">
      <c r="A6515" s="6" t="s">
        <v>81</v>
      </c>
      <c r="B6515" s="13" t="s">
        <v>273</v>
      </c>
      <c r="C6515" s="13" t="s">
        <v>274</v>
      </c>
      <c r="D6515" s="15">
        <v>8.0</v>
      </c>
      <c r="E6515" s="67">
        <f t="shared" si="18"/>
        <v>2000</v>
      </c>
      <c r="F6515" s="67" t="str">
        <f t="shared" si="12"/>
        <v>8 LeadGen Set Appointments</v>
      </c>
    </row>
    <row r="6516" hidden="1">
      <c r="A6516" s="6" t="s">
        <v>81</v>
      </c>
      <c r="B6516" s="13" t="s">
        <v>590</v>
      </c>
      <c r="C6516" s="13" t="s">
        <v>591</v>
      </c>
      <c r="D6516" s="15">
        <v>8.0</v>
      </c>
      <c r="E6516" s="67">
        <f t="shared" si="18"/>
        <v>2000</v>
      </c>
      <c r="F6516" s="67" t="str">
        <f t="shared" si="12"/>
        <v>8 LeadGen Set Appointments</v>
      </c>
    </row>
    <row r="6517" hidden="1">
      <c r="A6517" s="6" t="s">
        <v>81</v>
      </c>
      <c r="B6517" s="13" t="s">
        <v>1333</v>
      </c>
      <c r="C6517" s="13" t="s">
        <v>551</v>
      </c>
      <c r="D6517" s="15">
        <v>8.0</v>
      </c>
      <c r="E6517" s="67">
        <f t="shared" si="18"/>
        <v>2000</v>
      </c>
      <c r="F6517" s="67" t="str">
        <f t="shared" si="12"/>
        <v>8 LeadGen Set Appointments</v>
      </c>
    </row>
    <row r="6518" hidden="1">
      <c r="A6518" s="6" t="s">
        <v>81</v>
      </c>
      <c r="B6518" s="13" t="s">
        <v>1493</v>
      </c>
      <c r="C6518" s="13" t="s">
        <v>1494</v>
      </c>
      <c r="D6518" s="15">
        <v>8.0</v>
      </c>
      <c r="E6518" s="67">
        <f t="shared" si="18"/>
        <v>2000</v>
      </c>
      <c r="F6518" s="67" t="str">
        <f t="shared" si="12"/>
        <v>8 LeadGen Set Appointments</v>
      </c>
    </row>
    <row r="6519" hidden="1">
      <c r="A6519" s="6" t="s">
        <v>81</v>
      </c>
      <c r="B6519" s="13" t="s">
        <v>624</v>
      </c>
      <c r="C6519" s="13" t="s">
        <v>625</v>
      </c>
      <c r="D6519" s="15">
        <v>8.0</v>
      </c>
      <c r="E6519" s="67">
        <f t="shared" si="18"/>
        <v>2000</v>
      </c>
      <c r="F6519" s="67" t="str">
        <f t="shared" si="12"/>
        <v>8 LeadGen Set Appointments</v>
      </c>
    </row>
    <row r="6520" hidden="1">
      <c r="A6520" s="6" t="s">
        <v>81</v>
      </c>
      <c r="B6520" s="13" t="s">
        <v>2548</v>
      </c>
      <c r="C6520" s="13" t="s">
        <v>2549</v>
      </c>
      <c r="D6520" s="15">
        <v>7.0</v>
      </c>
      <c r="E6520" s="67">
        <f t="shared" si="18"/>
        <v>1750</v>
      </c>
      <c r="F6520" s="67" t="str">
        <f t="shared" si="12"/>
        <v>7 LeadGen Set Appointments</v>
      </c>
    </row>
    <row r="6521" hidden="1">
      <c r="A6521" s="6" t="s">
        <v>81</v>
      </c>
      <c r="B6521" s="13" t="s">
        <v>1011</v>
      </c>
      <c r="C6521" s="13" t="s">
        <v>2483</v>
      </c>
      <c r="D6521" s="15">
        <v>7.0</v>
      </c>
      <c r="E6521" s="67">
        <f t="shared" si="18"/>
        <v>1750</v>
      </c>
      <c r="F6521" s="67" t="str">
        <f t="shared" si="12"/>
        <v>7 LeadGen Set Appointments</v>
      </c>
    </row>
    <row r="6522" hidden="1">
      <c r="A6522" s="6" t="s">
        <v>81</v>
      </c>
      <c r="B6522" s="13" t="s">
        <v>242</v>
      </c>
      <c r="C6522" s="13" t="s">
        <v>1887</v>
      </c>
      <c r="D6522" s="15">
        <v>7.0</v>
      </c>
      <c r="E6522" s="67">
        <f t="shared" si="18"/>
        <v>1750</v>
      </c>
      <c r="F6522" s="67" t="str">
        <f t="shared" si="12"/>
        <v>7 LeadGen Set Appointments</v>
      </c>
    </row>
    <row r="6523" hidden="1">
      <c r="A6523" s="6" t="s">
        <v>81</v>
      </c>
      <c r="B6523" s="13" t="s">
        <v>1039</v>
      </c>
      <c r="C6523" s="13" t="s">
        <v>1040</v>
      </c>
      <c r="D6523" s="15">
        <v>7.0</v>
      </c>
      <c r="E6523" s="67">
        <f t="shared" si="18"/>
        <v>1750</v>
      </c>
      <c r="F6523" s="67" t="str">
        <f t="shared" si="12"/>
        <v>7 LeadGen Set Appointments</v>
      </c>
    </row>
    <row r="6524" hidden="1">
      <c r="A6524" s="6" t="s">
        <v>81</v>
      </c>
      <c r="B6524" s="13" t="s">
        <v>2218</v>
      </c>
      <c r="C6524" s="13" t="s">
        <v>2219</v>
      </c>
      <c r="D6524" s="15">
        <v>7.0</v>
      </c>
      <c r="E6524" s="67">
        <f t="shared" si="18"/>
        <v>1750</v>
      </c>
      <c r="F6524" s="67" t="str">
        <f t="shared" si="12"/>
        <v>7 LeadGen Set Appointments</v>
      </c>
    </row>
    <row r="6525" hidden="1">
      <c r="A6525" s="6" t="s">
        <v>81</v>
      </c>
      <c r="B6525" s="13" t="s">
        <v>2450</v>
      </c>
      <c r="C6525" s="13" t="s">
        <v>2451</v>
      </c>
      <c r="D6525" s="15">
        <v>6.0</v>
      </c>
      <c r="E6525" s="67">
        <f t="shared" si="18"/>
        <v>1500</v>
      </c>
      <c r="F6525" s="67" t="str">
        <f t="shared" si="12"/>
        <v>6 LeadGen Set Appointments</v>
      </c>
    </row>
    <row r="6526" hidden="1">
      <c r="A6526" s="6" t="s">
        <v>81</v>
      </c>
      <c r="B6526" s="13" t="s">
        <v>1473</v>
      </c>
      <c r="C6526" s="13" t="s">
        <v>1474</v>
      </c>
      <c r="D6526" s="15">
        <v>6.0</v>
      </c>
      <c r="E6526" s="67">
        <f t="shared" si="18"/>
        <v>1500</v>
      </c>
      <c r="F6526" s="67" t="str">
        <f t="shared" si="12"/>
        <v>6 LeadGen Set Appointments</v>
      </c>
    </row>
    <row r="6527" hidden="1">
      <c r="A6527" s="6" t="s">
        <v>81</v>
      </c>
      <c r="B6527" s="13" t="s">
        <v>1547</v>
      </c>
      <c r="C6527" s="13" t="s">
        <v>1548</v>
      </c>
      <c r="D6527" s="15">
        <v>6.0</v>
      </c>
      <c r="E6527" s="67">
        <f t="shared" si="18"/>
        <v>1500</v>
      </c>
      <c r="F6527" s="67" t="str">
        <f t="shared" si="12"/>
        <v>6 LeadGen Set Appointments</v>
      </c>
    </row>
    <row r="6528" hidden="1">
      <c r="A6528" s="6" t="s">
        <v>81</v>
      </c>
      <c r="B6528" s="13" t="s">
        <v>1467</v>
      </c>
      <c r="C6528" s="13" t="s">
        <v>1468</v>
      </c>
      <c r="D6528" s="15">
        <v>6.0</v>
      </c>
      <c r="E6528" s="67">
        <f t="shared" si="18"/>
        <v>1500</v>
      </c>
      <c r="F6528" s="67" t="str">
        <f t="shared" si="12"/>
        <v>6 LeadGen Set Appointments</v>
      </c>
    </row>
    <row r="6529" hidden="1">
      <c r="A6529" s="6" t="s">
        <v>81</v>
      </c>
      <c r="B6529" s="13" t="s">
        <v>752</v>
      </c>
      <c r="C6529" s="13" t="s">
        <v>753</v>
      </c>
      <c r="D6529" s="15">
        <v>6.0</v>
      </c>
      <c r="E6529" s="67">
        <f t="shared" si="18"/>
        <v>1500</v>
      </c>
      <c r="F6529" s="67" t="str">
        <f t="shared" si="12"/>
        <v>6 LeadGen Set Appointments</v>
      </c>
    </row>
    <row r="6530" hidden="1">
      <c r="A6530" s="6" t="s">
        <v>81</v>
      </c>
      <c r="B6530" s="13" t="s">
        <v>1475</v>
      </c>
      <c r="C6530" s="13" t="s">
        <v>1476</v>
      </c>
      <c r="D6530" s="15">
        <v>6.0</v>
      </c>
      <c r="E6530" s="67">
        <f t="shared" si="18"/>
        <v>1500</v>
      </c>
      <c r="F6530" s="67" t="str">
        <f t="shared" si="12"/>
        <v>6 LeadGen Set Appointments</v>
      </c>
    </row>
    <row r="6531" hidden="1">
      <c r="A6531" s="6" t="s">
        <v>81</v>
      </c>
      <c r="B6531" s="13" t="s">
        <v>1583</v>
      </c>
      <c r="C6531" s="13" t="s">
        <v>1584</v>
      </c>
      <c r="D6531" s="15">
        <v>6.0</v>
      </c>
      <c r="E6531" s="67">
        <f t="shared" si="18"/>
        <v>1500</v>
      </c>
      <c r="F6531" s="67" t="str">
        <f t="shared" si="12"/>
        <v>6 LeadGen Set Appointments</v>
      </c>
    </row>
    <row r="6532" hidden="1">
      <c r="A6532" s="6" t="s">
        <v>81</v>
      </c>
      <c r="B6532" s="13" t="s">
        <v>2419</v>
      </c>
      <c r="C6532" s="13" t="s">
        <v>2420</v>
      </c>
      <c r="D6532" s="15">
        <v>6.0</v>
      </c>
      <c r="E6532" s="67">
        <f t="shared" si="18"/>
        <v>1500</v>
      </c>
      <c r="F6532" s="67" t="str">
        <f t="shared" si="12"/>
        <v>6 LeadGen Set Appointments</v>
      </c>
    </row>
    <row r="6533" hidden="1">
      <c r="A6533" s="6" t="s">
        <v>81</v>
      </c>
      <c r="B6533" s="13" t="s">
        <v>1334</v>
      </c>
      <c r="C6533" s="13" t="s">
        <v>553</v>
      </c>
      <c r="D6533" s="15">
        <v>6.0</v>
      </c>
      <c r="E6533" s="67">
        <f t="shared" si="18"/>
        <v>1500</v>
      </c>
      <c r="F6533" s="67" t="str">
        <f t="shared" si="12"/>
        <v>6 LeadGen Set Appointments</v>
      </c>
    </row>
    <row r="6534" hidden="1">
      <c r="A6534" s="6" t="s">
        <v>81</v>
      </c>
      <c r="B6534" s="13" t="s">
        <v>262</v>
      </c>
      <c r="C6534" s="13" t="s">
        <v>290</v>
      </c>
      <c r="D6534" s="15">
        <v>6.0</v>
      </c>
      <c r="E6534" s="67">
        <f t="shared" si="18"/>
        <v>1500</v>
      </c>
      <c r="F6534" s="67" t="str">
        <f t="shared" si="12"/>
        <v>6 LeadGen Set Appointments</v>
      </c>
    </row>
    <row r="6535" hidden="1">
      <c r="A6535" s="6" t="s">
        <v>81</v>
      </c>
      <c r="B6535" s="13" t="s">
        <v>1393</v>
      </c>
      <c r="C6535" s="13" t="s">
        <v>1394</v>
      </c>
      <c r="D6535" s="15">
        <v>6.0</v>
      </c>
      <c r="E6535" s="67">
        <f t="shared" si="18"/>
        <v>1500</v>
      </c>
      <c r="F6535" s="67" t="str">
        <f t="shared" si="12"/>
        <v>6 LeadGen Set Appointments</v>
      </c>
    </row>
    <row r="6536" hidden="1">
      <c r="A6536" s="6" t="s">
        <v>81</v>
      </c>
      <c r="B6536" s="13" t="s">
        <v>717</v>
      </c>
      <c r="C6536" s="13" t="s">
        <v>718</v>
      </c>
      <c r="D6536" s="15">
        <v>6.0</v>
      </c>
      <c r="E6536" s="67">
        <f t="shared" si="18"/>
        <v>1500</v>
      </c>
      <c r="F6536" s="67" t="str">
        <f t="shared" si="12"/>
        <v>6 LeadGen Set Appointments</v>
      </c>
    </row>
    <row r="6537" hidden="1">
      <c r="A6537" s="6" t="s">
        <v>81</v>
      </c>
      <c r="B6537" s="13" t="s">
        <v>2444</v>
      </c>
      <c r="C6537" s="13" t="s">
        <v>2445</v>
      </c>
      <c r="D6537" s="15">
        <v>6.0</v>
      </c>
      <c r="E6537" s="67">
        <f t="shared" si="18"/>
        <v>1500</v>
      </c>
      <c r="F6537" s="67" t="str">
        <f t="shared" si="12"/>
        <v>6 LeadGen Set Appointments</v>
      </c>
    </row>
    <row r="6538" hidden="1">
      <c r="A6538" s="6" t="s">
        <v>81</v>
      </c>
      <c r="B6538" s="13" t="s">
        <v>524</v>
      </c>
      <c r="C6538" s="13" t="s">
        <v>525</v>
      </c>
      <c r="D6538" s="15">
        <v>6.0</v>
      </c>
      <c r="E6538" s="67">
        <f t="shared" si="18"/>
        <v>1500</v>
      </c>
      <c r="F6538" s="67" t="str">
        <f t="shared" si="12"/>
        <v>6 LeadGen Set Appointments</v>
      </c>
    </row>
    <row r="6539" hidden="1">
      <c r="A6539" s="6" t="s">
        <v>81</v>
      </c>
      <c r="B6539" s="13" t="s">
        <v>2501</v>
      </c>
      <c r="C6539" s="13" t="s">
        <v>2502</v>
      </c>
      <c r="D6539" s="15">
        <v>6.0</v>
      </c>
      <c r="E6539" s="67">
        <f t="shared" si="18"/>
        <v>1500</v>
      </c>
      <c r="F6539" s="67" t="str">
        <f t="shared" si="12"/>
        <v>6 LeadGen Set Appointments</v>
      </c>
    </row>
    <row r="6540" hidden="1">
      <c r="A6540" s="6" t="s">
        <v>81</v>
      </c>
      <c r="B6540" s="13" t="s">
        <v>1825</v>
      </c>
      <c r="C6540" s="13" t="s">
        <v>2376</v>
      </c>
      <c r="D6540" s="15">
        <v>6.0</v>
      </c>
      <c r="E6540" s="67">
        <f t="shared" si="18"/>
        <v>1500</v>
      </c>
      <c r="F6540" s="67" t="str">
        <f t="shared" si="12"/>
        <v>6 LeadGen Set Appointments</v>
      </c>
    </row>
    <row r="6541" hidden="1">
      <c r="A6541" s="6" t="s">
        <v>81</v>
      </c>
      <c r="B6541" s="13" t="s">
        <v>1935</v>
      </c>
      <c r="C6541" s="13" t="s">
        <v>1936</v>
      </c>
      <c r="D6541" s="15">
        <v>6.0</v>
      </c>
      <c r="E6541" s="67">
        <f t="shared" si="18"/>
        <v>1500</v>
      </c>
      <c r="F6541" s="67" t="str">
        <f t="shared" si="12"/>
        <v>6 LeadGen Set Appointments</v>
      </c>
    </row>
    <row r="6542" hidden="1">
      <c r="A6542" s="6" t="s">
        <v>81</v>
      </c>
      <c r="B6542" s="13" t="s">
        <v>2423</v>
      </c>
      <c r="C6542" s="13" t="s">
        <v>2424</v>
      </c>
      <c r="D6542" s="15">
        <v>6.0</v>
      </c>
      <c r="E6542" s="67">
        <f t="shared" si="18"/>
        <v>1500</v>
      </c>
      <c r="F6542" s="67" t="str">
        <f t="shared" si="12"/>
        <v>6 LeadGen Set Appointments</v>
      </c>
    </row>
    <row r="6543" hidden="1">
      <c r="A6543" s="6" t="s">
        <v>81</v>
      </c>
      <c r="B6543" s="13" t="s">
        <v>910</v>
      </c>
      <c r="C6543" s="13" t="s">
        <v>911</v>
      </c>
      <c r="D6543" s="15">
        <v>6.0</v>
      </c>
      <c r="E6543" s="67">
        <f t="shared" si="18"/>
        <v>1500</v>
      </c>
      <c r="F6543" s="67" t="str">
        <f t="shared" si="12"/>
        <v>6 LeadGen Set Appointments</v>
      </c>
    </row>
    <row r="6544" hidden="1">
      <c r="A6544" s="6" t="s">
        <v>81</v>
      </c>
      <c r="B6544" s="13" t="s">
        <v>604</v>
      </c>
      <c r="C6544" s="13" t="s">
        <v>605</v>
      </c>
      <c r="D6544" s="15">
        <v>6.0</v>
      </c>
      <c r="E6544" s="67">
        <f t="shared" si="18"/>
        <v>1500</v>
      </c>
      <c r="F6544" s="67" t="str">
        <f t="shared" si="12"/>
        <v>6 LeadGen Set Appointments</v>
      </c>
    </row>
    <row r="6545" hidden="1">
      <c r="A6545" s="6" t="s">
        <v>81</v>
      </c>
      <c r="B6545" s="13" t="s">
        <v>2081</v>
      </c>
      <c r="C6545" s="13" t="s">
        <v>2082</v>
      </c>
      <c r="D6545" s="15">
        <v>6.0</v>
      </c>
      <c r="E6545" s="67">
        <f t="shared" si="18"/>
        <v>1500</v>
      </c>
      <c r="F6545" s="67" t="str">
        <f t="shared" si="12"/>
        <v>6 LeadGen Set Appointments</v>
      </c>
    </row>
    <row r="6546" hidden="1">
      <c r="A6546" s="6" t="s">
        <v>81</v>
      </c>
      <c r="B6546" s="13" t="s">
        <v>766</v>
      </c>
      <c r="C6546" s="13" t="s">
        <v>767</v>
      </c>
      <c r="D6546" s="15">
        <v>6.0</v>
      </c>
      <c r="E6546" s="67">
        <f t="shared" si="18"/>
        <v>1500</v>
      </c>
      <c r="F6546" s="67" t="str">
        <f t="shared" si="12"/>
        <v>6 LeadGen Set Appointments</v>
      </c>
    </row>
    <row r="6547" hidden="1">
      <c r="A6547" s="6" t="s">
        <v>81</v>
      </c>
      <c r="B6547" s="13" t="s">
        <v>2488</v>
      </c>
      <c r="C6547" s="13" t="s">
        <v>2489</v>
      </c>
      <c r="D6547" s="15">
        <v>6.0</v>
      </c>
      <c r="E6547" s="67">
        <f t="shared" si="18"/>
        <v>1500</v>
      </c>
      <c r="F6547" s="67" t="str">
        <f t="shared" si="12"/>
        <v>6 LeadGen Set Appointments</v>
      </c>
    </row>
    <row r="6548" hidden="1">
      <c r="A6548" s="6" t="s">
        <v>81</v>
      </c>
      <c r="B6548" s="13" t="s">
        <v>1776</v>
      </c>
      <c r="C6548" s="13" t="s">
        <v>1777</v>
      </c>
      <c r="D6548" s="15">
        <v>6.0</v>
      </c>
      <c r="E6548" s="67">
        <f t="shared" si="18"/>
        <v>1500</v>
      </c>
      <c r="F6548" s="67" t="str">
        <f t="shared" si="12"/>
        <v>6 LeadGen Set Appointments</v>
      </c>
    </row>
    <row r="6549" hidden="1">
      <c r="A6549" s="6" t="s">
        <v>81</v>
      </c>
      <c r="B6549" s="13" t="s">
        <v>1483</v>
      </c>
      <c r="C6549" s="13" t="s">
        <v>1484</v>
      </c>
      <c r="D6549" s="15">
        <v>6.0</v>
      </c>
      <c r="E6549" s="67">
        <f t="shared" si="18"/>
        <v>1500</v>
      </c>
      <c r="F6549" s="67" t="str">
        <f t="shared" si="12"/>
        <v>6 LeadGen Set Appointments</v>
      </c>
    </row>
    <row r="6550" hidden="1">
      <c r="A6550" s="6" t="s">
        <v>81</v>
      </c>
      <c r="B6550" s="13" t="s">
        <v>2484</v>
      </c>
      <c r="C6550" s="13" t="s">
        <v>2485</v>
      </c>
      <c r="D6550" s="15">
        <v>5.0</v>
      </c>
      <c r="E6550" s="67">
        <f t="shared" si="18"/>
        <v>1250</v>
      </c>
      <c r="F6550" s="67" t="str">
        <f t="shared" si="12"/>
        <v>5 LeadGen Set Appointments</v>
      </c>
    </row>
    <row r="6551" hidden="1">
      <c r="A6551" s="6" t="s">
        <v>81</v>
      </c>
      <c r="B6551" s="13" t="s">
        <v>628</v>
      </c>
      <c r="C6551" s="13" t="s">
        <v>629</v>
      </c>
      <c r="D6551" s="15">
        <v>5.0</v>
      </c>
      <c r="E6551" s="67">
        <f t="shared" si="18"/>
        <v>1250</v>
      </c>
      <c r="F6551" s="67" t="str">
        <f t="shared" si="12"/>
        <v>5 LeadGen Set Appointments</v>
      </c>
    </row>
    <row r="6552" hidden="1">
      <c r="A6552" s="6" t="s">
        <v>81</v>
      </c>
      <c r="B6552" s="13" t="s">
        <v>1448</v>
      </c>
      <c r="C6552" s="13" t="s">
        <v>1449</v>
      </c>
      <c r="D6552" s="15">
        <v>5.0</v>
      </c>
      <c r="E6552" s="67">
        <f t="shared" si="18"/>
        <v>1250</v>
      </c>
      <c r="F6552" s="67" t="str">
        <f t="shared" si="12"/>
        <v>5 LeadGen Set Appointments</v>
      </c>
    </row>
    <row r="6553" hidden="1">
      <c r="A6553" s="6" t="s">
        <v>81</v>
      </c>
      <c r="B6553" s="13" t="s">
        <v>1543</v>
      </c>
      <c r="C6553" s="13" t="s">
        <v>1544</v>
      </c>
      <c r="D6553" s="15">
        <v>5.0</v>
      </c>
      <c r="E6553" s="67">
        <f t="shared" si="18"/>
        <v>1250</v>
      </c>
      <c r="F6553" s="67" t="str">
        <f t="shared" si="12"/>
        <v>5 LeadGen Set Appointments</v>
      </c>
    </row>
    <row r="6554" hidden="1">
      <c r="A6554" s="6" t="s">
        <v>81</v>
      </c>
      <c r="B6554" s="13" t="s">
        <v>305</v>
      </c>
      <c r="C6554" s="13" t="s">
        <v>2552</v>
      </c>
      <c r="D6554" s="15">
        <v>5.0</v>
      </c>
      <c r="E6554" s="67">
        <f t="shared" si="18"/>
        <v>1250</v>
      </c>
      <c r="F6554" s="67" t="str">
        <f t="shared" si="12"/>
        <v>5 LeadGen Set Appointments</v>
      </c>
    </row>
    <row r="6555" hidden="1">
      <c r="A6555" s="6" t="s">
        <v>81</v>
      </c>
      <c r="B6555" s="13" t="s">
        <v>2179</v>
      </c>
      <c r="C6555" s="13" t="s">
        <v>2180</v>
      </c>
      <c r="D6555" s="15">
        <v>5.0</v>
      </c>
      <c r="E6555" s="67">
        <f t="shared" si="18"/>
        <v>1250</v>
      </c>
      <c r="F6555" s="67" t="str">
        <f t="shared" si="12"/>
        <v>5 LeadGen Set Appointments</v>
      </c>
    </row>
    <row r="6556" hidden="1">
      <c r="A6556" s="6" t="s">
        <v>81</v>
      </c>
      <c r="B6556" s="13" t="s">
        <v>1510</v>
      </c>
      <c r="C6556" s="13" t="s">
        <v>1511</v>
      </c>
      <c r="D6556" s="15">
        <v>5.0</v>
      </c>
      <c r="E6556" s="67">
        <f t="shared" si="18"/>
        <v>1250</v>
      </c>
      <c r="F6556" s="67" t="str">
        <f t="shared" si="12"/>
        <v>5 LeadGen Set Appointments</v>
      </c>
    </row>
    <row r="6557" hidden="1">
      <c r="A6557" s="6" t="s">
        <v>81</v>
      </c>
      <c r="B6557" s="13" t="s">
        <v>2097</v>
      </c>
      <c r="C6557" s="13" t="s">
        <v>828</v>
      </c>
      <c r="D6557" s="15">
        <v>5.0</v>
      </c>
      <c r="E6557" s="67">
        <f t="shared" si="18"/>
        <v>1250</v>
      </c>
      <c r="F6557" s="67" t="str">
        <f t="shared" si="12"/>
        <v>5 LeadGen Set Appointments</v>
      </c>
    </row>
    <row r="6558" hidden="1">
      <c r="A6558" s="6" t="s">
        <v>81</v>
      </c>
      <c r="B6558" s="13" t="s">
        <v>2553</v>
      </c>
      <c r="C6558" s="13" t="s">
        <v>2554</v>
      </c>
      <c r="D6558" s="15">
        <v>5.0</v>
      </c>
      <c r="E6558" s="67">
        <f t="shared" si="18"/>
        <v>1250</v>
      </c>
      <c r="F6558" s="67" t="str">
        <f t="shared" si="12"/>
        <v>5 LeadGen Set Appointments</v>
      </c>
    </row>
    <row r="6559" hidden="1">
      <c r="A6559" s="6" t="s">
        <v>81</v>
      </c>
      <c r="B6559" s="13" t="s">
        <v>1724</v>
      </c>
      <c r="C6559" s="13" t="s">
        <v>1725</v>
      </c>
      <c r="D6559" s="15">
        <v>5.0</v>
      </c>
      <c r="E6559" s="67">
        <f t="shared" si="18"/>
        <v>1250</v>
      </c>
      <c r="F6559" s="67" t="str">
        <f t="shared" si="12"/>
        <v>5 LeadGen Set Appointments</v>
      </c>
    </row>
    <row r="6560" hidden="1">
      <c r="A6560" s="6" t="s">
        <v>81</v>
      </c>
      <c r="B6560" s="13" t="s">
        <v>2100</v>
      </c>
      <c r="C6560" s="13" t="s">
        <v>2101</v>
      </c>
      <c r="D6560" s="15">
        <v>5.0</v>
      </c>
      <c r="E6560" s="67">
        <f t="shared" si="18"/>
        <v>1250</v>
      </c>
      <c r="F6560" s="67" t="str">
        <f t="shared" si="12"/>
        <v>5 LeadGen Set Appointments</v>
      </c>
    </row>
    <row r="6561" hidden="1">
      <c r="A6561" s="6" t="s">
        <v>81</v>
      </c>
      <c r="B6561" s="13" t="s">
        <v>1421</v>
      </c>
      <c r="C6561" s="13" t="s">
        <v>712</v>
      </c>
      <c r="D6561" s="15">
        <v>5.0</v>
      </c>
      <c r="E6561" s="67">
        <f t="shared" si="18"/>
        <v>1250</v>
      </c>
      <c r="F6561" s="67" t="str">
        <f t="shared" si="12"/>
        <v>5 LeadGen Set Appointments</v>
      </c>
    </row>
    <row r="6562" hidden="1">
      <c r="A6562" s="6" t="s">
        <v>81</v>
      </c>
      <c r="B6562" s="13" t="s">
        <v>626</v>
      </c>
      <c r="C6562" s="13" t="s">
        <v>627</v>
      </c>
      <c r="D6562" s="15">
        <v>5.0</v>
      </c>
      <c r="E6562" s="67">
        <f t="shared" si="18"/>
        <v>1250</v>
      </c>
      <c r="F6562" s="67" t="str">
        <f t="shared" si="12"/>
        <v>5 LeadGen Set Appointments</v>
      </c>
    </row>
    <row r="6563" hidden="1">
      <c r="A6563" s="6" t="s">
        <v>81</v>
      </c>
      <c r="B6563" s="13" t="s">
        <v>1491</v>
      </c>
      <c r="C6563" s="13" t="s">
        <v>1492</v>
      </c>
      <c r="D6563" s="15">
        <v>5.0</v>
      </c>
      <c r="E6563" s="67">
        <f t="shared" si="18"/>
        <v>1250</v>
      </c>
      <c r="F6563" s="67" t="str">
        <f t="shared" si="12"/>
        <v>5 LeadGen Set Appointments</v>
      </c>
    </row>
    <row r="6564" hidden="1">
      <c r="A6564" s="6" t="s">
        <v>81</v>
      </c>
      <c r="B6564" s="13" t="s">
        <v>1990</v>
      </c>
      <c r="C6564" s="13" t="s">
        <v>1991</v>
      </c>
      <c r="D6564" s="15">
        <v>5.0</v>
      </c>
      <c r="E6564" s="67">
        <f t="shared" si="18"/>
        <v>1250</v>
      </c>
      <c r="F6564" s="67" t="str">
        <f t="shared" si="12"/>
        <v>5 LeadGen Set Appointments</v>
      </c>
    </row>
    <row r="6565" hidden="1">
      <c r="A6565" s="6" t="s">
        <v>81</v>
      </c>
      <c r="B6565" s="13" t="s">
        <v>2507</v>
      </c>
      <c r="C6565" s="13" t="s">
        <v>2508</v>
      </c>
      <c r="D6565" s="15">
        <v>5.0</v>
      </c>
      <c r="E6565" s="67">
        <f t="shared" si="18"/>
        <v>1250</v>
      </c>
      <c r="F6565" s="67" t="str">
        <f t="shared" si="12"/>
        <v>5 LeadGen Set Appointments</v>
      </c>
    </row>
    <row r="6566" hidden="1">
      <c r="A6566" s="6" t="s">
        <v>81</v>
      </c>
      <c r="B6566" s="13" t="s">
        <v>1784</v>
      </c>
      <c r="C6566" s="13" t="s">
        <v>1785</v>
      </c>
      <c r="D6566" s="15">
        <v>5.0</v>
      </c>
      <c r="E6566" s="67">
        <f t="shared" si="18"/>
        <v>1250</v>
      </c>
      <c r="F6566" s="67" t="str">
        <f t="shared" si="12"/>
        <v>5 LeadGen Set Appointments</v>
      </c>
    </row>
    <row r="6567" hidden="1">
      <c r="A6567" s="6" t="s">
        <v>81</v>
      </c>
      <c r="B6567" s="13" t="s">
        <v>1983</v>
      </c>
      <c r="C6567" s="13" t="s">
        <v>1984</v>
      </c>
      <c r="D6567" s="15">
        <v>5.0</v>
      </c>
      <c r="E6567" s="67">
        <f t="shared" si="18"/>
        <v>1250</v>
      </c>
      <c r="F6567" s="67" t="str">
        <f t="shared" si="12"/>
        <v>5 LeadGen Set Appointments</v>
      </c>
    </row>
    <row r="6568" hidden="1">
      <c r="A6568" s="6" t="s">
        <v>81</v>
      </c>
      <c r="B6568" s="13" t="s">
        <v>2499</v>
      </c>
      <c r="C6568" s="13" t="s">
        <v>2500</v>
      </c>
      <c r="D6568" s="15">
        <v>5.0</v>
      </c>
      <c r="E6568" s="67">
        <f t="shared" si="18"/>
        <v>1250</v>
      </c>
      <c r="F6568" s="67" t="str">
        <f t="shared" si="12"/>
        <v>5 LeadGen Set Appointments</v>
      </c>
    </row>
    <row r="6569" hidden="1">
      <c r="A6569" s="6" t="s">
        <v>81</v>
      </c>
      <c r="B6569" s="13" t="s">
        <v>1442</v>
      </c>
      <c r="C6569" s="13" t="s">
        <v>749</v>
      </c>
      <c r="D6569" s="15">
        <v>5.0</v>
      </c>
      <c r="E6569" s="67">
        <f t="shared" si="18"/>
        <v>1250</v>
      </c>
      <c r="F6569" s="67" t="str">
        <f t="shared" si="12"/>
        <v>5 LeadGen Set Appointments</v>
      </c>
    </row>
    <row r="6570" hidden="1">
      <c r="A6570" s="6" t="s">
        <v>81</v>
      </c>
      <c r="B6570" s="13" t="s">
        <v>302</v>
      </c>
      <c r="C6570" s="13" t="s">
        <v>2110</v>
      </c>
      <c r="D6570" s="15">
        <v>5.0</v>
      </c>
      <c r="E6570" s="67">
        <f t="shared" si="18"/>
        <v>1250</v>
      </c>
      <c r="F6570" s="67" t="str">
        <f t="shared" si="12"/>
        <v>5 LeadGen Set Appointments</v>
      </c>
    </row>
    <row r="6571" hidden="1">
      <c r="A6571" s="6" t="s">
        <v>81</v>
      </c>
      <c r="B6571" s="13" t="s">
        <v>2268</v>
      </c>
      <c r="C6571" s="13" t="s">
        <v>2269</v>
      </c>
      <c r="D6571" s="15">
        <v>5.0</v>
      </c>
      <c r="E6571" s="67">
        <f t="shared" si="18"/>
        <v>1250</v>
      </c>
      <c r="F6571" s="67" t="str">
        <f t="shared" si="12"/>
        <v>5 LeadGen Set Appointments</v>
      </c>
    </row>
    <row r="6572" hidden="1">
      <c r="A6572" s="6" t="s">
        <v>81</v>
      </c>
      <c r="B6572" s="13" t="s">
        <v>2345</v>
      </c>
      <c r="C6572" s="13" t="s">
        <v>2346</v>
      </c>
      <c r="D6572" s="15">
        <v>5.0</v>
      </c>
      <c r="E6572" s="67">
        <f t="shared" si="18"/>
        <v>1250</v>
      </c>
      <c r="F6572" s="67" t="str">
        <f t="shared" si="12"/>
        <v>5 LeadGen Set Appointments</v>
      </c>
    </row>
    <row r="6573" hidden="1">
      <c r="A6573" s="6" t="s">
        <v>81</v>
      </c>
      <c r="B6573" s="13" t="s">
        <v>2555</v>
      </c>
      <c r="C6573" s="13" t="s">
        <v>2556</v>
      </c>
      <c r="D6573" s="15">
        <v>5.0</v>
      </c>
      <c r="E6573" s="67">
        <f t="shared" si="18"/>
        <v>1250</v>
      </c>
      <c r="F6573" s="67" t="str">
        <f t="shared" si="12"/>
        <v>5 LeadGen Set Appointments</v>
      </c>
    </row>
    <row r="6574" hidden="1">
      <c r="A6574" s="6" t="s">
        <v>81</v>
      </c>
      <c r="B6574" s="13" t="s">
        <v>2151</v>
      </c>
      <c r="C6574" s="13" t="s">
        <v>2152</v>
      </c>
      <c r="D6574" s="15">
        <v>5.0</v>
      </c>
      <c r="E6574" s="67">
        <f t="shared" si="18"/>
        <v>1250</v>
      </c>
      <c r="F6574" s="67" t="str">
        <f t="shared" si="12"/>
        <v>5 LeadGen Set Appointments</v>
      </c>
    </row>
    <row r="6575" hidden="1">
      <c r="A6575" s="6" t="s">
        <v>81</v>
      </c>
      <c r="B6575" s="13" t="s">
        <v>622</v>
      </c>
      <c r="C6575" s="13" t="s">
        <v>623</v>
      </c>
      <c r="D6575" s="15">
        <v>5.0</v>
      </c>
      <c r="E6575" s="67">
        <f t="shared" si="18"/>
        <v>1250</v>
      </c>
      <c r="F6575" s="67" t="str">
        <f t="shared" si="12"/>
        <v>5 LeadGen Set Appointments</v>
      </c>
    </row>
    <row r="6576" hidden="1">
      <c r="A6576" s="6" t="s">
        <v>81</v>
      </c>
      <c r="B6576" s="13" t="s">
        <v>2280</v>
      </c>
      <c r="C6576" s="13" t="s">
        <v>2281</v>
      </c>
      <c r="D6576" s="15">
        <v>5.0</v>
      </c>
      <c r="E6576" s="67">
        <f t="shared" si="18"/>
        <v>1250</v>
      </c>
      <c r="F6576" s="67" t="str">
        <f t="shared" si="12"/>
        <v>5 LeadGen Set Appointments</v>
      </c>
    </row>
    <row r="6577" hidden="1">
      <c r="A6577" s="6" t="s">
        <v>81</v>
      </c>
      <c r="B6577" s="13" t="s">
        <v>2511</v>
      </c>
      <c r="C6577" s="13" t="s">
        <v>2512</v>
      </c>
      <c r="D6577" s="15">
        <v>5.0</v>
      </c>
      <c r="E6577" s="67">
        <f t="shared" si="18"/>
        <v>1250</v>
      </c>
      <c r="F6577" s="67" t="str">
        <f t="shared" si="12"/>
        <v>5 LeadGen Set Appointments</v>
      </c>
    </row>
    <row r="6578" hidden="1">
      <c r="A6578" s="6" t="s">
        <v>81</v>
      </c>
      <c r="B6578" s="13" t="s">
        <v>445</v>
      </c>
      <c r="C6578" s="13" t="s">
        <v>446</v>
      </c>
      <c r="D6578" s="15">
        <v>5.0</v>
      </c>
      <c r="E6578" s="67">
        <f t="shared" si="18"/>
        <v>1250</v>
      </c>
      <c r="F6578" s="67" t="str">
        <f t="shared" si="12"/>
        <v>5 LeadGen Set Appointments</v>
      </c>
    </row>
    <row r="6579" hidden="1">
      <c r="A6579" s="6" t="s">
        <v>81</v>
      </c>
      <c r="B6579" s="13" t="s">
        <v>1463</v>
      </c>
      <c r="C6579" s="13" t="s">
        <v>1464</v>
      </c>
      <c r="D6579" s="15">
        <v>4.0</v>
      </c>
      <c r="E6579" s="67">
        <f t="shared" si="18"/>
        <v>1000</v>
      </c>
      <c r="F6579" s="67" t="str">
        <f t="shared" si="12"/>
        <v>4 LeadGen Set Appointments</v>
      </c>
    </row>
    <row r="6580" hidden="1">
      <c r="A6580" s="6" t="s">
        <v>81</v>
      </c>
      <c r="B6580" s="13" t="s">
        <v>2550</v>
      </c>
      <c r="C6580" s="13" t="s">
        <v>2551</v>
      </c>
      <c r="D6580" s="15">
        <v>4.0</v>
      </c>
      <c r="E6580" s="67">
        <f t="shared" si="18"/>
        <v>1000</v>
      </c>
      <c r="F6580" s="67" t="str">
        <f t="shared" si="12"/>
        <v>4 LeadGen Set Appointments</v>
      </c>
    </row>
    <row r="6581" hidden="1">
      <c r="A6581" s="6" t="s">
        <v>81</v>
      </c>
      <c r="B6581" s="13" t="s">
        <v>576</v>
      </c>
      <c r="C6581" s="13" t="s">
        <v>577</v>
      </c>
      <c r="D6581" s="15">
        <v>4.0</v>
      </c>
      <c r="E6581" s="67">
        <f t="shared" si="18"/>
        <v>1000</v>
      </c>
      <c r="F6581" s="67" t="str">
        <f t="shared" si="12"/>
        <v>4 LeadGen Set Appointments</v>
      </c>
    </row>
    <row r="6582" hidden="1">
      <c r="A6582" s="6" t="s">
        <v>81</v>
      </c>
      <c r="B6582" s="13" t="s">
        <v>2299</v>
      </c>
      <c r="C6582" s="13" t="s">
        <v>2300</v>
      </c>
      <c r="D6582" s="15">
        <v>4.0</v>
      </c>
      <c r="E6582" s="67">
        <f t="shared" si="18"/>
        <v>1000</v>
      </c>
      <c r="F6582" s="67" t="str">
        <f t="shared" si="12"/>
        <v>4 LeadGen Set Appointments</v>
      </c>
    </row>
    <row r="6583" hidden="1">
      <c r="A6583" s="6" t="s">
        <v>81</v>
      </c>
      <c r="B6583" s="13" t="s">
        <v>560</v>
      </c>
      <c r="C6583" s="13" t="s">
        <v>561</v>
      </c>
      <c r="D6583" s="15">
        <v>4.0</v>
      </c>
      <c r="E6583" s="67">
        <f t="shared" si="18"/>
        <v>1000</v>
      </c>
      <c r="F6583" s="67" t="str">
        <f t="shared" si="12"/>
        <v>4 LeadGen Set Appointments</v>
      </c>
    </row>
    <row r="6584" hidden="1">
      <c r="A6584" s="6" t="s">
        <v>81</v>
      </c>
      <c r="B6584" s="13" t="s">
        <v>1585</v>
      </c>
      <c r="C6584" s="13" t="s">
        <v>2490</v>
      </c>
      <c r="D6584" s="15">
        <v>4.0</v>
      </c>
      <c r="E6584" s="67">
        <f t="shared" si="18"/>
        <v>1000</v>
      </c>
      <c r="F6584" s="67" t="str">
        <f t="shared" si="12"/>
        <v>4 LeadGen Set Appointments</v>
      </c>
    </row>
    <row r="6585" hidden="1">
      <c r="A6585" s="6" t="s">
        <v>81</v>
      </c>
      <c r="B6585" s="13" t="s">
        <v>2493</v>
      </c>
      <c r="C6585" s="13" t="s">
        <v>2494</v>
      </c>
      <c r="D6585" s="15">
        <v>4.0</v>
      </c>
      <c r="E6585" s="67">
        <f t="shared" si="18"/>
        <v>1000</v>
      </c>
      <c r="F6585" s="67" t="str">
        <f t="shared" si="12"/>
        <v>4 LeadGen Set Appointments</v>
      </c>
    </row>
    <row r="6586" hidden="1">
      <c r="A6586" s="6" t="s">
        <v>81</v>
      </c>
      <c r="B6586" s="13" t="s">
        <v>494</v>
      </c>
      <c r="C6586" s="13" t="s">
        <v>495</v>
      </c>
      <c r="D6586" s="15">
        <v>4.0</v>
      </c>
      <c r="E6586" s="67">
        <f t="shared" si="18"/>
        <v>1000</v>
      </c>
      <c r="F6586" s="67" t="str">
        <f t="shared" si="12"/>
        <v>4 LeadGen Set Appointments</v>
      </c>
    </row>
    <row r="6587" hidden="1">
      <c r="A6587" s="6" t="s">
        <v>81</v>
      </c>
      <c r="B6587" s="13" t="s">
        <v>1512</v>
      </c>
      <c r="C6587" s="13" t="s">
        <v>1513</v>
      </c>
      <c r="D6587" s="15">
        <v>4.0</v>
      </c>
      <c r="E6587" s="67">
        <f t="shared" si="18"/>
        <v>1000</v>
      </c>
      <c r="F6587" s="67" t="str">
        <f t="shared" si="12"/>
        <v>4 LeadGen Set Appointments</v>
      </c>
    </row>
    <row r="6588" hidden="1">
      <c r="A6588" s="6" t="s">
        <v>81</v>
      </c>
      <c r="B6588" s="13" t="s">
        <v>2517</v>
      </c>
      <c r="C6588" s="13" t="s">
        <v>2518</v>
      </c>
      <c r="D6588" s="15">
        <v>4.0</v>
      </c>
      <c r="E6588" s="67">
        <f t="shared" si="18"/>
        <v>1000</v>
      </c>
      <c r="F6588" s="67" t="str">
        <f t="shared" si="12"/>
        <v>4 LeadGen Set Appointments</v>
      </c>
    </row>
    <row r="6589" hidden="1">
      <c r="A6589" s="6" t="s">
        <v>81</v>
      </c>
      <c r="B6589" s="13" t="s">
        <v>1937</v>
      </c>
      <c r="C6589" s="13" t="s">
        <v>1938</v>
      </c>
      <c r="D6589" s="15">
        <v>4.0</v>
      </c>
      <c r="E6589" s="67">
        <f t="shared" si="18"/>
        <v>1000</v>
      </c>
      <c r="F6589" s="67" t="str">
        <f t="shared" si="12"/>
        <v>4 LeadGen Set Appointments</v>
      </c>
    </row>
    <row r="6590" hidden="1">
      <c r="A6590" s="6" t="s">
        <v>81</v>
      </c>
      <c r="B6590" s="13" t="s">
        <v>1770</v>
      </c>
      <c r="C6590" s="13" t="s">
        <v>1771</v>
      </c>
      <c r="D6590" s="15">
        <v>4.0</v>
      </c>
      <c r="E6590" s="67">
        <f t="shared" si="18"/>
        <v>1000</v>
      </c>
      <c r="F6590" s="67" t="str">
        <f t="shared" si="12"/>
        <v>4 LeadGen Set Appointments</v>
      </c>
    </row>
    <row r="6591" hidden="1">
      <c r="A6591" s="6" t="s">
        <v>81</v>
      </c>
      <c r="B6591" s="13" t="s">
        <v>2234</v>
      </c>
      <c r="C6591" s="13" t="s">
        <v>2235</v>
      </c>
      <c r="D6591" s="15">
        <v>4.0</v>
      </c>
      <c r="E6591" s="67">
        <f t="shared" si="18"/>
        <v>1000</v>
      </c>
      <c r="F6591" s="67" t="str">
        <f t="shared" si="12"/>
        <v>4 LeadGen Set Appointments</v>
      </c>
    </row>
    <row r="6592" hidden="1">
      <c r="A6592" s="6" t="s">
        <v>81</v>
      </c>
      <c r="B6592" s="13" t="s">
        <v>2290</v>
      </c>
      <c r="C6592" s="13" t="s">
        <v>2291</v>
      </c>
      <c r="D6592" s="15">
        <v>4.0</v>
      </c>
      <c r="E6592" s="67">
        <f t="shared" si="18"/>
        <v>1000</v>
      </c>
      <c r="F6592" s="67" t="str">
        <f t="shared" si="12"/>
        <v>4 LeadGen Set Appointments</v>
      </c>
    </row>
    <row r="6593" hidden="1">
      <c r="A6593" s="6" t="s">
        <v>81</v>
      </c>
      <c r="B6593" s="13" t="s">
        <v>1925</v>
      </c>
      <c r="C6593" s="13" t="s">
        <v>35</v>
      </c>
      <c r="D6593" s="15">
        <v>4.0</v>
      </c>
      <c r="E6593" s="67">
        <f t="shared" si="18"/>
        <v>1000</v>
      </c>
      <c r="F6593" s="67" t="str">
        <f t="shared" si="12"/>
        <v>4 LeadGen Set Appointments</v>
      </c>
    </row>
    <row r="6594" hidden="1">
      <c r="A6594" s="6" t="s">
        <v>81</v>
      </c>
      <c r="B6594" s="13" t="s">
        <v>2367</v>
      </c>
      <c r="C6594" s="13" t="s">
        <v>2368</v>
      </c>
      <c r="D6594" s="15">
        <v>4.0</v>
      </c>
      <c r="E6594" s="67">
        <f t="shared" si="18"/>
        <v>1000</v>
      </c>
      <c r="F6594" s="67" t="str">
        <f t="shared" si="12"/>
        <v>4 LeadGen Set Appointments</v>
      </c>
    </row>
    <row r="6595" hidden="1">
      <c r="A6595" s="6" t="s">
        <v>81</v>
      </c>
      <c r="B6595" s="13" t="s">
        <v>1897</v>
      </c>
      <c r="C6595" s="13" t="s">
        <v>2460</v>
      </c>
      <c r="D6595" s="15">
        <v>4.0</v>
      </c>
      <c r="E6595" s="67">
        <f t="shared" si="18"/>
        <v>1000</v>
      </c>
      <c r="F6595" s="67" t="str">
        <f t="shared" si="12"/>
        <v>4 LeadGen Set Appointments</v>
      </c>
    </row>
    <row r="6596" hidden="1">
      <c r="A6596" s="6" t="s">
        <v>81</v>
      </c>
      <c r="B6596" s="13" t="s">
        <v>1283</v>
      </c>
      <c r="C6596" s="13" t="s">
        <v>404</v>
      </c>
      <c r="D6596" s="15">
        <v>4.0</v>
      </c>
      <c r="E6596" s="67">
        <f t="shared" si="18"/>
        <v>1000</v>
      </c>
      <c r="F6596" s="67" t="str">
        <f t="shared" si="12"/>
        <v>4 LeadGen Set Appointments</v>
      </c>
    </row>
    <row r="6597" hidden="1">
      <c r="A6597" s="6" t="s">
        <v>81</v>
      </c>
      <c r="B6597" s="13" t="s">
        <v>522</v>
      </c>
      <c r="C6597" s="13" t="s">
        <v>523</v>
      </c>
      <c r="D6597" s="15">
        <v>4.0</v>
      </c>
      <c r="E6597" s="67">
        <f t="shared" si="18"/>
        <v>1000</v>
      </c>
      <c r="F6597" s="67" t="str">
        <f t="shared" si="12"/>
        <v>4 LeadGen Set Appointments</v>
      </c>
    </row>
    <row r="6598" hidden="1">
      <c r="A6598" s="6" t="s">
        <v>81</v>
      </c>
      <c r="B6598" s="13" t="s">
        <v>1457</v>
      </c>
      <c r="C6598" s="13" t="s">
        <v>2411</v>
      </c>
      <c r="D6598" s="15">
        <v>4.0</v>
      </c>
      <c r="E6598" s="67">
        <f t="shared" si="18"/>
        <v>1000</v>
      </c>
      <c r="F6598" s="67" t="str">
        <f t="shared" si="12"/>
        <v>4 LeadGen Set Appointments</v>
      </c>
    </row>
    <row r="6599" hidden="1">
      <c r="A6599" s="6" t="s">
        <v>81</v>
      </c>
      <c r="B6599" s="13" t="s">
        <v>1945</v>
      </c>
      <c r="C6599" s="13" t="s">
        <v>1946</v>
      </c>
      <c r="D6599" s="15">
        <v>4.0</v>
      </c>
      <c r="E6599" s="67">
        <f t="shared" si="18"/>
        <v>1000</v>
      </c>
      <c r="F6599" s="67" t="str">
        <f t="shared" si="12"/>
        <v>4 LeadGen Set Appointments</v>
      </c>
    </row>
    <row r="6600" hidden="1">
      <c r="A6600" s="6" t="s">
        <v>81</v>
      </c>
      <c r="B6600" s="13" t="s">
        <v>447</v>
      </c>
      <c r="C6600" s="13" t="s">
        <v>448</v>
      </c>
      <c r="D6600" s="15">
        <v>3.0</v>
      </c>
      <c r="E6600" s="67">
        <f t="shared" si="18"/>
        <v>750</v>
      </c>
      <c r="F6600" s="67" t="str">
        <f t="shared" si="12"/>
        <v>3 LeadGen Set Appointments</v>
      </c>
    </row>
    <row r="6601" hidden="1">
      <c r="A6601" s="6" t="s">
        <v>81</v>
      </c>
      <c r="B6601" s="13" t="s">
        <v>2465</v>
      </c>
      <c r="C6601" s="13" t="s">
        <v>2466</v>
      </c>
      <c r="D6601" s="15">
        <v>3.0</v>
      </c>
      <c r="E6601" s="67">
        <f t="shared" si="18"/>
        <v>750</v>
      </c>
      <c r="F6601" s="67" t="str">
        <f t="shared" si="12"/>
        <v>3 LeadGen Set Appointments</v>
      </c>
    </row>
    <row r="6602" hidden="1">
      <c r="A6602" s="6" t="s">
        <v>81</v>
      </c>
      <c r="B6602" s="13" t="s">
        <v>744</v>
      </c>
      <c r="C6602" s="13" t="s">
        <v>745</v>
      </c>
      <c r="D6602" s="15">
        <v>3.0</v>
      </c>
      <c r="E6602" s="67">
        <f t="shared" si="18"/>
        <v>750</v>
      </c>
      <c r="F6602" s="67" t="str">
        <f t="shared" si="12"/>
        <v>3 LeadGen Set Appointments</v>
      </c>
    </row>
    <row r="6603" hidden="1">
      <c r="A6603" s="6" t="s">
        <v>81</v>
      </c>
      <c r="B6603" s="13" t="s">
        <v>2469</v>
      </c>
      <c r="C6603" s="13" t="s">
        <v>2470</v>
      </c>
      <c r="D6603" s="15">
        <v>3.0</v>
      </c>
      <c r="E6603" s="67">
        <f t="shared" si="18"/>
        <v>750</v>
      </c>
      <c r="F6603" s="67" t="str">
        <f t="shared" si="12"/>
        <v>3 LeadGen Set Appointments</v>
      </c>
    </row>
    <row r="6604" hidden="1">
      <c r="A6604" s="6" t="s">
        <v>81</v>
      </c>
      <c r="B6604" s="13" t="s">
        <v>2527</v>
      </c>
      <c r="C6604" s="13" t="s">
        <v>2528</v>
      </c>
      <c r="D6604" s="15">
        <v>3.0</v>
      </c>
      <c r="E6604" s="67">
        <f t="shared" si="18"/>
        <v>750</v>
      </c>
      <c r="F6604" s="67" t="str">
        <f t="shared" si="12"/>
        <v>3 LeadGen Set Appointments</v>
      </c>
    </row>
    <row r="6605" hidden="1">
      <c r="A6605" s="6" t="s">
        <v>81</v>
      </c>
      <c r="B6605" s="13" t="s">
        <v>462</v>
      </c>
      <c r="C6605" s="13" t="s">
        <v>463</v>
      </c>
      <c r="D6605" s="15">
        <v>3.0</v>
      </c>
      <c r="E6605" s="67">
        <f t="shared" si="18"/>
        <v>750</v>
      </c>
      <c r="F6605" s="67" t="str">
        <f t="shared" si="12"/>
        <v>3 LeadGen Set Appointments</v>
      </c>
    </row>
    <row r="6606" hidden="1">
      <c r="A6606" s="6" t="s">
        <v>81</v>
      </c>
      <c r="B6606" s="13" t="s">
        <v>2536</v>
      </c>
      <c r="C6606" s="13" t="s">
        <v>2537</v>
      </c>
      <c r="D6606" s="15">
        <v>3.0</v>
      </c>
      <c r="E6606" s="67">
        <f t="shared" si="18"/>
        <v>750</v>
      </c>
      <c r="F6606" s="67" t="str">
        <f t="shared" si="12"/>
        <v>3 LeadGen Set Appointments</v>
      </c>
    </row>
    <row r="6607" hidden="1">
      <c r="A6607" s="6" t="s">
        <v>81</v>
      </c>
      <c r="B6607" s="13" t="s">
        <v>2034</v>
      </c>
      <c r="C6607" s="13" t="s">
        <v>416</v>
      </c>
      <c r="D6607" s="15">
        <v>3.0</v>
      </c>
      <c r="E6607" s="67">
        <f t="shared" si="18"/>
        <v>750</v>
      </c>
      <c r="F6607" s="67" t="str">
        <f t="shared" si="12"/>
        <v>3 LeadGen Set Appointments</v>
      </c>
    </row>
    <row r="6608" hidden="1">
      <c r="A6608" s="6" t="s">
        <v>81</v>
      </c>
      <c r="B6608" s="13" t="s">
        <v>2373</v>
      </c>
      <c r="C6608" s="13" t="s">
        <v>2374</v>
      </c>
      <c r="D6608" s="15">
        <v>3.0</v>
      </c>
      <c r="E6608" s="67">
        <f t="shared" si="18"/>
        <v>750</v>
      </c>
      <c r="F6608" s="67" t="str">
        <f t="shared" si="12"/>
        <v>3 LeadGen Set Appointments</v>
      </c>
    </row>
    <row r="6609" hidden="1">
      <c r="A6609" s="6" t="s">
        <v>81</v>
      </c>
      <c r="B6609" s="13" t="s">
        <v>684</v>
      </c>
      <c r="C6609" s="13" t="s">
        <v>685</v>
      </c>
      <c r="D6609" s="15">
        <v>3.0</v>
      </c>
      <c r="E6609" s="67">
        <f t="shared" si="18"/>
        <v>750</v>
      </c>
      <c r="F6609" s="67" t="str">
        <f t="shared" si="12"/>
        <v>3 LeadGen Set Appointments</v>
      </c>
    </row>
    <row r="6610" hidden="1">
      <c r="A6610" s="6" t="s">
        <v>81</v>
      </c>
      <c r="B6610" s="13" t="s">
        <v>431</v>
      </c>
      <c r="C6610" s="13" t="s">
        <v>432</v>
      </c>
      <c r="D6610" s="15">
        <v>3.0</v>
      </c>
      <c r="E6610" s="67">
        <f t="shared" si="18"/>
        <v>750</v>
      </c>
      <c r="F6610" s="67" t="str">
        <f t="shared" si="12"/>
        <v>3 LeadGen Set Appointments</v>
      </c>
    </row>
    <row r="6611" hidden="1">
      <c r="A6611" s="6" t="s">
        <v>81</v>
      </c>
      <c r="B6611" s="13" t="s">
        <v>2491</v>
      </c>
      <c r="C6611" s="13" t="s">
        <v>2492</v>
      </c>
      <c r="D6611" s="15">
        <v>3.0</v>
      </c>
      <c r="E6611" s="67">
        <f t="shared" si="18"/>
        <v>750</v>
      </c>
      <c r="F6611" s="67" t="str">
        <f t="shared" si="12"/>
        <v>3 LeadGen Set Appointments</v>
      </c>
    </row>
    <row r="6612" hidden="1">
      <c r="A6612" s="6" t="s">
        <v>81</v>
      </c>
      <c r="B6612" s="13" t="s">
        <v>2486</v>
      </c>
      <c r="C6612" s="13" t="s">
        <v>2487</v>
      </c>
      <c r="D6612" s="15">
        <v>3.0</v>
      </c>
      <c r="E6612" s="67">
        <f t="shared" si="18"/>
        <v>750</v>
      </c>
      <c r="F6612" s="67" t="str">
        <f t="shared" si="12"/>
        <v>3 LeadGen Set Appointments</v>
      </c>
    </row>
    <row r="6613" hidden="1">
      <c r="A6613" s="6" t="s">
        <v>81</v>
      </c>
      <c r="B6613" s="13" t="s">
        <v>2454</v>
      </c>
      <c r="C6613" s="13" t="s">
        <v>2455</v>
      </c>
      <c r="D6613" s="15">
        <v>3.0</v>
      </c>
      <c r="E6613" s="67">
        <f t="shared" si="18"/>
        <v>750</v>
      </c>
      <c r="F6613" s="67" t="str">
        <f t="shared" si="12"/>
        <v>3 LeadGen Set Appointments</v>
      </c>
    </row>
    <row r="6614" hidden="1">
      <c r="A6614" s="6" t="s">
        <v>81</v>
      </c>
      <c r="B6614" s="13" t="s">
        <v>1778</v>
      </c>
      <c r="C6614" s="13" t="s">
        <v>1779</v>
      </c>
      <c r="D6614" s="15">
        <v>3.0</v>
      </c>
      <c r="E6614" s="67">
        <f t="shared" si="18"/>
        <v>750</v>
      </c>
      <c r="F6614" s="67" t="str">
        <f t="shared" si="12"/>
        <v>3 LeadGen Set Appointments</v>
      </c>
    </row>
    <row r="6615" hidden="1">
      <c r="A6615" s="6" t="s">
        <v>81</v>
      </c>
      <c r="B6615" s="13" t="s">
        <v>2393</v>
      </c>
      <c r="C6615" s="13" t="s">
        <v>2394</v>
      </c>
      <c r="D6615" s="15">
        <v>3.0</v>
      </c>
      <c r="E6615" s="67">
        <f t="shared" si="18"/>
        <v>750</v>
      </c>
      <c r="F6615" s="67" t="str">
        <f t="shared" si="12"/>
        <v>3 LeadGen Set Appointments</v>
      </c>
    </row>
    <row r="6616" hidden="1">
      <c r="A6616" s="6" t="s">
        <v>81</v>
      </c>
      <c r="B6616" s="13" t="s">
        <v>2542</v>
      </c>
      <c r="C6616" s="13" t="s">
        <v>2543</v>
      </c>
      <c r="D6616" s="15">
        <v>3.0</v>
      </c>
      <c r="E6616" s="67">
        <f t="shared" si="18"/>
        <v>750</v>
      </c>
      <c r="F6616" s="67" t="str">
        <f t="shared" si="12"/>
        <v>3 LeadGen Set Appointments</v>
      </c>
    </row>
    <row r="6617" hidden="1">
      <c r="A6617" s="6" t="s">
        <v>81</v>
      </c>
      <c r="B6617" s="13" t="s">
        <v>1325</v>
      </c>
      <c r="C6617" s="13" t="s">
        <v>1326</v>
      </c>
      <c r="D6617" s="15">
        <v>3.0</v>
      </c>
      <c r="E6617" s="67">
        <f t="shared" si="18"/>
        <v>750</v>
      </c>
      <c r="F6617" s="67" t="str">
        <f t="shared" si="12"/>
        <v>3 LeadGen Set Appointments</v>
      </c>
    </row>
    <row r="6618" hidden="1">
      <c r="A6618" s="6" t="s">
        <v>81</v>
      </c>
      <c r="B6618" s="13" t="s">
        <v>572</v>
      </c>
      <c r="C6618" s="13" t="s">
        <v>573</v>
      </c>
      <c r="D6618" s="15">
        <v>3.0</v>
      </c>
      <c r="E6618" s="67">
        <f t="shared" si="18"/>
        <v>750</v>
      </c>
      <c r="F6618" s="67" t="str">
        <f t="shared" si="12"/>
        <v>3 LeadGen Set Appointments</v>
      </c>
    </row>
    <row r="6619" hidden="1">
      <c r="A6619" s="6" t="s">
        <v>81</v>
      </c>
      <c r="B6619" s="13" t="s">
        <v>1657</v>
      </c>
      <c r="C6619" s="13" t="s">
        <v>1658</v>
      </c>
      <c r="D6619" s="15">
        <v>3.0</v>
      </c>
      <c r="E6619" s="67">
        <f t="shared" si="18"/>
        <v>750</v>
      </c>
      <c r="F6619" s="67" t="str">
        <f t="shared" si="12"/>
        <v>3 LeadGen Set Appointments</v>
      </c>
    </row>
    <row r="6620" hidden="1">
      <c r="A6620" s="6" t="s">
        <v>81</v>
      </c>
      <c r="B6620" s="13" t="s">
        <v>2458</v>
      </c>
      <c r="C6620" s="13" t="s">
        <v>2459</v>
      </c>
      <c r="D6620" s="15">
        <v>3.0</v>
      </c>
      <c r="E6620" s="67">
        <f t="shared" si="18"/>
        <v>750</v>
      </c>
      <c r="F6620" s="67" t="str">
        <f t="shared" si="12"/>
        <v>3 LeadGen Set Appointments</v>
      </c>
    </row>
    <row r="6621" hidden="1">
      <c r="A6621" s="6" t="s">
        <v>81</v>
      </c>
      <c r="B6621" s="13" t="s">
        <v>2384</v>
      </c>
      <c r="C6621" s="13" t="s">
        <v>2385</v>
      </c>
      <c r="D6621" s="15">
        <v>3.0</v>
      </c>
      <c r="E6621" s="67">
        <f t="shared" si="18"/>
        <v>750</v>
      </c>
      <c r="F6621" s="67" t="str">
        <f t="shared" si="12"/>
        <v>3 LeadGen Set Appointments</v>
      </c>
    </row>
    <row r="6622" hidden="1">
      <c r="A6622" s="6" t="s">
        <v>81</v>
      </c>
      <c r="B6622" s="13" t="s">
        <v>2288</v>
      </c>
      <c r="C6622" s="13" t="s">
        <v>2289</v>
      </c>
      <c r="D6622" s="15">
        <v>3.0</v>
      </c>
      <c r="E6622" s="67">
        <f t="shared" si="18"/>
        <v>750</v>
      </c>
      <c r="F6622" s="67" t="str">
        <f t="shared" si="12"/>
        <v>3 LeadGen Set Appointments</v>
      </c>
    </row>
    <row r="6623" hidden="1">
      <c r="A6623" s="6" t="s">
        <v>81</v>
      </c>
      <c r="B6623" s="13" t="s">
        <v>1487</v>
      </c>
      <c r="C6623" s="13" t="s">
        <v>2533</v>
      </c>
      <c r="D6623" s="15">
        <v>3.0</v>
      </c>
      <c r="E6623" s="67">
        <f t="shared" si="18"/>
        <v>750</v>
      </c>
      <c r="F6623" s="67" t="str">
        <f t="shared" si="12"/>
        <v>3 LeadGen Set Appointments</v>
      </c>
    </row>
    <row r="6624" hidden="1">
      <c r="A6624" s="6" t="s">
        <v>81</v>
      </c>
      <c r="B6624" s="13" t="s">
        <v>1567</v>
      </c>
      <c r="C6624" s="13" t="s">
        <v>1568</v>
      </c>
      <c r="D6624" s="15">
        <v>3.0</v>
      </c>
      <c r="E6624" s="67">
        <f t="shared" si="18"/>
        <v>750</v>
      </c>
      <c r="F6624" s="67" t="str">
        <f t="shared" si="12"/>
        <v>3 LeadGen Set Appointments</v>
      </c>
    </row>
    <row r="6625" hidden="1">
      <c r="A6625" s="6" t="s">
        <v>81</v>
      </c>
      <c r="B6625" s="13" t="s">
        <v>1736</v>
      </c>
      <c r="C6625" s="13" t="s">
        <v>1737</v>
      </c>
      <c r="D6625" s="15">
        <v>3.0</v>
      </c>
      <c r="E6625" s="67">
        <f t="shared" si="18"/>
        <v>750</v>
      </c>
      <c r="F6625" s="67" t="str">
        <f t="shared" si="12"/>
        <v>3 LeadGen Set Appointments</v>
      </c>
    </row>
    <row r="6626" hidden="1">
      <c r="A6626" s="6" t="s">
        <v>81</v>
      </c>
      <c r="B6626" s="13" t="s">
        <v>2421</v>
      </c>
      <c r="C6626" s="13" t="s">
        <v>2422</v>
      </c>
      <c r="D6626" s="15">
        <v>3.0</v>
      </c>
      <c r="E6626" s="67">
        <f t="shared" si="18"/>
        <v>750</v>
      </c>
      <c r="F6626" s="67" t="str">
        <f t="shared" si="12"/>
        <v>3 LeadGen Set Appointments</v>
      </c>
    </row>
    <row r="6627" hidden="1">
      <c r="A6627" s="6" t="s">
        <v>81</v>
      </c>
      <c r="B6627" s="13" t="s">
        <v>1955</v>
      </c>
      <c r="C6627" s="13" t="s">
        <v>1956</v>
      </c>
      <c r="D6627" s="15">
        <v>3.0</v>
      </c>
      <c r="E6627" s="67">
        <f t="shared" si="18"/>
        <v>750</v>
      </c>
      <c r="F6627" s="67" t="str">
        <f t="shared" si="12"/>
        <v>3 LeadGen Set Appointments</v>
      </c>
    </row>
    <row r="6628" hidden="1">
      <c r="A6628" s="6" t="s">
        <v>81</v>
      </c>
      <c r="B6628" s="13" t="s">
        <v>1716</v>
      </c>
      <c r="C6628" s="13" t="s">
        <v>30</v>
      </c>
      <c r="D6628" s="15">
        <v>3.0</v>
      </c>
      <c r="E6628" s="67">
        <f t="shared" si="18"/>
        <v>750</v>
      </c>
      <c r="F6628" s="67" t="str">
        <f t="shared" si="12"/>
        <v>3 LeadGen Set Appointments</v>
      </c>
    </row>
    <row r="6629" hidden="1">
      <c r="A6629" s="6" t="s">
        <v>81</v>
      </c>
      <c r="B6629" s="13" t="s">
        <v>1883</v>
      </c>
      <c r="C6629" s="13" t="s">
        <v>1884</v>
      </c>
      <c r="D6629" s="15">
        <v>3.0</v>
      </c>
      <c r="E6629" s="67">
        <f t="shared" si="18"/>
        <v>750</v>
      </c>
      <c r="F6629" s="67" t="str">
        <f t="shared" si="12"/>
        <v>3 LeadGen Set Appointments</v>
      </c>
    </row>
    <row r="6630" hidden="1">
      <c r="A6630" s="6" t="s">
        <v>81</v>
      </c>
      <c r="B6630" s="13" t="s">
        <v>2519</v>
      </c>
      <c r="C6630" s="13" t="s">
        <v>2520</v>
      </c>
      <c r="D6630" s="15">
        <v>3.0</v>
      </c>
      <c r="E6630" s="67">
        <f t="shared" si="18"/>
        <v>750</v>
      </c>
      <c r="F6630" s="67" t="str">
        <f t="shared" si="12"/>
        <v>3 LeadGen Set Appointments</v>
      </c>
    </row>
    <row r="6631" hidden="1">
      <c r="A6631" s="6" t="s">
        <v>81</v>
      </c>
      <c r="B6631" s="13" t="s">
        <v>2477</v>
      </c>
      <c r="C6631" s="13" t="s">
        <v>2478</v>
      </c>
      <c r="D6631" s="15">
        <v>3.0</v>
      </c>
      <c r="E6631" s="67">
        <f t="shared" si="18"/>
        <v>750</v>
      </c>
      <c r="F6631" s="67" t="str">
        <f t="shared" si="12"/>
        <v>3 LeadGen Set Appointments</v>
      </c>
    </row>
    <row r="6632" hidden="1">
      <c r="A6632" s="6" t="s">
        <v>81</v>
      </c>
      <c r="B6632" s="13" t="s">
        <v>701</v>
      </c>
      <c r="C6632" s="13" t="s">
        <v>702</v>
      </c>
      <c r="D6632" s="15">
        <v>3.0</v>
      </c>
      <c r="E6632" s="67">
        <f t="shared" si="18"/>
        <v>750</v>
      </c>
      <c r="F6632" s="67" t="str">
        <f t="shared" si="12"/>
        <v>3 LeadGen Set Appointments</v>
      </c>
    </row>
    <row r="6633" hidden="1">
      <c r="A6633" s="6" t="s">
        <v>81</v>
      </c>
      <c r="B6633" s="13" t="s">
        <v>2546</v>
      </c>
      <c r="C6633" s="13" t="s">
        <v>2547</v>
      </c>
      <c r="D6633" s="15">
        <v>3.0</v>
      </c>
      <c r="E6633" s="67">
        <f t="shared" si="18"/>
        <v>750</v>
      </c>
      <c r="F6633" s="67" t="str">
        <f t="shared" si="12"/>
        <v>3 LeadGen Set Appointments</v>
      </c>
    </row>
    <row r="6634" hidden="1">
      <c r="A6634" s="6" t="s">
        <v>81</v>
      </c>
      <c r="B6634" s="13" t="s">
        <v>566</v>
      </c>
      <c r="C6634" s="13" t="s">
        <v>567</v>
      </c>
      <c r="D6634" s="15">
        <v>3.0</v>
      </c>
      <c r="E6634" s="67">
        <f t="shared" si="18"/>
        <v>750</v>
      </c>
      <c r="F6634" s="67" t="str">
        <f t="shared" si="12"/>
        <v>3 LeadGen Set Appointments</v>
      </c>
    </row>
    <row r="6635" hidden="1">
      <c r="A6635" s="6" t="s">
        <v>81</v>
      </c>
      <c r="B6635" s="13" t="s">
        <v>1351</v>
      </c>
      <c r="C6635" s="13" t="s">
        <v>1352</v>
      </c>
      <c r="D6635" s="15">
        <v>3.0</v>
      </c>
      <c r="E6635" s="67">
        <f t="shared" si="18"/>
        <v>750</v>
      </c>
      <c r="F6635" s="67" t="str">
        <f t="shared" si="12"/>
        <v>3 LeadGen Set Appointments</v>
      </c>
    </row>
    <row r="6636" hidden="1">
      <c r="A6636" s="6" t="s">
        <v>81</v>
      </c>
      <c r="B6636" s="13" t="s">
        <v>2077</v>
      </c>
      <c r="C6636" s="13" t="s">
        <v>2078</v>
      </c>
      <c r="D6636" s="15">
        <v>3.0</v>
      </c>
      <c r="E6636" s="67">
        <f t="shared" si="18"/>
        <v>750</v>
      </c>
      <c r="F6636" s="67" t="str">
        <f t="shared" si="12"/>
        <v>3 LeadGen Set Appointments</v>
      </c>
    </row>
    <row r="6637" hidden="1">
      <c r="A6637" s="6" t="s">
        <v>81</v>
      </c>
      <c r="B6637" s="13" t="s">
        <v>2463</v>
      </c>
      <c r="C6637" s="13" t="s">
        <v>2464</v>
      </c>
      <c r="D6637" s="15">
        <v>3.0</v>
      </c>
      <c r="E6637" s="67">
        <f t="shared" si="18"/>
        <v>750</v>
      </c>
      <c r="F6637" s="67" t="str">
        <f t="shared" si="12"/>
        <v>3 LeadGen Set Appointments</v>
      </c>
    </row>
    <row r="6638" hidden="1">
      <c r="A6638" s="6" t="s">
        <v>81</v>
      </c>
      <c r="B6638" s="13" t="s">
        <v>2479</v>
      </c>
      <c r="C6638" s="13" t="s">
        <v>2480</v>
      </c>
      <c r="D6638" s="15">
        <v>3.0</v>
      </c>
      <c r="E6638" s="67">
        <f t="shared" si="18"/>
        <v>750</v>
      </c>
      <c r="F6638" s="67" t="str">
        <f t="shared" si="12"/>
        <v>3 LeadGen Set Appointments</v>
      </c>
    </row>
    <row r="6639" hidden="1">
      <c r="A6639" s="6" t="s">
        <v>81</v>
      </c>
      <c r="B6639" s="13" t="s">
        <v>2397</v>
      </c>
      <c r="C6639" s="13" t="s">
        <v>2398</v>
      </c>
      <c r="D6639" s="15">
        <v>2.0</v>
      </c>
      <c r="E6639" s="67">
        <f t="shared" si="18"/>
        <v>500</v>
      </c>
      <c r="F6639" s="67" t="str">
        <f t="shared" si="12"/>
        <v>2 LeadGen Set Appointments</v>
      </c>
    </row>
    <row r="6640" hidden="1">
      <c r="A6640" s="6" t="s">
        <v>81</v>
      </c>
      <c r="B6640" s="13" t="s">
        <v>542</v>
      </c>
      <c r="C6640" s="13" t="s">
        <v>543</v>
      </c>
      <c r="D6640" s="15">
        <v>2.0</v>
      </c>
      <c r="E6640" s="67">
        <f t="shared" si="18"/>
        <v>500</v>
      </c>
      <c r="F6640" s="67" t="str">
        <f t="shared" si="12"/>
        <v>2 LeadGen Set Appointments</v>
      </c>
    </row>
    <row r="6641" hidden="1">
      <c r="A6641" s="6" t="s">
        <v>81</v>
      </c>
      <c r="B6641" s="13" t="s">
        <v>2467</v>
      </c>
      <c r="C6641" s="13" t="s">
        <v>2468</v>
      </c>
      <c r="D6641" s="15">
        <v>2.0</v>
      </c>
      <c r="E6641" s="67">
        <f t="shared" si="18"/>
        <v>500</v>
      </c>
      <c r="F6641" s="67" t="str">
        <f t="shared" si="12"/>
        <v>2 LeadGen Set Appointments</v>
      </c>
    </row>
    <row r="6642" hidden="1">
      <c r="A6642" s="6" t="s">
        <v>81</v>
      </c>
      <c r="B6642" s="13" t="s">
        <v>2155</v>
      </c>
      <c r="C6642" s="13" t="s">
        <v>2214</v>
      </c>
      <c r="D6642" s="15">
        <v>2.0</v>
      </c>
      <c r="E6642" s="67">
        <f t="shared" si="18"/>
        <v>500</v>
      </c>
      <c r="F6642" s="67" t="str">
        <f t="shared" si="12"/>
        <v>2 LeadGen Set Appointments</v>
      </c>
    </row>
    <row r="6643" hidden="1">
      <c r="A6643" s="6" t="s">
        <v>81</v>
      </c>
      <c r="B6643" s="13" t="s">
        <v>1957</v>
      </c>
      <c r="C6643" s="13" t="s">
        <v>1958</v>
      </c>
      <c r="D6643" s="15">
        <v>2.0</v>
      </c>
      <c r="E6643" s="67">
        <f t="shared" si="18"/>
        <v>500</v>
      </c>
      <c r="F6643" s="67" t="str">
        <f t="shared" si="12"/>
        <v>2 LeadGen Set Appointments</v>
      </c>
    </row>
    <row r="6644" hidden="1">
      <c r="A6644" s="6" t="s">
        <v>81</v>
      </c>
      <c r="B6644" s="13" t="s">
        <v>546</v>
      </c>
      <c r="C6644" s="13" t="s">
        <v>547</v>
      </c>
      <c r="D6644" s="15">
        <v>2.0</v>
      </c>
      <c r="E6644" s="67">
        <f t="shared" si="18"/>
        <v>500</v>
      </c>
      <c r="F6644" s="67" t="str">
        <f t="shared" si="12"/>
        <v>2 LeadGen Set Appointments</v>
      </c>
    </row>
    <row r="6645" hidden="1">
      <c r="A6645" s="6" t="s">
        <v>81</v>
      </c>
      <c r="B6645" s="13" t="s">
        <v>976</v>
      </c>
      <c r="C6645" s="13" t="s">
        <v>977</v>
      </c>
      <c r="D6645" s="15">
        <v>2.0</v>
      </c>
      <c r="E6645" s="67">
        <f t="shared" si="18"/>
        <v>500</v>
      </c>
      <c r="F6645" s="67" t="str">
        <f t="shared" si="12"/>
        <v>2 LeadGen Set Appointments</v>
      </c>
    </row>
    <row r="6646" hidden="1">
      <c r="A6646" s="6" t="s">
        <v>81</v>
      </c>
      <c r="B6646" s="13" t="s">
        <v>2557</v>
      </c>
      <c r="C6646" s="13" t="s">
        <v>2558</v>
      </c>
      <c r="D6646" s="15">
        <v>2.0</v>
      </c>
      <c r="E6646" s="67">
        <f t="shared" si="18"/>
        <v>500</v>
      </c>
      <c r="F6646" s="67" t="str">
        <f t="shared" si="12"/>
        <v>2 LeadGen Set Appointments</v>
      </c>
    </row>
    <row r="6647" hidden="1">
      <c r="A6647" s="6" t="s">
        <v>81</v>
      </c>
      <c r="B6647" s="13" t="s">
        <v>2127</v>
      </c>
      <c r="C6647" s="13" t="s">
        <v>2128</v>
      </c>
      <c r="D6647" s="15">
        <v>2.0</v>
      </c>
      <c r="E6647" s="67">
        <f t="shared" si="18"/>
        <v>500</v>
      </c>
      <c r="F6647" s="67" t="str">
        <f t="shared" si="12"/>
        <v>2 LeadGen Set Appointments</v>
      </c>
    </row>
    <row r="6648" hidden="1">
      <c r="A6648" s="6" t="s">
        <v>81</v>
      </c>
      <c r="B6648" s="13" t="s">
        <v>2505</v>
      </c>
      <c r="C6648" s="13" t="s">
        <v>2506</v>
      </c>
      <c r="D6648" s="15">
        <v>2.0</v>
      </c>
      <c r="E6648" s="67">
        <f t="shared" si="18"/>
        <v>500</v>
      </c>
      <c r="F6648" s="67" t="str">
        <f t="shared" si="12"/>
        <v>2 LeadGen Set Appointments</v>
      </c>
    </row>
    <row r="6649" hidden="1">
      <c r="A6649" s="6" t="s">
        <v>81</v>
      </c>
      <c r="B6649" s="13" t="s">
        <v>2515</v>
      </c>
      <c r="C6649" s="13" t="s">
        <v>2516</v>
      </c>
      <c r="D6649" s="15">
        <v>2.0</v>
      </c>
      <c r="E6649" s="67">
        <f t="shared" si="18"/>
        <v>500</v>
      </c>
      <c r="F6649" s="67" t="str">
        <f t="shared" si="12"/>
        <v>2 LeadGen Set Appointments</v>
      </c>
    </row>
    <row r="6650" hidden="1">
      <c r="A6650" s="6" t="s">
        <v>81</v>
      </c>
      <c r="B6650" s="13" t="s">
        <v>2559</v>
      </c>
      <c r="C6650" s="13" t="s">
        <v>2560</v>
      </c>
      <c r="D6650" s="15">
        <v>2.0</v>
      </c>
      <c r="E6650" s="67">
        <f t="shared" si="18"/>
        <v>500</v>
      </c>
      <c r="F6650" s="67" t="str">
        <f t="shared" si="12"/>
        <v>2 LeadGen Set Appointments</v>
      </c>
    </row>
    <row r="6651" hidden="1">
      <c r="A6651" s="6" t="s">
        <v>81</v>
      </c>
      <c r="B6651" s="13" t="s">
        <v>2405</v>
      </c>
      <c r="C6651" s="13" t="s">
        <v>2406</v>
      </c>
      <c r="D6651" s="15">
        <v>2.0</v>
      </c>
      <c r="E6651" s="67">
        <f t="shared" si="18"/>
        <v>500</v>
      </c>
      <c r="F6651" s="67" t="str">
        <f t="shared" si="12"/>
        <v>2 LeadGen Set Appointments</v>
      </c>
    </row>
    <row r="6652" hidden="1">
      <c r="A6652" s="6" t="s">
        <v>81</v>
      </c>
      <c r="B6652" s="13" t="s">
        <v>1960</v>
      </c>
      <c r="C6652" s="13" t="s">
        <v>1961</v>
      </c>
      <c r="D6652" s="15">
        <v>2.0</v>
      </c>
      <c r="E6652" s="67">
        <f t="shared" si="18"/>
        <v>500</v>
      </c>
      <c r="F6652" s="67" t="str">
        <f t="shared" si="12"/>
        <v>2 LeadGen Set Appointments</v>
      </c>
    </row>
    <row r="6653" hidden="1">
      <c r="A6653" s="6" t="s">
        <v>81</v>
      </c>
      <c r="B6653" s="13" t="s">
        <v>2561</v>
      </c>
      <c r="C6653" s="13" t="s">
        <v>2562</v>
      </c>
      <c r="D6653" s="15">
        <v>2.0</v>
      </c>
      <c r="E6653" s="67">
        <f t="shared" si="18"/>
        <v>500</v>
      </c>
      <c r="F6653" s="67" t="str">
        <f t="shared" si="12"/>
        <v>2 LeadGen Set Appointments</v>
      </c>
    </row>
    <row r="6654" hidden="1">
      <c r="A6654" s="6" t="s">
        <v>81</v>
      </c>
      <c r="B6654" s="13" t="s">
        <v>2360</v>
      </c>
      <c r="C6654" s="13" t="s">
        <v>2361</v>
      </c>
      <c r="D6654" s="15">
        <v>2.0</v>
      </c>
      <c r="E6654" s="67">
        <f t="shared" si="18"/>
        <v>500</v>
      </c>
      <c r="F6654" s="67" t="str">
        <f t="shared" si="12"/>
        <v>2 LeadGen Set Appointments</v>
      </c>
    </row>
    <row r="6655" hidden="1">
      <c r="A6655" s="6" t="s">
        <v>81</v>
      </c>
      <c r="B6655" s="13" t="s">
        <v>2563</v>
      </c>
      <c r="C6655" s="13" t="s">
        <v>2564</v>
      </c>
      <c r="D6655" s="15">
        <v>2.0</v>
      </c>
      <c r="E6655" s="67">
        <f t="shared" si="18"/>
        <v>500</v>
      </c>
      <c r="F6655" s="67" t="str">
        <f t="shared" si="12"/>
        <v>2 LeadGen Set Appointments</v>
      </c>
    </row>
    <row r="6656" hidden="1">
      <c r="A6656" s="6" t="s">
        <v>81</v>
      </c>
      <c r="B6656" s="13" t="s">
        <v>2236</v>
      </c>
      <c r="C6656" s="13" t="s">
        <v>2237</v>
      </c>
      <c r="D6656" s="15">
        <v>2.0</v>
      </c>
      <c r="E6656" s="67">
        <f t="shared" si="18"/>
        <v>500</v>
      </c>
      <c r="F6656" s="67" t="str">
        <f t="shared" si="12"/>
        <v>2 LeadGen Set Appointments</v>
      </c>
    </row>
    <row r="6657" hidden="1">
      <c r="A6657" s="6" t="s">
        <v>81</v>
      </c>
      <c r="B6657" s="13" t="s">
        <v>1923</v>
      </c>
      <c r="C6657" s="13" t="s">
        <v>1924</v>
      </c>
      <c r="D6657" s="15">
        <v>2.0</v>
      </c>
      <c r="E6657" s="67">
        <f t="shared" si="18"/>
        <v>500</v>
      </c>
      <c r="F6657" s="67" t="str">
        <f t="shared" si="12"/>
        <v>2 LeadGen Set Appointments</v>
      </c>
    </row>
    <row r="6658" hidden="1">
      <c r="A6658" s="6" t="s">
        <v>81</v>
      </c>
      <c r="B6658" s="13" t="s">
        <v>2475</v>
      </c>
      <c r="C6658" s="13" t="s">
        <v>2476</v>
      </c>
      <c r="D6658" s="15">
        <v>2.0</v>
      </c>
      <c r="E6658" s="67">
        <f t="shared" si="18"/>
        <v>500</v>
      </c>
      <c r="F6658" s="67" t="str">
        <f t="shared" si="12"/>
        <v>2 LeadGen Set Appointments</v>
      </c>
    </row>
    <row r="6659" hidden="1">
      <c r="A6659" s="6" t="s">
        <v>81</v>
      </c>
      <c r="B6659" s="13" t="s">
        <v>2544</v>
      </c>
      <c r="C6659" s="13" t="s">
        <v>2545</v>
      </c>
      <c r="D6659" s="15">
        <v>2.0</v>
      </c>
      <c r="E6659" s="67">
        <f t="shared" si="18"/>
        <v>500</v>
      </c>
      <c r="F6659" s="67" t="str">
        <f t="shared" si="12"/>
        <v>2 LeadGen Set Appointments</v>
      </c>
    </row>
    <row r="6660" hidden="1">
      <c r="A6660" s="6" t="s">
        <v>81</v>
      </c>
      <c r="B6660" s="13" t="s">
        <v>258</v>
      </c>
      <c r="C6660" s="13" t="s">
        <v>2386</v>
      </c>
      <c r="D6660" s="15">
        <v>2.0</v>
      </c>
      <c r="E6660" s="67">
        <f t="shared" si="18"/>
        <v>500</v>
      </c>
      <c r="F6660" s="67" t="str">
        <f t="shared" si="12"/>
        <v>2 LeadGen Set Appointments</v>
      </c>
    </row>
    <row r="6661" hidden="1">
      <c r="A6661" s="6" t="s">
        <v>81</v>
      </c>
      <c r="B6661" s="13" t="s">
        <v>2525</v>
      </c>
      <c r="C6661" s="13" t="s">
        <v>2526</v>
      </c>
      <c r="D6661" s="15">
        <v>2.0</v>
      </c>
      <c r="E6661" s="67">
        <f t="shared" si="18"/>
        <v>500</v>
      </c>
      <c r="F6661" s="67" t="str">
        <f t="shared" si="12"/>
        <v>2 LeadGen Set Appointments</v>
      </c>
    </row>
    <row r="6662" hidden="1">
      <c r="A6662" s="6" t="s">
        <v>81</v>
      </c>
      <c r="B6662" s="13" t="s">
        <v>2369</v>
      </c>
      <c r="C6662" s="13" t="s">
        <v>2370</v>
      </c>
      <c r="D6662" s="15">
        <v>2.0</v>
      </c>
      <c r="E6662" s="67">
        <f t="shared" si="18"/>
        <v>500</v>
      </c>
      <c r="F6662" s="67" t="str">
        <f t="shared" si="12"/>
        <v>2 LeadGen Set Appointments</v>
      </c>
    </row>
    <row r="6663" hidden="1">
      <c r="A6663" s="6" t="s">
        <v>81</v>
      </c>
      <c r="B6663" s="13" t="s">
        <v>413</v>
      </c>
      <c r="C6663" s="13" t="s">
        <v>414</v>
      </c>
      <c r="D6663" s="15">
        <v>2.0</v>
      </c>
      <c r="E6663" s="67">
        <f t="shared" si="18"/>
        <v>500</v>
      </c>
      <c r="F6663" s="67" t="str">
        <f t="shared" si="12"/>
        <v>2 LeadGen Set Appointments</v>
      </c>
    </row>
    <row r="6664" hidden="1">
      <c r="A6664" s="6" t="s">
        <v>81</v>
      </c>
      <c r="B6664" s="13" t="s">
        <v>606</v>
      </c>
      <c r="C6664" s="13" t="s">
        <v>607</v>
      </c>
      <c r="D6664" s="15">
        <v>1.0</v>
      </c>
      <c r="E6664" s="67">
        <f t="shared" si="18"/>
        <v>250</v>
      </c>
      <c r="F6664" s="67" t="str">
        <f t="shared" si="12"/>
        <v>1 LeadGen Set Appointments</v>
      </c>
    </row>
    <row r="6665" hidden="1">
      <c r="A6665" s="6" t="s">
        <v>81</v>
      </c>
      <c r="B6665" s="13" t="s">
        <v>1033</v>
      </c>
      <c r="C6665" s="13" t="s">
        <v>1034</v>
      </c>
      <c r="D6665" s="15">
        <v>1.0</v>
      </c>
      <c r="E6665" s="67">
        <f t="shared" si="18"/>
        <v>250</v>
      </c>
      <c r="F6665" s="67" t="str">
        <f t="shared" si="12"/>
        <v>1 LeadGen Set Appointments</v>
      </c>
    </row>
    <row r="6666" hidden="1">
      <c r="A6666" s="6" t="s">
        <v>81</v>
      </c>
      <c r="B6666" s="13" t="s">
        <v>2565</v>
      </c>
      <c r="C6666" s="13" t="s">
        <v>2566</v>
      </c>
      <c r="D6666" s="15">
        <v>1.0</v>
      </c>
      <c r="E6666" s="67">
        <f t="shared" si="18"/>
        <v>250</v>
      </c>
      <c r="F6666" s="67" t="str">
        <f t="shared" si="12"/>
        <v>1 LeadGen Set Appointments</v>
      </c>
    </row>
    <row r="6667" hidden="1">
      <c r="A6667" s="6" t="s">
        <v>81</v>
      </c>
      <c r="B6667" s="13" t="s">
        <v>1602</v>
      </c>
      <c r="C6667" s="13" t="s">
        <v>2567</v>
      </c>
      <c r="D6667" s="15">
        <v>1.0</v>
      </c>
      <c r="E6667" s="67">
        <f t="shared" si="18"/>
        <v>250</v>
      </c>
      <c r="F6667" s="67" t="str">
        <f t="shared" si="12"/>
        <v>1 LeadGen Set Appointments</v>
      </c>
    </row>
    <row r="6668" hidden="1">
      <c r="A6668" s="6" t="s">
        <v>81</v>
      </c>
      <c r="B6668" s="13" t="s">
        <v>1579</v>
      </c>
      <c r="C6668" s="13" t="s">
        <v>1580</v>
      </c>
      <c r="D6668" s="15">
        <v>1.0</v>
      </c>
      <c r="E6668" s="67">
        <f t="shared" si="18"/>
        <v>250</v>
      </c>
      <c r="F6668" s="67" t="str">
        <f t="shared" si="12"/>
        <v>1 LeadGen Set Appointments</v>
      </c>
    </row>
    <row r="6669" hidden="1">
      <c r="A6669" s="6" t="s">
        <v>81</v>
      </c>
      <c r="B6669" s="13" t="s">
        <v>2568</v>
      </c>
      <c r="C6669" s="13" t="s">
        <v>2569</v>
      </c>
      <c r="D6669" s="15">
        <v>1.0</v>
      </c>
      <c r="E6669" s="67">
        <f t="shared" si="18"/>
        <v>250</v>
      </c>
      <c r="F6669" s="67" t="str">
        <f t="shared" si="12"/>
        <v>1 LeadGen Set Appointments</v>
      </c>
    </row>
    <row r="6670" hidden="1">
      <c r="A6670" s="6" t="s">
        <v>81</v>
      </c>
      <c r="B6670" s="13" t="s">
        <v>2417</v>
      </c>
      <c r="C6670" s="13" t="s">
        <v>2418</v>
      </c>
      <c r="D6670" s="15">
        <v>1.0</v>
      </c>
      <c r="E6670" s="67">
        <f t="shared" si="18"/>
        <v>250</v>
      </c>
      <c r="F6670" s="67" t="str">
        <f t="shared" si="12"/>
        <v>1 LeadGen Set Appointments</v>
      </c>
    </row>
    <row r="6671" hidden="1">
      <c r="A6671" s="6" t="s">
        <v>81</v>
      </c>
      <c r="B6671" s="13" t="s">
        <v>2540</v>
      </c>
      <c r="C6671" s="13" t="s">
        <v>2541</v>
      </c>
      <c r="D6671" s="15">
        <v>1.0</v>
      </c>
      <c r="E6671" s="67">
        <f t="shared" si="18"/>
        <v>250</v>
      </c>
      <c r="F6671" s="67" t="str">
        <f t="shared" si="12"/>
        <v>1 LeadGen Set Appointments</v>
      </c>
    </row>
    <row r="6672" hidden="1">
      <c r="A6672" s="6" t="s">
        <v>81</v>
      </c>
      <c r="B6672" s="13" t="s">
        <v>1443</v>
      </c>
      <c r="C6672" s="13" t="s">
        <v>755</v>
      </c>
      <c r="D6672" s="15">
        <v>1.0</v>
      </c>
      <c r="E6672" s="67">
        <f t="shared" si="18"/>
        <v>250</v>
      </c>
      <c r="F6672" s="67" t="str">
        <f t="shared" si="12"/>
        <v>1 LeadGen Set Appointments</v>
      </c>
    </row>
    <row r="6673" hidden="1">
      <c r="A6673" s="6" t="s">
        <v>81</v>
      </c>
      <c r="B6673" s="13" t="s">
        <v>2570</v>
      </c>
      <c r="C6673" s="13" t="s">
        <v>2571</v>
      </c>
      <c r="D6673" s="15">
        <v>1.0</v>
      </c>
      <c r="E6673" s="67">
        <f t="shared" si="18"/>
        <v>250</v>
      </c>
      <c r="F6673" s="67" t="str">
        <f t="shared" si="12"/>
        <v>1 LeadGen Set Appointments</v>
      </c>
    </row>
    <row r="6674" hidden="1">
      <c r="A6674" s="6" t="s">
        <v>81</v>
      </c>
      <c r="B6674" s="13" t="s">
        <v>1279</v>
      </c>
      <c r="C6674" s="13" t="s">
        <v>739</v>
      </c>
      <c r="D6674" s="15">
        <v>1.0</v>
      </c>
      <c r="E6674" s="67">
        <f t="shared" si="18"/>
        <v>250</v>
      </c>
      <c r="F6674" s="67" t="str">
        <f t="shared" si="12"/>
        <v>1 LeadGen Set Appointments</v>
      </c>
    </row>
    <row r="6675" hidden="1">
      <c r="A6675" s="6" t="s">
        <v>81</v>
      </c>
      <c r="B6675" s="13" t="s">
        <v>2521</v>
      </c>
      <c r="C6675" s="13" t="s">
        <v>2522</v>
      </c>
      <c r="D6675" s="15">
        <v>1.0</v>
      </c>
      <c r="E6675" s="67">
        <f t="shared" si="18"/>
        <v>250</v>
      </c>
      <c r="F6675" s="67" t="str">
        <f t="shared" si="12"/>
        <v>1 LeadGen Set Appointments</v>
      </c>
    </row>
    <row r="6676" hidden="1">
      <c r="A6676" s="6" t="s">
        <v>81</v>
      </c>
      <c r="B6676" s="13" t="s">
        <v>2572</v>
      </c>
      <c r="C6676" s="13" t="s">
        <v>2573</v>
      </c>
      <c r="D6676" s="15">
        <v>1.0</v>
      </c>
      <c r="E6676" s="67">
        <f t="shared" si="18"/>
        <v>250</v>
      </c>
      <c r="F6676" s="67" t="str">
        <f t="shared" si="12"/>
        <v>1 LeadGen Set Appointments</v>
      </c>
    </row>
    <row r="6677" hidden="1">
      <c r="A6677" s="6" t="s">
        <v>81</v>
      </c>
      <c r="B6677" s="13" t="s">
        <v>2574</v>
      </c>
      <c r="C6677" s="13" t="s">
        <v>2575</v>
      </c>
      <c r="D6677" s="15">
        <v>1.0</v>
      </c>
      <c r="E6677" s="67">
        <f t="shared" si="18"/>
        <v>250</v>
      </c>
      <c r="F6677" s="67" t="str">
        <f t="shared" si="12"/>
        <v>1 LeadGen Set Appointments</v>
      </c>
    </row>
    <row r="6678" hidden="1">
      <c r="A6678" s="6" t="s">
        <v>81</v>
      </c>
      <c r="B6678" s="13" t="s">
        <v>2576</v>
      </c>
      <c r="C6678" s="13" t="s">
        <v>2577</v>
      </c>
      <c r="D6678" s="15">
        <v>1.0</v>
      </c>
      <c r="E6678" s="67">
        <f t="shared" si="18"/>
        <v>250</v>
      </c>
      <c r="F6678" s="67" t="str">
        <f t="shared" si="12"/>
        <v>1 LeadGen Set Appointments</v>
      </c>
    </row>
    <row r="6679" hidden="1">
      <c r="A6679" s="6" t="s">
        <v>81</v>
      </c>
      <c r="B6679" s="13" t="s">
        <v>2578</v>
      </c>
      <c r="C6679" s="13" t="s">
        <v>2579</v>
      </c>
      <c r="D6679" s="15">
        <v>1.0</v>
      </c>
      <c r="E6679" s="67">
        <f t="shared" si="18"/>
        <v>250</v>
      </c>
      <c r="F6679" s="67" t="str">
        <f t="shared" si="12"/>
        <v>1 LeadGen Set Appointments</v>
      </c>
    </row>
    <row r="6680" hidden="1">
      <c r="A6680" s="6" t="s">
        <v>81</v>
      </c>
      <c r="B6680" s="13" t="s">
        <v>2580</v>
      </c>
      <c r="C6680" s="13" t="s">
        <v>2581</v>
      </c>
      <c r="D6680" s="15">
        <v>1.0</v>
      </c>
      <c r="E6680" s="67">
        <f t="shared" si="18"/>
        <v>250</v>
      </c>
      <c r="F6680" s="67" t="str">
        <f t="shared" si="12"/>
        <v>1 LeadGen Set Appointments</v>
      </c>
    </row>
    <row r="6681" hidden="1">
      <c r="A6681" s="6" t="s">
        <v>81</v>
      </c>
      <c r="B6681" s="13" t="s">
        <v>2323</v>
      </c>
      <c r="C6681" s="13" t="s">
        <v>2324</v>
      </c>
      <c r="D6681" s="15">
        <v>3.0</v>
      </c>
      <c r="E6681" s="67">
        <f t="shared" si="18"/>
        <v>750</v>
      </c>
      <c r="F6681" s="67" t="str">
        <f t="shared" si="12"/>
        <v>3 LeadGen Set Appointments</v>
      </c>
    </row>
    <row r="6682" hidden="1">
      <c r="A6682" s="6" t="s">
        <v>81</v>
      </c>
      <c r="B6682" s="13" t="s">
        <v>1947</v>
      </c>
      <c r="C6682" s="13" t="s">
        <v>2582</v>
      </c>
      <c r="D6682" s="15">
        <v>1.0</v>
      </c>
      <c r="E6682" s="67">
        <f t="shared" si="18"/>
        <v>250</v>
      </c>
      <c r="F6682" s="67" t="str">
        <f t="shared" si="12"/>
        <v>1 LeadGen Set Appointments</v>
      </c>
    </row>
    <row r="6683" hidden="1">
      <c r="A6683" s="6" t="s">
        <v>81</v>
      </c>
      <c r="B6683" s="13" t="s">
        <v>2583</v>
      </c>
      <c r="C6683" s="13" t="s">
        <v>2584</v>
      </c>
      <c r="D6683" s="15">
        <v>1.0</v>
      </c>
      <c r="E6683" s="67">
        <f t="shared" si="18"/>
        <v>250</v>
      </c>
      <c r="F6683" s="67" t="str">
        <f t="shared" si="12"/>
        <v>1 LeadGen Set Appointments</v>
      </c>
    </row>
    <row r="6684" hidden="1">
      <c r="A6684" s="6" t="s">
        <v>81</v>
      </c>
      <c r="B6684" s="13" t="s">
        <v>2585</v>
      </c>
      <c r="C6684" s="13" t="s">
        <v>2586</v>
      </c>
      <c r="D6684" s="15">
        <v>2.0</v>
      </c>
      <c r="E6684" s="67">
        <f t="shared" si="18"/>
        <v>500</v>
      </c>
      <c r="F6684" s="67" t="str">
        <f t="shared" si="12"/>
        <v>2 LeadGen Set Appointments</v>
      </c>
    </row>
    <row r="6685" hidden="1">
      <c r="A6685" s="6" t="s">
        <v>81</v>
      </c>
      <c r="B6685" s="13" t="s">
        <v>2587</v>
      </c>
      <c r="C6685" s="13" t="s">
        <v>2588</v>
      </c>
      <c r="D6685" s="15">
        <v>7.0</v>
      </c>
      <c r="E6685" s="67">
        <f t="shared" si="18"/>
        <v>1750</v>
      </c>
      <c r="F6685" s="67" t="str">
        <f t="shared" si="12"/>
        <v>7 LeadGen Set Appointments</v>
      </c>
    </row>
    <row r="6686" hidden="1">
      <c r="A6686" s="6" t="s">
        <v>83</v>
      </c>
      <c r="B6686" s="13" t="s">
        <v>476</v>
      </c>
      <c r="C6686" s="13" t="s">
        <v>477</v>
      </c>
      <c r="D6686" s="15">
        <v>32.0</v>
      </c>
      <c r="E6686" s="67">
        <f t="shared" si="18"/>
        <v>16000</v>
      </c>
      <c r="F6686" s="67" t="str">
        <f t="shared" si="12"/>
        <v>32 LeadGen Set Appointments</v>
      </c>
    </row>
    <row r="6687" hidden="1">
      <c r="A6687" s="6" t="s">
        <v>83</v>
      </c>
      <c r="B6687" s="13" t="s">
        <v>540</v>
      </c>
      <c r="C6687" s="13" t="s">
        <v>541</v>
      </c>
      <c r="D6687" s="15">
        <v>25.0</v>
      </c>
      <c r="E6687" s="67">
        <f t="shared" si="18"/>
        <v>12500</v>
      </c>
      <c r="F6687" s="67" t="str">
        <f t="shared" si="12"/>
        <v>25 LeadGen Set Appointments</v>
      </c>
    </row>
    <row r="6688" hidden="1">
      <c r="A6688" s="6" t="s">
        <v>83</v>
      </c>
      <c r="B6688" s="13" t="s">
        <v>644</v>
      </c>
      <c r="C6688" s="13" t="s">
        <v>645</v>
      </c>
      <c r="D6688" s="15">
        <v>20.0</v>
      </c>
      <c r="E6688" s="67">
        <f t="shared" si="18"/>
        <v>10000</v>
      </c>
      <c r="F6688" s="67" t="str">
        <f t="shared" si="12"/>
        <v>20 LeadGen Set Appointments</v>
      </c>
    </row>
    <row r="6689" hidden="1">
      <c r="A6689" s="6" t="s">
        <v>83</v>
      </c>
      <c r="B6689" s="13" t="s">
        <v>411</v>
      </c>
      <c r="C6689" s="13" t="s">
        <v>412</v>
      </c>
      <c r="D6689" s="15">
        <v>19.0</v>
      </c>
      <c r="E6689" s="67">
        <f t="shared" si="18"/>
        <v>9500</v>
      </c>
      <c r="F6689" s="67" t="str">
        <f t="shared" si="12"/>
        <v>19 LeadGen Set Appointments</v>
      </c>
    </row>
    <row r="6690" hidden="1">
      <c r="A6690" s="6" t="s">
        <v>83</v>
      </c>
      <c r="B6690" s="13" t="s">
        <v>1471</v>
      </c>
      <c r="C6690" s="13" t="s">
        <v>1472</v>
      </c>
      <c r="D6690" s="15">
        <v>19.0</v>
      </c>
      <c r="E6690" s="67">
        <f t="shared" si="18"/>
        <v>9500</v>
      </c>
      <c r="F6690" s="67" t="str">
        <f t="shared" si="12"/>
        <v>19 LeadGen Set Appointments</v>
      </c>
    </row>
    <row r="6691" hidden="1">
      <c r="A6691" s="6" t="s">
        <v>83</v>
      </c>
      <c r="B6691" s="13" t="s">
        <v>640</v>
      </c>
      <c r="C6691" s="13" t="s">
        <v>641</v>
      </c>
      <c r="D6691" s="15">
        <v>17.0</v>
      </c>
      <c r="E6691" s="67">
        <f t="shared" si="18"/>
        <v>8500</v>
      </c>
      <c r="F6691" s="67" t="str">
        <f t="shared" si="12"/>
        <v>17 LeadGen Set Appointments</v>
      </c>
    </row>
    <row r="6692" hidden="1">
      <c r="A6692" s="6" t="s">
        <v>83</v>
      </c>
      <c r="B6692" s="13" t="s">
        <v>2220</v>
      </c>
      <c r="C6692" s="13" t="s">
        <v>2221</v>
      </c>
      <c r="D6692" s="15">
        <v>17.0</v>
      </c>
      <c r="E6692" s="67">
        <f t="shared" si="18"/>
        <v>8500</v>
      </c>
      <c r="F6692" s="67" t="str">
        <f t="shared" si="12"/>
        <v>17 LeadGen Set Appointments</v>
      </c>
    </row>
    <row r="6693" hidden="1">
      <c r="A6693" s="6" t="s">
        <v>83</v>
      </c>
      <c r="B6693" s="13" t="s">
        <v>723</v>
      </c>
      <c r="C6693" s="13" t="s">
        <v>724</v>
      </c>
      <c r="D6693" s="15">
        <v>14.0</v>
      </c>
      <c r="E6693" s="67">
        <f t="shared" si="18"/>
        <v>7000</v>
      </c>
      <c r="F6693" s="67" t="str">
        <f t="shared" si="12"/>
        <v>14 LeadGen Set Appointments</v>
      </c>
    </row>
    <row r="6694" hidden="1">
      <c r="A6694" s="6" t="s">
        <v>83</v>
      </c>
      <c r="B6694" s="13" t="s">
        <v>622</v>
      </c>
      <c r="C6694" s="13" t="s">
        <v>623</v>
      </c>
      <c r="D6694" s="15">
        <v>14.0</v>
      </c>
      <c r="E6694" s="67">
        <f t="shared" si="18"/>
        <v>7000</v>
      </c>
      <c r="F6694" s="67" t="str">
        <f t="shared" si="12"/>
        <v>14 LeadGen Set Appointments</v>
      </c>
    </row>
    <row r="6695" hidden="1">
      <c r="A6695" s="6" t="s">
        <v>83</v>
      </c>
      <c r="B6695" s="13" t="s">
        <v>746</v>
      </c>
      <c r="C6695" s="13" t="s">
        <v>747</v>
      </c>
      <c r="D6695" s="15">
        <v>14.0</v>
      </c>
      <c r="E6695" s="67">
        <f t="shared" si="18"/>
        <v>7000</v>
      </c>
      <c r="F6695" s="67" t="str">
        <f t="shared" si="12"/>
        <v>14 LeadGen Set Appointments</v>
      </c>
    </row>
    <row r="6696" hidden="1">
      <c r="A6696" s="6" t="s">
        <v>83</v>
      </c>
      <c r="B6696" s="13" t="s">
        <v>1724</v>
      </c>
      <c r="C6696" s="13" t="s">
        <v>1725</v>
      </c>
      <c r="D6696" s="15">
        <v>13.0</v>
      </c>
      <c r="E6696" s="67">
        <f t="shared" si="18"/>
        <v>6500</v>
      </c>
      <c r="F6696" s="67" t="str">
        <f t="shared" si="12"/>
        <v>13 LeadGen Set Appointments</v>
      </c>
    </row>
    <row r="6697" hidden="1">
      <c r="A6697" s="6" t="s">
        <v>83</v>
      </c>
      <c r="B6697" s="13" t="s">
        <v>532</v>
      </c>
      <c r="C6697" s="13" t="s">
        <v>533</v>
      </c>
      <c r="D6697" s="15">
        <v>13.0</v>
      </c>
      <c r="E6697" s="67">
        <f t="shared" si="18"/>
        <v>6500</v>
      </c>
      <c r="F6697" s="67" t="str">
        <f t="shared" si="12"/>
        <v>13 LeadGen Set Appointments</v>
      </c>
    </row>
    <row r="6698" hidden="1">
      <c r="A6698" s="6" t="s">
        <v>83</v>
      </c>
      <c r="B6698" s="13" t="s">
        <v>2589</v>
      </c>
      <c r="C6698" s="13" t="s">
        <v>2590</v>
      </c>
      <c r="D6698" s="15">
        <v>12.0</v>
      </c>
      <c r="E6698" s="67">
        <f t="shared" si="18"/>
        <v>6000</v>
      </c>
      <c r="F6698" s="67" t="str">
        <f t="shared" si="12"/>
        <v>12 LeadGen Set Appointments</v>
      </c>
    </row>
    <row r="6699" hidden="1">
      <c r="A6699" s="6" t="s">
        <v>83</v>
      </c>
      <c r="B6699" s="13" t="s">
        <v>542</v>
      </c>
      <c r="C6699" s="13" t="s">
        <v>543</v>
      </c>
      <c r="D6699" s="15">
        <v>12.0</v>
      </c>
      <c r="E6699" s="67">
        <f t="shared" si="18"/>
        <v>6000</v>
      </c>
      <c r="F6699" s="67" t="str">
        <f t="shared" si="12"/>
        <v>12 LeadGen Set Appointments</v>
      </c>
    </row>
    <row r="6700" hidden="1">
      <c r="A6700" s="6" t="s">
        <v>83</v>
      </c>
      <c r="B6700" s="13" t="s">
        <v>1700</v>
      </c>
      <c r="C6700" s="13" t="s">
        <v>1701</v>
      </c>
      <c r="D6700" s="15">
        <v>12.0</v>
      </c>
      <c r="E6700" s="67">
        <f t="shared" si="18"/>
        <v>6000</v>
      </c>
      <c r="F6700" s="67" t="str">
        <f t="shared" si="12"/>
        <v>12 LeadGen Set Appointments</v>
      </c>
    </row>
    <row r="6701" hidden="1">
      <c r="A6701" s="6" t="s">
        <v>83</v>
      </c>
      <c r="B6701" s="13" t="s">
        <v>699</v>
      </c>
      <c r="C6701" s="13" t="s">
        <v>700</v>
      </c>
      <c r="D6701" s="15">
        <v>12.0</v>
      </c>
      <c r="E6701" s="67">
        <f t="shared" si="18"/>
        <v>6000</v>
      </c>
      <c r="F6701" s="67" t="str">
        <f t="shared" si="12"/>
        <v>12 LeadGen Set Appointments</v>
      </c>
    </row>
    <row r="6702" hidden="1">
      <c r="A6702" s="6" t="s">
        <v>83</v>
      </c>
      <c r="B6702" s="13" t="s">
        <v>1825</v>
      </c>
      <c r="C6702" s="13" t="s">
        <v>2376</v>
      </c>
      <c r="D6702" s="15">
        <v>12.0</v>
      </c>
      <c r="E6702" s="67">
        <f t="shared" si="18"/>
        <v>6000</v>
      </c>
      <c r="F6702" s="67" t="str">
        <f t="shared" si="12"/>
        <v>12 LeadGen Set Appointments</v>
      </c>
    </row>
    <row r="6703" hidden="1">
      <c r="A6703" s="6" t="s">
        <v>83</v>
      </c>
      <c r="B6703" s="13" t="s">
        <v>628</v>
      </c>
      <c r="C6703" s="13" t="s">
        <v>629</v>
      </c>
      <c r="D6703" s="15">
        <v>11.0</v>
      </c>
      <c r="E6703" s="67">
        <f t="shared" si="18"/>
        <v>5500</v>
      </c>
      <c r="F6703" s="67" t="str">
        <f t="shared" si="12"/>
        <v>11 LeadGen Set Appointments</v>
      </c>
    </row>
    <row r="6704" hidden="1">
      <c r="A6704" s="6" t="s">
        <v>83</v>
      </c>
      <c r="B6704" s="13" t="s">
        <v>1475</v>
      </c>
      <c r="C6704" s="13" t="s">
        <v>1476</v>
      </c>
      <c r="D6704" s="15">
        <v>11.0</v>
      </c>
      <c r="E6704" s="67">
        <f t="shared" si="18"/>
        <v>5500</v>
      </c>
      <c r="F6704" s="67" t="str">
        <f t="shared" si="12"/>
        <v>11 LeadGen Set Appointments</v>
      </c>
    </row>
    <row r="6705" hidden="1">
      <c r="A6705" s="6" t="s">
        <v>83</v>
      </c>
      <c r="B6705" s="13" t="s">
        <v>2276</v>
      </c>
      <c r="C6705" s="13" t="s">
        <v>2277</v>
      </c>
      <c r="D6705" s="15">
        <v>11.0</v>
      </c>
      <c r="E6705" s="67">
        <f t="shared" si="18"/>
        <v>5500</v>
      </c>
      <c r="F6705" s="67" t="str">
        <f t="shared" si="12"/>
        <v>11 LeadGen Set Appointments</v>
      </c>
    </row>
    <row r="6706" hidden="1">
      <c r="A6706" s="6" t="s">
        <v>83</v>
      </c>
      <c r="B6706" s="13" t="s">
        <v>1426</v>
      </c>
      <c r="C6706" s="13" t="s">
        <v>1427</v>
      </c>
      <c r="D6706" s="15">
        <v>11.0</v>
      </c>
      <c r="E6706" s="67">
        <f t="shared" si="18"/>
        <v>5500</v>
      </c>
      <c r="F6706" s="67" t="str">
        <f t="shared" si="12"/>
        <v>11 LeadGen Set Appointments</v>
      </c>
    </row>
    <row r="6707" hidden="1">
      <c r="A6707" s="6" t="s">
        <v>83</v>
      </c>
      <c r="B6707" s="13" t="s">
        <v>516</v>
      </c>
      <c r="C6707" s="13" t="s">
        <v>517</v>
      </c>
      <c r="D6707" s="15">
        <v>11.0</v>
      </c>
      <c r="E6707" s="67">
        <f t="shared" si="18"/>
        <v>5500</v>
      </c>
      <c r="F6707" s="67" t="str">
        <f t="shared" si="12"/>
        <v>11 LeadGen Set Appointments</v>
      </c>
    </row>
    <row r="6708" hidden="1">
      <c r="A6708" s="6" t="s">
        <v>83</v>
      </c>
      <c r="B6708" s="13" t="s">
        <v>1865</v>
      </c>
      <c r="C6708" s="13" t="s">
        <v>1866</v>
      </c>
      <c r="D6708" s="15">
        <v>11.0</v>
      </c>
      <c r="E6708" s="67">
        <f t="shared" si="18"/>
        <v>5500</v>
      </c>
      <c r="F6708" s="67" t="str">
        <f t="shared" si="12"/>
        <v>11 LeadGen Set Appointments</v>
      </c>
    </row>
    <row r="6709" hidden="1">
      <c r="A6709" s="6" t="s">
        <v>83</v>
      </c>
      <c r="B6709" s="13" t="s">
        <v>766</v>
      </c>
      <c r="C6709" s="13" t="s">
        <v>767</v>
      </c>
      <c r="D6709" s="15">
        <v>11.0</v>
      </c>
      <c r="E6709" s="67">
        <f t="shared" si="18"/>
        <v>5500</v>
      </c>
      <c r="F6709" s="67" t="str">
        <f t="shared" si="12"/>
        <v>11 LeadGen Set Appointments</v>
      </c>
    </row>
    <row r="6710" hidden="1">
      <c r="A6710" s="6" t="s">
        <v>83</v>
      </c>
      <c r="B6710" s="13" t="s">
        <v>1025</v>
      </c>
      <c r="C6710" s="13" t="s">
        <v>1026</v>
      </c>
      <c r="D6710" s="15">
        <v>11.0</v>
      </c>
      <c r="E6710" s="67">
        <f t="shared" si="18"/>
        <v>5500</v>
      </c>
      <c r="F6710" s="67" t="str">
        <f t="shared" si="12"/>
        <v>11 LeadGen Set Appointments</v>
      </c>
    </row>
    <row r="6711" hidden="1">
      <c r="A6711" s="6" t="s">
        <v>83</v>
      </c>
      <c r="B6711" s="13" t="s">
        <v>435</v>
      </c>
      <c r="C6711" s="13" t="s">
        <v>436</v>
      </c>
      <c r="D6711" s="15">
        <v>11.0</v>
      </c>
      <c r="E6711" s="67">
        <f t="shared" si="18"/>
        <v>5500</v>
      </c>
      <c r="F6711" s="67" t="str">
        <f t="shared" si="12"/>
        <v>11 LeadGen Set Appointments</v>
      </c>
    </row>
    <row r="6712" hidden="1">
      <c r="A6712" s="6" t="s">
        <v>83</v>
      </c>
      <c r="B6712" s="13" t="s">
        <v>2548</v>
      </c>
      <c r="C6712" s="13" t="s">
        <v>2549</v>
      </c>
      <c r="D6712" s="15">
        <v>10.0</v>
      </c>
      <c r="E6712" s="67">
        <f t="shared" si="18"/>
        <v>5000</v>
      </c>
      <c r="F6712" s="67" t="str">
        <f t="shared" si="12"/>
        <v>10 LeadGen Set Appointments</v>
      </c>
    </row>
    <row r="6713" hidden="1">
      <c r="A6713" s="6" t="s">
        <v>83</v>
      </c>
      <c r="B6713" s="13" t="s">
        <v>2179</v>
      </c>
      <c r="C6713" s="13" t="s">
        <v>2180</v>
      </c>
      <c r="D6713" s="15">
        <v>10.0</v>
      </c>
      <c r="E6713" s="67">
        <f t="shared" si="18"/>
        <v>5000</v>
      </c>
      <c r="F6713" s="67" t="str">
        <f t="shared" si="12"/>
        <v>10 LeadGen Set Appointments</v>
      </c>
    </row>
    <row r="6714" hidden="1">
      <c r="A6714" s="6" t="s">
        <v>83</v>
      </c>
      <c r="B6714" s="13" t="s">
        <v>1415</v>
      </c>
      <c r="C6714" s="13" t="s">
        <v>1416</v>
      </c>
      <c r="D6714" s="15">
        <v>10.0</v>
      </c>
      <c r="E6714" s="67">
        <f t="shared" si="18"/>
        <v>5000</v>
      </c>
      <c r="F6714" s="67" t="str">
        <f t="shared" si="12"/>
        <v>10 LeadGen Set Appointments</v>
      </c>
    </row>
    <row r="6715" hidden="1">
      <c r="A6715" s="6" t="s">
        <v>83</v>
      </c>
      <c r="B6715" s="13" t="s">
        <v>1489</v>
      </c>
      <c r="C6715" s="13" t="s">
        <v>1490</v>
      </c>
      <c r="D6715" s="15">
        <v>10.0</v>
      </c>
      <c r="E6715" s="67">
        <f t="shared" si="18"/>
        <v>5000</v>
      </c>
      <c r="F6715" s="67" t="str">
        <f t="shared" si="12"/>
        <v>10 LeadGen Set Appointments</v>
      </c>
    </row>
    <row r="6716" hidden="1">
      <c r="A6716" s="6" t="s">
        <v>83</v>
      </c>
      <c r="B6716" s="13" t="s">
        <v>1483</v>
      </c>
      <c r="C6716" s="13" t="s">
        <v>1484</v>
      </c>
      <c r="D6716" s="15">
        <v>10.0</v>
      </c>
      <c r="E6716" s="67">
        <f t="shared" si="18"/>
        <v>5000</v>
      </c>
      <c r="F6716" s="67" t="str">
        <f t="shared" si="12"/>
        <v>10 LeadGen Set Appointments</v>
      </c>
    </row>
    <row r="6717" hidden="1">
      <c r="A6717" s="6" t="s">
        <v>83</v>
      </c>
      <c r="B6717" s="13" t="s">
        <v>1585</v>
      </c>
      <c r="C6717" s="13" t="s">
        <v>2490</v>
      </c>
      <c r="D6717" s="15">
        <v>9.0</v>
      </c>
      <c r="E6717" s="67">
        <f t="shared" si="18"/>
        <v>2250</v>
      </c>
      <c r="F6717" s="67" t="str">
        <f t="shared" si="12"/>
        <v>9 LeadGen Set Appointments</v>
      </c>
    </row>
    <row r="6718" hidden="1">
      <c r="A6718" s="6" t="s">
        <v>83</v>
      </c>
      <c r="B6718" s="13" t="s">
        <v>1461</v>
      </c>
      <c r="C6718" s="13" t="s">
        <v>1462</v>
      </c>
      <c r="D6718" s="15">
        <v>9.0</v>
      </c>
      <c r="E6718" s="67">
        <f t="shared" si="18"/>
        <v>2250</v>
      </c>
      <c r="F6718" s="67" t="str">
        <f t="shared" si="12"/>
        <v>9 LeadGen Set Appointments</v>
      </c>
    </row>
    <row r="6719" hidden="1">
      <c r="A6719" s="6" t="s">
        <v>83</v>
      </c>
      <c r="B6719" s="13" t="s">
        <v>486</v>
      </c>
      <c r="C6719" s="13" t="s">
        <v>487</v>
      </c>
      <c r="D6719" s="15">
        <v>9.0</v>
      </c>
      <c r="E6719" s="67">
        <f t="shared" si="18"/>
        <v>2250</v>
      </c>
      <c r="F6719" s="67" t="str">
        <f t="shared" si="12"/>
        <v>9 LeadGen Set Appointments</v>
      </c>
    </row>
    <row r="6720" hidden="1">
      <c r="A6720" s="6" t="s">
        <v>83</v>
      </c>
      <c r="B6720" s="13" t="s">
        <v>2444</v>
      </c>
      <c r="C6720" s="13" t="s">
        <v>2445</v>
      </c>
      <c r="D6720" s="15">
        <v>9.0</v>
      </c>
      <c r="E6720" s="67">
        <f t="shared" si="18"/>
        <v>2250</v>
      </c>
      <c r="F6720" s="67" t="str">
        <f t="shared" si="12"/>
        <v>9 LeadGen Set Appointments</v>
      </c>
    </row>
    <row r="6721" hidden="1">
      <c r="A6721" s="6" t="s">
        <v>83</v>
      </c>
      <c r="B6721" s="13" t="s">
        <v>510</v>
      </c>
      <c r="C6721" s="13" t="s">
        <v>511</v>
      </c>
      <c r="D6721" s="15">
        <v>9.0</v>
      </c>
      <c r="E6721" s="67">
        <f t="shared" si="18"/>
        <v>2250</v>
      </c>
      <c r="F6721" s="67" t="str">
        <f t="shared" si="12"/>
        <v>9 LeadGen Set Appointments</v>
      </c>
    </row>
    <row r="6722" hidden="1">
      <c r="A6722" s="6" t="s">
        <v>83</v>
      </c>
      <c r="B6722" s="13" t="s">
        <v>1935</v>
      </c>
      <c r="C6722" s="13" t="s">
        <v>1936</v>
      </c>
      <c r="D6722" s="15">
        <v>9.0</v>
      </c>
      <c r="E6722" s="67">
        <f t="shared" si="18"/>
        <v>2250</v>
      </c>
      <c r="F6722" s="67" t="str">
        <f t="shared" si="12"/>
        <v>9 LeadGen Set Appointments</v>
      </c>
    </row>
    <row r="6723" hidden="1">
      <c r="A6723" s="6" t="s">
        <v>83</v>
      </c>
      <c r="B6723" s="13" t="s">
        <v>2236</v>
      </c>
      <c r="C6723" s="13" t="s">
        <v>2237</v>
      </c>
      <c r="D6723" s="15">
        <v>9.0</v>
      </c>
      <c r="E6723" s="67">
        <f t="shared" si="18"/>
        <v>2250</v>
      </c>
      <c r="F6723" s="67" t="str">
        <f t="shared" si="12"/>
        <v>9 LeadGen Set Appointments</v>
      </c>
    </row>
    <row r="6724" hidden="1">
      <c r="A6724" s="6" t="s">
        <v>83</v>
      </c>
      <c r="B6724" s="13" t="s">
        <v>910</v>
      </c>
      <c r="C6724" s="13" t="s">
        <v>911</v>
      </c>
      <c r="D6724" s="15">
        <v>9.0</v>
      </c>
      <c r="E6724" s="67">
        <f t="shared" si="18"/>
        <v>2250</v>
      </c>
      <c r="F6724" s="67" t="str">
        <f t="shared" si="12"/>
        <v>9 LeadGen Set Appointments</v>
      </c>
    </row>
    <row r="6725" hidden="1">
      <c r="A6725" s="6" t="s">
        <v>83</v>
      </c>
      <c r="B6725" s="13" t="s">
        <v>2280</v>
      </c>
      <c r="C6725" s="13" t="s">
        <v>2281</v>
      </c>
      <c r="D6725" s="15">
        <v>9.0</v>
      </c>
      <c r="E6725" s="67">
        <f t="shared" si="18"/>
        <v>2250</v>
      </c>
      <c r="F6725" s="67" t="str">
        <f t="shared" si="12"/>
        <v>9 LeadGen Set Appointments</v>
      </c>
    </row>
    <row r="6726" hidden="1">
      <c r="A6726" s="6" t="s">
        <v>83</v>
      </c>
      <c r="B6726" s="13" t="s">
        <v>1457</v>
      </c>
      <c r="C6726" s="13" t="s">
        <v>2411</v>
      </c>
      <c r="D6726" s="15">
        <v>9.0</v>
      </c>
      <c r="E6726" s="67">
        <f t="shared" si="18"/>
        <v>2250</v>
      </c>
      <c r="F6726" s="67" t="str">
        <f t="shared" si="12"/>
        <v>9 LeadGen Set Appointments</v>
      </c>
    </row>
    <row r="6727" hidden="1">
      <c r="A6727" s="6" t="s">
        <v>83</v>
      </c>
      <c r="B6727" s="13" t="s">
        <v>288</v>
      </c>
      <c r="C6727" s="13" t="s">
        <v>2375</v>
      </c>
      <c r="D6727" s="15">
        <v>8.0</v>
      </c>
      <c r="E6727" s="67">
        <f t="shared" si="18"/>
        <v>2000</v>
      </c>
      <c r="F6727" s="67" t="str">
        <f t="shared" si="12"/>
        <v>8 LeadGen Set Appointments</v>
      </c>
    </row>
    <row r="6728" hidden="1">
      <c r="A6728" s="6" t="s">
        <v>83</v>
      </c>
      <c r="B6728" s="13" t="s">
        <v>1011</v>
      </c>
      <c r="C6728" s="13" t="s">
        <v>2483</v>
      </c>
      <c r="D6728" s="15">
        <v>8.0</v>
      </c>
      <c r="E6728" s="67">
        <f t="shared" si="18"/>
        <v>2000</v>
      </c>
      <c r="F6728" s="67" t="str">
        <f t="shared" si="12"/>
        <v>8 LeadGen Set Appointments</v>
      </c>
    </row>
    <row r="6729" hidden="1">
      <c r="A6729" s="6" t="s">
        <v>83</v>
      </c>
      <c r="B6729" s="13" t="s">
        <v>2499</v>
      </c>
      <c r="C6729" s="13" t="s">
        <v>2500</v>
      </c>
      <c r="D6729" s="15">
        <v>8.0</v>
      </c>
      <c r="E6729" s="67">
        <f t="shared" si="18"/>
        <v>2000</v>
      </c>
      <c r="F6729" s="67" t="str">
        <f t="shared" si="12"/>
        <v>8 LeadGen Set Appointments</v>
      </c>
    </row>
    <row r="6730" hidden="1">
      <c r="A6730" s="6" t="s">
        <v>83</v>
      </c>
      <c r="B6730" s="13" t="s">
        <v>518</v>
      </c>
      <c r="C6730" s="13" t="s">
        <v>519</v>
      </c>
      <c r="D6730" s="15">
        <v>8.0</v>
      </c>
      <c r="E6730" s="67">
        <f t="shared" si="18"/>
        <v>2000</v>
      </c>
      <c r="F6730" s="67" t="str">
        <f t="shared" si="12"/>
        <v>8 LeadGen Set Appointments</v>
      </c>
    </row>
    <row r="6731" hidden="1">
      <c r="A6731" s="6" t="s">
        <v>83</v>
      </c>
      <c r="B6731" s="13" t="s">
        <v>624</v>
      </c>
      <c r="C6731" s="13" t="s">
        <v>625</v>
      </c>
      <c r="D6731" s="15">
        <v>8.0</v>
      </c>
      <c r="E6731" s="67">
        <f t="shared" si="18"/>
        <v>2000</v>
      </c>
      <c r="F6731" s="67" t="str">
        <f t="shared" si="12"/>
        <v>8 LeadGen Set Appointments</v>
      </c>
    </row>
    <row r="6732" hidden="1">
      <c r="A6732" s="6" t="s">
        <v>83</v>
      </c>
      <c r="B6732" s="13" t="s">
        <v>271</v>
      </c>
      <c r="C6732" s="13" t="s">
        <v>2551</v>
      </c>
      <c r="D6732" s="15">
        <v>7.0</v>
      </c>
      <c r="E6732" s="67">
        <f t="shared" si="18"/>
        <v>1750</v>
      </c>
      <c r="F6732" s="67" t="str">
        <f t="shared" si="12"/>
        <v>7 LeadGen Set Appointments</v>
      </c>
    </row>
    <row r="6733" hidden="1">
      <c r="A6733" s="6" t="s">
        <v>83</v>
      </c>
      <c r="B6733" s="13" t="s">
        <v>744</v>
      </c>
      <c r="C6733" s="13" t="s">
        <v>745</v>
      </c>
      <c r="D6733" s="15">
        <v>7.0</v>
      </c>
      <c r="E6733" s="67">
        <f t="shared" si="18"/>
        <v>1750</v>
      </c>
      <c r="F6733" s="67" t="str">
        <f t="shared" si="12"/>
        <v>7 LeadGen Set Appointments</v>
      </c>
    </row>
    <row r="6734" hidden="1">
      <c r="A6734" s="6" t="s">
        <v>83</v>
      </c>
      <c r="B6734" s="13" t="s">
        <v>500</v>
      </c>
      <c r="C6734" s="13" t="s">
        <v>501</v>
      </c>
      <c r="D6734" s="15">
        <v>7.0</v>
      </c>
      <c r="E6734" s="67">
        <f t="shared" si="18"/>
        <v>1750</v>
      </c>
      <c r="F6734" s="67" t="str">
        <f t="shared" si="12"/>
        <v>7 LeadGen Set Appointments</v>
      </c>
    </row>
    <row r="6735" hidden="1">
      <c r="A6735" s="6" t="s">
        <v>83</v>
      </c>
      <c r="B6735" s="13" t="s">
        <v>684</v>
      </c>
      <c r="C6735" s="13" t="s">
        <v>685</v>
      </c>
      <c r="D6735" s="15">
        <v>7.0</v>
      </c>
      <c r="E6735" s="67">
        <f t="shared" si="18"/>
        <v>1750</v>
      </c>
      <c r="F6735" s="67" t="str">
        <f t="shared" si="12"/>
        <v>7 LeadGen Set Appointments</v>
      </c>
    </row>
    <row r="6736" hidden="1">
      <c r="A6736" s="6" t="s">
        <v>83</v>
      </c>
      <c r="B6736" s="13" t="s">
        <v>1583</v>
      </c>
      <c r="C6736" s="13" t="s">
        <v>1584</v>
      </c>
      <c r="D6736" s="15">
        <v>7.0</v>
      </c>
      <c r="E6736" s="67">
        <f t="shared" si="18"/>
        <v>1750</v>
      </c>
      <c r="F6736" s="67" t="str">
        <f t="shared" si="12"/>
        <v>7 LeadGen Set Appointments</v>
      </c>
    </row>
    <row r="6737" hidden="1">
      <c r="A6737" s="6" t="s">
        <v>83</v>
      </c>
      <c r="B6737" s="13" t="s">
        <v>2288</v>
      </c>
      <c r="C6737" s="13" t="s">
        <v>2289</v>
      </c>
      <c r="D6737" s="15">
        <v>7.0</v>
      </c>
      <c r="E6737" s="67">
        <f t="shared" si="18"/>
        <v>1750</v>
      </c>
      <c r="F6737" s="67" t="str">
        <f t="shared" si="12"/>
        <v>7 LeadGen Set Appointments</v>
      </c>
    </row>
    <row r="6738" hidden="1">
      <c r="A6738" s="6" t="s">
        <v>83</v>
      </c>
      <c r="B6738" s="13" t="s">
        <v>1039</v>
      </c>
      <c r="C6738" s="13" t="s">
        <v>1040</v>
      </c>
      <c r="D6738" s="15">
        <v>7.0</v>
      </c>
      <c r="E6738" s="67">
        <f t="shared" si="18"/>
        <v>1750</v>
      </c>
      <c r="F6738" s="67" t="str">
        <f t="shared" si="12"/>
        <v>7 LeadGen Set Appointments</v>
      </c>
    </row>
    <row r="6739" hidden="1">
      <c r="A6739" s="6" t="s">
        <v>83</v>
      </c>
      <c r="B6739" s="13" t="s">
        <v>1493</v>
      </c>
      <c r="C6739" s="13" t="s">
        <v>1494</v>
      </c>
      <c r="D6739" s="15">
        <v>7.0</v>
      </c>
      <c r="E6739" s="67">
        <f t="shared" si="18"/>
        <v>1750</v>
      </c>
      <c r="F6739" s="67" t="str">
        <f t="shared" si="12"/>
        <v>7 LeadGen Set Appointments</v>
      </c>
    </row>
    <row r="6740" hidden="1">
      <c r="A6740" s="6" t="s">
        <v>83</v>
      </c>
      <c r="B6740" s="13" t="s">
        <v>2369</v>
      </c>
      <c r="C6740" s="13" t="s">
        <v>2370</v>
      </c>
      <c r="D6740" s="15">
        <v>7.0</v>
      </c>
      <c r="E6740" s="67">
        <f t="shared" si="18"/>
        <v>1750</v>
      </c>
      <c r="F6740" s="67" t="str">
        <f t="shared" si="12"/>
        <v>7 LeadGen Set Appointments</v>
      </c>
    </row>
    <row r="6741" hidden="1">
      <c r="A6741" s="6" t="s">
        <v>83</v>
      </c>
      <c r="B6741" s="13" t="s">
        <v>2479</v>
      </c>
      <c r="C6741" s="13" t="s">
        <v>2480</v>
      </c>
      <c r="D6741" s="15">
        <v>7.0</v>
      </c>
      <c r="E6741" s="67">
        <f t="shared" si="18"/>
        <v>1750</v>
      </c>
      <c r="F6741" s="67" t="str">
        <f t="shared" si="12"/>
        <v>7 LeadGen Set Appointments</v>
      </c>
    </row>
    <row r="6742" hidden="1">
      <c r="A6742" s="6" t="s">
        <v>83</v>
      </c>
      <c r="B6742" s="13" t="s">
        <v>2450</v>
      </c>
      <c r="C6742" s="13" t="s">
        <v>2451</v>
      </c>
      <c r="D6742" s="15">
        <v>6.0</v>
      </c>
      <c r="E6742" s="67">
        <f t="shared" si="18"/>
        <v>1500</v>
      </c>
      <c r="F6742" s="67" t="str">
        <f t="shared" si="12"/>
        <v>6 LeadGen Set Appointments</v>
      </c>
    </row>
    <row r="6743" hidden="1">
      <c r="A6743" s="6" t="s">
        <v>83</v>
      </c>
      <c r="B6743" s="13" t="s">
        <v>736</v>
      </c>
      <c r="C6743" s="13" t="s">
        <v>737</v>
      </c>
      <c r="D6743" s="15">
        <v>6.0</v>
      </c>
      <c r="E6743" s="67">
        <f t="shared" si="18"/>
        <v>1500</v>
      </c>
      <c r="F6743" s="67" t="str">
        <f t="shared" si="12"/>
        <v>6 LeadGen Set Appointments</v>
      </c>
    </row>
    <row r="6744" hidden="1">
      <c r="A6744" s="6" t="s">
        <v>83</v>
      </c>
      <c r="B6744" s="13" t="s">
        <v>2155</v>
      </c>
      <c r="C6744" s="13" t="s">
        <v>2214</v>
      </c>
      <c r="D6744" s="15">
        <v>6.0</v>
      </c>
      <c r="E6744" s="67">
        <f t="shared" si="18"/>
        <v>1500</v>
      </c>
      <c r="F6744" s="67" t="str">
        <f t="shared" si="12"/>
        <v>6 LeadGen Set Appointments</v>
      </c>
    </row>
    <row r="6745" hidden="1">
      <c r="A6745" s="6" t="s">
        <v>83</v>
      </c>
      <c r="B6745" s="13" t="s">
        <v>1579</v>
      </c>
      <c r="C6745" s="13" t="s">
        <v>1580</v>
      </c>
      <c r="D6745" s="15">
        <v>6.0</v>
      </c>
      <c r="E6745" s="67">
        <f t="shared" si="18"/>
        <v>1500</v>
      </c>
      <c r="F6745" s="67" t="str">
        <f t="shared" si="12"/>
        <v>6 LeadGen Set Appointments</v>
      </c>
    </row>
    <row r="6746" hidden="1">
      <c r="A6746" s="6" t="s">
        <v>83</v>
      </c>
      <c r="B6746" s="13" t="s">
        <v>1448</v>
      </c>
      <c r="C6746" s="13" t="s">
        <v>1449</v>
      </c>
      <c r="D6746" s="15">
        <v>6.0</v>
      </c>
      <c r="E6746" s="67">
        <f t="shared" si="18"/>
        <v>1500</v>
      </c>
      <c r="F6746" s="67" t="str">
        <f t="shared" si="12"/>
        <v>6 LeadGen Set Appointments</v>
      </c>
    </row>
    <row r="6747" hidden="1">
      <c r="A6747" s="6" t="s">
        <v>83</v>
      </c>
      <c r="B6747" s="13" t="s">
        <v>2034</v>
      </c>
      <c r="C6747" s="13" t="s">
        <v>416</v>
      </c>
      <c r="D6747" s="15">
        <v>6.0</v>
      </c>
      <c r="E6747" s="67">
        <f t="shared" si="18"/>
        <v>1500</v>
      </c>
      <c r="F6747" s="67" t="str">
        <f t="shared" si="12"/>
        <v>6 LeadGen Set Appointments</v>
      </c>
    </row>
    <row r="6748" hidden="1">
      <c r="A6748" s="6" t="s">
        <v>83</v>
      </c>
      <c r="B6748" s="13" t="s">
        <v>752</v>
      </c>
      <c r="C6748" s="13" t="s">
        <v>753</v>
      </c>
      <c r="D6748" s="15">
        <v>6.0</v>
      </c>
      <c r="E6748" s="67">
        <f t="shared" si="18"/>
        <v>1500</v>
      </c>
      <c r="F6748" s="67" t="str">
        <f t="shared" si="12"/>
        <v>6 LeadGen Set Appointments</v>
      </c>
    </row>
    <row r="6749" hidden="1">
      <c r="A6749" s="6" t="s">
        <v>83</v>
      </c>
      <c r="B6749" s="13" t="s">
        <v>502</v>
      </c>
      <c r="C6749" s="13" t="s">
        <v>503</v>
      </c>
      <c r="D6749" s="15">
        <v>6.0</v>
      </c>
      <c r="E6749" s="67">
        <f t="shared" si="18"/>
        <v>1500</v>
      </c>
      <c r="F6749" s="67" t="str">
        <f t="shared" si="12"/>
        <v>6 LeadGen Set Appointments</v>
      </c>
    </row>
    <row r="6750" hidden="1">
      <c r="A6750" s="6" t="s">
        <v>83</v>
      </c>
      <c r="B6750" s="13" t="s">
        <v>1421</v>
      </c>
      <c r="C6750" s="13" t="s">
        <v>712</v>
      </c>
      <c r="D6750" s="15">
        <v>6.0</v>
      </c>
      <c r="E6750" s="67">
        <f t="shared" si="18"/>
        <v>1500</v>
      </c>
      <c r="F6750" s="67" t="str">
        <f t="shared" si="12"/>
        <v>6 LeadGen Set Appointments</v>
      </c>
    </row>
    <row r="6751" hidden="1">
      <c r="A6751" s="6" t="s">
        <v>83</v>
      </c>
      <c r="B6751" s="13" t="s">
        <v>2515</v>
      </c>
      <c r="C6751" s="13" t="s">
        <v>2516</v>
      </c>
      <c r="D6751" s="15">
        <v>6.0</v>
      </c>
      <c r="E6751" s="67">
        <f t="shared" si="18"/>
        <v>1500</v>
      </c>
      <c r="F6751" s="67" t="str">
        <f t="shared" si="12"/>
        <v>6 LeadGen Set Appointments</v>
      </c>
    </row>
    <row r="6752" hidden="1">
      <c r="A6752" s="6" t="s">
        <v>83</v>
      </c>
      <c r="B6752" s="13" t="s">
        <v>524</v>
      </c>
      <c r="C6752" s="13" t="s">
        <v>525</v>
      </c>
      <c r="D6752" s="15">
        <v>6.0</v>
      </c>
      <c r="E6752" s="67">
        <f t="shared" si="18"/>
        <v>1500</v>
      </c>
      <c r="F6752" s="67" t="str">
        <f t="shared" si="12"/>
        <v>6 LeadGen Set Appointments</v>
      </c>
    </row>
    <row r="6753" hidden="1">
      <c r="A6753" s="6" t="s">
        <v>83</v>
      </c>
      <c r="B6753" s="13" t="s">
        <v>1784</v>
      </c>
      <c r="C6753" s="13" t="s">
        <v>1785</v>
      </c>
      <c r="D6753" s="15">
        <v>6.0</v>
      </c>
      <c r="E6753" s="67">
        <f t="shared" si="18"/>
        <v>1500</v>
      </c>
      <c r="F6753" s="67" t="str">
        <f t="shared" si="12"/>
        <v>6 LeadGen Set Appointments</v>
      </c>
    </row>
    <row r="6754" hidden="1">
      <c r="A6754" s="6" t="s">
        <v>83</v>
      </c>
      <c r="B6754" s="13" t="s">
        <v>1983</v>
      </c>
      <c r="C6754" s="13" t="s">
        <v>1984</v>
      </c>
      <c r="D6754" s="15">
        <v>6.0</v>
      </c>
      <c r="E6754" s="67">
        <f t="shared" si="18"/>
        <v>1500</v>
      </c>
      <c r="F6754" s="67" t="str">
        <f t="shared" si="12"/>
        <v>6 LeadGen Set Appointments</v>
      </c>
    </row>
    <row r="6755" hidden="1">
      <c r="A6755" s="6" t="s">
        <v>83</v>
      </c>
      <c r="B6755" s="13" t="s">
        <v>1960</v>
      </c>
      <c r="C6755" s="13" t="s">
        <v>1961</v>
      </c>
      <c r="D6755" s="15">
        <v>6.0</v>
      </c>
      <c r="E6755" s="67">
        <f t="shared" si="18"/>
        <v>1500</v>
      </c>
      <c r="F6755" s="67" t="str">
        <f t="shared" si="12"/>
        <v>6 LeadGen Set Appointments</v>
      </c>
    </row>
    <row r="6756" hidden="1">
      <c r="A6756" s="6" t="s">
        <v>83</v>
      </c>
      <c r="B6756" s="13" t="s">
        <v>2360</v>
      </c>
      <c r="C6756" s="13" t="s">
        <v>2361</v>
      </c>
      <c r="D6756" s="15">
        <v>6.0</v>
      </c>
      <c r="E6756" s="67">
        <f t="shared" si="18"/>
        <v>1500</v>
      </c>
      <c r="F6756" s="67" t="str">
        <f t="shared" si="12"/>
        <v>6 LeadGen Set Appointments</v>
      </c>
    </row>
    <row r="6757" hidden="1">
      <c r="A6757" s="6" t="s">
        <v>83</v>
      </c>
      <c r="B6757" s="13" t="s">
        <v>1442</v>
      </c>
      <c r="C6757" s="13" t="s">
        <v>749</v>
      </c>
      <c r="D6757" s="15">
        <v>6.0</v>
      </c>
      <c r="E6757" s="67">
        <f t="shared" si="18"/>
        <v>1500</v>
      </c>
      <c r="F6757" s="67" t="str">
        <f t="shared" si="12"/>
        <v>6 LeadGen Set Appointments</v>
      </c>
    </row>
    <row r="6758" hidden="1">
      <c r="A6758" s="6" t="s">
        <v>83</v>
      </c>
      <c r="B6758" s="13" t="s">
        <v>2290</v>
      </c>
      <c r="C6758" s="13" t="s">
        <v>2291</v>
      </c>
      <c r="D6758" s="15">
        <v>6.0</v>
      </c>
      <c r="E6758" s="67">
        <f t="shared" si="18"/>
        <v>1500</v>
      </c>
      <c r="F6758" s="67" t="str">
        <f t="shared" si="12"/>
        <v>6 LeadGen Set Appointments</v>
      </c>
    </row>
    <row r="6759" hidden="1">
      <c r="A6759" s="6" t="s">
        <v>83</v>
      </c>
      <c r="B6759" s="13" t="s">
        <v>1883</v>
      </c>
      <c r="C6759" s="13" t="s">
        <v>1884</v>
      </c>
      <c r="D6759" s="15">
        <v>6.0</v>
      </c>
      <c r="E6759" s="67">
        <f t="shared" si="18"/>
        <v>1500</v>
      </c>
      <c r="F6759" s="67" t="str">
        <f t="shared" si="12"/>
        <v>6 LeadGen Set Appointments</v>
      </c>
    </row>
    <row r="6760" hidden="1">
      <c r="A6760" s="6" t="s">
        <v>83</v>
      </c>
      <c r="B6760" s="13" t="s">
        <v>1776</v>
      </c>
      <c r="C6760" s="13" t="s">
        <v>1777</v>
      </c>
      <c r="D6760" s="15">
        <v>6.0</v>
      </c>
      <c r="E6760" s="67">
        <f t="shared" si="18"/>
        <v>1500</v>
      </c>
      <c r="F6760" s="67" t="str">
        <f t="shared" si="12"/>
        <v>6 LeadGen Set Appointments</v>
      </c>
    </row>
    <row r="6761" hidden="1">
      <c r="A6761" s="6" t="s">
        <v>83</v>
      </c>
      <c r="B6761" s="13" t="s">
        <v>447</v>
      </c>
      <c r="C6761" s="13" t="s">
        <v>448</v>
      </c>
      <c r="D6761" s="15">
        <v>5.0</v>
      </c>
      <c r="E6761" s="67">
        <f t="shared" si="18"/>
        <v>1250</v>
      </c>
      <c r="F6761" s="67" t="str">
        <f t="shared" si="12"/>
        <v>5 LeadGen Set Appointments</v>
      </c>
    </row>
    <row r="6762" hidden="1">
      <c r="A6762" s="6" t="s">
        <v>83</v>
      </c>
      <c r="B6762" s="13" t="s">
        <v>2471</v>
      </c>
      <c r="C6762" s="13" t="s">
        <v>2472</v>
      </c>
      <c r="D6762" s="15">
        <v>5.0</v>
      </c>
      <c r="E6762" s="67">
        <f t="shared" si="18"/>
        <v>1250</v>
      </c>
      <c r="F6762" s="67" t="str">
        <f t="shared" si="12"/>
        <v>5 LeadGen Set Appointments</v>
      </c>
    </row>
    <row r="6763" hidden="1">
      <c r="A6763" s="6" t="s">
        <v>83</v>
      </c>
      <c r="B6763" s="13" t="s">
        <v>1774</v>
      </c>
      <c r="C6763" s="13" t="s">
        <v>1775</v>
      </c>
      <c r="D6763" s="15">
        <v>5.0</v>
      </c>
      <c r="E6763" s="67">
        <f t="shared" si="18"/>
        <v>1250</v>
      </c>
      <c r="F6763" s="67" t="str">
        <f t="shared" si="12"/>
        <v>5 LeadGen Set Appointments</v>
      </c>
    </row>
    <row r="6764" hidden="1">
      <c r="A6764" s="6" t="s">
        <v>83</v>
      </c>
      <c r="B6764" s="13" t="s">
        <v>546</v>
      </c>
      <c r="C6764" s="13" t="s">
        <v>547</v>
      </c>
      <c r="D6764" s="15">
        <v>5.0</v>
      </c>
      <c r="E6764" s="67">
        <f t="shared" si="18"/>
        <v>1250</v>
      </c>
      <c r="F6764" s="67" t="str">
        <f t="shared" si="12"/>
        <v>5 LeadGen Set Appointments</v>
      </c>
    </row>
    <row r="6765" hidden="1">
      <c r="A6765" s="6" t="s">
        <v>83</v>
      </c>
      <c r="B6765" s="13" t="s">
        <v>305</v>
      </c>
      <c r="C6765" s="13" t="s">
        <v>2552</v>
      </c>
      <c r="D6765" s="15">
        <v>5.0</v>
      </c>
      <c r="E6765" s="67">
        <f t="shared" si="18"/>
        <v>1250</v>
      </c>
      <c r="F6765" s="67" t="str">
        <f t="shared" si="12"/>
        <v>5 LeadGen Set Appointments</v>
      </c>
    </row>
    <row r="6766" hidden="1">
      <c r="A6766" s="6" t="s">
        <v>83</v>
      </c>
      <c r="B6766" s="13" t="s">
        <v>2373</v>
      </c>
      <c r="C6766" s="13" t="s">
        <v>2374</v>
      </c>
      <c r="D6766" s="15">
        <v>5.0</v>
      </c>
      <c r="E6766" s="67">
        <f t="shared" si="18"/>
        <v>1250</v>
      </c>
      <c r="F6766" s="67" t="str">
        <f t="shared" si="12"/>
        <v>5 LeadGen Set Appointments</v>
      </c>
    </row>
    <row r="6767" hidden="1">
      <c r="A6767" s="6" t="s">
        <v>83</v>
      </c>
      <c r="B6767" s="13" t="s">
        <v>2299</v>
      </c>
      <c r="C6767" s="13" t="s">
        <v>2300</v>
      </c>
      <c r="D6767" s="15">
        <v>5.0</v>
      </c>
      <c r="E6767" s="67">
        <f t="shared" si="18"/>
        <v>1250</v>
      </c>
      <c r="F6767" s="67" t="str">
        <f t="shared" si="12"/>
        <v>5 LeadGen Set Appointments</v>
      </c>
    </row>
    <row r="6768" hidden="1">
      <c r="A6768" s="6" t="s">
        <v>83</v>
      </c>
      <c r="B6768" s="13" t="s">
        <v>1547</v>
      </c>
      <c r="C6768" s="13" t="s">
        <v>1548</v>
      </c>
      <c r="D6768" s="15">
        <v>5.0</v>
      </c>
      <c r="E6768" s="67">
        <f t="shared" si="18"/>
        <v>1250</v>
      </c>
      <c r="F6768" s="67" t="str">
        <f t="shared" si="12"/>
        <v>5 LeadGen Set Appointments</v>
      </c>
    </row>
    <row r="6769" hidden="1">
      <c r="A6769" s="6" t="s">
        <v>83</v>
      </c>
      <c r="B6769" s="13" t="s">
        <v>560</v>
      </c>
      <c r="C6769" s="13" t="s">
        <v>561</v>
      </c>
      <c r="D6769" s="15">
        <v>5.0</v>
      </c>
      <c r="E6769" s="67">
        <f t="shared" si="18"/>
        <v>1250</v>
      </c>
      <c r="F6769" s="67" t="str">
        <f t="shared" si="12"/>
        <v>5 LeadGen Set Appointments</v>
      </c>
    </row>
    <row r="6770" hidden="1">
      <c r="A6770" s="6" t="s">
        <v>83</v>
      </c>
      <c r="B6770" s="13" t="s">
        <v>2585</v>
      </c>
      <c r="C6770" s="13" t="s">
        <v>2586</v>
      </c>
      <c r="D6770" s="15">
        <v>5.0</v>
      </c>
      <c r="E6770" s="67">
        <f t="shared" si="18"/>
        <v>1250</v>
      </c>
      <c r="F6770" s="67" t="str">
        <f t="shared" si="12"/>
        <v>5 LeadGen Set Appointments</v>
      </c>
    </row>
    <row r="6771" hidden="1">
      <c r="A6771" s="6" t="s">
        <v>83</v>
      </c>
      <c r="B6771" s="13" t="s">
        <v>1334</v>
      </c>
      <c r="C6771" s="13" t="s">
        <v>553</v>
      </c>
      <c r="D6771" s="15">
        <v>5.0</v>
      </c>
      <c r="E6771" s="67">
        <f t="shared" si="18"/>
        <v>1250</v>
      </c>
      <c r="F6771" s="67" t="str">
        <f t="shared" si="12"/>
        <v>5 LeadGen Set Appointments</v>
      </c>
    </row>
    <row r="6772" hidden="1">
      <c r="A6772" s="6" t="s">
        <v>83</v>
      </c>
      <c r="B6772" s="13" t="s">
        <v>2393</v>
      </c>
      <c r="C6772" s="13" t="s">
        <v>2394</v>
      </c>
      <c r="D6772" s="15">
        <v>5.0</v>
      </c>
      <c r="E6772" s="67">
        <f t="shared" si="18"/>
        <v>1250</v>
      </c>
      <c r="F6772" s="67" t="str">
        <f t="shared" si="12"/>
        <v>5 LeadGen Set Appointments</v>
      </c>
    </row>
    <row r="6773" hidden="1">
      <c r="A6773" s="6" t="s">
        <v>83</v>
      </c>
      <c r="B6773" s="13" t="s">
        <v>1393</v>
      </c>
      <c r="C6773" s="13" t="s">
        <v>1394</v>
      </c>
      <c r="D6773" s="15">
        <v>5.0</v>
      </c>
      <c r="E6773" s="67">
        <f t="shared" si="18"/>
        <v>1250</v>
      </c>
      <c r="F6773" s="67" t="str">
        <f t="shared" si="12"/>
        <v>5 LeadGen Set Appointments</v>
      </c>
    </row>
    <row r="6774" hidden="1">
      <c r="A6774" s="6" t="s">
        <v>83</v>
      </c>
      <c r="B6774" s="13" t="s">
        <v>717</v>
      </c>
      <c r="C6774" s="13" t="s">
        <v>718</v>
      </c>
      <c r="D6774" s="15">
        <v>5.0</v>
      </c>
      <c r="E6774" s="67">
        <f t="shared" si="18"/>
        <v>1250</v>
      </c>
      <c r="F6774" s="67" t="str">
        <f t="shared" si="12"/>
        <v>5 LeadGen Set Appointments</v>
      </c>
    </row>
    <row r="6775" hidden="1">
      <c r="A6775" s="6" t="s">
        <v>83</v>
      </c>
      <c r="B6775" s="13" t="s">
        <v>572</v>
      </c>
      <c r="C6775" s="13" t="s">
        <v>573</v>
      </c>
      <c r="D6775" s="15">
        <v>5.0</v>
      </c>
      <c r="E6775" s="67">
        <f t="shared" si="18"/>
        <v>1250</v>
      </c>
      <c r="F6775" s="67" t="str">
        <f t="shared" si="12"/>
        <v>5 LeadGen Set Appointments</v>
      </c>
    </row>
    <row r="6776" hidden="1">
      <c r="A6776" s="6" t="s">
        <v>83</v>
      </c>
      <c r="B6776" s="13" t="s">
        <v>2234</v>
      </c>
      <c r="C6776" s="13" t="s">
        <v>2235</v>
      </c>
      <c r="D6776" s="15">
        <v>5.0</v>
      </c>
      <c r="E6776" s="67">
        <f t="shared" si="18"/>
        <v>1250</v>
      </c>
      <c r="F6776" s="67" t="str">
        <f t="shared" si="12"/>
        <v>5 LeadGen Set Appointments</v>
      </c>
    </row>
    <row r="6777" hidden="1">
      <c r="A6777" s="6" t="s">
        <v>83</v>
      </c>
      <c r="B6777" s="13" t="s">
        <v>2405</v>
      </c>
      <c r="C6777" s="13" t="s">
        <v>2406</v>
      </c>
      <c r="D6777" s="15">
        <v>5.0</v>
      </c>
      <c r="E6777" s="67">
        <f t="shared" si="18"/>
        <v>1250</v>
      </c>
      <c r="F6777" s="67" t="str">
        <f t="shared" si="12"/>
        <v>5 LeadGen Set Appointments</v>
      </c>
    </row>
    <row r="6778" hidden="1">
      <c r="A6778" s="6" t="s">
        <v>83</v>
      </c>
      <c r="B6778" s="13" t="s">
        <v>2561</v>
      </c>
      <c r="C6778" s="13" t="s">
        <v>2562</v>
      </c>
      <c r="D6778" s="15">
        <v>5.0</v>
      </c>
      <c r="E6778" s="67">
        <f t="shared" si="18"/>
        <v>1250</v>
      </c>
      <c r="F6778" s="67" t="str">
        <f t="shared" si="12"/>
        <v>5 LeadGen Set Appointments</v>
      </c>
    </row>
    <row r="6779" hidden="1">
      <c r="A6779" s="6" t="s">
        <v>83</v>
      </c>
      <c r="B6779" s="13" t="s">
        <v>1947</v>
      </c>
      <c r="C6779" s="13" t="s">
        <v>2582</v>
      </c>
      <c r="D6779" s="15">
        <v>5.0</v>
      </c>
      <c r="E6779" s="67">
        <f t="shared" si="18"/>
        <v>1250</v>
      </c>
      <c r="F6779" s="67" t="str">
        <f t="shared" si="12"/>
        <v>5 LeadGen Set Appointments</v>
      </c>
    </row>
    <row r="6780" hidden="1">
      <c r="A6780" s="6" t="s">
        <v>83</v>
      </c>
      <c r="B6780" s="13" t="s">
        <v>1716</v>
      </c>
      <c r="C6780" s="13" t="s">
        <v>30</v>
      </c>
      <c r="D6780" s="15">
        <v>5.0</v>
      </c>
      <c r="E6780" s="67">
        <f t="shared" si="18"/>
        <v>1250</v>
      </c>
      <c r="F6780" s="67" t="str">
        <f t="shared" si="12"/>
        <v>5 LeadGen Set Appointments</v>
      </c>
    </row>
    <row r="6781" hidden="1">
      <c r="A6781" s="6" t="s">
        <v>83</v>
      </c>
      <c r="B6781" s="13" t="s">
        <v>1923</v>
      </c>
      <c r="C6781" s="13" t="s">
        <v>1924</v>
      </c>
      <c r="D6781" s="15">
        <v>5.0</v>
      </c>
      <c r="E6781" s="67">
        <f t="shared" si="18"/>
        <v>1250</v>
      </c>
      <c r="F6781" s="67" t="str">
        <f t="shared" si="12"/>
        <v>5 LeadGen Set Appointments</v>
      </c>
    </row>
    <row r="6782" hidden="1">
      <c r="A6782" s="6" t="s">
        <v>83</v>
      </c>
      <c r="B6782" s="13" t="s">
        <v>2081</v>
      </c>
      <c r="C6782" s="13" t="s">
        <v>2082</v>
      </c>
      <c r="D6782" s="15">
        <v>5.0</v>
      </c>
      <c r="E6782" s="67">
        <f t="shared" si="18"/>
        <v>1250</v>
      </c>
      <c r="F6782" s="67" t="str">
        <f t="shared" si="12"/>
        <v>5 LeadGen Set Appointments</v>
      </c>
    </row>
    <row r="6783" hidden="1">
      <c r="A6783" s="6" t="s">
        <v>83</v>
      </c>
      <c r="B6783" s="13" t="s">
        <v>2477</v>
      </c>
      <c r="C6783" s="13" t="s">
        <v>2478</v>
      </c>
      <c r="D6783" s="15">
        <v>5.0</v>
      </c>
      <c r="E6783" s="67">
        <f t="shared" si="18"/>
        <v>1250</v>
      </c>
      <c r="F6783" s="67" t="str">
        <f t="shared" si="12"/>
        <v>5 LeadGen Set Appointments</v>
      </c>
    </row>
    <row r="6784" hidden="1">
      <c r="A6784" s="6" t="s">
        <v>83</v>
      </c>
      <c r="B6784" s="13" t="s">
        <v>1897</v>
      </c>
      <c r="C6784" s="13" t="s">
        <v>2460</v>
      </c>
      <c r="D6784" s="15">
        <v>5.0</v>
      </c>
      <c r="E6784" s="67">
        <f t="shared" si="18"/>
        <v>1250</v>
      </c>
      <c r="F6784" s="67" t="str">
        <f t="shared" si="12"/>
        <v>5 LeadGen Set Appointments</v>
      </c>
    </row>
    <row r="6785" hidden="1">
      <c r="A6785" s="6" t="s">
        <v>83</v>
      </c>
      <c r="B6785" s="13" t="s">
        <v>2525</v>
      </c>
      <c r="C6785" s="13" t="s">
        <v>2526</v>
      </c>
      <c r="D6785" s="15">
        <v>5.0</v>
      </c>
      <c r="E6785" s="67">
        <f t="shared" si="18"/>
        <v>1250</v>
      </c>
      <c r="F6785" s="67" t="str">
        <f t="shared" si="12"/>
        <v>5 LeadGen Set Appointments</v>
      </c>
    </row>
    <row r="6786" hidden="1">
      <c r="A6786" s="6" t="s">
        <v>83</v>
      </c>
      <c r="B6786" s="13" t="s">
        <v>1283</v>
      </c>
      <c r="C6786" s="13" t="s">
        <v>404</v>
      </c>
      <c r="D6786" s="15">
        <v>5.0</v>
      </c>
      <c r="E6786" s="67">
        <f t="shared" si="18"/>
        <v>1250</v>
      </c>
      <c r="F6786" s="67" t="str">
        <f t="shared" si="12"/>
        <v>5 LeadGen Set Appointments</v>
      </c>
    </row>
    <row r="6787" hidden="1">
      <c r="A6787" s="6" t="s">
        <v>83</v>
      </c>
      <c r="B6787" s="13" t="s">
        <v>2077</v>
      </c>
      <c r="C6787" s="13" t="s">
        <v>2078</v>
      </c>
      <c r="D6787" s="15">
        <v>5.0</v>
      </c>
      <c r="E6787" s="67">
        <f t="shared" si="18"/>
        <v>1250</v>
      </c>
      <c r="F6787" s="67" t="str">
        <f t="shared" si="12"/>
        <v>5 LeadGen Set Appointments</v>
      </c>
    </row>
    <row r="6788" hidden="1">
      <c r="A6788" s="6" t="s">
        <v>83</v>
      </c>
      <c r="B6788" s="13" t="s">
        <v>2397</v>
      </c>
      <c r="C6788" s="13" t="s">
        <v>2398</v>
      </c>
      <c r="D6788" s="15">
        <v>4.0</v>
      </c>
      <c r="E6788" s="67">
        <f t="shared" si="18"/>
        <v>1000</v>
      </c>
      <c r="F6788" s="67" t="str">
        <f t="shared" si="12"/>
        <v>4 LeadGen Set Appointments</v>
      </c>
    </row>
    <row r="6789" hidden="1">
      <c r="A6789" s="6" t="s">
        <v>83</v>
      </c>
      <c r="B6789" s="13" t="s">
        <v>2465</v>
      </c>
      <c r="C6789" s="13" t="s">
        <v>2466</v>
      </c>
      <c r="D6789" s="15">
        <v>4.0</v>
      </c>
      <c r="E6789" s="67">
        <f t="shared" si="18"/>
        <v>1000</v>
      </c>
      <c r="F6789" s="67" t="str">
        <f t="shared" si="12"/>
        <v>4 LeadGen Set Appointments</v>
      </c>
    </row>
    <row r="6790" hidden="1">
      <c r="A6790" s="6" t="s">
        <v>83</v>
      </c>
      <c r="B6790" s="13" t="s">
        <v>2212</v>
      </c>
      <c r="C6790" s="13" t="s">
        <v>2213</v>
      </c>
      <c r="D6790" s="15">
        <v>4.0</v>
      </c>
      <c r="E6790" s="67">
        <f t="shared" si="18"/>
        <v>1000</v>
      </c>
      <c r="F6790" s="67" t="str">
        <f t="shared" si="12"/>
        <v>4 LeadGen Set Appointments</v>
      </c>
    </row>
    <row r="6791" hidden="1">
      <c r="A6791" s="6" t="s">
        <v>83</v>
      </c>
      <c r="B6791" s="13" t="s">
        <v>2591</v>
      </c>
      <c r="C6791" s="13" t="s">
        <v>2592</v>
      </c>
      <c r="D6791" s="15">
        <v>4.0</v>
      </c>
      <c r="E6791" s="67">
        <f t="shared" si="18"/>
        <v>1000</v>
      </c>
      <c r="F6791" s="67" t="str">
        <f t="shared" si="12"/>
        <v>4 LeadGen Set Appointments</v>
      </c>
    </row>
    <row r="6792" hidden="1">
      <c r="A6792" s="6" t="s">
        <v>83</v>
      </c>
      <c r="B6792" s="13" t="s">
        <v>2389</v>
      </c>
      <c r="C6792" s="13" t="s">
        <v>2390</v>
      </c>
      <c r="D6792" s="15">
        <v>4.0</v>
      </c>
      <c r="E6792" s="67">
        <f t="shared" si="18"/>
        <v>1000</v>
      </c>
      <c r="F6792" s="67" t="str">
        <f t="shared" si="12"/>
        <v>4 LeadGen Set Appointments</v>
      </c>
    </row>
    <row r="6793" hidden="1">
      <c r="A6793" s="6" t="s">
        <v>83</v>
      </c>
      <c r="B6793" s="13" t="s">
        <v>1543</v>
      </c>
      <c r="C6793" s="13" t="s">
        <v>1544</v>
      </c>
      <c r="D6793" s="15">
        <v>4.0</v>
      </c>
      <c r="E6793" s="67">
        <f t="shared" si="18"/>
        <v>1000</v>
      </c>
      <c r="F6793" s="67" t="str">
        <f t="shared" si="12"/>
        <v>4 LeadGen Set Appointments</v>
      </c>
    </row>
    <row r="6794" hidden="1">
      <c r="A6794" s="6" t="s">
        <v>83</v>
      </c>
      <c r="B6794" s="13" t="s">
        <v>2538</v>
      </c>
      <c r="C6794" s="13" t="s">
        <v>2539</v>
      </c>
      <c r="D6794" s="15">
        <v>4.0</v>
      </c>
      <c r="E6794" s="67">
        <f t="shared" si="18"/>
        <v>1000</v>
      </c>
      <c r="F6794" s="67" t="str">
        <f t="shared" si="12"/>
        <v>4 LeadGen Set Appointments</v>
      </c>
    </row>
    <row r="6795" hidden="1">
      <c r="A6795" s="6" t="s">
        <v>83</v>
      </c>
      <c r="B6795" s="13" t="s">
        <v>1467</v>
      </c>
      <c r="C6795" s="13" t="s">
        <v>1468</v>
      </c>
      <c r="D6795" s="15">
        <v>4.0</v>
      </c>
      <c r="E6795" s="67">
        <f t="shared" si="18"/>
        <v>1000</v>
      </c>
      <c r="F6795" s="67" t="str">
        <f t="shared" si="12"/>
        <v>4 LeadGen Set Appointments</v>
      </c>
    </row>
    <row r="6796" hidden="1">
      <c r="A6796" s="6" t="s">
        <v>83</v>
      </c>
      <c r="B6796" s="13" t="s">
        <v>976</v>
      </c>
      <c r="C6796" s="13" t="s">
        <v>977</v>
      </c>
      <c r="D6796" s="15">
        <v>4.0</v>
      </c>
      <c r="E6796" s="67">
        <f t="shared" si="18"/>
        <v>1000</v>
      </c>
      <c r="F6796" s="67" t="str">
        <f t="shared" si="12"/>
        <v>4 LeadGen Set Appointments</v>
      </c>
    </row>
    <row r="6797" hidden="1">
      <c r="A6797" s="6" t="s">
        <v>83</v>
      </c>
      <c r="B6797" s="13" t="s">
        <v>2097</v>
      </c>
      <c r="C6797" s="13" t="s">
        <v>828</v>
      </c>
      <c r="D6797" s="15">
        <v>4.0</v>
      </c>
      <c r="E6797" s="67">
        <f t="shared" si="18"/>
        <v>1000</v>
      </c>
      <c r="F6797" s="67" t="str">
        <f t="shared" si="12"/>
        <v>4 LeadGen Set Appointments</v>
      </c>
    </row>
    <row r="6798" hidden="1">
      <c r="A6798" s="6" t="s">
        <v>83</v>
      </c>
      <c r="B6798" s="13" t="s">
        <v>1443</v>
      </c>
      <c r="C6798" s="13" t="s">
        <v>755</v>
      </c>
      <c r="D6798" s="15">
        <v>4.0</v>
      </c>
      <c r="E6798" s="67">
        <f t="shared" si="18"/>
        <v>1000</v>
      </c>
      <c r="F6798" s="67" t="str">
        <f t="shared" si="12"/>
        <v>4 LeadGen Set Appointments</v>
      </c>
    </row>
    <row r="6799" hidden="1">
      <c r="A6799" s="6" t="s">
        <v>83</v>
      </c>
      <c r="B6799" s="13" t="s">
        <v>1512</v>
      </c>
      <c r="C6799" s="13" t="s">
        <v>1513</v>
      </c>
      <c r="D6799" s="15">
        <v>4.0</v>
      </c>
      <c r="E6799" s="67">
        <f t="shared" si="18"/>
        <v>1000</v>
      </c>
      <c r="F6799" s="67" t="str">
        <f t="shared" si="12"/>
        <v>4 LeadGen Set Appointments</v>
      </c>
    </row>
    <row r="6800" hidden="1">
      <c r="A6800" s="6" t="s">
        <v>83</v>
      </c>
      <c r="B6800" s="13" t="s">
        <v>2553</v>
      </c>
      <c r="C6800" s="13" t="s">
        <v>2554</v>
      </c>
      <c r="D6800" s="15">
        <v>4.0</v>
      </c>
      <c r="E6800" s="67">
        <f t="shared" si="18"/>
        <v>1000</v>
      </c>
      <c r="F6800" s="67" t="str">
        <f t="shared" si="12"/>
        <v>4 LeadGen Set Appointments</v>
      </c>
    </row>
    <row r="6801" hidden="1">
      <c r="A6801" s="6" t="s">
        <v>83</v>
      </c>
      <c r="B6801" s="13" t="s">
        <v>273</v>
      </c>
      <c r="C6801" s="13" t="s">
        <v>274</v>
      </c>
      <c r="D6801" s="15">
        <v>4.0</v>
      </c>
      <c r="E6801" s="67">
        <f t="shared" si="18"/>
        <v>1000</v>
      </c>
      <c r="F6801" s="67" t="str">
        <f t="shared" si="12"/>
        <v>4 LeadGen Set Appointments</v>
      </c>
    </row>
    <row r="6802" hidden="1">
      <c r="A6802" s="6" t="s">
        <v>83</v>
      </c>
      <c r="B6802" s="13" t="s">
        <v>1937</v>
      </c>
      <c r="C6802" s="13" t="s">
        <v>1938</v>
      </c>
      <c r="D6802" s="15">
        <v>4.0</v>
      </c>
      <c r="E6802" s="67">
        <f t="shared" si="18"/>
        <v>1000</v>
      </c>
      <c r="F6802" s="67" t="str">
        <f t="shared" si="12"/>
        <v>4 LeadGen Set Appointments</v>
      </c>
    </row>
    <row r="6803" hidden="1">
      <c r="A6803" s="6" t="s">
        <v>83</v>
      </c>
      <c r="B6803" s="13" t="s">
        <v>1770</v>
      </c>
      <c r="C6803" s="13" t="s">
        <v>1771</v>
      </c>
      <c r="D6803" s="15">
        <v>4.0</v>
      </c>
      <c r="E6803" s="67">
        <f t="shared" si="18"/>
        <v>1000</v>
      </c>
      <c r="F6803" s="67" t="str">
        <f t="shared" si="12"/>
        <v>4 LeadGen Set Appointments</v>
      </c>
    </row>
    <row r="6804" hidden="1">
      <c r="A6804" s="6" t="s">
        <v>83</v>
      </c>
      <c r="B6804" s="13" t="s">
        <v>693</v>
      </c>
      <c r="C6804" s="13" t="s">
        <v>694</v>
      </c>
      <c r="D6804" s="15">
        <v>4.0</v>
      </c>
      <c r="E6804" s="67">
        <f t="shared" si="18"/>
        <v>1000</v>
      </c>
      <c r="F6804" s="67" t="str">
        <f t="shared" si="12"/>
        <v>4 LeadGen Set Appointments</v>
      </c>
    </row>
    <row r="6805" hidden="1">
      <c r="A6805" s="6" t="s">
        <v>83</v>
      </c>
      <c r="B6805" s="13" t="s">
        <v>582</v>
      </c>
      <c r="C6805" s="13" t="s">
        <v>583</v>
      </c>
      <c r="D6805" s="15">
        <v>4.0</v>
      </c>
      <c r="E6805" s="67">
        <f t="shared" si="18"/>
        <v>1000</v>
      </c>
      <c r="F6805" s="67" t="str">
        <f t="shared" si="12"/>
        <v>4 LeadGen Set Appointments</v>
      </c>
    </row>
    <row r="6806" hidden="1">
      <c r="A6806" s="6" t="s">
        <v>83</v>
      </c>
      <c r="B6806" s="13" t="s">
        <v>1325</v>
      </c>
      <c r="C6806" s="13" t="s">
        <v>1326</v>
      </c>
      <c r="D6806" s="15">
        <v>4.0</v>
      </c>
      <c r="E6806" s="67">
        <f t="shared" si="18"/>
        <v>1000</v>
      </c>
      <c r="F6806" s="67" t="str">
        <f t="shared" si="12"/>
        <v>4 LeadGen Set Appointments</v>
      </c>
    </row>
    <row r="6807" hidden="1">
      <c r="A6807" s="6" t="s">
        <v>83</v>
      </c>
      <c r="B6807" s="13" t="s">
        <v>1891</v>
      </c>
      <c r="C6807" s="13" t="s">
        <v>1892</v>
      </c>
      <c r="D6807" s="15">
        <v>4.0</v>
      </c>
      <c r="E6807" s="67">
        <f t="shared" si="18"/>
        <v>1000</v>
      </c>
      <c r="F6807" s="67" t="str">
        <f t="shared" si="12"/>
        <v>4 LeadGen Set Appointments</v>
      </c>
    </row>
    <row r="6808" hidden="1">
      <c r="A6808" s="6" t="s">
        <v>83</v>
      </c>
      <c r="B6808" s="13" t="s">
        <v>2100</v>
      </c>
      <c r="C6808" s="13" t="s">
        <v>2101</v>
      </c>
      <c r="D6808" s="15">
        <v>4.0</v>
      </c>
      <c r="E6808" s="67">
        <f t="shared" si="18"/>
        <v>1000</v>
      </c>
      <c r="F6808" s="67" t="str">
        <f t="shared" si="12"/>
        <v>4 LeadGen Set Appointments</v>
      </c>
    </row>
    <row r="6809" hidden="1">
      <c r="A6809" s="6" t="s">
        <v>83</v>
      </c>
      <c r="B6809" s="13" t="s">
        <v>626</v>
      </c>
      <c r="C6809" s="13" t="s">
        <v>627</v>
      </c>
      <c r="D6809" s="15">
        <v>4.0</v>
      </c>
      <c r="E6809" s="67">
        <f t="shared" si="18"/>
        <v>1000</v>
      </c>
      <c r="F6809" s="67" t="str">
        <f t="shared" si="12"/>
        <v>4 LeadGen Set Appointments</v>
      </c>
    </row>
    <row r="6810" hidden="1">
      <c r="A6810" s="6" t="s">
        <v>83</v>
      </c>
      <c r="B6810" s="13" t="s">
        <v>1491</v>
      </c>
      <c r="C6810" s="13" t="s">
        <v>1492</v>
      </c>
      <c r="D6810" s="15">
        <v>4.0</v>
      </c>
      <c r="E6810" s="67">
        <f t="shared" si="18"/>
        <v>1000</v>
      </c>
      <c r="F6810" s="67" t="str">
        <f t="shared" si="12"/>
        <v>4 LeadGen Set Appointments</v>
      </c>
    </row>
    <row r="6811" hidden="1">
      <c r="A6811" s="6" t="s">
        <v>83</v>
      </c>
      <c r="B6811" s="13" t="s">
        <v>2458</v>
      </c>
      <c r="C6811" s="13" t="s">
        <v>2459</v>
      </c>
      <c r="D6811" s="15">
        <v>4.0</v>
      </c>
      <c r="E6811" s="67">
        <f t="shared" si="18"/>
        <v>1000</v>
      </c>
      <c r="F6811" s="67" t="str">
        <f t="shared" si="12"/>
        <v>4 LeadGen Set Appointments</v>
      </c>
    </row>
    <row r="6812" hidden="1">
      <c r="A6812" s="6" t="s">
        <v>83</v>
      </c>
      <c r="B6812" s="13" t="s">
        <v>656</v>
      </c>
      <c r="C6812" s="13" t="s">
        <v>657</v>
      </c>
      <c r="D6812" s="15">
        <v>4.0</v>
      </c>
      <c r="E6812" s="67">
        <f t="shared" si="18"/>
        <v>1000</v>
      </c>
      <c r="F6812" s="67" t="str">
        <f t="shared" si="12"/>
        <v>4 LeadGen Set Appointments</v>
      </c>
    </row>
    <row r="6813" hidden="1">
      <c r="A6813" s="6" t="s">
        <v>83</v>
      </c>
      <c r="B6813" s="13" t="s">
        <v>443</v>
      </c>
      <c r="C6813" s="13" t="s">
        <v>444</v>
      </c>
      <c r="D6813" s="15">
        <v>4.0</v>
      </c>
      <c r="E6813" s="67">
        <f t="shared" si="18"/>
        <v>1000</v>
      </c>
      <c r="F6813" s="67" t="str">
        <f t="shared" si="12"/>
        <v>4 LeadGen Set Appointments</v>
      </c>
    </row>
    <row r="6814" hidden="1">
      <c r="A6814" s="6" t="s">
        <v>83</v>
      </c>
      <c r="B6814" s="13" t="s">
        <v>1567</v>
      </c>
      <c r="C6814" s="13" t="s">
        <v>1568</v>
      </c>
      <c r="D6814" s="15">
        <v>4.0</v>
      </c>
      <c r="E6814" s="67">
        <f t="shared" si="18"/>
        <v>1000</v>
      </c>
      <c r="F6814" s="67" t="str">
        <f t="shared" si="12"/>
        <v>4 LeadGen Set Appointments</v>
      </c>
    </row>
    <row r="6815" hidden="1">
      <c r="A6815" s="6" t="s">
        <v>83</v>
      </c>
      <c r="B6815" s="13" t="s">
        <v>1736</v>
      </c>
      <c r="C6815" s="13" t="s">
        <v>1737</v>
      </c>
      <c r="D6815" s="15">
        <v>4.0</v>
      </c>
      <c r="E6815" s="67">
        <f t="shared" si="18"/>
        <v>1000</v>
      </c>
      <c r="F6815" s="67" t="str">
        <f t="shared" si="12"/>
        <v>4 LeadGen Set Appointments</v>
      </c>
    </row>
    <row r="6816" hidden="1">
      <c r="A6816" s="6" t="s">
        <v>83</v>
      </c>
      <c r="B6816" s="13" t="s">
        <v>701</v>
      </c>
      <c r="C6816" s="13" t="s">
        <v>702</v>
      </c>
      <c r="D6816" s="15">
        <v>4.0</v>
      </c>
      <c r="E6816" s="67">
        <f t="shared" si="18"/>
        <v>1000</v>
      </c>
      <c r="F6816" s="67" t="str">
        <f t="shared" si="12"/>
        <v>4 LeadGen Set Appointments</v>
      </c>
    </row>
    <row r="6817" hidden="1">
      <c r="A6817" s="6" t="s">
        <v>83</v>
      </c>
      <c r="B6817" s="13" t="s">
        <v>2511</v>
      </c>
      <c r="C6817" s="13" t="s">
        <v>2512</v>
      </c>
      <c r="D6817" s="15">
        <v>4.0</v>
      </c>
      <c r="E6817" s="67">
        <f t="shared" si="18"/>
        <v>1000</v>
      </c>
      <c r="F6817" s="67" t="str">
        <f t="shared" si="12"/>
        <v>4 LeadGen Set Appointments</v>
      </c>
    </row>
    <row r="6818" hidden="1">
      <c r="A6818" s="6" t="s">
        <v>83</v>
      </c>
      <c r="B6818" s="13" t="s">
        <v>2323</v>
      </c>
      <c r="C6818" s="13" t="s">
        <v>2324</v>
      </c>
      <c r="D6818" s="15">
        <v>4.0</v>
      </c>
      <c r="E6818" s="67">
        <f t="shared" si="18"/>
        <v>1000</v>
      </c>
      <c r="F6818" s="67" t="str">
        <f t="shared" si="12"/>
        <v>4 LeadGen Set Appointments</v>
      </c>
    </row>
    <row r="6819" hidden="1">
      <c r="A6819" s="6" t="s">
        <v>83</v>
      </c>
      <c r="B6819" s="13" t="s">
        <v>2578</v>
      </c>
      <c r="C6819" s="13" t="s">
        <v>2579</v>
      </c>
      <c r="D6819" s="15">
        <v>4.0</v>
      </c>
      <c r="E6819" s="67">
        <f t="shared" si="18"/>
        <v>1000</v>
      </c>
      <c r="F6819" s="67" t="str">
        <f t="shared" si="12"/>
        <v>4 LeadGen Set Appointments</v>
      </c>
    </row>
    <row r="6820" hidden="1">
      <c r="A6820" s="6" t="s">
        <v>83</v>
      </c>
      <c r="B6820" s="13" t="s">
        <v>413</v>
      </c>
      <c r="C6820" s="13" t="s">
        <v>414</v>
      </c>
      <c r="D6820" s="15">
        <v>4.0</v>
      </c>
      <c r="E6820" s="67">
        <f t="shared" si="18"/>
        <v>1000</v>
      </c>
      <c r="F6820" s="67" t="str">
        <f t="shared" si="12"/>
        <v>4 LeadGen Set Appointments</v>
      </c>
    </row>
    <row r="6821" hidden="1">
      <c r="A6821" s="6" t="s">
        <v>83</v>
      </c>
      <c r="B6821" s="13" t="s">
        <v>1945</v>
      </c>
      <c r="C6821" s="13" t="s">
        <v>1946</v>
      </c>
      <c r="D6821" s="15">
        <v>4.0</v>
      </c>
      <c r="E6821" s="67">
        <f t="shared" si="18"/>
        <v>1000</v>
      </c>
      <c r="F6821" s="67" t="str">
        <f t="shared" si="12"/>
        <v>4 LeadGen Set Appointments</v>
      </c>
    </row>
    <row r="6822" hidden="1">
      <c r="A6822" s="6" t="s">
        <v>83</v>
      </c>
      <c r="B6822" s="13" t="s">
        <v>1463</v>
      </c>
      <c r="C6822" s="13" t="s">
        <v>1464</v>
      </c>
      <c r="D6822" s="15">
        <v>3.0</v>
      </c>
      <c r="E6822" s="67">
        <f t="shared" si="18"/>
        <v>750</v>
      </c>
      <c r="F6822" s="67" t="str">
        <f t="shared" si="12"/>
        <v>3 LeadGen Set Appointments</v>
      </c>
    </row>
    <row r="6823" hidden="1">
      <c r="A6823" s="6" t="s">
        <v>83</v>
      </c>
      <c r="B6823" s="13" t="s">
        <v>1473</v>
      </c>
      <c r="C6823" s="13" t="s">
        <v>1474</v>
      </c>
      <c r="D6823" s="15">
        <v>3.0</v>
      </c>
      <c r="E6823" s="67">
        <f t="shared" si="18"/>
        <v>750</v>
      </c>
      <c r="F6823" s="67" t="str">
        <f t="shared" si="12"/>
        <v>3 LeadGen Set Appointments</v>
      </c>
    </row>
    <row r="6824" hidden="1">
      <c r="A6824" s="6" t="s">
        <v>83</v>
      </c>
      <c r="B6824" s="13" t="s">
        <v>2491</v>
      </c>
      <c r="C6824" s="13" t="s">
        <v>2492</v>
      </c>
      <c r="D6824" s="15">
        <v>3.0</v>
      </c>
      <c r="E6824" s="67">
        <f t="shared" si="18"/>
        <v>750</v>
      </c>
      <c r="F6824" s="67" t="str">
        <f t="shared" si="12"/>
        <v>3 LeadGen Set Appointments</v>
      </c>
    </row>
    <row r="6825" hidden="1">
      <c r="A6825" s="6" t="s">
        <v>83</v>
      </c>
      <c r="B6825" s="13" t="s">
        <v>2486</v>
      </c>
      <c r="C6825" s="13" t="s">
        <v>2487</v>
      </c>
      <c r="D6825" s="15">
        <v>3.0</v>
      </c>
      <c r="E6825" s="67">
        <f t="shared" si="18"/>
        <v>750</v>
      </c>
      <c r="F6825" s="67" t="str">
        <f t="shared" si="12"/>
        <v>3 LeadGen Set Appointments</v>
      </c>
    </row>
    <row r="6826" hidden="1">
      <c r="A6826" s="6" t="s">
        <v>83</v>
      </c>
      <c r="B6826" s="13" t="s">
        <v>2593</v>
      </c>
      <c r="C6826" s="13" t="s">
        <v>2594</v>
      </c>
      <c r="D6826" s="15">
        <v>3.0</v>
      </c>
      <c r="E6826" s="67">
        <f t="shared" si="18"/>
        <v>750</v>
      </c>
      <c r="F6826" s="67" t="str">
        <f t="shared" si="12"/>
        <v>3 LeadGen Set Appointments</v>
      </c>
    </row>
    <row r="6827" hidden="1">
      <c r="A6827" s="6" t="s">
        <v>83</v>
      </c>
      <c r="B6827" s="13" t="s">
        <v>2557</v>
      </c>
      <c r="C6827" s="13" t="s">
        <v>2558</v>
      </c>
      <c r="D6827" s="15">
        <v>3.0</v>
      </c>
      <c r="E6827" s="67">
        <f t="shared" si="18"/>
        <v>750</v>
      </c>
      <c r="F6827" s="67" t="str">
        <f t="shared" si="12"/>
        <v>3 LeadGen Set Appointments</v>
      </c>
    </row>
    <row r="6828" hidden="1">
      <c r="A6828" s="6" t="s">
        <v>83</v>
      </c>
      <c r="B6828" s="13" t="s">
        <v>2454</v>
      </c>
      <c r="C6828" s="13" t="s">
        <v>2455</v>
      </c>
      <c r="D6828" s="15">
        <v>3.0</v>
      </c>
      <c r="E6828" s="67">
        <f t="shared" si="18"/>
        <v>750</v>
      </c>
      <c r="F6828" s="67" t="str">
        <f t="shared" si="12"/>
        <v>3 LeadGen Set Appointments</v>
      </c>
    </row>
    <row r="6829" hidden="1">
      <c r="A6829" s="6" t="s">
        <v>83</v>
      </c>
      <c r="B6829" s="13" t="s">
        <v>2595</v>
      </c>
      <c r="C6829" s="13" t="s">
        <v>2596</v>
      </c>
      <c r="D6829" s="15">
        <v>3.0</v>
      </c>
      <c r="E6829" s="67">
        <f t="shared" si="18"/>
        <v>750</v>
      </c>
      <c r="F6829" s="67" t="str">
        <f t="shared" si="12"/>
        <v>3 LeadGen Set Appointments</v>
      </c>
    </row>
    <row r="6830" hidden="1">
      <c r="A6830" s="6" t="s">
        <v>83</v>
      </c>
      <c r="B6830" s="13" t="s">
        <v>1477</v>
      </c>
      <c r="C6830" s="13" t="s">
        <v>1478</v>
      </c>
      <c r="D6830" s="15">
        <v>3.0</v>
      </c>
      <c r="E6830" s="67">
        <f t="shared" si="18"/>
        <v>750</v>
      </c>
      <c r="F6830" s="67" t="str">
        <f t="shared" si="12"/>
        <v>3 LeadGen Set Appointments</v>
      </c>
    </row>
    <row r="6831" hidden="1">
      <c r="A6831" s="6" t="s">
        <v>83</v>
      </c>
      <c r="B6831" s="13" t="s">
        <v>1279</v>
      </c>
      <c r="C6831" s="13" t="s">
        <v>739</v>
      </c>
      <c r="D6831" s="15">
        <v>3.0</v>
      </c>
      <c r="E6831" s="67">
        <f t="shared" si="18"/>
        <v>750</v>
      </c>
      <c r="F6831" s="67" t="str">
        <f t="shared" si="12"/>
        <v>3 LeadGen Set Appointments</v>
      </c>
    </row>
    <row r="6832" hidden="1">
      <c r="A6832" s="6" t="s">
        <v>83</v>
      </c>
      <c r="B6832" s="13" t="s">
        <v>2521</v>
      </c>
      <c r="C6832" s="13" t="s">
        <v>2522</v>
      </c>
      <c r="D6832" s="15">
        <v>3.0</v>
      </c>
      <c r="E6832" s="67">
        <f t="shared" si="18"/>
        <v>750</v>
      </c>
      <c r="F6832" s="67" t="str">
        <f t="shared" si="12"/>
        <v>3 LeadGen Set Appointments</v>
      </c>
    </row>
    <row r="6833" hidden="1">
      <c r="A6833" s="6" t="s">
        <v>83</v>
      </c>
      <c r="B6833" s="13" t="s">
        <v>2345</v>
      </c>
      <c r="C6833" s="13" t="s">
        <v>2346</v>
      </c>
      <c r="D6833" s="15">
        <v>3.0</v>
      </c>
      <c r="E6833" s="67">
        <f t="shared" si="18"/>
        <v>750</v>
      </c>
      <c r="F6833" s="67" t="str">
        <f t="shared" si="12"/>
        <v>3 LeadGen Set Appointments</v>
      </c>
    </row>
    <row r="6834" hidden="1">
      <c r="A6834" s="6" t="s">
        <v>83</v>
      </c>
      <c r="B6834" s="13" t="s">
        <v>604</v>
      </c>
      <c r="C6834" s="13" t="s">
        <v>605</v>
      </c>
      <c r="D6834" s="15">
        <v>3.0</v>
      </c>
      <c r="E6834" s="67">
        <f t="shared" si="18"/>
        <v>750</v>
      </c>
      <c r="F6834" s="67" t="str">
        <f t="shared" si="12"/>
        <v>3 LeadGen Set Appointments</v>
      </c>
    </row>
    <row r="6835" hidden="1">
      <c r="A6835" s="6" t="s">
        <v>83</v>
      </c>
      <c r="B6835" s="13" t="s">
        <v>2475</v>
      </c>
      <c r="C6835" s="13" t="s">
        <v>2476</v>
      </c>
      <c r="D6835" s="15">
        <v>3.0</v>
      </c>
      <c r="E6835" s="67">
        <f t="shared" si="18"/>
        <v>750</v>
      </c>
      <c r="F6835" s="67" t="str">
        <f t="shared" si="12"/>
        <v>3 LeadGen Set Appointments</v>
      </c>
    </row>
    <row r="6836" hidden="1">
      <c r="A6836" s="6" t="s">
        <v>83</v>
      </c>
      <c r="B6836" s="13" t="s">
        <v>2519</v>
      </c>
      <c r="C6836" s="13" t="s">
        <v>2520</v>
      </c>
      <c r="D6836" s="15">
        <v>3.0</v>
      </c>
      <c r="E6836" s="67">
        <f t="shared" si="18"/>
        <v>750</v>
      </c>
      <c r="F6836" s="67" t="str">
        <f t="shared" si="12"/>
        <v>3 LeadGen Set Appointments</v>
      </c>
    </row>
    <row r="6837" hidden="1">
      <c r="A6837" s="6" t="s">
        <v>83</v>
      </c>
      <c r="B6837" s="13" t="s">
        <v>2488</v>
      </c>
      <c r="C6837" s="13" t="s">
        <v>2489</v>
      </c>
      <c r="D6837" s="15">
        <v>3.0</v>
      </c>
      <c r="E6837" s="67">
        <f t="shared" si="18"/>
        <v>750</v>
      </c>
      <c r="F6837" s="67" t="str">
        <f t="shared" si="12"/>
        <v>3 LeadGen Set Appointments</v>
      </c>
    </row>
    <row r="6838" hidden="1">
      <c r="A6838" s="6" t="s">
        <v>83</v>
      </c>
      <c r="B6838" s="13" t="s">
        <v>566</v>
      </c>
      <c r="C6838" s="13" t="s">
        <v>567</v>
      </c>
      <c r="D6838" s="15">
        <v>3.0</v>
      </c>
      <c r="E6838" s="67">
        <f t="shared" si="18"/>
        <v>750</v>
      </c>
      <c r="F6838" s="67" t="str">
        <f t="shared" si="12"/>
        <v>3 LeadGen Set Appointments</v>
      </c>
    </row>
    <row r="6839" hidden="1">
      <c r="A6839" s="6" t="s">
        <v>83</v>
      </c>
      <c r="B6839" s="13" t="s">
        <v>2218</v>
      </c>
      <c r="C6839" s="13" t="s">
        <v>2219</v>
      </c>
      <c r="D6839" s="15">
        <v>3.0</v>
      </c>
      <c r="E6839" s="67">
        <f t="shared" si="18"/>
        <v>750</v>
      </c>
      <c r="F6839" s="67" t="str">
        <f t="shared" si="12"/>
        <v>3 LeadGen Set Appointments</v>
      </c>
    </row>
    <row r="6840" hidden="1">
      <c r="A6840" s="6" t="s">
        <v>83</v>
      </c>
      <c r="B6840" s="13" t="s">
        <v>1351</v>
      </c>
      <c r="C6840" s="13" t="s">
        <v>1352</v>
      </c>
      <c r="D6840" s="15">
        <v>3.0</v>
      </c>
      <c r="E6840" s="67">
        <f t="shared" si="18"/>
        <v>750</v>
      </c>
      <c r="F6840" s="67" t="str">
        <f t="shared" si="12"/>
        <v>3 LeadGen Set Appointments</v>
      </c>
    </row>
    <row r="6841" hidden="1">
      <c r="A6841" s="6" t="s">
        <v>83</v>
      </c>
      <c r="B6841" s="13" t="s">
        <v>2463</v>
      </c>
      <c r="C6841" s="13" t="s">
        <v>2464</v>
      </c>
      <c r="D6841" s="15">
        <v>3.0</v>
      </c>
      <c r="E6841" s="67">
        <f t="shared" si="18"/>
        <v>750</v>
      </c>
      <c r="F6841" s="67" t="str">
        <f t="shared" si="12"/>
        <v>3 LeadGen Set Appointments</v>
      </c>
    </row>
    <row r="6842" hidden="1">
      <c r="A6842" s="6" t="s">
        <v>83</v>
      </c>
      <c r="B6842" s="13" t="s">
        <v>2597</v>
      </c>
      <c r="C6842" s="13" t="s">
        <v>2598</v>
      </c>
      <c r="D6842" s="15">
        <v>3.0</v>
      </c>
      <c r="E6842" s="67">
        <f t="shared" si="18"/>
        <v>750</v>
      </c>
      <c r="F6842" s="67" t="str">
        <f t="shared" si="12"/>
        <v>3 LeadGen Set Appointments</v>
      </c>
    </row>
    <row r="6843" hidden="1">
      <c r="A6843" s="6" t="s">
        <v>83</v>
      </c>
      <c r="B6843" s="13" t="s">
        <v>2467</v>
      </c>
      <c r="C6843" s="13" t="s">
        <v>2468</v>
      </c>
      <c r="D6843" s="15">
        <v>2.0</v>
      </c>
      <c r="E6843" s="67">
        <f t="shared" si="18"/>
        <v>500</v>
      </c>
      <c r="F6843" s="67" t="str">
        <f t="shared" si="12"/>
        <v>2 LeadGen Set Appointments</v>
      </c>
    </row>
    <row r="6844" hidden="1">
      <c r="A6844" s="6" t="s">
        <v>83</v>
      </c>
      <c r="B6844" s="13" t="s">
        <v>576</v>
      </c>
      <c r="C6844" s="13" t="s">
        <v>577</v>
      </c>
      <c r="D6844" s="15">
        <v>2.0</v>
      </c>
      <c r="E6844" s="67">
        <f t="shared" si="18"/>
        <v>500</v>
      </c>
      <c r="F6844" s="67" t="str">
        <f t="shared" si="12"/>
        <v>2 LeadGen Set Appointments</v>
      </c>
    </row>
    <row r="6845" hidden="1">
      <c r="A6845" s="6" t="s">
        <v>83</v>
      </c>
      <c r="B6845" s="13" t="s">
        <v>1435</v>
      </c>
      <c r="C6845" s="13" t="s">
        <v>741</v>
      </c>
      <c r="D6845" s="15">
        <v>2.0</v>
      </c>
      <c r="E6845" s="67">
        <f t="shared" si="18"/>
        <v>500</v>
      </c>
      <c r="F6845" s="67" t="str">
        <f t="shared" si="12"/>
        <v>2 LeadGen Set Appointments</v>
      </c>
    </row>
    <row r="6846" hidden="1">
      <c r="A6846" s="6" t="s">
        <v>83</v>
      </c>
      <c r="B6846" s="13" t="s">
        <v>596</v>
      </c>
      <c r="C6846" s="13" t="s">
        <v>597</v>
      </c>
      <c r="D6846" s="15">
        <v>2.0</v>
      </c>
      <c r="E6846" s="67">
        <f t="shared" si="18"/>
        <v>500</v>
      </c>
      <c r="F6846" s="67" t="str">
        <f t="shared" si="12"/>
        <v>2 LeadGen Set Appointments</v>
      </c>
    </row>
    <row r="6847" hidden="1">
      <c r="A6847" s="6" t="s">
        <v>83</v>
      </c>
      <c r="B6847" s="13" t="s">
        <v>606</v>
      </c>
      <c r="C6847" s="13" t="s">
        <v>607</v>
      </c>
      <c r="D6847" s="15">
        <v>2.0</v>
      </c>
      <c r="E6847" s="67">
        <f t="shared" si="18"/>
        <v>500</v>
      </c>
      <c r="F6847" s="67" t="str">
        <f t="shared" si="12"/>
        <v>2 LeadGen Set Appointments</v>
      </c>
    </row>
    <row r="6848" hidden="1">
      <c r="A6848" s="6" t="s">
        <v>83</v>
      </c>
      <c r="B6848" s="13" t="s">
        <v>1033</v>
      </c>
      <c r="C6848" s="13" t="s">
        <v>1034</v>
      </c>
      <c r="D6848" s="15">
        <v>2.0</v>
      </c>
      <c r="E6848" s="67">
        <f t="shared" si="18"/>
        <v>500</v>
      </c>
      <c r="F6848" s="67" t="str">
        <f t="shared" si="12"/>
        <v>2 LeadGen Set Appointments</v>
      </c>
    </row>
    <row r="6849" hidden="1">
      <c r="A6849" s="6" t="s">
        <v>83</v>
      </c>
      <c r="B6849" s="13" t="s">
        <v>2527</v>
      </c>
      <c r="C6849" s="13" t="s">
        <v>2528</v>
      </c>
      <c r="D6849" s="15">
        <v>2.0</v>
      </c>
      <c r="E6849" s="67">
        <f t="shared" si="18"/>
        <v>500</v>
      </c>
      <c r="F6849" s="67" t="str">
        <f t="shared" si="12"/>
        <v>2 LeadGen Set Appointments</v>
      </c>
    </row>
    <row r="6850" hidden="1">
      <c r="A6850" s="6" t="s">
        <v>83</v>
      </c>
      <c r="B6850" s="13" t="s">
        <v>462</v>
      </c>
      <c r="C6850" s="13" t="s">
        <v>463</v>
      </c>
      <c r="D6850" s="15">
        <v>2.0</v>
      </c>
      <c r="E6850" s="67">
        <f t="shared" si="18"/>
        <v>500</v>
      </c>
      <c r="F6850" s="67" t="str">
        <f t="shared" si="12"/>
        <v>2 LeadGen Set Appointments</v>
      </c>
    </row>
    <row r="6851" hidden="1">
      <c r="A6851" s="6" t="s">
        <v>83</v>
      </c>
      <c r="B6851" s="13" t="s">
        <v>1602</v>
      </c>
      <c r="C6851" s="13" t="s">
        <v>2567</v>
      </c>
      <c r="D6851" s="15">
        <v>2.0</v>
      </c>
      <c r="E6851" s="67">
        <f t="shared" si="18"/>
        <v>500</v>
      </c>
      <c r="F6851" s="67" t="str">
        <f t="shared" si="12"/>
        <v>2 LeadGen Set Appointments</v>
      </c>
    </row>
    <row r="6852" hidden="1">
      <c r="A6852" s="6" t="s">
        <v>83</v>
      </c>
      <c r="B6852" s="13" t="s">
        <v>431</v>
      </c>
      <c r="C6852" s="13" t="s">
        <v>432</v>
      </c>
      <c r="D6852" s="15">
        <v>2.0</v>
      </c>
      <c r="E6852" s="67">
        <f t="shared" si="18"/>
        <v>500</v>
      </c>
      <c r="F6852" s="67" t="str">
        <f t="shared" si="12"/>
        <v>2 LeadGen Set Appointments</v>
      </c>
    </row>
    <row r="6853" hidden="1">
      <c r="A6853" s="6" t="s">
        <v>83</v>
      </c>
      <c r="B6853" s="13" t="s">
        <v>1545</v>
      </c>
      <c r="C6853" s="13" t="s">
        <v>1546</v>
      </c>
      <c r="D6853" s="15">
        <v>2.0</v>
      </c>
      <c r="E6853" s="67">
        <f t="shared" si="18"/>
        <v>500</v>
      </c>
      <c r="F6853" s="67" t="str">
        <f t="shared" si="12"/>
        <v>2 LeadGen Set Appointments</v>
      </c>
    </row>
    <row r="6854" hidden="1">
      <c r="A6854" s="6" t="s">
        <v>83</v>
      </c>
      <c r="B6854" s="13" t="s">
        <v>2540</v>
      </c>
      <c r="C6854" s="13" t="s">
        <v>2541</v>
      </c>
      <c r="D6854" s="15">
        <v>2.0</v>
      </c>
      <c r="E6854" s="67">
        <f t="shared" si="18"/>
        <v>500</v>
      </c>
      <c r="F6854" s="67" t="str">
        <f t="shared" si="12"/>
        <v>2 LeadGen Set Appointments</v>
      </c>
    </row>
    <row r="6855" hidden="1">
      <c r="A6855" s="6" t="s">
        <v>83</v>
      </c>
      <c r="B6855" s="13" t="s">
        <v>1408</v>
      </c>
      <c r="C6855" s="13" t="s">
        <v>675</v>
      </c>
      <c r="D6855" s="15">
        <v>2.0</v>
      </c>
      <c r="E6855" s="67">
        <f t="shared" si="18"/>
        <v>500</v>
      </c>
      <c r="F6855" s="67" t="str">
        <f t="shared" si="12"/>
        <v>2 LeadGen Set Appointments</v>
      </c>
    </row>
    <row r="6856" hidden="1">
      <c r="A6856" s="6" t="s">
        <v>83</v>
      </c>
      <c r="B6856" s="13" t="s">
        <v>2473</v>
      </c>
      <c r="C6856" s="13" t="s">
        <v>2474</v>
      </c>
      <c r="D6856" s="15">
        <v>2.0</v>
      </c>
      <c r="E6856" s="67">
        <f t="shared" si="18"/>
        <v>500</v>
      </c>
      <c r="F6856" s="67" t="str">
        <f t="shared" si="12"/>
        <v>2 LeadGen Set Appointments</v>
      </c>
    </row>
    <row r="6857" hidden="1">
      <c r="A6857" s="6" t="s">
        <v>83</v>
      </c>
      <c r="B6857" s="13" t="s">
        <v>2513</v>
      </c>
      <c r="C6857" s="13" t="s">
        <v>2514</v>
      </c>
      <c r="D6857" s="15">
        <v>2.0</v>
      </c>
      <c r="E6857" s="67">
        <f t="shared" si="18"/>
        <v>500</v>
      </c>
      <c r="F6857" s="67" t="str">
        <f t="shared" si="12"/>
        <v>2 LeadGen Set Appointments</v>
      </c>
    </row>
    <row r="6858" hidden="1">
      <c r="A6858" s="6" t="s">
        <v>83</v>
      </c>
      <c r="B6858" s="13" t="s">
        <v>494</v>
      </c>
      <c r="C6858" s="13" t="s">
        <v>495</v>
      </c>
      <c r="D6858" s="15">
        <v>2.0</v>
      </c>
      <c r="E6858" s="67">
        <f t="shared" si="18"/>
        <v>500</v>
      </c>
      <c r="F6858" s="67" t="str">
        <f t="shared" si="12"/>
        <v>2 LeadGen Set Appointments</v>
      </c>
    </row>
    <row r="6859" hidden="1">
      <c r="A6859" s="6" t="s">
        <v>83</v>
      </c>
      <c r="B6859" s="13" t="s">
        <v>1510</v>
      </c>
      <c r="C6859" s="13" t="s">
        <v>1511</v>
      </c>
      <c r="D6859" s="15">
        <v>2.0</v>
      </c>
      <c r="E6859" s="67">
        <f t="shared" si="18"/>
        <v>500</v>
      </c>
      <c r="F6859" s="67" t="str">
        <f t="shared" si="12"/>
        <v>2 LeadGen Set Appointments</v>
      </c>
    </row>
    <row r="6860" hidden="1">
      <c r="A6860" s="6" t="s">
        <v>83</v>
      </c>
      <c r="B6860" s="13" t="s">
        <v>2599</v>
      </c>
      <c r="C6860" s="13" t="s">
        <v>2600</v>
      </c>
      <c r="D6860" s="15">
        <v>2.0</v>
      </c>
      <c r="E6860" s="67">
        <f t="shared" si="18"/>
        <v>500</v>
      </c>
      <c r="F6860" s="67" t="str">
        <f t="shared" si="12"/>
        <v>2 LeadGen Set Appointments</v>
      </c>
    </row>
    <row r="6861" hidden="1">
      <c r="A6861" s="6" t="s">
        <v>83</v>
      </c>
      <c r="B6861" s="13" t="s">
        <v>262</v>
      </c>
      <c r="C6861" s="13" t="s">
        <v>290</v>
      </c>
      <c r="D6861" s="15">
        <v>2.0</v>
      </c>
      <c r="E6861" s="67">
        <f t="shared" si="18"/>
        <v>500</v>
      </c>
      <c r="F6861" s="67" t="str">
        <f t="shared" si="12"/>
        <v>2 LeadGen Set Appointments</v>
      </c>
    </row>
    <row r="6862" hidden="1">
      <c r="A6862" s="6" t="s">
        <v>83</v>
      </c>
      <c r="B6862" s="13" t="s">
        <v>1333</v>
      </c>
      <c r="C6862" s="13" t="s">
        <v>551</v>
      </c>
      <c r="D6862" s="15">
        <v>2.0</v>
      </c>
      <c r="E6862" s="67">
        <f t="shared" si="18"/>
        <v>500</v>
      </c>
      <c r="F6862" s="67" t="str">
        <f t="shared" si="12"/>
        <v>2 LeadGen Set Appointments</v>
      </c>
    </row>
    <row r="6863" hidden="1">
      <c r="A6863" s="6" t="s">
        <v>83</v>
      </c>
      <c r="B6863" s="13" t="s">
        <v>2572</v>
      </c>
      <c r="C6863" s="13" t="s">
        <v>2573</v>
      </c>
      <c r="D6863" s="15">
        <v>2.0</v>
      </c>
      <c r="E6863" s="67">
        <f t="shared" si="18"/>
        <v>500</v>
      </c>
      <c r="F6863" s="67" t="str">
        <f t="shared" si="12"/>
        <v>2 LeadGen Set Appointments</v>
      </c>
    </row>
    <row r="6864" hidden="1">
      <c r="A6864" s="6" t="s">
        <v>83</v>
      </c>
      <c r="B6864" s="13" t="s">
        <v>2559</v>
      </c>
      <c r="C6864" s="13" t="s">
        <v>2560</v>
      </c>
      <c r="D6864" s="15">
        <v>2.0</v>
      </c>
      <c r="E6864" s="67">
        <f t="shared" si="18"/>
        <v>500</v>
      </c>
      <c r="F6864" s="67" t="str">
        <f t="shared" si="12"/>
        <v>2 LeadGen Set Appointments</v>
      </c>
    </row>
    <row r="6865" hidden="1">
      <c r="A6865" s="6" t="s">
        <v>83</v>
      </c>
      <c r="B6865" s="13" t="s">
        <v>1487</v>
      </c>
      <c r="C6865" s="13" t="s">
        <v>2533</v>
      </c>
      <c r="D6865" s="15">
        <v>2.0</v>
      </c>
      <c r="E6865" s="67">
        <f t="shared" si="18"/>
        <v>500</v>
      </c>
      <c r="F6865" s="67" t="str">
        <f t="shared" si="12"/>
        <v>2 LeadGen Set Appointments</v>
      </c>
    </row>
    <row r="6866" hidden="1">
      <c r="A6866" s="6" t="s">
        <v>83</v>
      </c>
      <c r="B6866" s="13" t="s">
        <v>2563</v>
      </c>
      <c r="C6866" s="13" t="s">
        <v>2564</v>
      </c>
      <c r="D6866" s="15">
        <v>2.0</v>
      </c>
      <c r="E6866" s="67">
        <f t="shared" si="18"/>
        <v>500</v>
      </c>
      <c r="F6866" s="67" t="str">
        <f t="shared" si="12"/>
        <v>2 LeadGen Set Appointments</v>
      </c>
    </row>
    <row r="6867" hidden="1">
      <c r="A6867" s="6" t="s">
        <v>83</v>
      </c>
      <c r="B6867" s="13" t="s">
        <v>302</v>
      </c>
      <c r="C6867" s="13" t="s">
        <v>2110</v>
      </c>
      <c r="D6867" s="15">
        <v>2.0</v>
      </c>
      <c r="E6867" s="67">
        <f t="shared" si="18"/>
        <v>500</v>
      </c>
      <c r="F6867" s="67" t="str">
        <f t="shared" si="12"/>
        <v>2 LeadGen Set Appointments</v>
      </c>
    </row>
    <row r="6868" hidden="1">
      <c r="A6868" s="6" t="s">
        <v>83</v>
      </c>
      <c r="B6868" s="13" t="s">
        <v>2601</v>
      </c>
      <c r="C6868" s="13" t="s">
        <v>2602</v>
      </c>
      <c r="D6868" s="15">
        <v>2.0</v>
      </c>
      <c r="E6868" s="67">
        <f t="shared" si="18"/>
        <v>500</v>
      </c>
      <c r="F6868" s="67" t="str">
        <f t="shared" si="12"/>
        <v>2 LeadGen Set Appointments</v>
      </c>
    </row>
    <row r="6869" hidden="1">
      <c r="A6869" s="6" t="s">
        <v>83</v>
      </c>
      <c r="B6869" s="13" t="s">
        <v>2268</v>
      </c>
      <c r="C6869" s="13" t="s">
        <v>2269</v>
      </c>
      <c r="D6869" s="15">
        <v>2.0</v>
      </c>
      <c r="E6869" s="67">
        <f t="shared" si="18"/>
        <v>500</v>
      </c>
      <c r="F6869" s="67" t="str">
        <f t="shared" si="12"/>
        <v>2 LeadGen Set Appointments</v>
      </c>
    </row>
    <row r="6870" hidden="1">
      <c r="A6870" s="6" t="s">
        <v>83</v>
      </c>
      <c r="B6870" s="13" t="s">
        <v>1955</v>
      </c>
      <c r="C6870" s="13" t="s">
        <v>1956</v>
      </c>
      <c r="D6870" s="15">
        <v>2.0</v>
      </c>
      <c r="E6870" s="67">
        <f t="shared" si="18"/>
        <v>500</v>
      </c>
      <c r="F6870" s="67" t="str">
        <f t="shared" si="12"/>
        <v>2 LeadGen Set Appointments</v>
      </c>
    </row>
    <row r="6871" hidden="1">
      <c r="A6871" s="6" t="s">
        <v>83</v>
      </c>
      <c r="B6871" s="13" t="s">
        <v>2423</v>
      </c>
      <c r="C6871" s="13" t="s">
        <v>2424</v>
      </c>
      <c r="D6871" s="15">
        <v>2.0</v>
      </c>
      <c r="E6871" s="67">
        <f t="shared" si="18"/>
        <v>500</v>
      </c>
      <c r="F6871" s="67" t="str">
        <f t="shared" si="12"/>
        <v>2 LeadGen Set Appointments</v>
      </c>
    </row>
    <row r="6872" hidden="1">
      <c r="A6872" s="6" t="s">
        <v>83</v>
      </c>
      <c r="B6872" s="13" t="s">
        <v>2151</v>
      </c>
      <c r="C6872" s="13" t="s">
        <v>2152</v>
      </c>
      <c r="D6872" s="15">
        <v>2.0</v>
      </c>
      <c r="E6872" s="67">
        <f t="shared" si="18"/>
        <v>500</v>
      </c>
      <c r="F6872" s="67" t="str">
        <f t="shared" si="12"/>
        <v>2 LeadGen Set Appointments</v>
      </c>
    </row>
    <row r="6873" hidden="1">
      <c r="A6873" s="6" t="s">
        <v>83</v>
      </c>
      <c r="B6873" s="13" t="s">
        <v>2603</v>
      </c>
      <c r="C6873" s="13" t="s">
        <v>2604</v>
      </c>
      <c r="D6873" s="15">
        <v>2.0</v>
      </c>
      <c r="E6873" s="67">
        <f t="shared" si="18"/>
        <v>500</v>
      </c>
      <c r="F6873" s="67" t="str">
        <f t="shared" si="12"/>
        <v>2 LeadGen Set Appointments</v>
      </c>
    </row>
    <row r="6874" hidden="1">
      <c r="A6874" s="6" t="s">
        <v>83</v>
      </c>
      <c r="B6874" s="13" t="s">
        <v>258</v>
      </c>
      <c r="C6874" s="13" t="s">
        <v>2386</v>
      </c>
      <c r="D6874" s="15">
        <v>2.0</v>
      </c>
      <c r="E6874" s="67">
        <f t="shared" si="18"/>
        <v>500</v>
      </c>
      <c r="F6874" s="67" t="str">
        <f t="shared" si="12"/>
        <v>2 LeadGen Set Appointments</v>
      </c>
    </row>
    <row r="6875" hidden="1">
      <c r="A6875" s="6" t="s">
        <v>83</v>
      </c>
      <c r="B6875" s="13" t="s">
        <v>2546</v>
      </c>
      <c r="C6875" s="13" t="s">
        <v>2547</v>
      </c>
      <c r="D6875" s="15">
        <v>2.0</v>
      </c>
      <c r="E6875" s="67">
        <f t="shared" si="18"/>
        <v>500</v>
      </c>
      <c r="F6875" s="67" t="str">
        <f t="shared" si="12"/>
        <v>2 LeadGen Set Appointments</v>
      </c>
    </row>
    <row r="6876" hidden="1">
      <c r="A6876" s="6" t="s">
        <v>83</v>
      </c>
      <c r="B6876" s="13" t="s">
        <v>2576</v>
      </c>
      <c r="C6876" s="13" t="s">
        <v>2577</v>
      </c>
      <c r="D6876" s="15">
        <v>2.0</v>
      </c>
      <c r="E6876" s="67">
        <f t="shared" si="18"/>
        <v>500</v>
      </c>
      <c r="F6876" s="67" t="str">
        <f t="shared" si="12"/>
        <v>2 LeadGen Set Appointments</v>
      </c>
    </row>
    <row r="6877" hidden="1">
      <c r="A6877" s="6" t="s">
        <v>83</v>
      </c>
      <c r="B6877" s="13" t="s">
        <v>522</v>
      </c>
      <c r="C6877" s="13" t="s">
        <v>523</v>
      </c>
      <c r="D6877" s="15">
        <v>2.0</v>
      </c>
      <c r="E6877" s="67">
        <f t="shared" si="18"/>
        <v>500</v>
      </c>
      <c r="F6877" s="67" t="str">
        <f t="shared" si="12"/>
        <v>2 LeadGen Set Appointments</v>
      </c>
    </row>
    <row r="6878" hidden="1">
      <c r="A6878" s="6" t="s">
        <v>83</v>
      </c>
      <c r="B6878" s="13" t="s">
        <v>2580</v>
      </c>
      <c r="C6878" s="13" t="s">
        <v>2581</v>
      </c>
      <c r="D6878" s="15">
        <v>2.0</v>
      </c>
      <c r="E6878" s="67">
        <f t="shared" si="18"/>
        <v>500</v>
      </c>
      <c r="F6878" s="67" t="str">
        <f t="shared" si="12"/>
        <v>2 LeadGen Set Appointments</v>
      </c>
    </row>
    <row r="6879" hidden="1">
      <c r="A6879" s="6" t="s">
        <v>83</v>
      </c>
      <c r="B6879" s="13" t="s">
        <v>445</v>
      </c>
      <c r="C6879" s="13" t="s">
        <v>446</v>
      </c>
      <c r="D6879" s="15">
        <v>2.0</v>
      </c>
      <c r="E6879" s="67">
        <f t="shared" si="18"/>
        <v>500</v>
      </c>
      <c r="F6879" s="67" t="str">
        <f t="shared" si="12"/>
        <v>2 LeadGen Set Appointments</v>
      </c>
    </row>
    <row r="6880" hidden="1">
      <c r="A6880" s="6" t="s">
        <v>83</v>
      </c>
      <c r="B6880" s="13" t="s">
        <v>2565</v>
      </c>
      <c r="C6880" s="13" t="s">
        <v>2566</v>
      </c>
      <c r="D6880" s="15">
        <v>1.0</v>
      </c>
      <c r="E6880" s="67">
        <f t="shared" si="18"/>
        <v>250</v>
      </c>
      <c r="F6880" s="67" t="str">
        <f t="shared" si="12"/>
        <v>1 LeadGen Set Appointments</v>
      </c>
    </row>
    <row r="6881" hidden="1">
      <c r="A6881" s="6" t="s">
        <v>83</v>
      </c>
      <c r="B6881" s="13" t="s">
        <v>2605</v>
      </c>
      <c r="C6881" s="13" t="s">
        <v>2606</v>
      </c>
      <c r="D6881" s="15">
        <v>1.0</v>
      </c>
      <c r="E6881" s="67">
        <f t="shared" si="18"/>
        <v>250</v>
      </c>
      <c r="F6881" s="67" t="str">
        <f t="shared" si="12"/>
        <v>1 LeadGen Set Appointments</v>
      </c>
    </row>
    <row r="6882" hidden="1">
      <c r="A6882" s="6" t="s">
        <v>83</v>
      </c>
      <c r="B6882" s="13" t="s">
        <v>1181</v>
      </c>
      <c r="C6882" s="13" t="s">
        <v>1182</v>
      </c>
      <c r="D6882" s="15">
        <v>1.0</v>
      </c>
      <c r="E6882" s="67">
        <f t="shared" si="18"/>
        <v>250</v>
      </c>
      <c r="F6882" s="67" t="str">
        <f t="shared" si="12"/>
        <v>1 LeadGen Set Appointments</v>
      </c>
    </row>
    <row r="6883" hidden="1">
      <c r="A6883" s="6" t="s">
        <v>83</v>
      </c>
      <c r="B6883" s="13" t="s">
        <v>1380</v>
      </c>
      <c r="C6883" s="13" t="s">
        <v>1381</v>
      </c>
      <c r="D6883" s="15">
        <v>1.0</v>
      </c>
      <c r="E6883" s="67">
        <f t="shared" si="18"/>
        <v>250</v>
      </c>
      <c r="F6883" s="67" t="str">
        <f t="shared" si="12"/>
        <v>1 LeadGen Set Appointments</v>
      </c>
    </row>
    <row r="6884" hidden="1">
      <c r="A6884" s="6" t="s">
        <v>83</v>
      </c>
      <c r="B6884" s="13" t="s">
        <v>2469</v>
      </c>
      <c r="C6884" s="13" t="s">
        <v>2470</v>
      </c>
      <c r="D6884" s="15">
        <v>1.0</v>
      </c>
      <c r="E6884" s="67">
        <f t="shared" si="18"/>
        <v>250</v>
      </c>
      <c r="F6884" s="67" t="str">
        <f t="shared" si="12"/>
        <v>1 LeadGen Set Appointments</v>
      </c>
    </row>
    <row r="6885" hidden="1">
      <c r="A6885" s="6" t="s">
        <v>83</v>
      </c>
      <c r="B6885" s="13" t="s">
        <v>2568</v>
      </c>
      <c r="C6885" s="13" t="s">
        <v>2569</v>
      </c>
      <c r="D6885" s="15">
        <v>1.0</v>
      </c>
      <c r="E6885" s="67">
        <f t="shared" si="18"/>
        <v>250</v>
      </c>
      <c r="F6885" s="67" t="str">
        <f t="shared" si="12"/>
        <v>1 LeadGen Set Appointments</v>
      </c>
    </row>
    <row r="6886" hidden="1">
      <c r="A6886" s="6" t="s">
        <v>83</v>
      </c>
      <c r="B6886" s="13" t="s">
        <v>2583</v>
      </c>
      <c r="C6886" s="13" t="s">
        <v>2584</v>
      </c>
      <c r="D6886" s="15">
        <v>1.0</v>
      </c>
      <c r="E6886" s="67">
        <f t="shared" si="18"/>
        <v>250</v>
      </c>
      <c r="F6886" s="67" t="str">
        <f t="shared" si="12"/>
        <v>1 LeadGen Set Appointments</v>
      </c>
    </row>
    <row r="6887" hidden="1">
      <c r="A6887" s="6" t="s">
        <v>83</v>
      </c>
      <c r="B6887" s="13" t="s">
        <v>2607</v>
      </c>
      <c r="C6887" s="13" t="s">
        <v>2608</v>
      </c>
      <c r="D6887" s="15">
        <v>1.0</v>
      </c>
      <c r="E6887" s="67">
        <f t="shared" si="18"/>
        <v>250</v>
      </c>
      <c r="F6887" s="67" t="str">
        <f t="shared" si="12"/>
        <v>1 LeadGen Set Appointments</v>
      </c>
    </row>
    <row r="6888" hidden="1">
      <c r="A6888" s="6" t="s">
        <v>83</v>
      </c>
      <c r="B6888" s="13" t="s">
        <v>2609</v>
      </c>
      <c r="C6888" s="13" t="s">
        <v>2610</v>
      </c>
      <c r="D6888" s="15">
        <v>1.0</v>
      </c>
      <c r="E6888" s="67">
        <f t="shared" si="18"/>
        <v>250</v>
      </c>
      <c r="F6888" s="67" t="str">
        <f t="shared" si="12"/>
        <v>1 LeadGen Set Appointments</v>
      </c>
    </row>
    <row r="6889" hidden="1">
      <c r="A6889" s="6" t="s">
        <v>83</v>
      </c>
      <c r="B6889" s="13" t="s">
        <v>2517</v>
      </c>
      <c r="C6889" s="13" t="s">
        <v>2518</v>
      </c>
      <c r="D6889" s="15">
        <v>1.0</v>
      </c>
      <c r="E6889" s="67">
        <f t="shared" si="18"/>
        <v>250</v>
      </c>
      <c r="F6889" s="67" t="str">
        <f t="shared" si="12"/>
        <v>1 LeadGen Set Appointments</v>
      </c>
    </row>
    <row r="6890" hidden="1">
      <c r="A6890" s="6" t="s">
        <v>83</v>
      </c>
      <c r="B6890" s="13" t="s">
        <v>590</v>
      </c>
      <c r="C6890" s="13" t="s">
        <v>591</v>
      </c>
      <c r="D6890" s="15">
        <v>1.0</v>
      </c>
      <c r="E6890" s="67">
        <f t="shared" si="18"/>
        <v>250</v>
      </c>
      <c r="F6890" s="67" t="str">
        <f t="shared" si="12"/>
        <v>1 LeadGen Set Appointments</v>
      </c>
    </row>
    <row r="6891" hidden="1">
      <c r="A6891" s="6" t="s">
        <v>83</v>
      </c>
      <c r="B6891" s="13" t="s">
        <v>1657</v>
      </c>
      <c r="C6891" s="13" t="s">
        <v>1658</v>
      </c>
      <c r="D6891" s="15">
        <v>1.0</v>
      </c>
      <c r="E6891" s="67">
        <f t="shared" si="18"/>
        <v>250</v>
      </c>
      <c r="F6891" s="67" t="str">
        <f t="shared" si="12"/>
        <v>1 LeadGen Set Appointments</v>
      </c>
    </row>
    <row r="6892" hidden="1">
      <c r="A6892" s="6" t="s">
        <v>83</v>
      </c>
      <c r="B6892" s="25" t="s">
        <v>2611</v>
      </c>
      <c r="C6892" s="25" t="s">
        <v>2612</v>
      </c>
      <c r="D6892" s="25">
        <v>1.0</v>
      </c>
      <c r="E6892" s="67">
        <f t="shared" si="18"/>
        <v>250</v>
      </c>
      <c r="F6892" s="67" t="str">
        <f t="shared" si="12"/>
        <v>1 LeadGen Set Appointments</v>
      </c>
    </row>
    <row r="6893" hidden="1">
      <c r="A6893" s="6" t="s">
        <v>83</v>
      </c>
      <c r="B6893" s="13" t="s">
        <v>2507</v>
      </c>
      <c r="C6893" s="13" t="s">
        <v>2508</v>
      </c>
      <c r="D6893" s="15">
        <v>1.0</v>
      </c>
      <c r="E6893" s="67">
        <f t="shared" si="18"/>
        <v>250</v>
      </c>
      <c r="F6893" s="67" t="str">
        <f t="shared" si="12"/>
        <v>1 LeadGen Set Appointments</v>
      </c>
    </row>
    <row r="6894" hidden="1">
      <c r="A6894" s="6" t="s">
        <v>83</v>
      </c>
      <c r="B6894" s="13" t="s">
        <v>2613</v>
      </c>
      <c r="C6894" s="13" t="s">
        <v>2614</v>
      </c>
      <c r="D6894" s="15">
        <v>1.0</v>
      </c>
      <c r="E6894" s="67">
        <f t="shared" si="18"/>
        <v>250</v>
      </c>
      <c r="F6894" s="67" t="str">
        <f t="shared" si="12"/>
        <v>1 LeadGen Set Appointments</v>
      </c>
    </row>
    <row r="6895" hidden="1">
      <c r="A6895" s="6" t="s">
        <v>83</v>
      </c>
      <c r="B6895" s="13" t="s">
        <v>2615</v>
      </c>
      <c r="C6895" s="13" t="s">
        <v>2616</v>
      </c>
      <c r="D6895" s="15">
        <v>1.0</v>
      </c>
      <c r="E6895" s="67">
        <f t="shared" si="18"/>
        <v>250</v>
      </c>
      <c r="F6895" s="67" t="str">
        <f t="shared" si="12"/>
        <v>1 LeadGen Set Appointments</v>
      </c>
    </row>
    <row r="6896" hidden="1">
      <c r="A6896" s="6" t="s">
        <v>83</v>
      </c>
      <c r="B6896" s="25" t="s">
        <v>1295</v>
      </c>
      <c r="C6896" s="25" t="s">
        <v>1296</v>
      </c>
      <c r="D6896" s="25">
        <v>1.0</v>
      </c>
      <c r="E6896" s="67">
        <f t="shared" si="18"/>
        <v>250</v>
      </c>
      <c r="F6896" s="67" t="str">
        <f t="shared" si="12"/>
        <v>1 LeadGen Set Appointments</v>
      </c>
    </row>
    <row r="6897" hidden="1">
      <c r="A6897" s="6" t="s">
        <v>83</v>
      </c>
      <c r="B6897" s="25" t="s">
        <v>2587</v>
      </c>
      <c r="C6897" s="25" t="s">
        <v>2588</v>
      </c>
      <c r="D6897" s="25">
        <v>1.0</v>
      </c>
      <c r="E6897" s="67">
        <f t="shared" si="18"/>
        <v>250</v>
      </c>
      <c r="F6897" s="67" t="str">
        <f t="shared" si="12"/>
        <v>1 LeadGen Set Appointments</v>
      </c>
    </row>
    <row r="6898" hidden="1">
      <c r="A6898" s="6" t="s">
        <v>83</v>
      </c>
      <c r="B6898" s="25" t="s">
        <v>2555</v>
      </c>
      <c r="C6898" s="25" t="s">
        <v>2556</v>
      </c>
      <c r="D6898" s="25">
        <v>1.0</v>
      </c>
      <c r="E6898" s="67">
        <f t="shared" si="18"/>
        <v>250</v>
      </c>
      <c r="F6898" s="67" t="str">
        <f t="shared" si="12"/>
        <v>1 LeadGen Set Appointments</v>
      </c>
    </row>
    <row r="6899" hidden="1">
      <c r="A6899" s="6" t="s">
        <v>83</v>
      </c>
      <c r="B6899" s="25" t="s">
        <v>2544</v>
      </c>
      <c r="C6899" s="25" t="s">
        <v>2545</v>
      </c>
      <c r="D6899" s="25">
        <v>1.0</v>
      </c>
      <c r="E6899" s="67">
        <f t="shared" si="18"/>
        <v>250</v>
      </c>
      <c r="F6899" s="67" t="str">
        <f t="shared" si="12"/>
        <v>1 LeadGen Set Appointments</v>
      </c>
    </row>
    <row r="6900" hidden="1">
      <c r="A6900" s="6" t="s">
        <v>83</v>
      </c>
      <c r="B6900" s="25" t="s">
        <v>2617</v>
      </c>
      <c r="C6900" s="25" t="s">
        <v>2618</v>
      </c>
      <c r="D6900" s="25">
        <v>1.0</v>
      </c>
      <c r="E6900" s="67">
        <f t="shared" si="18"/>
        <v>250</v>
      </c>
      <c r="F6900" s="67" t="str">
        <f t="shared" si="12"/>
        <v>1 LeadGen Set Appointments</v>
      </c>
    </row>
    <row r="6901" hidden="1">
      <c r="A6901" s="6" t="s">
        <v>83</v>
      </c>
      <c r="B6901" s="25" t="s">
        <v>1674</v>
      </c>
      <c r="C6901" s="25" t="s">
        <v>1675</v>
      </c>
      <c r="D6901" s="25">
        <v>2.0</v>
      </c>
      <c r="E6901" s="67">
        <f t="shared" si="18"/>
        <v>500</v>
      </c>
      <c r="F6901" s="67" t="str">
        <f t="shared" si="12"/>
        <v>2 LeadGen Set Appointments</v>
      </c>
    </row>
    <row r="6902" hidden="1">
      <c r="A6902" s="6" t="s">
        <v>83</v>
      </c>
      <c r="B6902" s="25" t="s">
        <v>2377</v>
      </c>
      <c r="C6902" s="25" t="s">
        <v>2378</v>
      </c>
      <c r="D6902" s="25">
        <v>1.0</v>
      </c>
      <c r="E6902" s="67">
        <f t="shared" si="18"/>
        <v>250</v>
      </c>
      <c r="F6902" s="67" t="str">
        <f t="shared" si="12"/>
        <v>1 LeadGen Set Appointments</v>
      </c>
    </row>
    <row r="6903" hidden="1">
      <c r="A6903" s="6" t="s">
        <v>83</v>
      </c>
      <c r="B6903" s="25" t="s">
        <v>2619</v>
      </c>
      <c r="C6903" s="25" t="s">
        <v>2620</v>
      </c>
      <c r="D6903" s="25">
        <v>2.0</v>
      </c>
      <c r="E6903" s="67">
        <f t="shared" si="18"/>
        <v>500</v>
      </c>
      <c r="F6903" s="67" t="str">
        <f t="shared" si="12"/>
        <v>2 LeadGen Set Appointments</v>
      </c>
    </row>
    <row r="6904" hidden="1">
      <c r="A6904" s="6" t="s">
        <v>83</v>
      </c>
      <c r="B6904" s="25" t="s">
        <v>268</v>
      </c>
      <c r="C6904" s="25" t="s">
        <v>2621</v>
      </c>
      <c r="D6904" s="25">
        <v>4.0</v>
      </c>
      <c r="E6904" s="67">
        <f t="shared" si="18"/>
        <v>1000</v>
      </c>
      <c r="F6904" s="67" t="str">
        <f t="shared" si="12"/>
        <v>4 LeadGen Set Appointments</v>
      </c>
    </row>
    <row r="6905" hidden="1">
      <c r="A6905" s="6" t="s">
        <v>85</v>
      </c>
      <c r="B6905" s="13" t="s">
        <v>476</v>
      </c>
      <c r="C6905" s="13" t="s">
        <v>477</v>
      </c>
      <c r="D6905" s="15">
        <v>29.0</v>
      </c>
      <c r="E6905" s="67">
        <f t="shared" si="18"/>
        <v>14500</v>
      </c>
      <c r="F6905" s="67" t="str">
        <f t="shared" si="12"/>
        <v>29 LeadGen Set Appointments</v>
      </c>
    </row>
    <row r="6906" hidden="1">
      <c r="A6906" s="6" t="s">
        <v>85</v>
      </c>
      <c r="B6906" s="13" t="s">
        <v>540</v>
      </c>
      <c r="C6906" s="13" t="s">
        <v>541</v>
      </c>
      <c r="D6906" s="15">
        <v>24.0</v>
      </c>
      <c r="E6906" s="67">
        <f t="shared" si="18"/>
        <v>12000</v>
      </c>
      <c r="F6906" s="67" t="str">
        <f t="shared" si="12"/>
        <v>24 LeadGen Set Appointments</v>
      </c>
    </row>
    <row r="6907" hidden="1">
      <c r="A6907" s="6" t="s">
        <v>85</v>
      </c>
      <c r="B6907" s="13" t="s">
        <v>1865</v>
      </c>
      <c r="C6907" s="13" t="s">
        <v>1866</v>
      </c>
      <c r="D6907" s="15">
        <v>21.0</v>
      </c>
      <c r="E6907" s="67">
        <f t="shared" si="18"/>
        <v>10500</v>
      </c>
      <c r="F6907" s="67" t="str">
        <f t="shared" si="12"/>
        <v>21 LeadGen Set Appointments</v>
      </c>
    </row>
    <row r="6908" hidden="1">
      <c r="A6908" s="6" t="s">
        <v>85</v>
      </c>
      <c r="B6908" s="13" t="s">
        <v>644</v>
      </c>
      <c r="C6908" s="13" t="s">
        <v>645</v>
      </c>
      <c r="D6908" s="15">
        <v>20.0</v>
      </c>
      <c r="E6908" s="67">
        <f t="shared" si="18"/>
        <v>10000</v>
      </c>
      <c r="F6908" s="67" t="str">
        <f t="shared" si="12"/>
        <v>20 LeadGen Set Appointments</v>
      </c>
    </row>
    <row r="6909" hidden="1">
      <c r="A6909" s="6" t="s">
        <v>85</v>
      </c>
      <c r="B6909" s="13" t="s">
        <v>766</v>
      </c>
      <c r="C6909" s="13" t="s">
        <v>767</v>
      </c>
      <c r="D6909" s="15">
        <v>18.0</v>
      </c>
      <c r="E6909" s="67">
        <f t="shared" si="18"/>
        <v>9000</v>
      </c>
      <c r="F6909" s="67" t="str">
        <f t="shared" si="12"/>
        <v>18 LeadGen Set Appointments</v>
      </c>
    </row>
    <row r="6910" hidden="1">
      <c r="A6910" s="6" t="s">
        <v>85</v>
      </c>
      <c r="B6910" s="13" t="s">
        <v>486</v>
      </c>
      <c r="C6910" s="13" t="s">
        <v>487</v>
      </c>
      <c r="D6910" s="15">
        <v>16.0</v>
      </c>
      <c r="E6910" s="67">
        <f t="shared" si="18"/>
        <v>8000</v>
      </c>
      <c r="F6910" s="67" t="str">
        <f t="shared" si="12"/>
        <v>16 LeadGen Set Appointments</v>
      </c>
    </row>
    <row r="6911" hidden="1">
      <c r="A6911" s="6" t="s">
        <v>85</v>
      </c>
      <c r="B6911" s="13" t="s">
        <v>510</v>
      </c>
      <c r="C6911" s="13" t="s">
        <v>511</v>
      </c>
      <c r="D6911" s="15">
        <v>15.0</v>
      </c>
      <c r="E6911" s="67">
        <f t="shared" si="18"/>
        <v>7500</v>
      </c>
      <c r="F6911" s="67" t="str">
        <f t="shared" si="12"/>
        <v>15 LeadGen Set Appointments</v>
      </c>
    </row>
    <row r="6912" hidden="1">
      <c r="A6912" s="6" t="s">
        <v>85</v>
      </c>
      <c r="B6912" s="13" t="s">
        <v>2280</v>
      </c>
      <c r="C6912" s="13" t="s">
        <v>2281</v>
      </c>
      <c r="D6912" s="15">
        <v>15.0</v>
      </c>
      <c r="E6912" s="67">
        <f t="shared" si="18"/>
        <v>7500</v>
      </c>
      <c r="F6912" s="67" t="str">
        <f t="shared" si="12"/>
        <v>15 LeadGen Set Appointments</v>
      </c>
    </row>
    <row r="6913" hidden="1">
      <c r="A6913" s="6" t="s">
        <v>85</v>
      </c>
      <c r="B6913" s="13" t="s">
        <v>1471</v>
      </c>
      <c r="C6913" s="13" t="s">
        <v>1472</v>
      </c>
      <c r="D6913" s="15">
        <v>15.0</v>
      </c>
      <c r="E6913" s="67">
        <f t="shared" si="18"/>
        <v>7500</v>
      </c>
      <c r="F6913" s="67" t="str">
        <f t="shared" si="12"/>
        <v>15 LeadGen Set Appointments</v>
      </c>
    </row>
    <row r="6914" hidden="1">
      <c r="A6914" s="6" t="s">
        <v>85</v>
      </c>
      <c r="B6914" s="13" t="s">
        <v>640</v>
      </c>
      <c r="C6914" s="13" t="s">
        <v>641</v>
      </c>
      <c r="D6914" s="15">
        <v>14.0</v>
      </c>
      <c r="E6914" s="67">
        <f t="shared" si="18"/>
        <v>7000</v>
      </c>
      <c r="F6914" s="67" t="str">
        <f t="shared" si="12"/>
        <v>14 LeadGen Set Appointments</v>
      </c>
    </row>
    <row r="6915" hidden="1">
      <c r="A6915" s="6" t="s">
        <v>85</v>
      </c>
      <c r="B6915" s="13" t="s">
        <v>1489</v>
      </c>
      <c r="C6915" s="13" t="s">
        <v>1490</v>
      </c>
      <c r="D6915" s="15">
        <v>14.0</v>
      </c>
      <c r="E6915" s="67">
        <f t="shared" si="18"/>
        <v>7000</v>
      </c>
      <c r="F6915" s="67" t="str">
        <f t="shared" si="12"/>
        <v>14 LeadGen Set Appointments</v>
      </c>
    </row>
    <row r="6916" hidden="1">
      <c r="A6916" s="6" t="s">
        <v>85</v>
      </c>
      <c r="B6916" s="13" t="s">
        <v>1825</v>
      </c>
      <c r="C6916" s="13" t="s">
        <v>2376</v>
      </c>
      <c r="D6916" s="15">
        <v>14.0</v>
      </c>
      <c r="E6916" s="67">
        <f t="shared" si="18"/>
        <v>7000</v>
      </c>
      <c r="F6916" s="67" t="str">
        <f t="shared" si="12"/>
        <v>14 LeadGen Set Appointments</v>
      </c>
    </row>
    <row r="6917" hidden="1">
      <c r="A6917" s="6" t="s">
        <v>85</v>
      </c>
      <c r="B6917" s="13" t="s">
        <v>723</v>
      </c>
      <c r="C6917" s="13" t="s">
        <v>724</v>
      </c>
      <c r="D6917" s="15">
        <v>13.0</v>
      </c>
      <c r="E6917" s="67">
        <f t="shared" si="18"/>
        <v>6500</v>
      </c>
      <c r="F6917" s="67" t="str">
        <f t="shared" si="12"/>
        <v>13 LeadGen Set Appointments</v>
      </c>
    </row>
    <row r="6918" hidden="1">
      <c r="A6918" s="6" t="s">
        <v>85</v>
      </c>
      <c r="B6918" s="13" t="s">
        <v>736</v>
      </c>
      <c r="C6918" s="13" t="s">
        <v>737</v>
      </c>
      <c r="D6918" s="15">
        <v>12.0</v>
      </c>
      <c r="E6918" s="67">
        <f t="shared" si="18"/>
        <v>6000</v>
      </c>
      <c r="F6918" s="67" t="str">
        <f t="shared" si="12"/>
        <v>12 LeadGen Set Appointments</v>
      </c>
    </row>
    <row r="6919" hidden="1">
      <c r="A6919" s="6" t="s">
        <v>85</v>
      </c>
      <c r="B6919" s="13" t="s">
        <v>2276</v>
      </c>
      <c r="C6919" s="13" t="s">
        <v>2277</v>
      </c>
      <c r="D6919" s="15">
        <v>12.0</v>
      </c>
      <c r="E6919" s="67">
        <f t="shared" si="18"/>
        <v>6000</v>
      </c>
      <c r="F6919" s="67" t="str">
        <f t="shared" si="12"/>
        <v>12 LeadGen Set Appointments</v>
      </c>
    </row>
    <row r="6920" hidden="1">
      <c r="A6920" s="6" t="s">
        <v>85</v>
      </c>
      <c r="B6920" s="13" t="s">
        <v>1426</v>
      </c>
      <c r="C6920" s="13" t="s">
        <v>1427</v>
      </c>
      <c r="D6920" s="15">
        <v>12.0</v>
      </c>
      <c r="E6920" s="67">
        <f t="shared" si="18"/>
        <v>6000</v>
      </c>
      <c r="F6920" s="67" t="str">
        <f t="shared" si="12"/>
        <v>12 LeadGen Set Appointments</v>
      </c>
    </row>
    <row r="6921" hidden="1">
      <c r="A6921" s="6" t="s">
        <v>85</v>
      </c>
      <c r="B6921" s="13" t="s">
        <v>413</v>
      </c>
      <c r="C6921" s="13" t="s">
        <v>414</v>
      </c>
      <c r="D6921" s="15">
        <v>12.0</v>
      </c>
      <c r="E6921" s="67">
        <f t="shared" si="18"/>
        <v>6000</v>
      </c>
      <c r="F6921" s="67" t="str">
        <f t="shared" si="12"/>
        <v>12 LeadGen Set Appointments</v>
      </c>
    </row>
    <row r="6922" hidden="1">
      <c r="A6922" s="6" t="s">
        <v>85</v>
      </c>
      <c r="B6922" s="13" t="s">
        <v>1467</v>
      </c>
      <c r="C6922" s="13" t="s">
        <v>1468</v>
      </c>
      <c r="D6922" s="15">
        <v>11.0</v>
      </c>
      <c r="E6922" s="67">
        <f t="shared" si="18"/>
        <v>5500</v>
      </c>
      <c r="F6922" s="67" t="str">
        <f t="shared" si="12"/>
        <v>11 LeadGen Set Appointments</v>
      </c>
    </row>
    <row r="6923" hidden="1">
      <c r="A6923" s="6" t="s">
        <v>85</v>
      </c>
      <c r="B6923" s="13" t="s">
        <v>1724</v>
      </c>
      <c r="C6923" s="13" t="s">
        <v>1725</v>
      </c>
      <c r="D6923" s="15">
        <v>11.0</v>
      </c>
      <c r="E6923" s="67">
        <f t="shared" si="18"/>
        <v>5500</v>
      </c>
      <c r="F6923" s="67" t="str">
        <f t="shared" si="12"/>
        <v>11 LeadGen Set Appointments</v>
      </c>
    </row>
    <row r="6924" hidden="1">
      <c r="A6924" s="6" t="s">
        <v>85</v>
      </c>
      <c r="B6924" s="13" t="s">
        <v>1011</v>
      </c>
      <c r="C6924" s="13" t="s">
        <v>2483</v>
      </c>
      <c r="D6924" s="15">
        <v>11.0</v>
      </c>
      <c r="E6924" s="67">
        <f t="shared" si="18"/>
        <v>5500</v>
      </c>
      <c r="F6924" s="67" t="str">
        <f t="shared" si="12"/>
        <v>11 LeadGen Set Appointments</v>
      </c>
    </row>
    <row r="6925" hidden="1">
      <c r="A6925" s="6" t="s">
        <v>85</v>
      </c>
      <c r="B6925" s="13" t="s">
        <v>699</v>
      </c>
      <c r="C6925" s="13" t="s">
        <v>700</v>
      </c>
      <c r="D6925" s="15">
        <v>11.0</v>
      </c>
      <c r="E6925" s="67">
        <f t="shared" si="18"/>
        <v>5500</v>
      </c>
      <c r="F6925" s="67" t="str">
        <f t="shared" si="12"/>
        <v>11 LeadGen Set Appointments</v>
      </c>
    </row>
    <row r="6926" hidden="1">
      <c r="A6926" s="6" t="s">
        <v>85</v>
      </c>
      <c r="B6926" s="13" t="s">
        <v>910</v>
      </c>
      <c r="C6926" s="13" t="s">
        <v>911</v>
      </c>
      <c r="D6926" s="15">
        <v>11.0</v>
      </c>
      <c r="E6926" s="67">
        <f t="shared" si="18"/>
        <v>5500</v>
      </c>
      <c r="F6926" s="67" t="str">
        <f t="shared" si="12"/>
        <v>11 LeadGen Set Appointments</v>
      </c>
    </row>
    <row r="6927" hidden="1">
      <c r="A6927" s="6" t="s">
        <v>85</v>
      </c>
      <c r="B6927" s="13" t="s">
        <v>435</v>
      </c>
      <c r="C6927" s="13" t="s">
        <v>436</v>
      </c>
      <c r="D6927" s="15">
        <v>11.0</v>
      </c>
      <c r="E6927" s="67">
        <f t="shared" si="18"/>
        <v>5500</v>
      </c>
      <c r="F6927" s="67" t="str">
        <f t="shared" si="12"/>
        <v>11 LeadGen Set Appointments</v>
      </c>
    </row>
    <row r="6928" hidden="1">
      <c r="A6928" s="6" t="s">
        <v>85</v>
      </c>
      <c r="B6928" s="13" t="s">
        <v>1415</v>
      </c>
      <c r="C6928" s="13" t="s">
        <v>1416</v>
      </c>
      <c r="D6928" s="15">
        <v>10.0</v>
      </c>
      <c r="E6928" s="67">
        <f t="shared" si="18"/>
        <v>5000</v>
      </c>
      <c r="F6928" s="67" t="str">
        <f t="shared" si="12"/>
        <v>10 LeadGen Set Appointments</v>
      </c>
    </row>
    <row r="6929" hidden="1">
      <c r="A6929" s="6" t="s">
        <v>85</v>
      </c>
      <c r="B6929" s="13" t="s">
        <v>693</v>
      </c>
      <c r="C6929" s="13" t="s">
        <v>694</v>
      </c>
      <c r="D6929" s="15">
        <v>10.0</v>
      </c>
      <c r="E6929" s="67">
        <f t="shared" si="18"/>
        <v>5000</v>
      </c>
      <c r="F6929" s="67" t="str">
        <f t="shared" si="12"/>
        <v>10 LeadGen Set Appointments</v>
      </c>
    </row>
    <row r="6930" hidden="1">
      <c r="A6930" s="6" t="s">
        <v>85</v>
      </c>
      <c r="B6930" s="13" t="s">
        <v>443</v>
      </c>
      <c r="C6930" s="13" t="s">
        <v>444</v>
      </c>
      <c r="D6930" s="15">
        <v>10.0</v>
      </c>
      <c r="E6930" s="67">
        <f t="shared" si="18"/>
        <v>5000</v>
      </c>
      <c r="F6930" s="67" t="str">
        <f t="shared" si="12"/>
        <v>10 LeadGen Set Appointments</v>
      </c>
    </row>
    <row r="6931" hidden="1">
      <c r="A6931" s="6" t="s">
        <v>85</v>
      </c>
      <c r="B6931" s="13" t="s">
        <v>532</v>
      </c>
      <c r="C6931" s="13" t="s">
        <v>533</v>
      </c>
      <c r="D6931" s="15">
        <v>10.0</v>
      </c>
      <c r="E6931" s="67">
        <f t="shared" si="18"/>
        <v>5000</v>
      </c>
      <c r="F6931" s="67" t="str">
        <f t="shared" si="12"/>
        <v>10 LeadGen Set Appointments</v>
      </c>
    </row>
    <row r="6932" hidden="1">
      <c r="A6932" s="6" t="s">
        <v>85</v>
      </c>
      <c r="B6932" s="13" t="s">
        <v>411</v>
      </c>
      <c r="C6932" s="13" t="s">
        <v>412</v>
      </c>
      <c r="D6932" s="15">
        <v>10.0</v>
      </c>
      <c r="E6932" s="67">
        <f t="shared" si="18"/>
        <v>5000</v>
      </c>
      <c r="F6932" s="67" t="str">
        <f t="shared" si="12"/>
        <v>10 LeadGen Set Appointments</v>
      </c>
    </row>
    <row r="6933" hidden="1">
      <c r="A6933" s="6" t="s">
        <v>85</v>
      </c>
      <c r="B6933" s="13" t="s">
        <v>1493</v>
      </c>
      <c r="C6933" s="13" t="s">
        <v>1494</v>
      </c>
      <c r="D6933" s="15">
        <v>10.0</v>
      </c>
      <c r="E6933" s="67">
        <f t="shared" si="18"/>
        <v>5000</v>
      </c>
      <c r="F6933" s="67" t="str">
        <f t="shared" si="12"/>
        <v>10 LeadGen Set Appointments</v>
      </c>
    </row>
    <row r="6934" hidden="1">
      <c r="A6934" s="6" t="s">
        <v>85</v>
      </c>
      <c r="B6934" s="13" t="s">
        <v>1025</v>
      </c>
      <c r="C6934" s="13" t="s">
        <v>1026</v>
      </c>
      <c r="D6934" s="15">
        <v>10.0</v>
      </c>
      <c r="E6934" s="67">
        <f t="shared" si="18"/>
        <v>5000</v>
      </c>
      <c r="F6934" s="67" t="str">
        <f t="shared" si="12"/>
        <v>10 LeadGen Set Appointments</v>
      </c>
    </row>
    <row r="6935" hidden="1">
      <c r="A6935" s="6" t="s">
        <v>85</v>
      </c>
      <c r="B6935" s="13" t="s">
        <v>746</v>
      </c>
      <c r="C6935" s="13" t="s">
        <v>747</v>
      </c>
      <c r="D6935" s="15">
        <v>10.0</v>
      </c>
      <c r="E6935" s="67">
        <f t="shared" si="18"/>
        <v>5000</v>
      </c>
      <c r="F6935" s="67" t="str">
        <f t="shared" si="12"/>
        <v>10 LeadGen Set Appointments</v>
      </c>
    </row>
    <row r="6936" hidden="1">
      <c r="A6936" s="6" t="s">
        <v>85</v>
      </c>
      <c r="B6936" s="13" t="s">
        <v>1483</v>
      </c>
      <c r="C6936" s="13" t="s">
        <v>1484</v>
      </c>
      <c r="D6936" s="15">
        <v>10.0</v>
      </c>
      <c r="E6936" s="67">
        <f t="shared" si="18"/>
        <v>5000</v>
      </c>
      <c r="F6936" s="67" t="str">
        <f t="shared" si="12"/>
        <v>10 LeadGen Set Appointments</v>
      </c>
    </row>
    <row r="6937" hidden="1">
      <c r="A6937" s="6" t="s">
        <v>85</v>
      </c>
      <c r="B6937" s="13" t="s">
        <v>1557</v>
      </c>
      <c r="C6937" s="13" t="s">
        <v>1558</v>
      </c>
      <c r="D6937" s="15">
        <v>10.0</v>
      </c>
      <c r="E6937" s="67">
        <f t="shared" si="18"/>
        <v>5000</v>
      </c>
      <c r="F6937" s="67" t="str">
        <f t="shared" si="12"/>
        <v>10 LeadGen Set Appointments</v>
      </c>
    </row>
    <row r="6938" hidden="1">
      <c r="A6938" s="6" t="s">
        <v>85</v>
      </c>
      <c r="B6938" s="13" t="s">
        <v>717</v>
      </c>
      <c r="C6938" s="13" t="s">
        <v>718</v>
      </c>
      <c r="D6938" s="15">
        <v>9.0</v>
      </c>
      <c r="E6938" s="67">
        <f t="shared" si="18"/>
        <v>2250</v>
      </c>
      <c r="F6938" s="67" t="str">
        <f t="shared" si="12"/>
        <v>9 LeadGen Set Appointments</v>
      </c>
    </row>
    <row r="6939" hidden="1">
      <c r="A6939" s="6" t="s">
        <v>85</v>
      </c>
      <c r="B6939" s="13" t="s">
        <v>1784</v>
      </c>
      <c r="C6939" s="13" t="s">
        <v>1785</v>
      </c>
      <c r="D6939" s="15">
        <v>9.0</v>
      </c>
      <c r="E6939" s="67">
        <f t="shared" si="18"/>
        <v>2250</v>
      </c>
      <c r="F6939" s="67" t="str">
        <f t="shared" si="12"/>
        <v>9 LeadGen Set Appointments</v>
      </c>
    </row>
    <row r="6940" hidden="1">
      <c r="A6940" s="6" t="s">
        <v>85</v>
      </c>
      <c r="B6940" s="13" t="s">
        <v>1039</v>
      </c>
      <c r="C6940" s="13" t="s">
        <v>1040</v>
      </c>
      <c r="D6940" s="15">
        <v>9.0</v>
      </c>
      <c r="E6940" s="67">
        <f t="shared" si="18"/>
        <v>2250</v>
      </c>
      <c r="F6940" s="67" t="str">
        <f t="shared" si="12"/>
        <v>9 LeadGen Set Appointments</v>
      </c>
    </row>
    <row r="6941" hidden="1">
      <c r="A6941" s="6" t="s">
        <v>85</v>
      </c>
      <c r="B6941" s="13" t="s">
        <v>2220</v>
      </c>
      <c r="C6941" s="13" t="s">
        <v>2221</v>
      </c>
      <c r="D6941" s="15">
        <v>9.0</v>
      </c>
      <c r="E6941" s="67">
        <f t="shared" si="18"/>
        <v>2250</v>
      </c>
      <c r="F6941" s="67" t="str">
        <f t="shared" si="12"/>
        <v>9 LeadGen Set Appointments</v>
      </c>
    </row>
    <row r="6942" hidden="1">
      <c r="A6942" s="6" t="s">
        <v>85</v>
      </c>
      <c r="B6942" s="13" t="s">
        <v>542</v>
      </c>
      <c r="C6942" s="13" t="s">
        <v>543</v>
      </c>
      <c r="D6942" s="15">
        <v>8.0</v>
      </c>
      <c r="E6942" s="67">
        <f t="shared" si="18"/>
        <v>2000</v>
      </c>
      <c r="F6942" s="67" t="str">
        <f t="shared" si="12"/>
        <v>8 LeadGen Set Appointments</v>
      </c>
    </row>
    <row r="6943" hidden="1">
      <c r="A6943" s="6" t="s">
        <v>85</v>
      </c>
      <c r="B6943" s="13" t="s">
        <v>628</v>
      </c>
      <c r="C6943" s="13" t="s">
        <v>629</v>
      </c>
      <c r="D6943" s="15">
        <v>8.0</v>
      </c>
      <c r="E6943" s="67">
        <f t="shared" si="18"/>
        <v>2000</v>
      </c>
      <c r="F6943" s="67" t="str">
        <f t="shared" si="12"/>
        <v>8 LeadGen Set Appointments</v>
      </c>
    </row>
    <row r="6944" hidden="1">
      <c r="A6944" s="6" t="s">
        <v>85</v>
      </c>
      <c r="B6944" s="13" t="s">
        <v>546</v>
      </c>
      <c r="C6944" s="13" t="s">
        <v>547</v>
      </c>
      <c r="D6944" s="15">
        <v>8.0</v>
      </c>
      <c r="E6944" s="67">
        <f t="shared" si="18"/>
        <v>2000</v>
      </c>
      <c r="F6944" s="67" t="str">
        <f t="shared" si="12"/>
        <v>8 LeadGen Set Appointments</v>
      </c>
    </row>
    <row r="6945" hidden="1">
      <c r="A6945" s="6" t="s">
        <v>85</v>
      </c>
      <c r="B6945" s="13" t="s">
        <v>1700</v>
      </c>
      <c r="C6945" s="13" t="s">
        <v>1701</v>
      </c>
      <c r="D6945" s="15">
        <v>8.0</v>
      </c>
      <c r="E6945" s="67">
        <f t="shared" si="18"/>
        <v>2000</v>
      </c>
      <c r="F6945" s="67" t="str">
        <f t="shared" si="12"/>
        <v>8 LeadGen Set Appointments</v>
      </c>
    </row>
    <row r="6946" hidden="1">
      <c r="A6946" s="6" t="s">
        <v>85</v>
      </c>
      <c r="B6946" s="13" t="s">
        <v>1408</v>
      </c>
      <c r="C6946" s="13" t="s">
        <v>675</v>
      </c>
      <c r="D6946" s="15">
        <v>8.0</v>
      </c>
      <c r="E6946" s="67">
        <f t="shared" si="18"/>
        <v>2000</v>
      </c>
      <c r="F6946" s="67" t="str">
        <f t="shared" si="12"/>
        <v>8 LeadGen Set Appointments</v>
      </c>
    </row>
    <row r="6947" hidden="1">
      <c r="A6947" s="6" t="s">
        <v>85</v>
      </c>
      <c r="B6947" s="13" t="s">
        <v>1461</v>
      </c>
      <c r="C6947" s="13" t="s">
        <v>1462</v>
      </c>
      <c r="D6947" s="15">
        <v>8.0</v>
      </c>
      <c r="E6947" s="67">
        <f t="shared" si="18"/>
        <v>2000</v>
      </c>
      <c r="F6947" s="67" t="str">
        <f t="shared" si="12"/>
        <v>8 LeadGen Set Appointments</v>
      </c>
    </row>
    <row r="6948" hidden="1">
      <c r="A6948" s="6" t="s">
        <v>85</v>
      </c>
      <c r="B6948" s="13" t="s">
        <v>1393</v>
      </c>
      <c r="C6948" s="13" t="s">
        <v>1394</v>
      </c>
      <c r="D6948" s="15">
        <v>8.0</v>
      </c>
      <c r="E6948" s="67">
        <f t="shared" si="18"/>
        <v>2000</v>
      </c>
      <c r="F6948" s="67" t="str">
        <f t="shared" si="12"/>
        <v>8 LeadGen Set Appointments</v>
      </c>
    </row>
    <row r="6949" hidden="1">
      <c r="A6949" s="6" t="s">
        <v>85</v>
      </c>
      <c r="B6949" s="13" t="s">
        <v>1421</v>
      </c>
      <c r="C6949" s="13" t="s">
        <v>712</v>
      </c>
      <c r="D6949" s="15">
        <v>8.0</v>
      </c>
      <c r="E6949" s="67">
        <f t="shared" si="18"/>
        <v>2000</v>
      </c>
      <c r="F6949" s="67" t="str">
        <f t="shared" si="12"/>
        <v>8 LeadGen Set Appointments</v>
      </c>
    </row>
    <row r="6950" hidden="1">
      <c r="A6950" s="6" t="s">
        <v>85</v>
      </c>
      <c r="B6950" s="13" t="s">
        <v>2589</v>
      </c>
      <c r="C6950" s="13" t="s">
        <v>2590</v>
      </c>
      <c r="D6950" s="15">
        <v>8.0</v>
      </c>
      <c r="E6950" s="67">
        <f t="shared" si="18"/>
        <v>2000</v>
      </c>
      <c r="F6950" s="67" t="str">
        <f t="shared" si="12"/>
        <v>8 LeadGen Set Appointments</v>
      </c>
    </row>
    <row r="6951" hidden="1">
      <c r="A6951" s="6" t="s">
        <v>85</v>
      </c>
      <c r="B6951" s="13" t="s">
        <v>502</v>
      </c>
      <c r="C6951" s="13" t="s">
        <v>503</v>
      </c>
      <c r="D6951" s="15">
        <v>7.0</v>
      </c>
      <c r="E6951" s="67">
        <f t="shared" si="18"/>
        <v>1750</v>
      </c>
      <c r="F6951" s="67" t="str">
        <f t="shared" si="12"/>
        <v>7 LeadGen Set Appointments</v>
      </c>
    </row>
    <row r="6952" hidden="1">
      <c r="A6952" s="6" t="s">
        <v>85</v>
      </c>
      <c r="B6952" s="13" t="s">
        <v>2100</v>
      </c>
      <c r="C6952" s="13" t="s">
        <v>2101</v>
      </c>
      <c r="D6952" s="15">
        <v>7.0</v>
      </c>
      <c r="E6952" s="67">
        <f t="shared" si="18"/>
        <v>1750</v>
      </c>
      <c r="F6952" s="67" t="str">
        <f t="shared" si="12"/>
        <v>7 LeadGen Set Appointments</v>
      </c>
    </row>
    <row r="6953" hidden="1">
      <c r="A6953" s="6" t="s">
        <v>85</v>
      </c>
      <c r="B6953" s="13" t="s">
        <v>524</v>
      </c>
      <c r="C6953" s="13" t="s">
        <v>525</v>
      </c>
      <c r="D6953" s="15">
        <v>7.0</v>
      </c>
      <c r="E6953" s="67">
        <f t="shared" si="18"/>
        <v>1750</v>
      </c>
      <c r="F6953" s="67" t="str">
        <f t="shared" si="12"/>
        <v>7 LeadGen Set Appointments</v>
      </c>
    </row>
    <row r="6954" hidden="1">
      <c r="A6954" s="6" t="s">
        <v>85</v>
      </c>
      <c r="B6954" s="13" t="s">
        <v>516</v>
      </c>
      <c r="C6954" s="13" t="s">
        <v>517</v>
      </c>
      <c r="D6954" s="15">
        <v>7.0</v>
      </c>
      <c r="E6954" s="67">
        <f t="shared" si="18"/>
        <v>1750</v>
      </c>
      <c r="F6954" s="67" t="str">
        <f t="shared" si="12"/>
        <v>7 LeadGen Set Appointments</v>
      </c>
    </row>
    <row r="6955" hidden="1">
      <c r="A6955" s="6" t="s">
        <v>85</v>
      </c>
      <c r="B6955" s="13" t="s">
        <v>624</v>
      </c>
      <c r="C6955" s="13" t="s">
        <v>625</v>
      </c>
      <c r="D6955" s="15">
        <v>7.0</v>
      </c>
      <c r="E6955" s="67">
        <f t="shared" si="18"/>
        <v>1750</v>
      </c>
      <c r="F6955" s="67" t="str">
        <f t="shared" si="12"/>
        <v>7 LeadGen Set Appointments</v>
      </c>
    </row>
    <row r="6956" hidden="1">
      <c r="A6956" s="6" t="s">
        <v>85</v>
      </c>
      <c r="B6956" s="13" t="s">
        <v>2151</v>
      </c>
      <c r="C6956" s="13" t="s">
        <v>2152</v>
      </c>
      <c r="D6956" s="15">
        <v>7.0</v>
      </c>
      <c r="E6956" s="67">
        <f t="shared" si="18"/>
        <v>1750</v>
      </c>
      <c r="F6956" s="67" t="str">
        <f t="shared" si="12"/>
        <v>7 LeadGen Set Appointments</v>
      </c>
    </row>
    <row r="6957" hidden="1">
      <c r="A6957" s="6" t="s">
        <v>85</v>
      </c>
      <c r="B6957" s="13" t="s">
        <v>2081</v>
      </c>
      <c r="C6957" s="13" t="s">
        <v>2082</v>
      </c>
      <c r="D6957" s="15">
        <v>7.0</v>
      </c>
      <c r="E6957" s="67">
        <f t="shared" si="18"/>
        <v>1750</v>
      </c>
      <c r="F6957" s="67" t="str">
        <f t="shared" si="12"/>
        <v>7 LeadGen Set Appointments</v>
      </c>
    </row>
    <row r="6958" hidden="1">
      <c r="A6958" s="6" t="s">
        <v>85</v>
      </c>
      <c r="B6958" s="13" t="s">
        <v>1283</v>
      </c>
      <c r="C6958" s="13" t="s">
        <v>404</v>
      </c>
      <c r="D6958" s="15">
        <v>7.0</v>
      </c>
      <c r="E6958" s="67">
        <f t="shared" si="18"/>
        <v>1750</v>
      </c>
      <c r="F6958" s="67" t="str">
        <f t="shared" si="12"/>
        <v>7 LeadGen Set Appointments</v>
      </c>
    </row>
    <row r="6959" hidden="1">
      <c r="A6959" s="6" t="s">
        <v>85</v>
      </c>
      <c r="B6959" s="13" t="s">
        <v>744</v>
      </c>
      <c r="C6959" s="13" t="s">
        <v>745</v>
      </c>
      <c r="D6959" s="15">
        <v>6.0</v>
      </c>
      <c r="E6959" s="67">
        <f t="shared" si="18"/>
        <v>1500</v>
      </c>
      <c r="F6959" s="67" t="str">
        <f t="shared" si="12"/>
        <v>6 LeadGen Set Appointments</v>
      </c>
    </row>
    <row r="6960" hidden="1">
      <c r="A6960" s="6" t="s">
        <v>85</v>
      </c>
      <c r="B6960" s="13" t="s">
        <v>305</v>
      </c>
      <c r="C6960" s="13" t="s">
        <v>2552</v>
      </c>
      <c r="D6960" s="15">
        <v>6.0</v>
      </c>
      <c r="E6960" s="67">
        <f t="shared" si="18"/>
        <v>1500</v>
      </c>
      <c r="F6960" s="67" t="str">
        <f t="shared" si="12"/>
        <v>6 LeadGen Set Appointments</v>
      </c>
    </row>
    <row r="6961" hidden="1">
      <c r="A6961" s="6" t="s">
        <v>85</v>
      </c>
      <c r="B6961" s="13" t="s">
        <v>2179</v>
      </c>
      <c r="C6961" s="13" t="s">
        <v>2180</v>
      </c>
      <c r="D6961" s="15">
        <v>6.0</v>
      </c>
      <c r="E6961" s="67">
        <f t="shared" si="18"/>
        <v>1500</v>
      </c>
      <c r="F6961" s="67" t="str">
        <f t="shared" si="12"/>
        <v>6 LeadGen Set Appointments</v>
      </c>
    </row>
    <row r="6962" hidden="1">
      <c r="A6962" s="6" t="s">
        <v>85</v>
      </c>
      <c r="B6962" s="13" t="s">
        <v>1770</v>
      </c>
      <c r="C6962" s="13" t="s">
        <v>1771</v>
      </c>
      <c r="D6962" s="15">
        <v>6.0</v>
      </c>
      <c r="E6962" s="67">
        <f t="shared" si="18"/>
        <v>1500</v>
      </c>
      <c r="F6962" s="67" t="str">
        <f t="shared" si="12"/>
        <v>6 LeadGen Set Appointments</v>
      </c>
    </row>
    <row r="6963" hidden="1">
      <c r="A6963" s="6" t="s">
        <v>85</v>
      </c>
      <c r="B6963" s="13" t="s">
        <v>2507</v>
      </c>
      <c r="C6963" s="13" t="s">
        <v>2508</v>
      </c>
      <c r="D6963" s="15">
        <v>6.0</v>
      </c>
      <c r="E6963" s="67">
        <f t="shared" si="18"/>
        <v>1500</v>
      </c>
      <c r="F6963" s="67" t="str">
        <f t="shared" si="12"/>
        <v>6 LeadGen Set Appointments</v>
      </c>
    </row>
    <row r="6964" hidden="1">
      <c r="A6964" s="6" t="s">
        <v>85</v>
      </c>
      <c r="B6964" s="13" t="s">
        <v>1674</v>
      </c>
      <c r="C6964" s="13" t="s">
        <v>1675</v>
      </c>
      <c r="D6964" s="15">
        <v>6.0</v>
      </c>
      <c r="E6964" s="67">
        <f t="shared" si="18"/>
        <v>1500</v>
      </c>
      <c r="F6964" s="67" t="str">
        <f t="shared" si="12"/>
        <v>6 LeadGen Set Appointments</v>
      </c>
    </row>
    <row r="6965" hidden="1">
      <c r="A6965" s="6" t="s">
        <v>85</v>
      </c>
      <c r="B6965" s="13" t="s">
        <v>1923</v>
      </c>
      <c r="C6965" s="13" t="s">
        <v>1924</v>
      </c>
      <c r="D6965" s="15">
        <v>6.0</v>
      </c>
      <c r="E6965" s="67">
        <f t="shared" si="18"/>
        <v>1500</v>
      </c>
      <c r="F6965" s="67" t="str">
        <f t="shared" si="12"/>
        <v>6 LeadGen Set Appointments</v>
      </c>
    </row>
    <row r="6966" hidden="1">
      <c r="A6966" s="6" t="s">
        <v>85</v>
      </c>
      <c r="B6966" s="13" t="s">
        <v>1897</v>
      </c>
      <c r="C6966" s="13" t="s">
        <v>2460</v>
      </c>
      <c r="D6966" s="15">
        <v>6.0</v>
      </c>
      <c r="E6966" s="67">
        <f t="shared" si="18"/>
        <v>1500</v>
      </c>
      <c r="F6966" s="67" t="str">
        <f t="shared" si="12"/>
        <v>6 LeadGen Set Appointments</v>
      </c>
    </row>
    <row r="6967" hidden="1">
      <c r="A6967" s="6" t="s">
        <v>85</v>
      </c>
      <c r="B6967" s="13" t="s">
        <v>258</v>
      </c>
      <c r="C6967" s="13" t="s">
        <v>2386</v>
      </c>
      <c r="D6967" s="15">
        <v>6.0</v>
      </c>
      <c r="E6967" s="67">
        <f t="shared" si="18"/>
        <v>1500</v>
      </c>
      <c r="F6967" s="67" t="str">
        <f t="shared" si="12"/>
        <v>6 LeadGen Set Appointments</v>
      </c>
    </row>
    <row r="6968" hidden="1">
      <c r="A6968" s="6" t="s">
        <v>85</v>
      </c>
      <c r="B6968" s="13" t="s">
        <v>2488</v>
      </c>
      <c r="C6968" s="13" t="s">
        <v>2489</v>
      </c>
      <c r="D6968" s="15">
        <v>6.0</v>
      </c>
      <c r="E6968" s="67">
        <f t="shared" si="18"/>
        <v>1500</v>
      </c>
      <c r="F6968" s="67" t="str">
        <f t="shared" si="12"/>
        <v>6 LeadGen Set Appointments</v>
      </c>
    </row>
    <row r="6969" hidden="1">
      <c r="A6969" s="6" t="s">
        <v>85</v>
      </c>
      <c r="B6969" s="13" t="s">
        <v>1033</v>
      </c>
      <c r="C6969" s="13" t="s">
        <v>1034</v>
      </c>
      <c r="D6969" s="15">
        <v>5.0</v>
      </c>
      <c r="E6969" s="67">
        <f t="shared" si="18"/>
        <v>1250</v>
      </c>
      <c r="F6969" s="67" t="str">
        <f t="shared" si="12"/>
        <v>5 LeadGen Set Appointments</v>
      </c>
    </row>
    <row r="6970" hidden="1">
      <c r="A6970" s="6" t="s">
        <v>85</v>
      </c>
      <c r="B6970" s="13" t="s">
        <v>447</v>
      </c>
      <c r="C6970" s="13" t="s">
        <v>448</v>
      </c>
      <c r="D6970" s="15">
        <v>5.0</v>
      </c>
      <c r="E6970" s="67">
        <f t="shared" si="18"/>
        <v>1250</v>
      </c>
      <c r="F6970" s="67" t="str">
        <f t="shared" si="12"/>
        <v>5 LeadGen Set Appointments</v>
      </c>
    </row>
    <row r="6971" hidden="1">
      <c r="A6971" s="6" t="s">
        <v>85</v>
      </c>
      <c r="B6971" s="13" t="s">
        <v>2212</v>
      </c>
      <c r="C6971" s="13" t="s">
        <v>2213</v>
      </c>
      <c r="D6971" s="15">
        <v>5.0</v>
      </c>
      <c r="E6971" s="67">
        <f t="shared" si="18"/>
        <v>1250</v>
      </c>
      <c r="F6971" s="67" t="str">
        <f t="shared" si="12"/>
        <v>5 LeadGen Set Appointments</v>
      </c>
    </row>
    <row r="6972" hidden="1">
      <c r="A6972" s="6" t="s">
        <v>85</v>
      </c>
      <c r="B6972" s="13" t="s">
        <v>1579</v>
      </c>
      <c r="C6972" s="13" t="s">
        <v>1580</v>
      </c>
      <c r="D6972" s="15">
        <v>5.0</v>
      </c>
      <c r="E6972" s="67">
        <f t="shared" si="18"/>
        <v>1250</v>
      </c>
      <c r="F6972" s="67" t="str">
        <f t="shared" si="12"/>
        <v>5 LeadGen Set Appointments</v>
      </c>
    </row>
    <row r="6973" hidden="1">
      <c r="A6973" s="6" t="s">
        <v>85</v>
      </c>
      <c r="B6973" s="13" t="s">
        <v>2548</v>
      </c>
      <c r="C6973" s="13" t="s">
        <v>2549</v>
      </c>
      <c r="D6973" s="15">
        <v>5.0</v>
      </c>
      <c r="E6973" s="67">
        <f t="shared" si="18"/>
        <v>1250</v>
      </c>
      <c r="F6973" s="67" t="str">
        <f t="shared" si="12"/>
        <v>5 LeadGen Set Appointments</v>
      </c>
    </row>
    <row r="6974" hidden="1">
      <c r="A6974" s="6" t="s">
        <v>85</v>
      </c>
      <c r="B6974" s="13" t="s">
        <v>2299</v>
      </c>
      <c r="C6974" s="13" t="s">
        <v>2300</v>
      </c>
      <c r="D6974" s="15">
        <v>5.0</v>
      </c>
      <c r="E6974" s="67">
        <f t="shared" si="18"/>
        <v>1250</v>
      </c>
      <c r="F6974" s="67" t="str">
        <f t="shared" si="12"/>
        <v>5 LeadGen Set Appointments</v>
      </c>
    </row>
    <row r="6975" hidden="1">
      <c r="A6975" s="6" t="s">
        <v>85</v>
      </c>
      <c r="B6975" s="13" t="s">
        <v>752</v>
      </c>
      <c r="C6975" s="13" t="s">
        <v>753</v>
      </c>
      <c r="D6975" s="15">
        <v>5.0</v>
      </c>
      <c r="E6975" s="67">
        <f t="shared" si="18"/>
        <v>1250</v>
      </c>
      <c r="F6975" s="67" t="str">
        <f t="shared" si="12"/>
        <v>5 LeadGen Set Appointments</v>
      </c>
    </row>
    <row r="6976" hidden="1">
      <c r="A6976" s="6" t="s">
        <v>85</v>
      </c>
      <c r="B6976" s="13" t="s">
        <v>1583</v>
      </c>
      <c r="C6976" s="13" t="s">
        <v>1584</v>
      </c>
      <c r="D6976" s="15">
        <v>5.0</v>
      </c>
      <c r="E6976" s="67">
        <f t="shared" si="18"/>
        <v>1250</v>
      </c>
      <c r="F6976" s="67" t="str">
        <f t="shared" si="12"/>
        <v>5 LeadGen Set Appointments</v>
      </c>
    </row>
    <row r="6977" hidden="1">
      <c r="A6977" s="6" t="s">
        <v>85</v>
      </c>
      <c r="B6977" s="13" t="s">
        <v>288</v>
      </c>
      <c r="C6977" s="13" t="s">
        <v>2375</v>
      </c>
      <c r="D6977" s="15">
        <v>5.0</v>
      </c>
      <c r="E6977" s="67">
        <f t="shared" si="18"/>
        <v>1250</v>
      </c>
      <c r="F6977" s="67" t="str">
        <f t="shared" si="12"/>
        <v>5 LeadGen Set Appointments</v>
      </c>
    </row>
    <row r="6978" hidden="1">
      <c r="A6978" s="6" t="s">
        <v>85</v>
      </c>
      <c r="B6978" s="13" t="s">
        <v>1585</v>
      </c>
      <c r="C6978" s="13" t="s">
        <v>2490</v>
      </c>
      <c r="D6978" s="15">
        <v>5.0</v>
      </c>
      <c r="E6978" s="67">
        <f t="shared" si="18"/>
        <v>1250</v>
      </c>
      <c r="F6978" s="67" t="str">
        <f t="shared" si="12"/>
        <v>5 LeadGen Set Appointments</v>
      </c>
    </row>
    <row r="6979" hidden="1">
      <c r="A6979" s="6" t="s">
        <v>85</v>
      </c>
      <c r="B6979" s="13" t="s">
        <v>494</v>
      </c>
      <c r="C6979" s="13" t="s">
        <v>495</v>
      </c>
      <c r="D6979" s="15">
        <v>5.0</v>
      </c>
      <c r="E6979" s="67">
        <f t="shared" si="18"/>
        <v>1250</v>
      </c>
      <c r="F6979" s="67" t="str">
        <f t="shared" si="12"/>
        <v>5 LeadGen Set Appointments</v>
      </c>
    </row>
    <row r="6980" hidden="1">
      <c r="A6980" s="6" t="s">
        <v>85</v>
      </c>
      <c r="B6980" s="13" t="s">
        <v>273</v>
      </c>
      <c r="C6980" s="13" t="s">
        <v>274</v>
      </c>
      <c r="D6980" s="15">
        <v>5.0</v>
      </c>
      <c r="E6980" s="67">
        <f t="shared" si="18"/>
        <v>1250</v>
      </c>
      <c r="F6980" s="67" t="str">
        <f t="shared" si="12"/>
        <v>5 LeadGen Set Appointments</v>
      </c>
    </row>
    <row r="6981" hidden="1">
      <c r="A6981" s="6" t="s">
        <v>85</v>
      </c>
      <c r="B6981" s="13" t="s">
        <v>582</v>
      </c>
      <c r="C6981" s="13" t="s">
        <v>583</v>
      </c>
      <c r="D6981" s="15">
        <v>5.0</v>
      </c>
      <c r="E6981" s="67">
        <f t="shared" si="18"/>
        <v>1250</v>
      </c>
      <c r="F6981" s="67" t="str">
        <f t="shared" si="12"/>
        <v>5 LeadGen Set Appointments</v>
      </c>
    </row>
    <row r="6982" hidden="1">
      <c r="A6982" s="6" t="s">
        <v>85</v>
      </c>
      <c r="B6982" s="13" t="s">
        <v>626</v>
      </c>
      <c r="C6982" s="13" t="s">
        <v>627</v>
      </c>
      <c r="D6982" s="15">
        <v>5.0</v>
      </c>
      <c r="E6982" s="67">
        <f t="shared" si="18"/>
        <v>1250</v>
      </c>
      <c r="F6982" s="67" t="str">
        <f t="shared" si="12"/>
        <v>5 LeadGen Set Appointments</v>
      </c>
    </row>
    <row r="6983" hidden="1">
      <c r="A6983" s="6" t="s">
        <v>85</v>
      </c>
      <c r="B6983" s="13" t="s">
        <v>2572</v>
      </c>
      <c r="C6983" s="13" t="s">
        <v>2573</v>
      </c>
      <c r="D6983" s="15">
        <v>5.0</v>
      </c>
      <c r="E6983" s="67">
        <f t="shared" si="18"/>
        <v>1250</v>
      </c>
      <c r="F6983" s="67" t="str">
        <f t="shared" si="12"/>
        <v>5 LeadGen Set Appointments</v>
      </c>
    </row>
    <row r="6984" hidden="1">
      <c r="A6984" s="6" t="s">
        <v>85</v>
      </c>
      <c r="B6984" s="13" t="s">
        <v>2499</v>
      </c>
      <c r="C6984" s="13" t="s">
        <v>2500</v>
      </c>
      <c r="D6984" s="15">
        <v>5.0</v>
      </c>
      <c r="E6984" s="67">
        <f t="shared" si="18"/>
        <v>1250</v>
      </c>
      <c r="F6984" s="67" t="str">
        <f t="shared" si="12"/>
        <v>5 LeadGen Set Appointments</v>
      </c>
    </row>
    <row r="6985" hidden="1">
      <c r="A6985" s="6" t="s">
        <v>85</v>
      </c>
      <c r="B6985" s="13" t="s">
        <v>518</v>
      </c>
      <c r="C6985" s="13" t="s">
        <v>519</v>
      </c>
      <c r="D6985" s="15">
        <v>5.0</v>
      </c>
      <c r="E6985" s="67">
        <f t="shared" si="18"/>
        <v>1250</v>
      </c>
      <c r="F6985" s="67" t="str">
        <f t="shared" si="12"/>
        <v>5 LeadGen Set Appointments</v>
      </c>
    </row>
    <row r="6986" hidden="1">
      <c r="A6986" s="6" t="s">
        <v>85</v>
      </c>
      <c r="B6986" s="13" t="s">
        <v>1935</v>
      </c>
      <c r="C6986" s="13" t="s">
        <v>1936</v>
      </c>
      <c r="D6986" s="15">
        <v>5.0</v>
      </c>
      <c r="E6986" s="67">
        <f t="shared" si="18"/>
        <v>1250</v>
      </c>
      <c r="F6986" s="67" t="str">
        <f t="shared" si="12"/>
        <v>5 LeadGen Set Appointments</v>
      </c>
    </row>
    <row r="6987" hidden="1">
      <c r="A6987" s="6" t="s">
        <v>85</v>
      </c>
      <c r="B6987" s="13" t="s">
        <v>302</v>
      </c>
      <c r="C6987" s="13" t="s">
        <v>2110</v>
      </c>
      <c r="D6987" s="15">
        <v>5.0</v>
      </c>
      <c r="E6987" s="67">
        <f t="shared" si="18"/>
        <v>1250</v>
      </c>
      <c r="F6987" s="67" t="str">
        <f t="shared" si="12"/>
        <v>5 LeadGen Set Appointments</v>
      </c>
    </row>
    <row r="6988" hidden="1">
      <c r="A6988" s="6" t="s">
        <v>85</v>
      </c>
      <c r="B6988" s="13" t="s">
        <v>1955</v>
      </c>
      <c r="C6988" s="13" t="s">
        <v>1956</v>
      </c>
      <c r="D6988" s="15">
        <v>5.0</v>
      </c>
      <c r="E6988" s="67">
        <f t="shared" si="18"/>
        <v>1250</v>
      </c>
      <c r="F6988" s="67" t="str">
        <f t="shared" si="12"/>
        <v>5 LeadGen Set Appointments</v>
      </c>
    </row>
    <row r="6989" hidden="1">
      <c r="A6989" s="6" t="s">
        <v>85</v>
      </c>
      <c r="B6989" s="13" t="s">
        <v>1776</v>
      </c>
      <c r="C6989" s="13" t="s">
        <v>1777</v>
      </c>
      <c r="D6989" s="15">
        <v>5.0</v>
      </c>
      <c r="E6989" s="67">
        <f t="shared" si="18"/>
        <v>1250</v>
      </c>
      <c r="F6989" s="67" t="str">
        <f t="shared" si="12"/>
        <v>5 LeadGen Set Appointments</v>
      </c>
    </row>
    <row r="6990" hidden="1">
      <c r="A6990" s="6" t="s">
        <v>85</v>
      </c>
      <c r="B6990" s="13" t="s">
        <v>1457</v>
      </c>
      <c r="C6990" s="13" t="s">
        <v>2411</v>
      </c>
      <c r="D6990" s="15">
        <v>5.0</v>
      </c>
      <c r="E6990" s="67">
        <f t="shared" si="18"/>
        <v>1250</v>
      </c>
      <c r="F6990" s="67" t="str">
        <f t="shared" si="12"/>
        <v>5 LeadGen Set Appointments</v>
      </c>
    </row>
    <row r="6991" hidden="1">
      <c r="A6991" s="6" t="s">
        <v>85</v>
      </c>
      <c r="B6991" s="13" t="s">
        <v>1463</v>
      </c>
      <c r="C6991" s="13" t="s">
        <v>1464</v>
      </c>
      <c r="D6991" s="15">
        <v>4.0</v>
      </c>
      <c r="E6991" s="67">
        <f t="shared" si="18"/>
        <v>1000</v>
      </c>
      <c r="F6991" s="67" t="str">
        <f t="shared" si="12"/>
        <v>4 LeadGen Set Appointments</v>
      </c>
    </row>
    <row r="6992" hidden="1">
      <c r="A6992" s="6" t="s">
        <v>85</v>
      </c>
      <c r="B6992" s="13" t="s">
        <v>271</v>
      </c>
      <c r="C6992" s="13" t="s">
        <v>2551</v>
      </c>
      <c r="D6992" s="15">
        <v>4.0</v>
      </c>
      <c r="E6992" s="67">
        <f t="shared" si="18"/>
        <v>1000</v>
      </c>
      <c r="F6992" s="67" t="str">
        <f t="shared" si="12"/>
        <v>4 LeadGen Set Appointments</v>
      </c>
    </row>
    <row r="6993" hidden="1">
      <c r="A6993" s="6" t="s">
        <v>85</v>
      </c>
      <c r="B6993" s="13" t="s">
        <v>576</v>
      </c>
      <c r="C6993" s="13" t="s">
        <v>577</v>
      </c>
      <c r="D6993" s="15">
        <v>4.0</v>
      </c>
      <c r="E6993" s="67">
        <f t="shared" si="18"/>
        <v>1000</v>
      </c>
      <c r="F6993" s="67" t="str">
        <f t="shared" si="12"/>
        <v>4 LeadGen Set Appointments</v>
      </c>
    </row>
    <row r="6994" hidden="1">
      <c r="A6994" s="6" t="s">
        <v>85</v>
      </c>
      <c r="B6994" s="13" t="s">
        <v>2469</v>
      </c>
      <c r="C6994" s="13" t="s">
        <v>2470</v>
      </c>
      <c r="D6994" s="15">
        <v>4.0</v>
      </c>
      <c r="E6994" s="67">
        <f t="shared" si="18"/>
        <v>1000</v>
      </c>
      <c r="F6994" s="67" t="str">
        <f t="shared" si="12"/>
        <v>4 LeadGen Set Appointments</v>
      </c>
    </row>
    <row r="6995" hidden="1">
      <c r="A6995" s="6" t="s">
        <v>85</v>
      </c>
      <c r="B6995" s="13" t="s">
        <v>2527</v>
      </c>
      <c r="C6995" s="13" t="s">
        <v>2528</v>
      </c>
      <c r="D6995" s="15">
        <v>4.0</v>
      </c>
      <c r="E6995" s="67">
        <f t="shared" si="18"/>
        <v>1000</v>
      </c>
      <c r="F6995" s="67" t="str">
        <f t="shared" si="12"/>
        <v>4 LeadGen Set Appointments</v>
      </c>
    </row>
    <row r="6996" hidden="1">
      <c r="A6996" s="6" t="s">
        <v>85</v>
      </c>
      <c r="B6996" s="13" t="s">
        <v>1448</v>
      </c>
      <c r="C6996" s="13" t="s">
        <v>1449</v>
      </c>
      <c r="D6996" s="15">
        <v>4.0</v>
      </c>
      <c r="E6996" s="67">
        <f t="shared" si="18"/>
        <v>1000</v>
      </c>
      <c r="F6996" s="67" t="str">
        <f t="shared" si="12"/>
        <v>4 LeadGen Set Appointments</v>
      </c>
    </row>
    <row r="6997" hidden="1">
      <c r="A6997" s="6" t="s">
        <v>85</v>
      </c>
      <c r="B6997" s="13" t="s">
        <v>2034</v>
      </c>
      <c r="C6997" s="13" t="s">
        <v>416</v>
      </c>
      <c r="D6997" s="15">
        <v>4.0</v>
      </c>
      <c r="E6997" s="67">
        <f t="shared" si="18"/>
        <v>1000</v>
      </c>
      <c r="F6997" s="67" t="str">
        <f t="shared" si="12"/>
        <v>4 LeadGen Set Appointments</v>
      </c>
    </row>
    <row r="6998" hidden="1">
      <c r="A6998" s="6" t="s">
        <v>85</v>
      </c>
      <c r="B6998" s="13" t="s">
        <v>684</v>
      </c>
      <c r="C6998" s="13" t="s">
        <v>685</v>
      </c>
      <c r="D6998" s="15">
        <v>4.0</v>
      </c>
      <c r="E6998" s="67">
        <f t="shared" si="18"/>
        <v>1000</v>
      </c>
      <c r="F6998" s="67" t="str">
        <f t="shared" si="12"/>
        <v>4 LeadGen Set Appointments</v>
      </c>
    </row>
    <row r="6999" hidden="1">
      <c r="A6999" s="6" t="s">
        <v>85</v>
      </c>
      <c r="B6999" s="13" t="s">
        <v>431</v>
      </c>
      <c r="C6999" s="13" t="s">
        <v>432</v>
      </c>
      <c r="D6999" s="15">
        <v>4.0</v>
      </c>
      <c r="E6999" s="67">
        <f t="shared" si="18"/>
        <v>1000</v>
      </c>
      <c r="F6999" s="67" t="str">
        <f t="shared" si="12"/>
        <v>4 LeadGen Set Appointments</v>
      </c>
    </row>
    <row r="7000" hidden="1">
      <c r="A7000" s="6" t="s">
        <v>85</v>
      </c>
      <c r="B7000" s="13" t="s">
        <v>2540</v>
      </c>
      <c r="C7000" s="13" t="s">
        <v>2541</v>
      </c>
      <c r="D7000" s="15">
        <v>4.0</v>
      </c>
      <c r="E7000" s="67">
        <f t="shared" si="18"/>
        <v>1000</v>
      </c>
      <c r="F7000" s="67" t="str">
        <f t="shared" si="12"/>
        <v>4 LeadGen Set Appointments</v>
      </c>
    </row>
    <row r="7001" hidden="1">
      <c r="A7001" s="6" t="s">
        <v>85</v>
      </c>
      <c r="B7001" s="13" t="s">
        <v>1334</v>
      </c>
      <c r="C7001" s="13" t="s">
        <v>553</v>
      </c>
      <c r="D7001" s="15">
        <v>4.0</v>
      </c>
      <c r="E7001" s="67">
        <f t="shared" si="18"/>
        <v>1000</v>
      </c>
      <c r="F7001" s="67" t="str">
        <f t="shared" si="12"/>
        <v>4 LeadGen Set Appointments</v>
      </c>
    </row>
    <row r="7002" hidden="1">
      <c r="A7002" s="6" t="s">
        <v>85</v>
      </c>
      <c r="B7002" s="13" t="s">
        <v>2473</v>
      </c>
      <c r="C7002" s="13" t="s">
        <v>2474</v>
      </c>
      <c r="D7002" s="15">
        <v>4.0</v>
      </c>
      <c r="E7002" s="67">
        <f t="shared" si="18"/>
        <v>1000</v>
      </c>
      <c r="F7002" s="67" t="str">
        <f t="shared" si="12"/>
        <v>4 LeadGen Set Appointments</v>
      </c>
    </row>
    <row r="7003" hidden="1">
      <c r="A7003" s="6" t="s">
        <v>85</v>
      </c>
      <c r="B7003" s="13" t="s">
        <v>2513</v>
      </c>
      <c r="C7003" s="13" t="s">
        <v>2514</v>
      </c>
      <c r="D7003" s="15">
        <v>4.0</v>
      </c>
      <c r="E7003" s="67">
        <f t="shared" si="18"/>
        <v>1000</v>
      </c>
      <c r="F7003" s="67" t="str">
        <f t="shared" si="12"/>
        <v>4 LeadGen Set Appointments</v>
      </c>
    </row>
    <row r="7004" hidden="1">
      <c r="A7004" s="6" t="s">
        <v>85</v>
      </c>
      <c r="B7004" s="13" t="s">
        <v>2393</v>
      </c>
      <c r="C7004" s="13" t="s">
        <v>2394</v>
      </c>
      <c r="D7004" s="15">
        <v>4.0</v>
      </c>
      <c r="E7004" s="67">
        <f t="shared" si="18"/>
        <v>1000</v>
      </c>
      <c r="F7004" s="67" t="str">
        <f t="shared" si="12"/>
        <v>4 LeadGen Set Appointments</v>
      </c>
    </row>
    <row r="7005" hidden="1">
      <c r="A7005" s="6" t="s">
        <v>85</v>
      </c>
      <c r="B7005" s="13" t="s">
        <v>2097</v>
      </c>
      <c r="C7005" s="13" t="s">
        <v>828</v>
      </c>
      <c r="D7005" s="15">
        <v>4.0</v>
      </c>
      <c r="E7005" s="67">
        <f t="shared" si="18"/>
        <v>1000</v>
      </c>
      <c r="F7005" s="67" t="str">
        <f t="shared" si="12"/>
        <v>4 LeadGen Set Appointments</v>
      </c>
    </row>
    <row r="7006" hidden="1">
      <c r="A7006" s="6" t="s">
        <v>85</v>
      </c>
      <c r="B7006" s="13" t="s">
        <v>2553</v>
      </c>
      <c r="C7006" s="13" t="s">
        <v>2554</v>
      </c>
      <c r="D7006" s="15">
        <v>4.0</v>
      </c>
      <c r="E7006" s="67">
        <f t="shared" si="18"/>
        <v>1000</v>
      </c>
      <c r="F7006" s="67" t="str">
        <f t="shared" si="12"/>
        <v>4 LeadGen Set Appointments</v>
      </c>
    </row>
    <row r="7007" hidden="1">
      <c r="A7007" s="6" t="s">
        <v>85</v>
      </c>
      <c r="B7007" s="13" t="s">
        <v>572</v>
      </c>
      <c r="C7007" s="13" t="s">
        <v>573</v>
      </c>
      <c r="D7007" s="15">
        <v>4.0</v>
      </c>
      <c r="E7007" s="67">
        <f t="shared" si="18"/>
        <v>1000</v>
      </c>
      <c r="F7007" s="67" t="str">
        <f t="shared" si="12"/>
        <v>4 LeadGen Set Appointments</v>
      </c>
    </row>
    <row r="7008" hidden="1">
      <c r="A7008" s="6" t="s">
        <v>85</v>
      </c>
      <c r="B7008" s="13" t="s">
        <v>1333</v>
      </c>
      <c r="C7008" s="13" t="s">
        <v>551</v>
      </c>
      <c r="D7008" s="15">
        <v>4.0</v>
      </c>
      <c r="E7008" s="67">
        <f t="shared" si="18"/>
        <v>1000</v>
      </c>
      <c r="F7008" s="67" t="str">
        <f t="shared" si="12"/>
        <v>4 LeadGen Set Appointments</v>
      </c>
    </row>
    <row r="7009" hidden="1">
      <c r="A7009" s="6" t="s">
        <v>85</v>
      </c>
      <c r="B7009" s="13" t="s">
        <v>2384</v>
      </c>
      <c r="C7009" s="13" t="s">
        <v>2385</v>
      </c>
      <c r="D7009" s="15">
        <v>4.0</v>
      </c>
      <c r="E7009" s="67">
        <f t="shared" si="18"/>
        <v>1000</v>
      </c>
      <c r="F7009" s="67" t="str">
        <f t="shared" si="12"/>
        <v>4 LeadGen Set Appointments</v>
      </c>
    </row>
    <row r="7010" hidden="1">
      <c r="A7010" s="6" t="s">
        <v>85</v>
      </c>
      <c r="B7010" s="13" t="s">
        <v>2234</v>
      </c>
      <c r="C7010" s="13" t="s">
        <v>2235</v>
      </c>
      <c r="D7010" s="15">
        <v>4.0</v>
      </c>
      <c r="E7010" s="67">
        <f t="shared" si="18"/>
        <v>1000</v>
      </c>
      <c r="F7010" s="67" t="str">
        <f t="shared" si="12"/>
        <v>4 LeadGen Set Appointments</v>
      </c>
    </row>
    <row r="7011" hidden="1">
      <c r="A7011" s="6" t="s">
        <v>85</v>
      </c>
      <c r="B7011" s="13" t="s">
        <v>2288</v>
      </c>
      <c r="C7011" s="13" t="s">
        <v>2289</v>
      </c>
      <c r="D7011" s="15">
        <v>4.0</v>
      </c>
      <c r="E7011" s="67">
        <f t="shared" si="18"/>
        <v>1000</v>
      </c>
      <c r="F7011" s="67" t="str">
        <f t="shared" si="12"/>
        <v>4 LeadGen Set Appointments</v>
      </c>
    </row>
    <row r="7012" hidden="1">
      <c r="A7012" s="6" t="s">
        <v>85</v>
      </c>
      <c r="B7012" s="13" t="s">
        <v>2360</v>
      </c>
      <c r="C7012" s="13" t="s">
        <v>2361</v>
      </c>
      <c r="D7012" s="15">
        <v>4.0</v>
      </c>
      <c r="E7012" s="67">
        <f t="shared" si="18"/>
        <v>1000</v>
      </c>
      <c r="F7012" s="67" t="str">
        <f t="shared" si="12"/>
        <v>4 LeadGen Set Appointments</v>
      </c>
    </row>
    <row r="7013" hidden="1">
      <c r="A7013" s="6" t="s">
        <v>85</v>
      </c>
      <c r="B7013" s="13" t="s">
        <v>1947</v>
      </c>
      <c r="C7013" s="13" t="s">
        <v>2582</v>
      </c>
      <c r="D7013" s="15">
        <v>4.0</v>
      </c>
      <c r="E7013" s="67">
        <f t="shared" si="18"/>
        <v>1000</v>
      </c>
      <c r="F7013" s="67" t="str">
        <f t="shared" si="12"/>
        <v>4 LeadGen Set Appointments</v>
      </c>
    </row>
    <row r="7014" hidden="1">
      <c r="A7014" s="6" t="s">
        <v>85</v>
      </c>
      <c r="B7014" s="13" t="s">
        <v>1567</v>
      </c>
      <c r="C7014" s="13" t="s">
        <v>1568</v>
      </c>
      <c r="D7014" s="15">
        <v>4.0</v>
      </c>
      <c r="E7014" s="67">
        <f t="shared" si="18"/>
        <v>1000</v>
      </c>
      <c r="F7014" s="67" t="str">
        <f t="shared" si="12"/>
        <v>4 LeadGen Set Appointments</v>
      </c>
    </row>
    <row r="7015" hidden="1">
      <c r="A7015" s="6" t="s">
        <v>85</v>
      </c>
      <c r="B7015" s="13" t="s">
        <v>1442</v>
      </c>
      <c r="C7015" s="13" t="s">
        <v>749</v>
      </c>
      <c r="D7015" s="15">
        <v>4.0</v>
      </c>
      <c r="E7015" s="67">
        <f t="shared" si="18"/>
        <v>1000</v>
      </c>
      <c r="F7015" s="67" t="str">
        <f t="shared" si="12"/>
        <v>4 LeadGen Set Appointments</v>
      </c>
    </row>
    <row r="7016" hidden="1">
      <c r="A7016" s="6" t="s">
        <v>85</v>
      </c>
      <c r="B7016" s="13" t="s">
        <v>2268</v>
      </c>
      <c r="C7016" s="13" t="s">
        <v>2269</v>
      </c>
      <c r="D7016" s="15">
        <v>4.0</v>
      </c>
      <c r="E7016" s="67">
        <f t="shared" si="18"/>
        <v>1000</v>
      </c>
      <c r="F7016" s="67" t="str">
        <f t="shared" si="12"/>
        <v>4 LeadGen Set Appointments</v>
      </c>
    </row>
    <row r="7017" hidden="1">
      <c r="A7017" s="6" t="s">
        <v>85</v>
      </c>
      <c r="B7017" s="13" t="s">
        <v>2367</v>
      </c>
      <c r="C7017" s="13" t="s">
        <v>2368</v>
      </c>
      <c r="D7017" s="15">
        <v>4.0</v>
      </c>
      <c r="E7017" s="67">
        <f t="shared" si="18"/>
        <v>1000</v>
      </c>
      <c r="F7017" s="67" t="str">
        <f t="shared" si="12"/>
        <v>4 LeadGen Set Appointments</v>
      </c>
    </row>
    <row r="7018" hidden="1">
      <c r="A7018" s="6" t="s">
        <v>85</v>
      </c>
      <c r="B7018" s="13" t="s">
        <v>622</v>
      </c>
      <c r="C7018" s="13" t="s">
        <v>623</v>
      </c>
      <c r="D7018" s="15">
        <v>4.0</v>
      </c>
      <c r="E7018" s="67">
        <f t="shared" si="18"/>
        <v>1000</v>
      </c>
      <c r="F7018" s="67" t="str">
        <f t="shared" si="12"/>
        <v>4 LeadGen Set Appointments</v>
      </c>
    </row>
    <row r="7019" hidden="1">
      <c r="A7019" s="6" t="s">
        <v>85</v>
      </c>
      <c r="B7019" s="13" t="s">
        <v>2218</v>
      </c>
      <c r="C7019" s="13" t="s">
        <v>2219</v>
      </c>
      <c r="D7019" s="15">
        <v>4.0</v>
      </c>
      <c r="E7019" s="67">
        <f t="shared" si="18"/>
        <v>1000</v>
      </c>
      <c r="F7019" s="67" t="str">
        <f t="shared" si="12"/>
        <v>4 LeadGen Set Appointments</v>
      </c>
    </row>
    <row r="7020" hidden="1">
      <c r="A7020" s="6" t="s">
        <v>85</v>
      </c>
      <c r="B7020" s="13" t="s">
        <v>2323</v>
      </c>
      <c r="C7020" s="13" t="s">
        <v>2324</v>
      </c>
      <c r="D7020" s="15">
        <v>4.0</v>
      </c>
      <c r="E7020" s="67">
        <f t="shared" si="18"/>
        <v>1000</v>
      </c>
      <c r="F7020" s="67" t="str">
        <f t="shared" si="12"/>
        <v>4 LeadGen Set Appointments</v>
      </c>
    </row>
    <row r="7021" hidden="1">
      <c r="A7021" s="6" t="s">
        <v>85</v>
      </c>
      <c r="B7021" s="13" t="s">
        <v>2077</v>
      </c>
      <c r="C7021" s="13" t="s">
        <v>2078</v>
      </c>
      <c r="D7021" s="15">
        <v>4.0</v>
      </c>
      <c r="E7021" s="67">
        <f t="shared" si="18"/>
        <v>1000</v>
      </c>
      <c r="F7021" s="67" t="str">
        <f t="shared" si="12"/>
        <v>4 LeadGen Set Appointments</v>
      </c>
    </row>
    <row r="7022" hidden="1">
      <c r="A7022" s="6" t="s">
        <v>85</v>
      </c>
      <c r="B7022" s="13" t="s">
        <v>2578</v>
      </c>
      <c r="C7022" s="13" t="s">
        <v>2579</v>
      </c>
      <c r="D7022" s="15">
        <v>4.0</v>
      </c>
      <c r="E7022" s="67">
        <f t="shared" si="18"/>
        <v>1000</v>
      </c>
      <c r="F7022" s="67" t="str">
        <f t="shared" si="12"/>
        <v>4 LeadGen Set Appointments</v>
      </c>
    </row>
    <row r="7023" hidden="1">
      <c r="A7023" s="6" t="s">
        <v>85</v>
      </c>
      <c r="B7023" s="13" t="s">
        <v>2450</v>
      </c>
      <c r="C7023" s="13" t="s">
        <v>2451</v>
      </c>
      <c r="D7023" s="15">
        <v>3.0</v>
      </c>
      <c r="E7023" s="67">
        <f t="shared" si="18"/>
        <v>750</v>
      </c>
      <c r="F7023" s="67" t="str">
        <f t="shared" si="12"/>
        <v>3 LeadGen Set Appointments</v>
      </c>
    </row>
    <row r="7024" hidden="1">
      <c r="A7024" s="6" t="s">
        <v>85</v>
      </c>
      <c r="B7024" s="13" t="s">
        <v>1380</v>
      </c>
      <c r="C7024" s="13" t="s">
        <v>1381</v>
      </c>
      <c r="D7024" s="15">
        <v>3.0</v>
      </c>
      <c r="E7024" s="67">
        <f t="shared" si="18"/>
        <v>750</v>
      </c>
      <c r="F7024" s="67" t="str">
        <f t="shared" si="12"/>
        <v>3 LeadGen Set Appointments</v>
      </c>
    </row>
    <row r="7025" hidden="1">
      <c r="A7025" s="6" t="s">
        <v>85</v>
      </c>
      <c r="B7025" s="13" t="s">
        <v>2622</v>
      </c>
      <c r="C7025" s="13" t="s">
        <v>2623</v>
      </c>
      <c r="D7025" s="15">
        <v>3.0</v>
      </c>
      <c r="E7025" s="67">
        <f t="shared" si="18"/>
        <v>750</v>
      </c>
      <c r="F7025" s="67" t="str">
        <f t="shared" si="12"/>
        <v>3 LeadGen Set Appointments</v>
      </c>
    </row>
    <row r="7026" hidden="1">
      <c r="A7026" s="6" t="s">
        <v>85</v>
      </c>
      <c r="B7026" s="13" t="s">
        <v>462</v>
      </c>
      <c r="C7026" s="13" t="s">
        <v>463</v>
      </c>
      <c r="D7026" s="15">
        <v>3.0</v>
      </c>
      <c r="E7026" s="67">
        <f t="shared" si="18"/>
        <v>750</v>
      </c>
      <c r="F7026" s="67" t="str">
        <f t="shared" si="12"/>
        <v>3 LeadGen Set Appointments</v>
      </c>
    </row>
    <row r="7027" hidden="1">
      <c r="A7027" s="6" t="s">
        <v>85</v>
      </c>
      <c r="B7027" s="13" t="s">
        <v>500</v>
      </c>
      <c r="C7027" s="13" t="s">
        <v>501</v>
      </c>
      <c r="D7027" s="15">
        <v>3.0</v>
      </c>
      <c r="E7027" s="67">
        <f t="shared" si="18"/>
        <v>750</v>
      </c>
      <c r="F7027" s="67" t="str">
        <f t="shared" si="12"/>
        <v>3 LeadGen Set Appointments</v>
      </c>
    </row>
    <row r="7028" hidden="1">
      <c r="A7028" s="6" t="s">
        <v>85</v>
      </c>
      <c r="B7028" s="13" t="s">
        <v>2624</v>
      </c>
      <c r="C7028" s="13" t="s">
        <v>2625</v>
      </c>
      <c r="D7028" s="15">
        <v>3.0</v>
      </c>
      <c r="E7028" s="67">
        <f t="shared" si="18"/>
        <v>750</v>
      </c>
      <c r="F7028" s="67" t="str">
        <f t="shared" si="12"/>
        <v>3 LeadGen Set Appointments</v>
      </c>
    </row>
    <row r="7029" hidden="1">
      <c r="A7029" s="6" t="s">
        <v>85</v>
      </c>
      <c r="B7029" s="13" t="s">
        <v>2626</v>
      </c>
      <c r="C7029" s="13" t="s">
        <v>2627</v>
      </c>
      <c r="D7029" s="15">
        <v>3.0</v>
      </c>
      <c r="E7029" s="67">
        <f t="shared" si="18"/>
        <v>750</v>
      </c>
      <c r="F7029" s="67" t="str">
        <f t="shared" si="12"/>
        <v>3 LeadGen Set Appointments</v>
      </c>
    </row>
    <row r="7030" hidden="1">
      <c r="A7030" s="6" t="s">
        <v>85</v>
      </c>
      <c r="B7030" s="13" t="s">
        <v>2628</v>
      </c>
      <c r="C7030" s="13" t="s">
        <v>2629</v>
      </c>
      <c r="D7030" s="15">
        <v>3.0</v>
      </c>
      <c r="E7030" s="67">
        <f t="shared" si="18"/>
        <v>750</v>
      </c>
      <c r="F7030" s="67" t="str">
        <f t="shared" si="12"/>
        <v>3 LeadGen Set Appointments</v>
      </c>
    </row>
    <row r="7031" hidden="1">
      <c r="A7031" s="6" t="s">
        <v>85</v>
      </c>
      <c r="B7031" s="13" t="s">
        <v>2377</v>
      </c>
      <c r="C7031" s="13" t="s">
        <v>2378</v>
      </c>
      <c r="D7031" s="15">
        <v>3.0</v>
      </c>
      <c r="E7031" s="67">
        <f t="shared" si="18"/>
        <v>750</v>
      </c>
      <c r="F7031" s="67" t="str">
        <f t="shared" si="12"/>
        <v>3 LeadGen Set Appointments</v>
      </c>
    </row>
    <row r="7032" hidden="1">
      <c r="A7032" s="6" t="s">
        <v>85</v>
      </c>
      <c r="B7032" s="13" t="s">
        <v>976</v>
      </c>
      <c r="C7032" s="13" t="s">
        <v>977</v>
      </c>
      <c r="D7032" s="15">
        <v>3.0</v>
      </c>
      <c r="E7032" s="67">
        <f t="shared" si="18"/>
        <v>750</v>
      </c>
      <c r="F7032" s="67" t="str">
        <f t="shared" si="12"/>
        <v>3 LeadGen Set Appointments</v>
      </c>
    </row>
    <row r="7033" hidden="1">
      <c r="A7033" s="6" t="s">
        <v>85</v>
      </c>
      <c r="B7033" s="13" t="s">
        <v>2454</v>
      </c>
      <c r="C7033" s="13" t="s">
        <v>2455</v>
      </c>
      <c r="D7033" s="15">
        <v>3.0</v>
      </c>
      <c r="E7033" s="67">
        <f t="shared" si="18"/>
        <v>750</v>
      </c>
      <c r="F7033" s="67" t="str">
        <f t="shared" si="12"/>
        <v>3 LeadGen Set Appointments</v>
      </c>
    </row>
    <row r="7034" hidden="1">
      <c r="A7034" s="6" t="s">
        <v>85</v>
      </c>
      <c r="B7034" s="13" t="s">
        <v>2609</v>
      </c>
      <c r="C7034" s="13" t="s">
        <v>2610</v>
      </c>
      <c r="D7034" s="15">
        <v>3.0</v>
      </c>
      <c r="E7034" s="67">
        <f t="shared" si="18"/>
        <v>750</v>
      </c>
      <c r="F7034" s="67" t="str">
        <f t="shared" si="12"/>
        <v>3 LeadGen Set Appointments</v>
      </c>
    </row>
    <row r="7035" hidden="1">
      <c r="A7035" s="6" t="s">
        <v>85</v>
      </c>
      <c r="B7035" s="13" t="s">
        <v>1510</v>
      </c>
      <c r="C7035" s="13" t="s">
        <v>1511</v>
      </c>
      <c r="D7035" s="15">
        <v>3.0</v>
      </c>
      <c r="E7035" s="67">
        <f t="shared" si="18"/>
        <v>750</v>
      </c>
      <c r="F7035" s="67" t="str">
        <f t="shared" si="12"/>
        <v>3 LeadGen Set Appointments</v>
      </c>
    </row>
    <row r="7036" hidden="1">
      <c r="A7036" s="6" t="s">
        <v>85</v>
      </c>
      <c r="B7036" s="13" t="s">
        <v>1299</v>
      </c>
      <c r="C7036" s="13" t="s">
        <v>1300</v>
      </c>
      <c r="D7036" s="15">
        <v>3.0</v>
      </c>
      <c r="E7036" s="67">
        <f t="shared" si="18"/>
        <v>750</v>
      </c>
      <c r="F7036" s="67" t="str">
        <f t="shared" si="12"/>
        <v>3 LeadGen Set Appointments</v>
      </c>
    </row>
    <row r="7037" hidden="1">
      <c r="A7037" s="6" t="s">
        <v>85</v>
      </c>
      <c r="B7037" s="13" t="s">
        <v>1443</v>
      </c>
      <c r="C7037" s="13" t="s">
        <v>755</v>
      </c>
      <c r="D7037" s="15">
        <v>3.0</v>
      </c>
      <c r="E7037" s="67">
        <f t="shared" si="18"/>
        <v>750</v>
      </c>
      <c r="F7037" s="67" t="str">
        <f t="shared" si="12"/>
        <v>3 LeadGen Set Appointments</v>
      </c>
    </row>
    <row r="7038" hidden="1">
      <c r="A7038" s="6" t="s">
        <v>85</v>
      </c>
      <c r="B7038" s="13" t="s">
        <v>1512</v>
      </c>
      <c r="C7038" s="13" t="s">
        <v>1513</v>
      </c>
      <c r="D7038" s="15">
        <v>3.0</v>
      </c>
      <c r="E7038" s="67">
        <f t="shared" si="18"/>
        <v>750</v>
      </c>
      <c r="F7038" s="67" t="str">
        <f t="shared" si="12"/>
        <v>3 LeadGen Set Appointments</v>
      </c>
    </row>
    <row r="7039" hidden="1">
      <c r="A7039" s="6" t="s">
        <v>85</v>
      </c>
      <c r="B7039" s="13" t="s">
        <v>2599</v>
      </c>
      <c r="C7039" s="13" t="s">
        <v>2600</v>
      </c>
      <c r="D7039" s="15">
        <v>3.0</v>
      </c>
      <c r="E7039" s="67">
        <f t="shared" si="18"/>
        <v>750</v>
      </c>
      <c r="F7039" s="67" t="str">
        <f t="shared" si="12"/>
        <v>3 LeadGen Set Appointments</v>
      </c>
    </row>
    <row r="7040" hidden="1">
      <c r="A7040" s="6" t="s">
        <v>85</v>
      </c>
      <c r="B7040" s="13" t="s">
        <v>1937</v>
      </c>
      <c r="C7040" s="13" t="s">
        <v>1938</v>
      </c>
      <c r="D7040" s="15">
        <v>3.0</v>
      </c>
      <c r="E7040" s="67">
        <f t="shared" si="18"/>
        <v>750</v>
      </c>
      <c r="F7040" s="67" t="str">
        <f t="shared" si="12"/>
        <v>3 LeadGen Set Appointments</v>
      </c>
    </row>
    <row r="7041" hidden="1">
      <c r="A7041" s="6" t="s">
        <v>85</v>
      </c>
      <c r="B7041" s="13" t="s">
        <v>2542</v>
      </c>
      <c r="C7041" s="13" t="s">
        <v>2543</v>
      </c>
      <c r="D7041" s="15">
        <v>3.0</v>
      </c>
      <c r="E7041" s="67">
        <f t="shared" si="18"/>
        <v>750</v>
      </c>
      <c r="F7041" s="67" t="str">
        <f t="shared" si="12"/>
        <v>3 LeadGen Set Appointments</v>
      </c>
    </row>
    <row r="7042" hidden="1">
      <c r="A7042" s="6" t="s">
        <v>85</v>
      </c>
      <c r="B7042" s="13" t="s">
        <v>2619</v>
      </c>
      <c r="C7042" s="13" t="s">
        <v>2620</v>
      </c>
      <c r="D7042" s="15">
        <v>3.0</v>
      </c>
      <c r="E7042" s="67">
        <f t="shared" si="18"/>
        <v>750</v>
      </c>
      <c r="F7042" s="67" t="str">
        <f t="shared" si="12"/>
        <v>3 LeadGen Set Appointments</v>
      </c>
    </row>
    <row r="7043" hidden="1">
      <c r="A7043" s="6" t="s">
        <v>85</v>
      </c>
      <c r="B7043" s="13" t="s">
        <v>1891</v>
      </c>
      <c r="C7043" s="13" t="s">
        <v>1892</v>
      </c>
      <c r="D7043" s="15">
        <v>3.0</v>
      </c>
      <c r="E7043" s="67">
        <f t="shared" si="18"/>
        <v>750</v>
      </c>
      <c r="F7043" s="67" t="str">
        <f t="shared" si="12"/>
        <v>3 LeadGen Set Appointments</v>
      </c>
    </row>
    <row r="7044" hidden="1">
      <c r="A7044" s="6" t="s">
        <v>85</v>
      </c>
      <c r="B7044" s="13" t="s">
        <v>590</v>
      </c>
      <c r="C7044" s="13" t="s">
        <v>591</v>
      </c>
      <c r="D7044" s="15">
        <v>3.0</v>
      </c>
      <c r="E7044" s="67">
        <f t="shared" si="18"/>
        <v>750</v>
      </c>
      <c r="F7044" s="67" t="str">
        <f t="shared" si="12"/>
        <v>3 LeadGen Set Appointments</v>
      </c>
    </row>
    <row r="7045" hidden="1">
      <c r="A7045" s="6" t="s">
        <v>85</v>
      </c>
      <c r="B7045" s="13" t="s">
        <v>2458</v>
      </c>
      <c r="C7045" s="13" t="s">
        <v>2459</v>
      </c>
      <c r="D7045" s="15">
        <v>3.0</v>
      </c>
      <c r="E7045" s="67">
        <f t="shared" si="18"/>
        <v>750</v>
      </c>
      <c r="F7045" s="67" t="str">
        <f t="shared" si="12"/>
        <v>3 LeadGen Set Appointments</v>
      </c>
    </row>
    <row r="7046" hidden="1">
      <c r="A7046" s="6" t="s">
        <v>85</v>
      </c>
      <c r="B7046" s="13" t="s">
        <v>2630</v>
      </c>
      <c r="C7046" s="13" t="s">
        <v>2631</v>
      </c>
      <c r="D7046" s="15">
        <v>3.0</v>
      </c>
      <c r="E7046" s="67">
        <f t="shared" si="18"/>
        <v>750</v>
      </c>
      <c r="F7046" s="67" t="str">
        <f t="shared" si="12"/>
        <v>3 LeadGen Set Appointments</v>
      </c>
    </row>
    <row r="7047" hidden="1">
      <c r="A7047" s="6" t="s">
        <v>85</v>
      </c>
      <c r="B7047" s="13" t="s">
        <v>2559</v>
      </c>
      <c r="C7047" s="13" t="s">
        <v>2560</v>
      </c>
      <c r="D7047" s="15">
        <v>3.0</v>
      </c>
      <c r="E7047" s="67">
        <f t="shared" si="18"/>
        <v>750</v>
      </c>
      <c r="F7047" s="67" t="str">
        <f t="shared" si="12"/>
        <v>3 LeadGen Set Appointments</v>
      </c>
    </row>
    <row r="7048" hidden="1">
      <c r="A7048" s="6" t="s">
        <v>85</v>
      </c>
      <c r="B7048" s="13" t="s">
        <v>2563</v>
      </c>
      <c r="C7048" s="13" t="s">
        <v>2564</v>
      </c>
      <c r="D7048" s="15">
        <v>3.0</v>
      </c>
      <c r="E7048" s="67">
        <f t="shared" si="18"/>
        <v>750</v>
      </c>
      <c r="F7048" s="67" t="str">
        <f t="shared" si="12"/>
        <v>3 LeadGen Set Appointments</v>
      </c>
    </row>
    <row r="7049" hidden="1">
      <c r="A7049" s="6" t="s">
        <v>85</v>
      </c>
      <c r="B7049" s="13" t="s">
        <v>2290</v>
      </c>
      <c r="C7049" s="13" t="s">
        <v>2291</v>
      </c>
      <c r="D7049" s="15">
        <v>3.0</v>
      </c>
      <c r="E7049" s="67">
        <f t="shared" si="18"/>
        <v>750</v>
      </c>
      <c r="F7049" s="67" t="str">
        <f t="shared" si="12"/>
        <v>3 LeadGen Set Appointments</v>
      </c>
    </row>
    <row r="7050" hidden="1">
      <c r="A7050" s="6" t="s">
        <v>85</v>
      </c>
      <c r="B7050" s="13" t="s">
        <v>1883</v>
      </c>
      <c r="C7050" s="13" t="s">
        <v>1884</v>
      </c>
      <c r="D7050" s="15">
        <v>3.0</v>
      </c>
      <c r="E7050" s="67">
        <f t="shared" si="18"/>
        <v>750</v>
      </c>
      <c r="F7050" s="67" t="str">
        <f t="shared" si="12"/>
        <v>3 LeadGen Set Appointments</v>
      </c>
    </row>
    <row r="7051" hidden="1">
      <c r="A7051" s="6" t="s">
        <v>85</v>
      </c>
      <c r="B7051" s="13" t="s">
        <v>2544</v>
      </c>
      <c r="C7051" s="13" t="s">
        <v>2545</v>
      </c>
      <c r="D7051" s="15">
        <v>3.0</v>
      </c>
      <c r="E7051" s="67">
        <f t="shared" si="18"/>
        <v>750</v>
      </c>
      <c r="F7051" s="67" t="str">
        <f t="shared" si="12"/>
        <v>3 LeadGen Set Appointments</v>
      </c>
    </row>
    <row r="7052" hidden="1">
      <c r="A7052" s="6" t="s">
        <v>85</v>
      </c>
      <c r="B7052" s="13" t="s">
        <v>701</v>
      </c>
      <c r="C7052" s="13" t="s">
        <v>702</v>
      </c>
      <c r="D7052" s="15">
        <v>3.0</v>
      </c>
      <c r="E7052" s="67">
        <f t="shared" si="18"/>
        <v>750</v>
      </c>
      <c r="F7052" s="67" t="str">
        <f t="shared" si="12"/>
        <v>3 LeadGen Set Appointments</v>
      </c>
    </row>
    <row r="7053" hidden="1">
      <c r="A7053" s="6" t="s">
        <v>85</v>
      </c>
      <c r="B7053" s="13" t="s">
        <v>2525</v>
      </c>
      <c r="C7053" s="13" t="s">
        <v>2526</v>
      </c>
      <c r="D7053" s="15">
        <v>3.0</v>
      </c>
      <c r="E7053" s="67">
        <f t="shared" si="18"/>
        <v>750</v>
      </c>
      <c r="F7053" s="67" t="str">
        <f t="shared" si="12"/>
        <v>3 LeadGen Set Appointments</v>
      </c>
    </row>
    <row r="7054" hidden="1">
      <c r="A7054" s="6" t="s">
        <v>85</v>
      </c>
      <c r="B7054" s="13" t="s">
        <v>566</v>
      </c>
      <c r="C7054" s="13" t="s">
        <v>567</v>
      </c>
      <c r="D7054" s="15">
        <v>3.0</v>
      </c>
      <c r="E7054" s="67">
        <f t="shared" si="18"/>
        <v>750</v>
      </c>
      <c r="F7054" s="67" t="str">
        <f t="shared" si="12"/>
        <v>3 LeadGen Set Appointments</v>
      </c>
    </row>
    <row r="7055" hidden="1">
      <c r="A7055" s="6" t="s">
        <v>85</v>
      </c>
      <c r="B7055" s="13" t="s">
        <v>2576</v>
      </c>
      <c r="C7055" s="13" t="s">
        <v>2577</v>
      </c>
      <c r="D7055" s="15">
        <v>3.0</v>
      </c>
      <c r="E7055" s="67">
        <f t="shared" si="18"/>
        <v>750</v>
      </c>
      <c r="F7055" s="67" t="str">
        <f t="shared" si="12"/>
        <v>3 LeadGen Set Appointments</v>
      </c>
    </row>
    <row r="7056" hidden="1">
      <c r="A7056" s="6" t="s">
        <v>85</v>
      </c>
      <c r="B7056" s="13" t="s">
        <v>445</v>
      </c>
      <c r="C7056" s="13" t="s">
        <v>446</v>
      </c>
      <c r="D7056" s="15">
        <v>3.0</v>
      </c>
      <c r="E7056" s="67">
        <f t="shared" si="18"/>
        <v>750</v>
      </c>
      <c r="F7056" s="67" t="str">
        <f t="shared" si="12"/>
        <v>3 LeadGen Set Appointments</v>
      </c>
    </row>
    <row r="7057" hidden="1">
      <c r="A7057" s="6" t="s">
        <v>85</v>
      </c>
      <c r="B7057" s="13" t="s">
        <v>2597</v>
      </c>
      <c r="C7057" s="13" t="s">
        <v>2598</v>
      </c>
      <c r="D7057" s="15">
        <v>3.0</v>
      </c>
      <c r="E7057" s="67">
        <f t="shared" si="18"/>
        <v>750</v>
      </c>
      <c r="F7057" s="67" t="str">
        <f t="shared" si="12"/>
        <v>3 LeadGen Set Appointments</v>
      </c>
    </row>
    <row r="7058" hidden="1">
      <c r="A7058" s="6" t="s">
        <v>85</v>
      </c>
      <c r="B7058" s="13" t="s">
        <v>1945</v>
      </c>
      <c r="C7058" s="13" t="s">
        <v>1946</v>
      </c>
      <c r="D7058" s="15">
        <v>3.0</v>
      </c>
      <c r="E7058" s="67">
        <f t="shared" si="18"/>
        <v>750</v>
      </c>
      <c r="F7058" s="67" t="str">
        <f t="shared" si="12"/>
        <v>3 LeadGen Set Appointments</v>
      </c>
    </row>
    <row r="7059" hidden="1">
      <c r="A7059" s="6" t="s">
        <v>85</v>
      </c>
      <c r="B7059" s="13" t="s">
        <v>2479</v>
      </c>
      <c r="C7059" s="13" t="s">
        <v>2480</v>
      </c>
      <c r="D7059" s="15">
        <v>3.0</v>
      </c>
      <c r="E7059" s="67">
        <f t="shared" si="18"/>
        <v>750</v>
      </c>
      <c r="F7059" s="67" t="str">
        <f t="shared" si="12"/>
        <v>3 LeadGen Set Appointments</v>
      </c>
    </row>
    <row r="7060" hidden="1">
      <c r="A7060" s="6" t="s">
        <v>85</v>
      </c>
      <c r="B7060" s="13" t="s">
        <v>2397</v>
      </c>
      <c r="C7060" s="13" t="s">
        <v>2398</v>
      </c>
      <c r="D7060" s="15">
        <v>2.0</v>
      </c>
      <c r="E7060" s="67">
        <f t="shared" si="18"/>
        <v>500</v>
      </c>
      <c r="F7060" s="67" t="str">
        <f t="shared" si="12"/>
        <v>2 LeadGen Set Appointments</v>
      </c>
    </row>
    <row r="7061" hidden="1">
      <c r="A7061" s="6" t="s">
        <v>85</v>
      </c>
      <c r="B7061" s="13" t="s">
        <v>2465</v>
      </c>
      <c r="C7061" s="13" t="s">
        <v>2466</v>
      </c>
      <c r="D7061" s="15">
        <v>2.0</v>
      </c>
      <c r="E7061" s="67">
        <f t="shared" si="18"/>
        <v>500</v>
      </c>
      <c r="F7061" s="67" t="str">
        <f t="shared" si="12"/>
        <v>2 LeadGen Set Appointments</v>
      </c>
    </row>
    <row r="7062" hidden="1">
      <c r="A7062" s="6" t="s">
        <v>85</v>
      </c>
      <c r="B7062" s="13" t="s">
        <v>2605</v>
      </c>
      <c r="C7062" s="13" t="s">
        <v>2606</v>
      </c>
      <c r="D7062" s="15">
        <v>2.0</v>
      </c>
      <c r="E7062" s="67">
        <f t="shared" si="18"/>
        <v>500</v>
      </c>
      <c r="F7062" s="67" t="str">
        <f t="shared" si="12"/>
        <v>2 LeadGen Set Appointments</v>
      </c>
    </row>
    <row r="7063" hidden="1">
      <c r="A7063" s="6" t="s">
        <v>85</v>
      </c>
      <c r="B7063" s="13" t="s">
        <v>2632</v>
      </c>
      <c r="C7063" s="13" t="s">
        <v>2633</v>
      </c>
      <c r="D7063" s="15">
        <v>2.0</v>
      </c>
      <c r="E7063" s="67">
        <f t="shared" si="18"/>
        <v>500</v>
      </c>
      <c r="F7063" s="67" t="str">
        <f t="shared" si="12"/>
        <v>2 LeadGen Set Appointments</v>
      </c>
    </row>
    <row r="7064" hidden="1">
      <c r="A7064" s="6" t="s">
        <v>85</v>
      </c>
      <c r="B7064" s="13" t="s">
        <v>2467</v>
      </c>
      <c r="C7064" s="13" t="s">
        <v>2468</v>
      </c>
      <c r="D7064" s="15">
        <v>2.0</v>
      </c>
      <c r="E7064" s="67">
        <f t="shared" si="18"/>
        <v>500</v>
      </c>
      <c r="F7064" s="67" t="str">
        <f t="shared" si="12"/>
        <v>2 LeadGen Set Appointments</v>
      </c>
    </row>
    <row r="7065" hidden="1">
      <c r="A7065" s="6" t="s">
        <v>85</v>
      </c>
      <c r="B7065" s="13" t="s">
        <v>2591</v>
      </c>
      <c r="C7065" s="13" t="s">
        <v>2592</v>
      </c>
      <c r="D7065" s="15">
        <v>2.0</v>
      </c>
      <c r="E7065" s="67">
        <f t="shared" si="18"/>
        <v>500</v>
      </c>
      <c r="F7065" s="67" t="str">
        <f t="shared" si="12"/>
        <v>2 LeadGen Set Appointments</v>
      </c>
    </row>
    <row r="7066" hidden="1">
      <c r="A7066" s="6" t="s">
        <v>85</v>
      </c>
      <c r="B7066" s="13" t="s">
        <v>1774</v>
      </c>
      <c r="C7066" s="13" t="s">
        <v>1775</v>
      </c>
      <c r="D7066" s="15">
        <v>2.0</v>
      </c>
      <c r="E7066" s="67">
        <f t="shared" si="18"/>
        <v>500</v>
      </c>
      <c r="F7066" s="67" t="str">
        <f t="shared" si="12"/>
        <v>2 LeadGen Set Appointments</v>
      </c>
    </row>
    <row r="7067" hidden="1">
      <c r="A7067" s="6" t="s">
        <v>85</v>
      </c>
      <c r="B7067" s="13" t="s">
        <v>2155</v>
      </c>
      <c r="C7067" s="13" t="s">
        <v>2214</v>
      </c>
      <c r="D7067" s="15">
        <v>2.0</v>
      </c>
      <c r="E7067" s="67">
        <f t="shared" si="18"/>
        <v>500</v>
      </c>
      <c r="F7067" s="67" t="str">
        <f t="shared" si="12"/>
        <v>2 LeadGen Set Appointments</v>
      </c>
    </row>
    <row r="7068" hidden="1">
      <c r="A7068" s="6" t="s">
        <v>85</v>
      </c>
      <c r="B7068" s="13" t="s">
        <v>2634</v>
      </c>
      <c r="C7068" s="13" t="s">
        <v>2635</v>
      </c>
      <c r="D7068" s="15">
        <v>2.0</v>
      </c>
      <c r="E7068" s="67">
        <f t="shared" si="18"/>
        <v>500</v>
      </c>
      <c r="F7068" s="67" t="str">
        <f t="shared" si="12"/>
        <v>2 LeadGen Set Appointments</v>
      </c>
    </row>
    <row r="7069" hidden="1">
      <c r="A7069" s="6" t="s">
        <v>85</v>
      </c>
      <c r="B7069" s="13" t="s">
        <v>1543</v>
      </c>
      <c r="C7069" s="13" t="s">
        <v>1544</v>
      </c>
      <c r="D7069" s="15">
        <v>2.0</v>
      </c>
      <c r="E7069" s="67">
        <f t="shared" si="18"/>
        <v>500</v>
      </c>
      <c r="F7069" s="67" t="str">
        <f t="shared" si="12"/>
        <v>2 LeadGen Set Appointments</v>
      </c>
    </row>
    <row r="7070" hidden="1">
      <c r="A7070" s="6" t="s">
        <v>85</v>
      </c>
      <c r="B7070" s="13" t="s">
        <v>560</v>
      </c>
      <c r="C7070" s="13" t="s">
        <v>561</v>
      </c>
      <c r="D7070" s="15">
        <v>2.0</v>
      </c>
      <c r="E7070" s="67">
        <f t="shared" si="18"/>
        <v>500</v>
      </c>
      <c r="F7070" s="67" t="str">
        <f t="shared" si="12"/>
        <v>2 LeadGen Set Appointments</v>
      </c>
    </row>
    <row r="7071" hidden="1">
      <c r="A7071" s="6" t="s">
        <v>85</v>
      </c>
      <c r="B7071" s="13" t="s">
        <v>1475</v>
      </c>
      <c r="C7071" s="13" t="s">
        <v>1476</v>
      </c>
      <c r="D7071" s="15">
        <v>2.0</v>
      </c>
      <c r="E7071" s="67">
        <f t="shared" si="18"/>
        <v>500</v>
      </c>
      <c r="F7071" s="67" t="str">
        <f t="shared" si="12"/>
        <v>2 LeadGen Set Appointments</v>
      </c>
    </row>
    <row r="7072" hidden="1">
      <c r="A7072" s="6" t="s">
        <v>85</v>
      </c>
      <c r="B7072" s="13" t="s">
        <v>2486</v>
      </c>
      <c r="C7072" s="13" t="s">
        <v>2487</v>
      </c>
      <c r="D7072" s="15">
        <v>2.0</v>
      </c>
      <c r="E7072" s="67">
        <f t="shared" si="18"/>
        <v>500</v>
      </c>
      <c r="F7072" s="67" t="str">
        <f t="shared" si="12"/>
        <v>2 LeadGen Set Appointments</v>
      </c>
    </row>
    <row r="7073" hidden="1">
      <c r="A7073" s="6" t="s">
        <v>85</v>
      </c>
      <c r="B7073" s="13" t="s">
        <v>2557</v>
      </c>
      <c r="C7073" s="13" t="s">
        <v>2558</v>
      </c>
      <c r="D7073" s="15">
        <v>2.0</v>
      </c>
      <c r="E7073" s="67">
        <f t="shared" si="18"/>
        <v>500</v>
      </c>
      <c r="F7073" s="67" t="str">
        <f t="shared" si="12"/>
        <v>2 LeadGen Set Appointments</v>
      </c>
    </row>
    <row r="7074" hidden="1">
      <c r="A7074" s="6" t="s">
        <v>85</v>
      </c>
      <c r="B7074" s="13" t="s">
        <v>2636</v>
      </c>
      <c r="C7074" s="13" t="s">
        <v>2637</v>
      </c>
      <c r="D7074" s="15">
        <v>2.0</v>
      </c>
      <c r="E7074" s="67">
        <f t="shared" si="18"/>
        <v>500</v>
      </c>
      <c r="F7074" s="67" t="str">
        <f t="shared" si="12"/>
        <v>2 LeadGen Set Appointments</v>
      </c>
    </row>
    <row r="7075" hidden="1">
      <c r="A7075" s="6" t="s">
        <v>85</v>
      </c>
      <c r="B7075" s="13" t="s">
        <v>2638</v>
      </c>
      <c r="C7075" s="13" t="s">
        <v>2639</v>
      </c>
      <c r="D7075" s="15">
        <v>2.0</v>
      </c>
      <c r="E7075" s="67">
        <f t="shared" si="18"/>
        <v>500</v>
      </c>
      <c r="F7075" s="67" t="str">
        <f t="shared" si="12"/>
        <v>2 LeadGen Set Appointments</v>
      </c>
    </row>
    <row r="7076" hidden="1">
      <c r="A7076" s="6" t="s">
        <v>85</v>
      </c>
      <c r="B7076" s="13" t="s">
        <v>2607</v>
      </c>
      <c r="C7076" s="13" t="s">
        <v>2608</v>
      </c>
      <c r="D7076" s="15">
        <v>2.0</v>
      </c>
      <c r="E7076" s="67">
        <f t="shared" si="18"/>
        <v>500</v>
      </c>
      <c r="F7076" s="67" t="str">
        <f t="shared" si="12"/>
        <v>2 LeadGen Set Appointments</v>
      </c>
    </row>
    <row r="7077" hidden="1">
      <c r="A7077" s="6" t="s">
        <v>85</v>
      </c>
      <c r="B7077" s="13" t="s">
        <v>2595</v>
      </c>
      <c r="C7077" s="13" t="s">
        <v>2596</v>
      </c>
      <c r="D7077" s="15">
        <v>2.0</v>
      </c>
      <c r="E7077" s="67">
        <f t="shared" si="18"/>
        <v>500</v>
      </c>
      <c r="F7077" s="67" t="str">
        <f t="shared" si="12"/>
        <v>2 LeadGen Set Appointments</v>
      </c>
    </row>
    <row r="7078" hidden="1">
      <c r="A7078" s="6" t="s">
        <v>85</v>
      </c>
      <c r="B7078" s="13" t="s">
        <v>2640</v>
      </c>
      <c r="C7078" s="13" t="s">
        <v>2641</v>
      </c>
      <c r="D7078" s="15">
        <v>2.0</v>
      </c>
      <c r="E7078" s="67">
        <f t="shared" si="18"/>
        <v>500</v>
      </c>
      <c r="F7078" s="67" t="str">
        <f t="shared" si="12"/>
        <v>2 LeadGen Set Appointments</v>
      </c>
    </row>
    <row r="7079" hidden="1">
      <c r="A7079" s="6" t="s">
        <v>85</v>
      </c>
      <c r="B7079" s="13" t="s">
        <v>262</v>
      </c>
      <c r="C7079" s="13" t="s">
        <v>290</v>
      </c>
      <c r="D7079" s="15">
        <v>2.0</v>
      </c>
      <c r="E7079" s="67">
        <f t="shared" si="18"/>
        <v>500</v>
      </c>
      <c r="F7079" s="67" t="str">
        <f t="shared" si="12"/>
        <v>2 LeadGen Set Appointments</v>
      </c>
    </row>
    <row r="7080" hidden="1">
      <c r="A7080" s="6" t="s">
        <v>85</v>
      </c>
      <c r="B7080" s="13" t="s">
        <v>1325</v>
      </c>
      <c r="C7080" s="13" t="s">
        <v>1326</v>
      </c>
      <c r="D7080" s="15">
        <v>2.0</v>
      </c>
      <c r="E7080" s="67">
        <f t="shared" si="18"/>
        <v>500</v>
      </c>
      <c r="F7080" s="67" t="str">
        <f t="shared" si="12"/>
        <v>2 LeadGen Set Appointments</v>
      </c>
    </row>
    <row r="7081" hidden="1">
      <c r="A7081" s="6" t="s">
        <v>85</v>
      </c>
      <c r="B7081" s="13" t="s">
        <v>1657</v>
      </c>
      <c r="C7081" s="13" t="s">
        <v>1658</v>
      </c>
      <c r="D7081" s="15">
        <v>2.0</v>
      </c>
      <c r="E7081" s="67">
        <f t="shared" si="18"/>
        <v>500</v>
      </c>
      <c r="F7081" s="67" t="str">
        <f t="shared" si="12"/>
        <v>2 LeadGen Set Appointments</v>
      </c>
    </row>
    <row r="7082" hidden="1">
      <c r="A7082" s="6" t="s">
        <v>85</v>
      </c>
      <c r="B7082" s="13" t="s">
        <v>656</v>
      </c>
      <c r="C7082" s="13" t="s">
        <v>657</v>
      </c>
      <c r="D7082" s="15">
        <v>2.0</v>
      </c>
      <c r="E7082" s="67">
        <f t="shared" si="18"/>
        <v>500</v>
      </c>
      <c r="F7082" s="67" t="str">
        <f t="shared" si="12"/>
        <v>2 LeadGen Set Appointments</v>
      </c>
    </row>
    <row r="7083" hidden="1">
      <c r="A7083" s="6" t="s">
        <v>85</v>
      </c>
      <c r="B7083" s="13" t="s">
        <v>1983</v>
      </c>
      <c r="C7083" s="13" t="s">
        <v>1984</v>
      </c>
      <c r="D7083" s="15">
        <v>2.0</v>
      </c>
      <c r="E7083" s="67">
        <f t="shared" si="18"/>
        <v>500</v>
      </c>
      <c r="F7083" s="67" t="str">
        <f t="shared" si="12"/>
        <v>2 LeadGen Set Appointments</v>
      </c>
    </row>
    <row r="7084" hidden="1">
      <c r="A7084" s="6" t="s">
        <v>85</v>
      </c>
      <c r="B7084" s="13" t="s">
        <v>2642</v>
      </c>
      <c r="C7084" s="13" t="s">
        <v>2643</v>
      </c>
      <c r="D7084" s="15">
        <v>2.0</v>
      </c>
      <c r="E7084" s="67">
        <f t="shared" si="18"/>
        <v>500</v>
      </c>
      <c r="F7084" s="67" t="str">
        <f t="shared" si="12"/>
        <v>2 LeadGen Set Appointments</v>
      </c>
    </row>
    <row r="7085" hidden="1">
      <c r="A7085" s="6" t="s">
        <v>85</v>
      </c>
      <c r="B7085" s="13" t="s">
        <v>1960</v>
      </c>
      <c r="C7085" s="13" t="s">
        <v>1961</v>
      </c>
      <c r="D7085" s="15">
        <v>2.0</v>
      </c>
      <c r="E7085" s="67">
        <f t="shared" si="18"/>
        <v>500</v>
      </c>
      <c r="F7085" s="67" t="str">
        <f t="shared" si="12"/>
        <v>2 LeadGen Set Appointments</v>
      </c>
    </row>
    <row r="7086" hidden="1">
      <c r="A7086" s="6" t="s">
        <v>85</v>
      </c>
      <c r="B7086" s="13" t="s">
        <v>1487</v>
      </c>
      <c r="C7086" s="13" t="s">
        <v>2533</v>
      </c>
      <c r="D7086" s="15">
        <v>2.0</v>
      </c>
      <c r="E7086" s="67">
        <f t="shared" si="18"/>
        <v>500</v>
      </c>
      <c r="F7086" s="67" t="str">
        <f t="shared" si="12"/>
        <v>2 LeadGen Set Appointments</v>
      </c>
    </row>
    <row r="7087" hidden="1">
      <c r="A7087" s="6" t="s">
        <v>85</v>
      </c>
      <c r="B7087" s="13" t="s">
        <v>2613</v>
      </c>
      <c r="C7087" s="13" t="s">
        <v>2614</v>
      </c>
      <c r="D7087" s="15">
        <v>2.0</v>
      </c>
      <c r="E7087" s="67">
        <f t="shared" si="18"/>
        <v>500</v>
      </c>
      <c r="F7087" s="67" t="str">
        <f t="shared" si="12"/>
        <v>2 LeadGen Set Appointments</v>
      </c>
    </row>
    <row r="7088" hidden="1">
      <c r="A7088" s="6" t="s">
        <v>85</v>
      </c>
      <c r="B7088" s="13" t="s">
        <v>1295</v>
      </c>
      <c r="C7088" s="13" t="s">
        <v>1296</v>
      </c>
      <c r="D7088" s="15">
        <v>2.0</v>
      </c>
      <c r="E7088" s="67">
        <f t="shared" si="18"/>
        <v>500</v>
      </c>
      <c r="F7088" s="67" t="str">
        <f t="shared" si="12"/>
        <v>2 LeadGen Set Appointments</v>
      </c>
    </row>
    <row r="7089" hidden="1">
      <c r="A7089" s="6" t="s">
        <v>85</v>
      </c>
      <c r="B7089" s="13" t="s">
        <v>2236</v>
      </c>
      <c r="C7089" s="13" t="s">
        <v>2237</v>
      </c>
      <c r="D7089" s="15">
        <v>2.0</v>
      </c>
      <c r="E7089" s="67">
        <f t="shared" si="18"/>
        <v>500</v>
      </c>
      <c r="F7089" s="67" t="str">
        <f t="shared" si="12"/>
        <v>2 LeadGen Set Appointments</v>
      </c>
    </row>
    <row r="7090" hidden="1">
      <c r="A7090" s="6" t="s">
        <v>85</v>
      </c>
      <c r="B7090" s="13" t="s">
        <v>2423</v>
      </c>
      <c r="C7090" s="13" t="s">
        <v>2424</v>
      </c>
      <c r="D7090" s="15">
        <v>2.0</v>
      </c>
      <c r="E7090" s="67">
        <f t="shared" si="18"/>
        <v>500</v>
      </c>
      <c r="F7090" s="67" t="str">
        <f t="shared" si="12"/>
        <v>2 LeadGen Set Appointments</v>
      </c>
    </row>
    <row r="7091" hidden="1">
      <c r="A7091" s="6" t="s">
        <v>85</v>
      </c>
      <c r="B7091" s="13" t="s">
        <v>2644</v>
      </c>
      <c r="C7091" s="13" t="s">
        <v>2645</v>
      </c>
      <c r="D7091" s="15">
        <v>2.0</v>
      </c>
      <c r="E7091" s="67">
        <f t="shared" si="18"/>
        <v>500</v>
      </c>
      <c r="F7091" s="67" t="str">
        <f t="shared" si="12"/>
        <v>2 LeadGen Set Appointments</v>
      </c>
    </row>
    <row r="7092" hidden="1">
      <c r="A7092" s="6" t="s">
        <v>85</v>
      </c>
      <c r="B7092" s="13" t="s">
        <v>604</v>
      </c>
      <c r="C7092" s="13" t="s">
        <v>605</v>
      </c>
      <c r="D7092" s="15">
        <v>2.0</v>
      </c>
      <c r="E7092" s="67">
        <f t="shared" si="18"/>
        <v>500</v>
      </c>
      <c r="F7092" s="67" t="str">
        <f t="shared" si="12"/>
        <v>2 LeadGen Set Appointments</v>
      </c>
    </row>
    <row r="7093" hidden="1">
      <c r="A7093" s="6" t="s">
        <v>85</v>
      </c>
      <c r="B7093" s="13" t="s">
        <v>2511</v>
      </c>
      <c r="C7093" s="13" t="s">
        <v>2512</v>
      </c>
      <c r="D7093" s="15">
        <v>2.0</v>
      </c>
      <c r="E7093" s="67">
        <f t="shared" si="18"/>
        <v>500</v>
      </c>
      <c r="F7093" s="67" t="str">
        <f t="shared" si="12"/>
        <v>2 LeadGen Set Appointments</v>
      </c>
    </row>
    <row r="7094" hidden="1">
      <c r="A7094" s="6" t="s">
        <v>85</v>
      </c>
      <c r="B7094" s="13" t="s">
        <v>2646</v>
      </c>
      <c r="C7094" s="13" t="s">
        <v>2647</v>
      </c>
      <c r="D7094" s="15">
        <v>2.0</v>
      </c>
      <c r="E7094" s="67">
        <f t="shared" si="18"/>
        <v>500</v>
      </c>
      <c r="F7094" s="67" t="str">
        <f t="shared" si="12"/>
        <v>2 LeadGen Set Appointments</v>
      </c>
    </row>
    <row r="7095" hidden="1">
      <c r="A7095" s="6" t="s">
        <v>85</v>
      </c>
      <c r="B7095" s="13" t="s">
        <v>596</v>
      </c>
      <c r="C7095" s="13" t="s">
        <v>597</v>
      </c>
      <c r="D7095" s="15">
        <v>1.0</v>
      </c>
      <c r="E7095" s="67">
        <f t="shared" si="18"/>
        <v>250</v>
      </c>
      <c r="F7095" s="67" t="str">
        <f t="shared" si="12"/>
        <v>1 LeadGen Set Appointments</v>
      </c>
    </row>
    <row r="7096" hidden="1">
      <c r="A7096" s="6" t="s">
        <v>85</v>
      </c>
      <c r="B7096" s="13" t="s">
        <v>922</v>
      </c>
      <c r="C7096" s="13" t="s">
        <v>923</v>
      </c>
      <c r="D7096" s="15">
        <v>1.0</v>
      </c>
      <c r="E7096" s="67">
        <f t="shared" si="18"/>
        <v>250</v>
      </c>
      <c r="F7096" s="67" t="str">
        <f t="shared" si="12"/>
        <v>1 LeadGen Set Appointments</v>
      </c>
    </row>
    <row r="7097" hidden="1">
      <c r="A7097" s="6" t="s">
        <v>85</v>
      </c>
      <c r="B7097" s="13" t="s">
        <v>606</v>
      </c>
      <c r="C7097" s="13" t="s">
        <v>607</v>
      </c>
      <c r="D7097" s="15">
        <v>1.0</v>
      </c>
      <c r="E7097" s="67">
        <f t="shared" si="18"/>
        <v>250</v>
      </c>
      <c r="F7097" s="67" t="str">
        <f t="shared" si="12"/>
        <v>1 LeadGen Set Appointments</v>
      </c>
    </row>
    <row r="7098" hidden="1">
      <c r="A7098" s="6" t="s">
        <v>85</v>
      </c>
      <c r="B7098" s="13" t="s">
        <v>2471</v>
      </c>
      <c r="C7098" s="13" t="s">
        <v>2472</v>
      </c>
      <c r="D7098" s="15">
        <v>1.0</v>
      </c>
      <c r="E7098" s="67">
        <f t="shared" si="18"/>
        <v>250</v>
      </c>
      <c r="F7098" s="67" t="str">
        <f t="shared" si="12"/>
        <v>1 LeadGen Set Appointments</v>
      </c>
    </row>
    <row r="7099" hidden="1">
      <c r="A7099" s="6" t="s">
        <v>85</v>
      </c>
      <c r="B7099" s="13" t="s">
        <v>2648</v>
      </c>
      <c r="C7099" s="13" t="s">
        <v>2649</v>
      </c>
      <c r="D7099" s="15">
        <v>1.0</v>
      </c>
      <c r="E7099" s="67">
        <f t="shared" si="18"/>
        <v>250</v>
      </c>
      <c r="F7099" s="67" t="str">
        <f t="shared" si="12"/>
        <v>1 LeadGen Set Appointments</v>
      </c>
    </row>
    <row r="7100" hidden="1">
      <c r="A7100" s="6" t="s">
        <v>85</v>
      </c>
      <c r="B7100" s="13" t="s">
        <v>2650</v>
      </c>
      <c r="C7100" s="13" t="s">
        <v>2651</v>
      </c>
      <c r="D7100" s="15">
        <v>1.0</v>
      </c>
      <c r="E7100" s="67">
        <f t="shared" si="18"/>
        <v>250</v>
      </c>
      <c r="F7100" s="67" t="str">
        <f t="shared" si="12"/>
        <v>1 LeadGen Set Appointments</v>
      </c>
    </row>
    <row r="7101" hidden="1">
      <c r="A7101" s="6" t="s">
        <v>85</v>
      </c>
      <c r="B7101" s="13" t="s">
        <v>1477</v>
      </c>
      <c r="C7101" s="13" t="s">
        <v>1478</v>
      </c>
      <c r="D7101" s="15">
        <v>1.0</v>
      </c>
      <c r="E7101" s="67">
        <f t="shared" si="18"/>
        <v>250</v>
      </c>
      <c r="F7101" s="67" t="str">
        <f t="shared" si="12"/>
        <v>1 LeadGen Set Appointments</v>
      </c>
    </row>
    <row r="7102" hidden="1">
      <c r="A7102" s="6" t="s">
        <v>85</v>
      </c>
      <c r="B7102" s="13" t="s">
        <v>2241</v>
      </c>
      <c r="C7102" s="13" t="s">
        <v>2652</v>
      </c>
      <c r="D7102" s="15">
        <v>1.0</v>
      </c>
      <c r="E7102" s="67">
        <f t="shared" si="18"/>
        <v>250</v>
      </c>
      <c r="F7102" s="67" t="str">
        <f t="shared" si="12"/>
        <v>1 LeadGen Set Appointments</v>
      </c>
    </row>
    <row r="7103" hidden="1">
      <c r="A7103" s="6" t="s">
        <v>85</v>
      </c>
      <c r="B7103" s="13" t="s">
        <v>1279</v>
      </c>
      <c r="C7103" s="13" t="s">
        <v>739</v>
      </c>
      <c r="D7103" s="15">
        <v>1.0</v>
      </c>
      <c r="E7103" s="67">
        <f t="shared" si="18"/>
        <v>250</v>
      </c>
      <c r="F7103" s="67" t="str">
        <f t="shared" si="12"/>
        <v>1 LeadGen Set Appointments</v>
      </c>
    </row>
    <row r="7104" hidden="1">
      <c r="A7104" s="6" t="s">
        <v>85</v>
      </c>
      <c r="B7104" s="13" t="s">
        <v>2653</v>
      </c>
      <c r="C7104" s="13" t="s">
        <v>2654</v>
      </c>
      <c r="D7104" s="15">
        <v>1.0</v>
      </c>
      <c r="E7104" s="67">
        <f t="shared" si="18"/>
        <v>250</v>
      </c>
      <c r="F7104" s="67" t="str">
        <f t="shared" si="12"/>
        <v>1 LeadGen Set Appointments</v>
      </c>
    </row>
    <row r="7105" hidden="1">
      <c r="A7105" s="6" t="s">
        <v>85</v>
      </c>
      <c r="B7105" s="13" t="s">
        <v>2655</v>
      </c>
      <c r="C7105" s="13" t="s">
        <v>2656</v>
      </c>
      <c r="D7105" s="15">
        <v>1.0</v>
      </c>
      <c r="E7105" s="67">
        <f t="shared" si="18"/>
        <v>250</v>
      </c>
      <c r="F7105" s="67" t="str">
        <f t="shared" si="12"/>
        <v>1 LeadGen Set Appointments</v>
      </c>
    </row>
    <row r="7106" hidden="1">
      <c r="A7106" s="6" t="s">
        <v>85</v>
      </c>
      <c r="B7106" s="13" t="s">
        <v>2657</v>
      </c>
      <c r="C7106" s="13" t="s">
        <v>2658</v>
      </c>
      <c r="D7106" s="15">
        <v>1.0</v>
      </c>
      <c r="E7106" s="67">
        <f t="shared" si="18"/>
        <v>250</v>
      </c>
      <c r="F7106" s="67" t="str">
        <f t="shared" si="12"/>
        <v>1 LeadGen Set Appointments</v>
      </c>
    </row>
    <row r="7107" hidden="1">
      <c r="A7107" s="6" t="s">
        <v>85</v>
      </c>
      <c r="B7107" s="13" t="s">
        <v>242</v>
      </c>
      <c r="C7107" s="13" t="s">
        <v>1887</v>
      </c>
      <c r="D7107" s="15">
        <v>1.0</v>
      </c>
      <c r="E7107" s="67">
        <f t="shared" si="18"/>
        <v>250</v>
      </c>
      <c r="F7107" s="67" t="str">
        <f t="shared" si="12"/>
        <v>1 LeadGen Set Appointments</v>
      </c>
    </row>
    <row r="7108" hidden="1">
      <c r="A7108" s="6" t="s">
        <v>85</v>
      </c>
      <c r="B7108" s="13" t="s">
        <v>2659</v>
      </c>
      <c r="C7108" s="13" t="s">
        <v>2660</v>
      </c>
      <c r="D7108" s="15">
        <v>1.0</v>
      </c>
      <c r="E7108" s="67">
        <f t="shared" si="18"/>
        <v>250</v>
      </c>
      <c r="F7108" s="67" t="str">
        <f t="shared" si="12"/>
        <v>1 LeadGen Set Appointments</v>
      </c>
    </row>
    <row r="7109" hidden="1">
      <c r="A7109" s="6" t="s">
        <v>85</v>
      </c>
      <c r="B7109" s="13" t="s">
        <v>2661</v>
      </c>
      <c r="C7109" s="13" t="s">
        <v>2662</v>
      </c>
      <c r="D7109" s="15">
        <v>1.0</v>
      </c>
      <c r="E7109" s="67">
        <f t="shared" si="18"/>
        <v>250</v>
      </c>
      <c r="F7109" s="67" t="str">
        <f t="shared" si="12"/>
        <v>1 LeadGen Set Appointments</v>
      </c>
    </row>
    <row r="7110" hidden="1">
      <c r="A7110" s="6" t="s">
        <v>85</v>
      </c>
      <c r="B7110" s="13" t="s">
        <v>1736</v>
      </c>
      <c r="C7110" s="13" t="s">
        <v>1737</v>
      </c>
      <c r="D7110" s="15">
        <v>1.0</v>
      </c>
      <c r="E7110" s="67">
        <f t="shared" si="18"/>
        <v>250</v>
      </c>
      <c r="F7110" s="67" t="str">
        <f t="shared" si="12"/>
        <v>1 LeadGen Set Appointments</v>
      </c>
    </row>
    <row r="7111" hidden="1">
      <c r="A7111" s="6" t="s">
        <v>87</v>
      </c>
      <c r="B7111" s="13" t="s">
        <v>476</v>
      </c>
      <c r="C7111" s="13" t="s">
        <v>477</v>
      </c>
      <c r="D7111" s="15">
        <v>35.0</v>
      </c>
      <c r="E7111" s="67">
        <f t="shared" si="18"/>
        <v>17500</v>
      </c>
      <c r="F7111" s="67" t="str">
        <f t="shared" si="12"/>
        <v>35 LeadGen Set Appointments</v>
      </c>
    </row>
    <row r="7112" hidden="1">
      <c r="A7112" s="6" t="s">
        <v>87</v>
      </c>
      <c r="B7112" s="13" t="s">
        <v>644</v>
      </c>
      <c r="C7112" s="13" t="s">
        <v>645</v>
      </c>
      <c r="D7112" s="15">
        <v>28.0</v>
      </c>
      <c r="E7112" s="67">
        <f t="shared" si="18"/>
        <v>14000</v>
      </c>
      <c r="F7112" s="67" t="str">
        <f t="shared" si="12"/>
        <v>28 LeadGen Set Appointments</v>
      </c>
    </row>
    <row r="7113" hidden="1">
      <c r="A7113" s="6" t="s">
        <v>87</v>
      </c>
      <c r="B7113" s="13" t="s">
        <v>640</v>
      </c>
      <c r="C7113" s="13" t="s">
        <v>641</v>
      </c>
      <c r="D7113" s="15">
        <v>23.0</v>
      </c>
      <c r="E7113" s="67">
        <f t="shared" si="18"/>
        <v>11500</v>
      </c>
      <c r="F7113" s="67" t="str">
        <f t="shared" si="12"/>
        <v>23 LeadGen Set Appointments</v>
      </c>
    </row>
    <row r="7114" hidden="1">
      <c r="A7114" s="6" t="s">
        <v>87</v>
      </c>
      <c r="B7114" s="13" t="s">
        <v>540</v>
      </c>
      <c r="C7114" s="13" t="s">
        <v>541</v>
      </c>
      <c r="D7114" s="15">
        <v>22.0</v>
      </c>
      <c r="E7114" s="67">
        <f t="shared" si="18"/>
        <v>11000</v>
      </c>
      <c r="F7114" s="67" t="str">
        <f t="shared" si="12"/>
        <v>22 LeadGen Set Appointments</v>
      </c>
    </row>
    <row r="7115" hidden="1">
      <c r="A7115" s="6" t="s">
        <v>87</v>
      </c>
      <c r="B7115" s="13" t="s">
        <v>1865</v>
      </c>
      <c r="C7115" s="13" t="s">
        <v>1866</v>
      </c>
      <c r="D7115" s="15">
        <v>15.0</v>
      </c>
      <c r="E7115" s="67">
        <f t="shared" si="18"/>
        <v>7500</v>
      </c>
      <c r="F7115" s="67" t="str">
        <f t="shared" si="12"/>
        <v>15 LeadGen Set Appointments</v>
      </c>
    </row>
    <row r="7116" hidden="1">
      <c r="A7116" s="6" t="s">
        <v>87</v>
      </c>
      <c r="B7116" s="13" t="s">
        <v>1333</v>
      </c>
      <c r="C7116" s="13" t="s">
        <v>551</v>
      </c>
      <c r="D7116" s="15">
        <v>14.0</v>
      </c>
      <c r="E7116" s="67">
        <f t="shared" si="18"/>
        <v>7000</v>
      </c>
      <c r="F7116" s="67" t="str">
        <f t="shared" si="12"/>
        <v>14 LeadGen Set Appointments</v>
      </c>
    </row>
    <row r="7117" hidden="1">
      <c r="A7117" s="6" t="s">
        <v>87</v>
      </c>
      <c r="B7117" s="13" t="s">
        <v>516</v>
      </c>
      <c r="C7117" s="13" t="s">
        <v>517</v>
      </c>
      <c r="D7117" s="15">
        <v>14.0</v>
      </c>
      <c r="E7117" s="67">
        <f t="shared" si="18"/>
        <v>7000</v>
      </c>
      <c r="F7117" s="67" t="str">
        <f t="shared" si="12"/>
        <v>14 LeadGen Set Appointments</v>
      </c>
    </row>
    <row r="7118" hidden="1">
      <c r="A7118" s="6" t="s">
        <v>87</v>
      </c>
      <c r="B7118" s="13" t="s">
        <v>532</v>
      </c>
      <c r="C7118" s="13" t="s">
        <v>533</v>
      </c>
      <c r="D7118" s="15">
        <v>14.0</v>
      </c>
      <c r="E7118" s="67">
        <f t="shared" si="18"/>
        <v>7000</v>
      </c>
      <c r="F7118" s="67" t="str">
        <f t="shared" si="12"/>
        <v>14 LeadGen Set Appointments</v>
      </c>
    </row>
    <row r="7119" hidden="1">
      <c r="A7119" s="6" t="s">
        <v>87</v>
      </c>
      <c r="B7119" s="13" t="s">
        <v>411</v>
      </c>
      <c r="C7119" s="13" t="s">
        <v>412</v>
      </c>
      <c r="D7119" s="15">
        <v>14.0</v>
      </c>
      <c r="E7119" s="67">
        <f t="shared" si="18"/>
        <v>7000</v>
      </c>
      <c r="F7119" s="67" t="str">
        <f t="shared" si="12"/>
        <v>14 LeadGen Set Appointments</v>
      </c>
    </row>
    <row r="7120" hidden="1">
      <c r="A7120" s="6" t="s">
        <v>87</v>
      </c>
      <c r="B7120" s="13" t="s">
        <v>1426</v>
      </c>
      <c r="C7120" s="13" t="s">
        <v>1427</v>
      </c>
      <c r="D7120" s="15">
        <v>13.0</v>
      </c>
      <c r="E7120" s="67">
        <f t="shared" si="18"/>
        <v>6500</v>
      </c>
      <c r="F7120" s="67" t="str">
        <f t="shared" si="12"/>
        <v>13 LeadGen Set Appointments</v>
      </c>
    </row>
    <row r="7121" hidden="1">
      <c r="A7121" s="6" t="s">
        <v>87</v>
      </c>
      <c r="B7121" s="13" t="s">
        <v>1471</v>
      </c>
      <c r="C7121" s="13" t="s">
        <v>1472</v>
      </c>
      <c r="D7121" s="15">
        <v>13.0</v>
      </c>
      <c r="E7121" s="67">
        <f t="shared" si="18"/>
        <v>6500</v>
      </c>
      <c r="F7121" s="67" t="str">
        <f t="shared" si="12"/>
        <v>13 LeadGen Set Appointments</v>
      </c>
    </row>
    <row r="7122" hidden="1">
      <c r="A7122" s="6" t="s">
        <v>87</v>
      </c>
      <c r="B7122" s="13" t="s">
        <v>1467</v>
      </c>
      <c r="C7122" s="13" t="s">
        <v>1468</v>
      </c>
      <c r="D7122" s="15">
        <v>12.0</v>
      </c>
      <c r="E7122" s="67">
        <f t="shared" si="18"/>
        <v>6000</v>
      </c>
      <c r="F7122" s="67" t="str">
        <f t="shared" si="12"/>
        <v>12 LeadGen Set Appointments</v>
      </c>
    </row>
    <row r="7123" hidden="1">
      <c r="A7123" s="6" t="s">
        <v>87</v>
      </c>
      <c r="B7123" s="13" t="s">
        <v>1461</v>
      </c>
      <c r="C7123" s="13" t="s">
        <v>1462</v>
      </c>
      <c r="D7123" s="15">
        <v>12.0</v>
      </c>
      <c r="E7123" s="67">
        <f t="shared" si="18"/>
        <v>6000</v>
      </c>
      <c r="F7123" s="67" t="str">
        <f t="shared" si="12"/>
        <v>12 LeadGen Set Appointments</v>
      </c>
    </row>
    <row r="7124" hidden="1">
      <c r="A7124" s="6" t="s">
        <v>87</v>
      </c>
      <c r="B7124" s="13" t="s">
        <v>1700</v>
      </c>
      <c r="C7124" s="13" t="s">
        <v>1701</v>
      </c>
      <c r="D7124" s="15">
        <v>11.0</v>
      </c>
      <c r="E7124" s="67">
        <f t="shared" si="18"/>
        <v>5500</v>
      </c>
      <c r="F7124" s="67" t="str">
        <f t="shared" si="12"/>
        <v>11 LeadGen Set Appointments</v>
      </c>
    </row>
    <row r="7125" hidden="1">
      <c r="A7125" s="6" t="s">
        <v>87</v>
      </c>
      <c r="B7125" s="13" t="s">
        <v>693</v>
      </c>
      <c r="C7125" s="13" t="s">
        <v>694</v>
      </c>
      <c r="D7125" s="15">
        <v>11.0</v>
      </c>
      <c r="E7125" s="67">
        <f t="shared" si="18"/>
        <v>5500</v>
      </c>
      <c r="F7125" s="67" t="str">
        <f t="shared" si="12"/>
        <v>11 LeadGen Set Appointments</v>
      </c>
    </row>
    <row r="7126" hidden="1">
      <c r="A7126" s="6" t="s">
        <v>87</v>
      </c>
      <c r="B7126" s="13" t="s">
        <v>699</v>
      </c>
      <c r="C7126" s="13" t="s">
        <v>700</v>
      </c>
      <c r="D7126" s="15">
        <v>11.0</v>
      </c>
      <c r="E7126" s="67">
        <f t="shared" si="18"/>
        <v>5500</v>
      </c>
      <c r="F7126" s="67" t="str">
        <f t="shared" si="12"/>
        <v>11 LeadGen Set Appointments</v>
      </c>
    </row>
    <row r="7127" hidden="1">
      <c r="A7127" s="6" t="s">
        <v>87</v>
      </c>
      <c r="B7127" s="13" t="s">
        <v>510</v>
      </c>
      <c r="C7127" s="13" t="s">
        <v>511</v>
      </c>
      <c r="D7127" s="15">
        <v>11.0</v>
      </c>
      <c r="E7127" s="67">
        <f t="shared" si="18"/>
        <v>5500</v>
      </c>
      <c r="F7127" s="67" t="str">
        <f t="shared" si="12"/>
        <v>11 LeadGen Set Appointments</v>
      </c>
    </row>
    <row r="7128" hidden="1">
      <c r="A7128" s="6" t="s">
        <v>87</v>
      </c>
      <c r="B7128" s="13" t="s">
        <v>1025</v>
      </c>
      <c r="C7128" s="13" t="s">
        <v>1026</v>
      </c>
      <c r="D7128" s="15">
        <v>11.0</v>
      </c>
      <c r="E7128" s="67">
        <f t="shared" si="18"/>
        <v>5500</v>
      </c>
      <c r="F7128" s="67" t="str">
        <f t="shared" si="12"/>
        <v>11 LeadGen Set Appointments</v>
      </c>
    </row>
    <row r="7129" hidden="1">
      <c r="A7129" s="6" t="s">
        <v>87</v>
      </c>
      <c r="B7129" s="13" t="s">
        <v>2479</v>
      </c>
      <c r="C7129" s="13" t="s">
        <v>2480</v>
      </c>
      <c r="D7129" s="15">
        <v>11.0</v>
      </c>
      <c r="E7129" s="67">
        <f t="shared" si="18"/>
        <v>5500</v>
      </c>
      <c r="F7129" s="67" t="str">
        <f t="shared" si="12"/>
        <v>11 LeadGen Set Appointments</v>
      </c>
    </row>
    <row r="7130" hidden="1">
      <c r="A7130" s="6" t="s">
        <v>87</v>
      </c>
      <c r="B7130" s="13" t="s">
        <v>736</v>
      </c>
      <c r="C7130" s="13" t="s">
        <v>737</v>
      </c>
      <c r="D7130" s="15">
        <v>10.0</v>
      </c>
      <c r="E7130" s="67">
        <f t="shared" si="18"/>
        <v>5000</v>
      </c>
      <c r="F7130" s="67" t="str">
        <f t="shared" si="12"/>
        <v>10 LeadGen Set Appointments</v>
      </c>
    </row>
    <row r="7131" hidden="1">
      <c r="A7131" s="6" t="s">
        <v>87</v>
      </c>
      <c r="B7131" s="13" t="s">
        <v>500</v>
      </c>
      <c r="C7131" s="13" t="s">
        <v>501</v>
      </c>
      <c r="D7131" s="15">
        <v>10.0</v>
      </c>
      <c r="E7131" s="67">
        <f t="shared" si="18"/>
        <v>5000</v>
      </c>
      <c r="F7131" s="67" t="str">
        <f t="shared" si="12"/>
        <v>10 LeadGen Set Appointments</v>
      </c>
    </row>
    <row r="7132" hidden="1">
      <c r="A7132" s="6" t="s">
        <v>87</v>
      </c>
      <c r="B7132" s="13" t="s">
        <v>1748</v>
      </c>
      <c r="C7132" s="13" t="s">
        <v>1749</v>
      </c>
      <c r="D7132" s="15">
        <v>10.0</v>
      </c>
      <c r="E7132" s="67">
        <f t="shared" si="18"/>
        <v>5000</v>
      </c>
      <c r="F7132" s="67" t="str">
        <f t="shared" si="12"/>
        <v>10 LeadGen Set Appointments</v>
      </c>
    </row>
    <row r="7133" hidden="1">
      <c r="A7133" s="6" t="s">
        <v>87</v>
      </c>
      <c r="B7133" s="13" t="s">
        <v>502</v>
      </c>
      <c r="C7133" s="13" t="s">
        <v>503</v>
      </c>
      <c r="D7133" s="15">
        <v>10.0</v>
      </c>
      <c r="E7133" s="67">
        <f t="shared" si="18"/>
        <v>5000</v>
      </c>
      <c r="F7133" s="67" t="str">
        <f t="shared" si="12"/>
        <v>10 LeadGen Set Appointments</v>
      </c>
    </row>
    <row r="7134" hidden="1">
      <c r="A7134" s="6" t="s">
        <v>87</v>
      </c>
      <c r="B7134" s="13" t="s">
        <v>524</v>
      </c>
      <c r="C7134" s="13" t="s">
        <v>525</v>
      </c>
      <c r="D7134" s="15">
        <v>10.0</v>
      </c>
      <c r="E7134" s="67">
        <f t="shared" si="18"/>
        <v>5000</v>
      </c>
      <c r="F7134" s="67" t="str">
        <f t="shared" si="12"/>
        <v>10 LeadGen Set Appointments</v>
      </c>
    </row>
    <row r="7135" hidden="1">
      <c r="A7135" s="6" t="s">
        <v>87</v>
      </c>
      <c r="B7135" s="13" t="s">
        <v>1983</v>
      </c>
      <c r="C7135" s="13" t="s">
        <v>1984</v>
      </c>
      <c r="D7135" s="15">
        <v>10.0</v>
      </c>
      <c r="E7135" s="67">
        <f t="shared" si="18"/>
        <v>5000</v>
      </c>
      <c r="F7135" s="67" t="str">
        <f t="shared" si="12"/>
        <v>10 LeadGen Set Appointments</v>
      </c>
    </row>
    <row r="7136" hidden="1">
      <c r="A7136" s="6" t="s">
        <v>87</v>
      </c>
      <c r="B7136" s="13" t="s">
        <v>1493</v>
      </c>
      <c r="C7136" s="13" t="s">
        <v>1494</v>
      </c>
      <c r="D7136" s="15">
        <v>10.0</v>
      </c>
      <c r="E7136" s="67">
        <f t="shared" si="18"/>
        <v>5000</v>
      </c>
      <c r="F7136" s="67" t="str">
        <f t="shared" si="12"/>
        <v>10 LeadGen Set Appointments</v>
      </c>
    </row>
    <row r="7137" hidden="1">
      <c r="A7137" s="6" t="s">
        <v>87</v>
      </c>
      <c r="B7137" s="13" t="s">
        <v>746</v>
      </c>
      <c r="C7137" s="13" t="s">
        <v>747</v>
      </c>
      <c r="D7137" s="15">
        <v>10.0</v>
      </c>
      <c r="E7137" s="67">
        <f t="shared" si="18"/>
        <v>5000</v>
      </c>
      <c r="F7137" s="67" t="str">
        <f t="shared" si="12"/>
        <v>10 LeadGen Set Appointments</v>
      </c>
    </row>
    <row r="7138" hidden="1">
      <c r="A7138" s="6" t="s">
        <v>87</v>
      </c>
      <c r="B7138" s="13" t="s">
        <v>2179</v>
      </c>
      <c r="C7138" s="13" t="s">
        <v>2180</v>
      </c>
      <c r="D7138" s="15">
        <v>9.0</v>
      </c>
      <c r="E7138" s="67">
        <f t="shared" si="18"/>
        <v>2250</v>
      </c>
      <c r="F7138" s="67" t="str">
        <f t="shared" si="12"/>
        <v>9 LeadGen Set Appointments</v>
      </c>
    </row>
    <row r="7139" hidden="1">
      <c r="A7139" s="6" t="s">
        <v>87</v>
      </c>
      <c r="B7139" s="13" t="s">
        <v>1415</v>
      </c>
      <c r="C7139" s="13" t="s">
        <v>1416</v>
      </c>
      <c r="D7139" s="15">
        <v>9.0</v>
      </c>
      <c r="E7139" s="67">
        <f t="shared" si="18"/>
        <v>2250</v>
      </c>
      <c r="F7139" s="67" t="str">
        <f t="shared" si="12"/>
        <v>9 LeadGen Set Appointments</v>
      </c>
    </row>
    <row r="7140" hidden="1">
      <c r="A7140" s="6" t="s">
        <v>87</v>
      </c>
      <c r="B7140" s="13" t="s">
        <v>717</v>
      </c>
      <c r="C7140" s="13" t="s">
        <v>718</v>
      </c>
      <c r="D7140" s="15">
        <v>9.0</v>
      </c>
      <c r="E7140" s="67">
        <f t="shared" si="18"/>
        <v>2250</v>
      </c>
      <c r="F7140" s="67" t="str">
        <f t="shared" si="12"/>
        <v>9 LeadGen Set Appointments</v>
      </c>
    </row>
    <row r="7141" hidden="1">
      <c r="A7141" s="6" t="s">
        <v>87</v>
      </c>
      <c r="B7141" s="13" t="s">
        <v>590</v>
      </c>
      <c r="C7141" s="13" t="s">
        <v>591</v>
      </c>
      <c r="D7141" s="15">
        <v>9.0</v>
      </c>
      <c r="E7141" s="67">
        <f t="shared" si="18"/>
        <v>2250</v>
      </c>
      <c r="F7141" s="67" t="str">
        <f t="shared" si="12"/>
        <v>9 LeadGen Set Appointments</v>
      </c>
    </row>
    <row r="7142" hidden="1">
      <c r="A7142" s="6" t="s">
        <v>87</v>
      </c>
      <c r="B7142" s="13" t="s">
        <v>1039</v>
      </c>
      <c r="C7142" s="13" t="s">
        <v>1040</v>
      </c>
      <c r="D7142" s="15">
        <v>9.0</v>
      </c>
      <c r="E7142" s="67">
        <f t="shared" si="18"/>
        <v>2250</v>
      </c>
      <c r="F7142" s="67" t="str">
        <f t="shared" si="12"/>
        <v>9 LeadGen Set Appointments</v>
      </c>
    </row>
    <row r="7143" hidden="1">
      <c r="A7143" s="6" t="s">
        <v>87</v>
      </c>
      <c r="B7143" s="13" t="s">
        <v>766</v>
      </c>
      <c r="C7143" s="13" t="s">
        <v>767</v>
      </c>
      <c r="D7143" s="15">
        <v>9.0</v>
      </c>
      <c r="E7143" s="67">
        <f t="shared" si="18"/>
        <v>2250</v>
      </c>
      <c r="F7143" s="67" t="str">
        <f t="shared" si="12"/>
        <v>9 LeadGen Set Appointments</v>
      </c>
    </row>
    <row r="7144" hidden="1">
      <c r="A7144" s="6" t="s">
        <v>87</v>
      </c>
      <c r="B7144" s="13" t="s">
        <v>1579</v>
      </c>
      <c r="C7144" s="13" t="s">
        <v>1580</v>
      </c>
      <c r="D7144" s="15">
        <v>8.0</v>
      </c>
      <c r="E7144" s="67">
        <f t="shared" si="18"/>
        <v>2000</v>
      </c>
      <c r="F7144" s="67" t="str">
        <f t="shared" si="12"/>
        <v>8 LeadGen Set Appointments</v>
      </c>
    </row>
    <row r="7145" hidden="1">
      <c r="A7145" s="6" t="s">
        <v>87</v>
      </c>
      <c r="B7145" s="13" t="s">
        <v>1448</v>
      </c>
      <c r="C7145" s="13" t="s">
        <v>1449</v>
      </c>
      <c r="D7145" s="15">
        <v>8.0</v>
      </c>
      <c r="E7145" s="67">
        <f t="shared" si="18"/>
        <v>2000</v>
      </c>
      <c r="F7145" s="67" t="str">
        <f t="shared" si="12"/>
        <v>8 LeadGen Set Appointments</v>
      </c>
    </row>
    <row r="7146" hidden="1">
      <c r="A7146" s="6" t="s">
        <v>87</v>
      </c>
      <c r="B7146" s="13" t="s">
        <v>2377</v>
      </c>
      <c r="C7146" s="13" t="s">
        <v>2378</v>
      </c>
      <c r="D7146" s="15">
        <v>8.0</v>
      </c>
      <c r="E7146" s="67">
        <f t="shared" si="18"/>
        <v>2000</v>
      </c>
      <c r="F7146" s="67" t="str">
        <f t="shared" si="12"/>
        <v>8 LeadGen Set Appointments</v>
      </c>
    </row>
    <row r="7147" hidden="1">
      <c r="A7147" s="6" t="s">
        <v>87</v>
      </c>
      <c r="B7147" s="13" t="s">
        <v>1489</v>
      </c>
      <c r="C7147" s="13" t="s">
        <v>1490</v>
      </c>
      <c r="D7147" s="15">
        <v>8.0</v>
      </c>
      <c r="E7147" s="67">
        <f t="shared" si="18"/>
        <v>2000</v>
      </c>
      <c r="F7147" s="67" t="str">
        <f t="shared" si="12"/>
        <v>8 LeadGen Set Appointments</v>
      </c>
    </row>
    <row r="7148" hidden="1">
      <c r="A7148" s="6" t="s">
        <v>87</v>
      </c>
      <c r="B7148" s="13" t="s">
        <v>2499</v>
      </c>
      <c r="C7148" s="13" t="s">
        <v>2500</v>
      </c>
      <c r="D7148" s="15">
        <v>8.0</v>
      </c>
      <c r="E7148" s="67">
        <f t="shared" si="18"/>
        <v>2000</v>
      </c>
      <c r="F7148" s="67" t="str">
        <f t="shared" si="12"/>
        <v>8 LeadGen Set Appointments</v>
      </c>
    </row>
    <row r="7149" hidden="1">
      <c r="A7149" s="6" t="s">
        <v>87</v>
      </c>
      <c r="B7149" s="13" t="s">
        <v>624</v>
      </c>
      <c r="C7149" s="13" t="s">
        <v>625</v>
      </c>
      <c r="D7149" s="15">
        <v>8.0</v>
      </c>
      <c r="E7149" s="67">
        <f t="shared" si="18"/>
        <v>2000</v>
      </c>
      <c r="F7149" s="67" t="str">
        <f t="shared" si="12"/>
        <v>8 LeadGen Set Appointments</v>
      </c>
    </row>
    <row r="7150" hidden="1">
      <c r="A7150" s="6" t="s">
        <v>87</v>
      </c>
      <c r="B7150" s="13" t="s">
        <v>413</v>
      </c>
      <c r="C7150" s="13" t="s">
        <v>414</v>
      </c>
      <c r="D7150" s="15">
        <v>8.0</v>
      </c>
      <c r="E7150" s="67">
        <f t="shared" si="18"/>
        <v>2000</v>
      </c>
      <c r="F7150" s="67" t="str">
        <f t="shared" si="12"/>
        <v>8 LeadGen Set Appointments</v>
      </c>
    </row>
    <row r="7151" hidden="1">
      <c r="A7151" s="6" t="s">
        <v>87</v>
      </c>
      <c r="B7151" s="13" t="s">
        <v>271</v>
      </c>
      <c r="C7151" s="13" t="s">
        <v>2551</v>
      </c>
      <c r="D7151" s="15">
        <v>7.0</v>
      </c>
      <c r="E7151" s="67">
        <f t="shared" si="18"/>
        <v>1750</v>
      </c>
      <c r="F7151" s="67" t="str">
        <f t="shared" si="12"/>
        <v>7 LeadGen Set Appointments</v>
      </c>
    </row>
    <row r="7152" hidden="1">
      <c r="A7152" s="6" t="s">
        <v>87</v>
      </c>
      <c r="B7152" s="13" t="s">
        <v>542</v>
      </c>
      <c r="C7152" s="13" t="s">
        <v>543</v>
      </c>
      <c r="D7152" s="15">
        <v>7.0</v>
      </c>
      <c r="E7152" s="67">
        <f t="shared" si="18"/>
        <v>1750</v>
      </c>
      <c r="F7152" s="67" t="str">
        <f t="shared" si="12"/>
        <v>7 LeadGen Set Appointments</v>
      </c>
    </row>
    <row r="7153" hidden="1">
      <c r="A7153" s="6" t="s">
        <v>87</v>
      </c>
      <c r="B7153" s="13" t="s">
        <v>628</v>
      </c>
      <c r="C7153" s="13" t="s">
        <v>629</v>
      </c>
      <c r="D7153" s="15">
        <v>7.0</v>
      </c>
      <c r="E7153" s="67">
        <f t="shared" si="18"/>
        <v>1750</v>
      </c>
      <c r="F7153" s="67" t="str">
        <f t="shared" si="12"/>
        <v>7 LeadGen Set Appointments</v>
      </c>
    </row>
    <row r="7154" hidden="1">
      <c r="A7154" s="6" t="s">
        <v>87</v>
      </c>
      <c r="B7154" s="13" t="s">
        <v>1543</v>
      </c>
      <c r="C7154" s="13" t="s">
        <v>1544</v>
      </c>
      <c r="D7154" s="15">
        <v>7.0</v>
      </c>
      <c r="E7154" s="67">
        <f t="shared" si="18"/>
        <v>1750</v>
      </c>
      <c r="F7154" s="67" t="str">
        <f t="shared" si="12"/>
        <v>7 LeadGen Set Appointments</v>
      </c>
    </row>
    <row r="7155" hidden="1">
      <c r="A7155" s="6" t="s">
        <v>87</v>
      </c>
      <c r="B7155" s="13" t="s">
        <v>288</v>
      </c>
      <c r="C7155" s="13" t="s">
        <v>2375</v>
      </c>
      <c r="D7155" s="15">
        <v>7.0</v>
      </c>
      <c r="E7155" s="67">
        <f t="shared" si="18"/>
        <v>1750</v>
      </c>
      <c r="F7155" s="67" t="str">
        <f t="shared" si="12"/>
        <v>7 LeadGen Set Appointments</v>
      </c>
    </row>
    <row r="7156" hidden="1">
      <c r="A7156" s="6" t="s">
        <v>87</v>
      </c>
      <c r="B7156" s="13" t="s">
        <v>1512</v>
      </c>
      <c r="C7156" s="13" t="s">
        <v>1513</v>
      </c>
      <c r="D7156" s="15">
        <v>7.0</v>
      </c>
      <c r="E7156" s="67">
        <f t="shared" si="18"/>
        <v>1750</v>
      </c>
      <c r="F7156" s="67" t="str">
        <f t="shared" si="12"/>
        <v>7 LeadGen Set Appointments</v>
      </c>
    </row>
    <row r="7157" hidden="1">
      <c r="A7157" s="6" t="s">
        <v>87</v>
      </c>
      <c r="B7157" s="13" t="s">
        <v>486</v>
      </c>
      <c r="C7157" s="13" t="s">
        <v>487</v>
      </c>
      <c r="D7157" s="15">
        <v>7.0</v>
      </c>
      <c r="E7157" s="67">
        <f t="shared" si="18"/>
        <v>1750</v>
      </c>
      <c r="F7157" s="67" t="str">
        <f t="shared" si="12"/>
        <v>7 LeadGen Set Appointments</v>
      </c>
    </row>
    <row r="7158" hidden="1">
      <c r="A7158" s="6" t="s">
        <v>87</v>
      </c>
      <c r="B7158" s="13" t="s">
        <v>1011</v>
      </c>
      <c r="C7158" s="13" t="s">
        <v>2483</v>
      </c>
      <c r="D7158" s="15">
        <v>7.0</v>
      </c>
      <c r="E7158" s="67">
        <f t="shared" si="18"/>
        <v>1750</v>
      </c>
      <c r="F7158" s="67" t="str">
        <f t="shared" si="12"/>
        <v>7 LeadGen Set Appointments</v>
      </c>
    </row>
    <row r="7159" hidden="1">
      <c r="A7159" s="6" t="s">
        <v>87</v>
      </c>
      <c r="B7159" s="13" t="s">
        <v>2458</v>
      </c>
      <c r="C7159" s="13" t="s">
        <v>2459</v>
      </c>
      <c r="D7159" s="15">
        <v>7.0</v>
      </c>
      <c r="E7159" s="67">
        <f t="shared" si="18"/>
        <v>1750</v>
      </c>
      <c r="F7159" s="67" t="str">
        <f t="shared" si="12"/>
        <v>7 LeadGen Set Appointments</v>
      </c>
    </row>
    <row r="7160" hidden="1">
      <c r="A7160" s="6" t="s">
        <v>87</v>
      </c>
      <c r="B7160" s="13" t="s">
        <v>1442</v>
      </c>
      <c r="C7160" s="13" t="s">
        <v>749</v>
      </c>
      <c r="D7160" s="15">
        <v>7.0</v>
      </c>
      <c r="E7160" s="67">
        <f t="shared" si="18"/>
        <v>1750</v>
      </c>
      <c r="F7160" s="67" t="str">
        <f t="shared" si="12"/>
        <v>7 LeadGen Set Appointments</v>
      </c>
    </row>
    <row r="7161" hidden="1">
      <c r="A7161" s="6" t="s">
        <v>87</v>
      </c>
      <c r="B7161" s="13" t="s">
        <v>723</v>
      </c>
      <c r="C7161" s="13" t="s">
        <v>724</v>
      </c>
      <c r="D7161" s="15">
        <v>7.0</v>
      </c>
      <c r="E7161" s="67">
        <f t="shared" si="18"/>
        <v>1750</v>
      </c>
      <c r="F7161" s="67" t="str">
        <f t="shared" si="12"/>
        <v>7 LeadGen Set Appointments</v>
      </c>
    </row>
    <row r="7162" hidden="1">
      <c r="A7162" s="6" t="s">
        <v>87</v>
      </c>
      <c r="B7162" s="13" t="s">
        <v>2644</v>
      </c>
      <c r="C7162" s="13" t="s">
        <v>2645</v>
      </c>
      <c r="D7162" s="15">
        <v>7.0</v>
      </c>
      <c r="E7162" s="67">
        <f t="shared" si="18"/>
        <v>1750</v>
      </c>
      <c r="F7162" s="67" t="str">
        <f t="shared" si="12"/>
        <v>7 LeadGen Set Appointments</v>
      </c>
    </row>
    <row r="7163" hidden="1">
      <c r="A7163" s="6" t="s">
        <v>87</v>
      </c>
      <c r="B7163" s="13" t="s">
        <v>2488</v>
      </c>
      <c r="C7163" s="13" t="s">
        <v>2489</v>
      </c>
      <c r="D7163" s="15">
        <v>7.0</v>
      </c>
      <c r="E7163" s="67">
        <f t="shared" si="18"/>
        <v>1750</v>
      </c>
      <c r="F7163" s="67" t="str">
        <f t="shared" si="12"/>
        <v>7 LeadGen Set Appointments</v>
      </c>
    </row>
    <row r="7164" hidden="1">
      <c r="A7164" s="6" t="s">
        <v>87</v>
      </c>
      <c r="B7164" s="13" t="s">
        <v>2511</v>
      </c>
      <c r="C7164" s="13" t="s">
        <v>2512</v>
      </c>
      <c r="D7164" s="15">
        <v>7.0</v>
      </c>
      <c r="E7164" s="67">
        <f t="shared" si="18"/>
        <v>1750</v>
      </c>
      <c r="F7164" s="67" t="str">
        <f t="shared" si="12"/>
        <v>7 LeadGen Set Appointments</v>
      </c>
    </row>
    <row r="7165" hidden="1">
      <c r="A7165" s="6" t="s">
        <v>87</v>
      </c>
      <c r="B7165" s="13" t="s">
        <v>435</v>
      </c>
      <c r="C7165" s="13" t="s">
        <v>436</v>
      </c>
      <c r="D7165" s="15">
        <v>7.0</v>
      </c>
      <c r="E7165" s="67">
        <f t="shared" si="18"/>
        <v>1750</v>
      </c>
      <c r="F7165" s="67" t="str">
        <f t="shared" si="12"/>
        <v>7 LeadGen Set Appointments</v>
      </c>
    </row>
    <row r="7166" hidden="1">
      <c r="A7166" s="6" t="s">
        <v>87</v>
      </c>
      <c r="B7166" s="13" t="s">
        <v>2548</v>
      </c>
      <c r="C7166" s="13" t="s">
        <v>2549</v>
      </c>
      <c r="D7166" s="15">
        <v>6.0</v>
      </c>
      <c r="E7166" s="67">
        <f t="shared" si="18"/>
        <v>1500</v>
      </c>
      <c r="F7166" s="67" t="str">
        <f t="shared" si="12"/>
        <v>6 LeadGen Set Appointments</v>
      </c>
    </row>
    <row r="7167" hidden="1">
      <c r="A7167" s="6" t="s">
        <v>87</v>
      </c>
      <c r="B7167" s="13" t="s">
        <v>1585</v>
      </c>
      <c r="C7167" s="13" t="s">
        <v>2490</v>
      </c>
      <c r="D7167" s="15">
        <v>6.0</v>
      </c>
      <c r="E7167" s="67">
        <f t="shared" si="18"/>
        <v>1500</v>
      </c>
      <c r="F7167" s="67" t="str">
        <f t="shared" si="12"/>
        <v>6 LeadGen Set Appointments</v>
      </c>
    </row>
    <row r="7168" hidden="1">
      <c r="A7168" s="6" t="s">
        <v>87</v>
      </c>
      <c r="B7168" s="13" t="s">
        <v>1334</v>
      </c>
      <c r="C7168" s="13" t="s">
        <v>553</v>
      </c>
      <c r="D7168" s="15">
        <v>6.0</v>
      </c>
      <c r="E7168" s="67">
        <f t="shared" si="18"/>
        <v>1500</v>
      </c>
      <c r="F7168" s="67" t="str">
        <f t="shared" si="12"/>
        <v>6 LeadGen Set Appointments</v>
      </c>
    </row>
    <row r="7169" hidden="1">
      <c r="A7169" s="6" t="s">
        <v>87</v>
      </c>
      <c r="B7169" s="13" t="s">
        <v>2097</v>
      </c>
      <c r="C7169" s="13" t="s">
        <v>828</v>
      </c>
      <c r="D7169" s="15">
        <v>6.0</v>
      </c>
      <c r="E7169" s="67">
        <f t="shared" si="18"/>
        <v>1500</v>
      </c>
      <c r="F7169" s="67" t="str">
        <f t="shared" si="12"/>
        <v>6 LeadGen Set Appointments</v>
      </c>
    </row>
    <row r="7170" hidden="1">
      <c r="A7170" s="6" t="s">
        <v>87</v>
      </c>
      <c r="B7170" s="13" t="s">
        <v>2276</v>
      </c>
      <c r="C7170" s="13" t="s">
        <v>2277</v>
      </c>
      <c r="D7170" s="15">
        <v>6.0</v>
      </c>
      <c r="E7170" s="67">
        <f t="shared" si="18"/>
        <v>1500</v>
      </c>
      <c r="F7170" s="67" t="str">
        <f t="shared" si="12"/>
        <v>6 LeadGen Set Appointments</v>
      </c>
    </row>
    <row r="7171" hidden="1">
      <c r="A7171" s="6" t="s">
        <v>87</v>
      </c>
      <c r="B7171" s="13" t="s">
        <v>1557</v>
      </c>
      <c r="C7171" s="13" t="s">
        <v>1558</v>
      </c>
      <c r="D7171" s="15">
        <v>6.0</v>
      </c>
      <c r="E7171" s="67">
        <f t="shared" si="18"/>
        <v>1500</v>
      </c>
      <c r="F7171" s="67" t="str">
        <f t="shared" si="12"/>
        <v>6 LeadGen Set Appointments</v>
      </c>
    </row>
    <row r="7172" hidden="1">
      <c r="A7172" s="6" t="s">
        <v>87</v>
      </c>
      <c r="B7172" s="13" t="s">
        <v>2100</v>
      </c>
      <c r="C7172" s="13" t="s">
        <v>2101</v>
      </c>
      <c r="D7172" s="15">
        <v>6.0</v>
      </c>
      <c r="E7172" s="67">
        <f t="shared" si="18"/>
        <v>1500</v>
      </c>
      <c r="F7172" s="67" t="str">
        <f t="shared" si="12"/>
        <v>6 LeadGen Set Appointments</v>
      </c>
    </row>
    <row r="7173" hidden="1">
      <c r="A7173" s="6" t="s">
        <v>87</v>
      </c>
      <c r="B7173" s="13" t="s">
        <v>656</v>
      </c>
      <c r="C7173" s="13" t="s">
        <v>657</v>
      </c>
      <c r="D7173" s="15">
        <v>6.0</v>
      </c>
      <c r="E7173" s="67">
        <f t="shared" si="18"/>
        <v>1500</v>
      </c>
      <c r="F7173" s="67" t="str">
        <f t="shared" si="12"/>
        <v>6 LeadGen Set Appointments</v>
      </c>
    </row>
    <row r="7174" hidden="1">
      <c r="A7174" s="6" t="s">
        <v>87</v>
      </c>
      <c r="B7174" s="13" t="s">
        <v>443</v>
      </c>
      <c r="C7174" s="13" t="s">
        <v>444</v>
      </c>
      <c r="D7174" s="15">
        <v>6.0</v>
      </c>
      <c r="E7174" s="67">
        <f t="shared" si="18"/>
        <v>1500</v>
      </c>
      <c r="F7174" s="67" t="str">
        <f t="shared" si="12"/>
        <v>6 LeadGen Set Appointments</v>
      </c>
    </row>
    <row r="7175" hidden="1">
      <c r="A7175" s="6" t="s">
        <v>87</v>
      </c>
      <c r="B7175" s="13" t="s">
        <v>2611</v>
      </c>
      <c r="C7175" s="13" t="s">
        <v>2612</v>
      </c>
      <c r="D7175" s="15">
        <v>6.0</v>
      </c>
      <c r="E7175" s="67">
        <f t="shared" si="18"/>
        <v>1500</v>
      </c>
      <c r="F7175" s="67" t="str">
        <f t="shared" si="12"/>
        <v>6 LeadGen Set Appointments</v>
      </c>
    </row>
    <row r="7176" hidden="1">
      <c r="A7176" s="6" t="s">
        <v>87</v>
      </c>
      <c r="B7176" s="13" t="s">
        <v>1784</v>
      </c>
      <c r="C7176" s="13" t="s">
        <v>1785</v>
      </c>
      <c r="D7176" s="15">
        <v>6.0</v>
      </c>
      <c r="E7176" s="67">
        <f t="shared" si="18"/>
        <v>1500</v>
      </c>
      <c r="F7176" s="67" t="str">
        <f t="shared" si="12"/>
        <v>6 LeadGen Set Appointments</v>
      </c>
    </row>
    <row r="7177" hidden="1">
      <c r="A7177" s="6" t="s">
        <v>87</v>
      </c>
      <c r="B7177" s="13" t="s">
        <v>1825</v>
      </c>
      <c r="C7177" s="13" t="s">
        <v>2376</v>
      </c>
      <c r="D7177" s="15">
        <v>6.0</v>
      </c>
      <c r="E7177" s="67">
        <f t="shared" si="18"/>
        <v>1500</v>
      </c>
      <c r="F7177" s="67" t="str">
        <f t="shared" si="12"/>
        <v>6 LeadGen Set Appointments</v>
      </c>
    </row>
    <row r="7178" hidden="1">
      <c r="A7178" s="6" t="s">
        <v>87</v>
      </c>
      <c r="B7178" s="13" t="s">
        <v>2563</v>
      </c>
      <c r="C7178" s="13" t="s">
        <v>2564</v>
      </c>
      <c r="D7178" s="15">
        <v>6.0</v>
      </c>
      <c r="E7178" s="67">
        <f t="shared" si="18"/>
        <v>1500</v>
      </c>
      <c r="F7178" s="67" t="str">
        <f t="shared" si="12"/>
        <v>6 LeadGen Set Appointments</v>
      </c>
    </row>
    <row r="7179" hidden="1">
      <c r="A7179" s="6" t="s">
        <v>87</v>
      </c>
      <c r="B7179" s="13" t="s">
        <v>1955</v>
      </c>
      <c r="C7179" s="13" t="s">
        <v>1956</v>
      </c>
      <c r="D7179" s="15">
        <v>6.0</v>
      </c>
      <c r="E7179" s="67">
        <f t="shared" si="18"/>
        <v>1500</v>
      </c>
      <c r="F7179" s="67" t="str">
        <f t="shared" si="12"/>
        <v>6 LeadGen Set Appointments</v>
      </c>
    </row>
    <row r="7180" hidden="1">
      <c r="A7180" s="6" t="s">
        <v>87</v>
      </c>
      <c r="B7180" s="13" t="s">
        <v>2077</v>
      </c>
      <c r="C7180" s="13" t="s">
        <v>2078</v>
      </c>
      <c r="D7180" s="15">
        <v>6.0</v>
      </c>
      <c r="E7180" s="67">
        <f t="shared" si="18"/>
        <v>1500</v>
      </c>
      <c r="F7180" s="67" t="str">
        <f t="shared" si="12"/>
        <v>6 LeadGen Set Appointments</v>
      </c>
    </row>
    <row r="7181" hidden="1">
      <c r="A7181" s="6" t="s">
        <v>87</v>
      </c>
      <c r="B7181" s="13" t="s">
        <v>1945</v>
      </c>
      <c r="C7181" s="13" t="s">
        <v>1946</v>
      </c>
      <c r="D7181" s="15">
        <v>6.0</v>
      </c>
      <c r="E7181" s="67">
        <f t="shared" si="18"/>
        <v>1500</v>
      </c>
      <c r="F7181" s="67" t="str">
        <f t="shared" si="12"/>
        <v>6 LeadGen Set Appointments</v>
      </c>
    </row>
    <row r="7182" hidden="1">
      <c r="A7182" s="6" t="s">
        <v>87</v>
      </c>
      <c r="B7182" s="13" t="s">
        <v>744</v>
      </c>
      <c r="C7182" s="13" t="s">
        <v>745</v>
      </c>
      <c r="D7182" s="15">
        <v>5.0</v>
      </c>
      <c r="E7182" s="67">
        <f t="shared" si="18"/>
        <v>1250</v>
      </c>
      <c r="F7182" s="67" t="str">
        <f t="shared" si="12"/>
        <v>5 LeadGen Set Appointments</v>
      </c>
    </row>
    <row r="7183" hidden="1">
      <c r="A7183" s="6" t="s">
        <v>87</v>
      </c>
      <c r="B7183" s="13" t="s">
        <v>2034</v>
      </c>
      <c r="C7183" s="13" t="s">
        <v>416</v>
      </c>
      <c r="D7183" s="15">
        <v>5.0</v>
      </c>
      <c r="E7183" s="67">
        <f t="shared" si="18"/>
        <v>1250</v>
      </c>
      <c r="F7183" s="67" t="str">
        <f t="shared" si="12"/>
        <v>5 LeadGen Set Appointments</v>
      </c>
    </row>
    <row r="7184" hidden="1">
      <c r="A7184" s="6" t="s">
        <v>87</v>
      </c>
      <c r="B7184" s="13" t="s">
        <v>2299</v>
      </c>
      <c r="C7184" s="13" t="s">
        <v>2300</v>
      </c>
      <c r="D7184" s="15">
        <v>5.0</v>
      </c>
      <c r="E7184" s="67">
        <f t="shared" si="18"/>
        <v>1250</v>
      </c>
      <c r="F7184" s="67" t="str">
        <f t="shared" si="12"/>
        <v>5 LeadGen Set Appointments</v>
      </c>
    </row>
    <row r="7185" hidden="1">
      <c r="A7185" s="6" t="s">
        <v>87</v>
      </c>
      <c r="B7185" s="13" t="s">
        <v>2593</v>
      </c>
      <c r="C7185" s="13" t="s">
        <v>2594</v>
      </c>
      <c r="D7185" s="15">
        <v>5.0</v>
      </c>
      <c r="E7185" s="67">
        <f t="shared" si="18"/>
        <v>1250</v>
      </c>
      <c r="F7185" s="67" t="str">
        <f t="shared" si="12"/>
        <v>5 LeadGen Set Appointments</v>
      </c>
    </row>
    <row r="7186" hidden="1">
      <c r="A7186" s="6" t="s">
        <v>87</v>
      </c>
      <c r="B7186" s="13" t="s">
        <v>2473</v>
      </c>
      <c r="C7186" s="13" t="s">
        <v>2474</v>
      </c>
      <c r="D7186" s="15">
        <v>5.0</v>
      </c>
      <c r="E7186" s="67">
        <f t="shared" si="18"/>
        <v>1250</v>
      </c>
      <c r="F7186" s="67" t="str">
        <f t="shared" si="12"/>
        <v>5 LeadGen Set Appointments</v>
      </c>
    </row>
    <row r="7187" hidden="1">
      <c r="A7187" s="6" t="s">
        <v>87</v>
      </c>
      <c r="B7187" s="13" t="s">
        <v>1937</v>
      </c>
      <c r="C7187" s="13" t="s">
        <v>1938</v>
      </c>
      <c r="D7187" s="15">
        <v>5.0</v>
      </c>
      <c r="E7187" s="67">
        <f t="shared" si="18"/>
        <v>1250</v>
      </c>
      <c r="F7187" s="67" t="str">
        <f t="shared" si="12"/>
        <v>5 LeadGen Set Appointments</v>
      </c>
    </row>
    <row r="7188" hidden="1">
      <c r="A7188" s="6" t="s">
        <v>87</v>
      </c>
      <c r="B7188" s="13" t="s">
        <v>1279</v>
      </c>
      <c r="C7188" s="13" t="s">
        <v>739</v>
      </c>
      <c r="D7188" s="15">
        <v>5.0</v>
      </c>
      <c r="E7188" s="67">
        <f t="shared" si="18"/>
        <v>1250</v>
      </c>
      <c r="F7188" s="67" t="str">
        <f t="shared" si="12"/>
        <v>5 LeadGen Set Appointments</v>
      </c>
    </row>
    <row r="7189" hidden="1">
      <c r="A7189" s="6" t="s">
        <v>87</v>
      </c>
      <c r="B7189" s="13" t="s">
        <v>1931</v>
      </c>
      <c r="C7189" s="13" t="s">
        <v>1932</v>
      </c>
      <c r="D7189" s="15">
        <v>5.0</v>
      </c>
      <c r="E7189" s="67">
        <f t="shared" si="18"/>
        <v>1250</v>
      </c>
      <c r="F7189" s="67" t="str">
        <f t="shared" si="12"/>
        <v>5 LeadGen Set Appointments</v>
      </c>
    </row>
    <row r="7190" hidden="1">
      <c r="A7190" s="6" t="s">
        <v>87</v>
      </c>
      <c r="B7190" s="13" t="s">
        <v>262</v>
      </c>
      <c r="C7190" s="13" t="s">
        <v>290</v>
      </c>
      <c r="D7190" s="15">
        <v>5.0</v>
      </c>
      <c r="E7190" s="67">
        <f t="shared" si="18"/>
        <v>1250</v>
      </c>
      <c r="F7190" s="67" t="str">
        <f t="shared" si="12"/>
        <v>5 LeadGen Set Appointments</v>
      </c>
    </row>
    <row r="7191" hidden="1">
      <c r="A7191" s="6" t="s">
        <v>87</v>
      </c>
      <c r="B7191" s="13" t="s">
        <v>1393</v>
      </c>
      <c r="C7191" s="13" t="s">
        <v>1394</v>
      </c>
      <c r="D7191" s="15">
        <v>5.0</v>
      </c>
      <c r="E7191" s="67">
        <f t="shared" si="18"/>
        <v>1250</v>
      </c>
      <c r="F7191" s="67" t="str">
        <f t="shared" si="12"/>
        <v>5 LeadGen Set Appointments</v>
      </c>
    </row>
    <row r="7192" hidden="1">
      <c r="A7192" s="6" t="s">
        <v>87</v>
      </c>
      <c r="B7192" s="13" t="s">
        <v>2542</v>
      </c>
      <c r="C7192" s="13" t="s">
        <v>2543</v>
      </c>
      <c r="D7192" s="15">
        <v>5.0</v>
      </c>
      <c r="E7192" s="67">
        <f t="shared" si="18"/>
        <v>1250</v>
      </c>
      <c r="F7192" s="67" t="str">
        <f t="shared" si="12"/>
        <v>5 LeadGen Set Appointments</v>
      </c>
    </row>
    <row r="7193" hidden="1">
      <c r="A7193" s="6" t="s">
        <v>87</v>
      </c>
      <c r="B7193" s="13" t="s">
        <v>1891</v>
      </c>
      <c r="C7193" s="13" t="s">
        <v>1892</v>
      </c>
      <c r="D7193" s="15">
        <v>5.0</v>
      </c>
      <c r="E7193" s="67">
        <f t="shared" si="18"/>
        <v>1250</v>
      </c>
      <c r="F7193" s="67" t="str">
        <f t="shared" si="12"/>
        <v>5 LeadGen Set Appointments</v>
      </c>
    </row>
    <row r="7194" hidden="1">
      <c r="A7194" s="6" t="s">
        <v>87</v>
      </c>
      <c r="B7194" s="13" t="s">
        <v>626</v>
      </c>
      <c r="C7194" s="13" t="s">
        <v>627</v>
      </c>
      <c r="D7194" s="15">
        <v>5.0</v>
      </c>
      <c r="E7194" s="67">
        <f t="shared" si="18"/>
        <v>1250</v>
      </c>
      <c r="F7194" s="67" t="str">
        <f t="shared" si="12"/>
        <v>5 LeadGen Set Appointments</v>
      </c>
    </row>
    <row r="7195" hidden="1">
      <c r="A7195" s="6" t="s">
        <v>87</v>
      </c>
      <c r="B7195" s="13" t="s">
        <v>2288</v>
      </c>
      <c r="C7195" s="13" t="s">
        <v>2289</v>
      </c>
      <c r="D7195" s="15">
        <v>5.0</v>
      </c>
      <c r="E7195" s="67">
        <f t="shared" si="18"/>
        <v>1250</v>
      </c>
      <c r="F7195" s="67" t="str">
        <f t="shared" si="12"/>
        <v>5 LeadGen Set Appointments</v>
      </c>
    </row>
    <row r="7196" hidden="1">
      <c r="A7196" s="6" t="s">
        <v>87</v>
      </c>
      <c r="B7196" s="13" t="s">
        <v>1487</v>
      </c>
      <c r="C7196" s="13" t="s">
        <v>2533</v>
      </c>
      <c r="D7196" s="15">
        <v>5.0</v>
      </c>
      <c r="E7196" s="67">
        <f t="shared" si="18"/>
        <v>1250</v>
      </c>
      <c r="F7196" s="67" t="str">
        <f t="shared" si="12"/>
        <v>5 LeadGen Set Appointments</v>
      </c>
    </row>
    <row r="7197" hidden="1">
      <c r="A7197" s="6" t="s">
        <v>87</v>
      </c>
      <c r="B7197" s="13" t="s">
        <v>1736</v>
      </c>
      <c r="C7197" s="13" t="s">
        <v>1737</v>
      </c>
      <c r="D7197" s="15">
        <v>5.0</v>
      </c>
      <c r="E7197" s="67">
        <f t="shared" si="18"/>
        <v>1250</v>
      </c>
      <c r="F7197" s="67" t="str">
        <f t="shared" si="12"/>
        <v>5 LeadGen Set Appointments</v>
      </c>
    </row>
    <row r="7198" hidden="1">
      <c r="A7198" s="6" t="s">
        <v>87</v>
      </c>
      <c r="B7198" s="13" t="s">
        <v>2268</v>
      </c>
      <c r="C7198" s="13" t="s">
        <v>2269</v>
      </c>
      <c r="D7198" s="15">
        <v>5.0</v>
      </c>
      <c r="E7198" s="67">
        <f t="shared" si="18"/>
        <v>1250</v>
      </c>
      <c r="F7198" s="67" t="str">
        <f t="shared" si="12"/>
        <v>5 LeadGen Set Appointments</v>
      </c>
    </row>
    <row r="7199" hidden="1">
      <c r="A7199" s="6" t="s">
        <v>87</v>
      </c>
      <c r="B7199" s="13" t="s">
        <v>2151</v>
      </c>
      <c r="C7199" s="13" t="s">
        <v>2152</v>
      </c>
      <c r="D7199" s="15">
        <v>5.0</v>
      </c>
      <c r="E7199" s="67">
        <f t="shared" si="18"/>
        <v>1250</v>
      </c>
      <c r="F7199" s="67" t="str">
        <f t="shared" si="12"/>
        <v>5 LeadGen Set Appointments</v>
      </c>
    </row>
    <row r="7200" hidden="1">
      <c r="A7200" s="6" t="s">
        <v>87</v>
      </c>
      <c r="B7200" s="13" t="s">
        <v>2477</v>
      </c>
      <c r="C7200" s="13" t="s">
        <v>2478</v>
      </c>
      <c r="D7200" s="15">
        <v>5.0</v>
      </c>
      <c r="E7200" s="67">
        <f t="shared" si="18"/>
        <v>1250</v>
      </c>
      <c r="F7200" s="67" t="str">
        <f t="shared" si="12"/>
        <v>5 LeadGen Set Appointments</v>
      </c>
    </row>
    <row r="7201" hidden="1">
      <c r="A7201" s="6" t="s">
        <v>87</v>
      </c>
      <c r="B7201" s="13" t="s">
        <v>2280</v>
      </c>
      <c r="C7201" s="13" t="s">
        <v>2281</v>
      </c>
      <c r="D7201" s="15">
        <v>5.0</v>
      </c>
      <c r="E7201" s="67">
        <f t="shared" si="18"/>
        <v>1250</v>
      </c>
      <c r="F7201" s="67" t="str">
        <f t="shared" si="12"/>
        <v>5 LeadGen Set Appointments</v>
      </c>
    </row>
    <row r="7202" hidden="1">
      <c r="A7202" s="6" t="s">
        <v>87</v>
      </c>
      <c r="B7202" s="13" t="s">
        <v>1283</v>
      </c>
      <c r="C7202" s="13" t="s">
        <v>404</v>
      </c>
      <c r="D7202" s="15">
        <v>5.0</v>
      </c>
      <c r="E7202" s="67">
        <f t="shared" si="18"/>
        <v>1250</v>
      </c>
      <c r="F7202" s="67" t="str">
        <f t="shared" si="12"/>
        <v>5 LeadGen Set Appointments</v>
      </c>
    </row>
    <row r="7203" hidden="1">
      <c r="A7203" s="6" t="s">
        <v>87</v>
      </c>
      <c r="B7203" s="13" t="s">
        <v>2589</v>
      </c>
      <c r="C7203" s="13" t="s">
        <v>2590</v>
      </c>
      <c r="D7203" s="15">
        <v>5.0</v>
      </c>
      <c r="E7203" s="67">
        <f t="shared" si="18"/>
        <v>1250</v>
      </c>
      <c r="F7203" s="67" t="str">
        <f t="shared" si="12"/>
        <v>5 LeadGen Set Appointments</v>
      </c>
    </row>
    <row r="7204" hidden="1">
      <c r="A7204" s="6" t="s">
        <v>87</v>
      </c>
      <c r="B7204" s="13" t="s">
        <v>2663</v>
      </c>
      <c r="C7204" s="13" t="s">
        <v>2664</v>
      </c>
      <c r="D7204" s="15">
        <v>5.0</v>
      </c>
      <c r="E7204" s="67">
        <f t="shared" si="18"/>
        <v>1250</v>
      </c>
      <c r="F7204" s="67" t="str">
        <f t="shared" si="12"/>
        <v>5 LeadGen Set Appointments</v>
      </c>
    </row>
    <row r="7205" hidden="1">
      <c r="A7205" s="6" t="s">
        <v>87</v>
      </c>
      <c r="B7205" s="13" t="s">
        <v>2212</v>
      </c>
      <c r="C7205" s="13" t="s">
        <v>2213</v>
      </c>
      <c r="D7205" s="15">
        <v>4.0</v>
      </c>
      <c r="E7205" s="67">
        <f t="shared" si="18"/>
        <v>1000</v>
      </c>
      <c r="F7205" s="67" t="str">
        <f t="shared" si="12"/>
        <v>4 LeadGen Set Appointments</v>
      </c>
    </row>
    <row r="7206" hidden="1">
      <c r="A7206" s="6" t="s">
        <v>87</v>
      </c>
      <c r="B7206" s="13" t="s">
        <v>1774</v>
      </c>
      <c r="C7206" s="13" t="s">
        <v>1775</v>
      </c>
      <c r="D7206" s="15">
        <v>4.0</v>
      </c>
      <c r="E7206" s="67">
        <f t="shared" si="18"/>
        <v>1000</v>
      </c>
      <c r="F7206" s="67" t="str">
        <f t="shared" si="12"/>
        <v>4 LeadGen Set Appointments</v>
      </c>
    </row>
    <row r="7207" hidden="1">
      <c r="A7207" s="6" t="s">
        <v>87</v>
      </c>
      <c r="B7207" s="13" t="s">
        <v>305</v>
      </c>
      <c r="C7207" s="13" t="s">
        <v>2552</v>
      </c>
      <c r="D7207" s="15">
        <v>4.0</v>
      </c>
      <c r="E7207" s="67">
        <f t="shared" si="18"/>
        <v>1000</v>
      </c>
      <c r="F7207" s="67" t="str">
        <f t="shared" si="12"/>
        <v>4 LeadGen Set Appointments</v>
      </c>
    </row>
    <row r="7208" hidden="1">
      <c r="A7208" s="6" t="s">
        <v>87</v>
      </c>
      <c r="B7208" s="13" t="s">
        <v>684</v>
      </c>
      <c r="C7208" s="13" t="s">
        <v>685</v>
      </c>
      <c r="D7208" s="15">
        <v>4.0</v>
      </c>
      <c r="E7208" s="67">
        <f t="shared" si="18"/>
        <v>1000</v>
      </c>
      <c r="F7208" s="67" t="str">
        <f t="shared" si="12"/>
        <v>4 LeadGen Set Appointments</v>
      </c>
    </row>
    <row r="7209" hidden="1">
      <c r="A7209" s="6" t="s">
        <v>87</v>
      </c>
      <c r="B7209" s="13" t="s">
        <v>752</v>
      </c>
      <c r="C7209" s="13" t="s">
        <v>753</v>
      </c>
      <c r="D7209" s="15">
        <v>4.0</v>
      </c>
      <c r="E7209" s="67">
        <f t="shared" si="18"/>
        <v>1000</v>
      </c>
      <c r="F7209" s="67" t="str">
        <f t="shared" si="12"/>
        <v>4 LeadGen Set Appointments</v>
      </c>
    </row>
    <row r="7210" hidden="1">
      <c r="A7210" s="6" t="s">
        <v>87</v>
      </c>
      <c r="B7210" s="13" t="s">
        <v>976</v>
      </c>
      <c r="C7210" s="13" t="s">
        <v>977</v>
      </c>
      <c r="D7210" s="15">
        <v>4.0</v>
      </c>
      <c r="E7210" s="67">
        <f t="shared" si="18"/>
        <v>1000</v>
      </c>
      <c r="F7210" s="67" t="str">
        <f t="shared" si="12"/>
        <v>4 LeadGen Set Appointments</v>
      </c>
    </row>
    <row r="7211" hidden="1">
      <c r="A7211" s="6" t="s">
        <v>87</v>
      </c>
      <c r="B7211" s="13" t="s">
        <v>2454</v>
      </c>
      <c r="C7211" s="13" t="s">
        <v>2455</v>
      </c>
      <c r="D7211" s="15">
        <v>4.0</v>
      </c>
      <c r="E7211" s="67">
        <f t="shared" si="18"/>
        <v>1000</v>
      </c>
      <c r="F7211" s="67" t="str">
        <f t="shared" si="12"/>
        <v>4 LeadGen Set Appointments</v>
      </c>
    </row>
    <row r="7212" hidden="1">
      <c r="A7212" s="6" t="s">
        <v>87</v>
      </c>
      <c r="B7212" s="13" t="s">
        <v>2665</v>
      </c>
      <c r="C7212" s="13" t="s">
        <v>2666</v>
      </c>
      <c r="D7212" s="15">
        <v>4.0</v>
      </c>
      <c r="E7212" s="67">
        <f t="shared" si="18"/>
        <v>1000</v>
      </c>
      <c r="F7212" s="67" t="str">
        <f t="shared" si="12"/>
        <v>4 LeadGen Set Appointments</v>
      </c>
    </row>
    <row r="7213" hidden="1">
      <c r="A7213" s="6" t="s">
        <v>87</v>
      </c>
      <c r="B7213" s="13" t="s">
        <v>2667</v>
      </c>
      <c r="C7213" s="13" t="s">
        <v>2668</v>
      </c>
      <c r="D7213" s="15">
        <v>4.0</v>
      </c>
      <c r="E7213" s="67">
        <f t="shared" si="18"/>
        <v>1000</v>
      </c>
      <c r="F7213" s="67" t="str">
        <f t="shared" si="12"/>
        <v>4 LeadGen Set Appointments</v>
      </c>
    </row>
    <row r="7214" hidden="1">
      <c r="A7214" s="6" t="s">
        <v>87</v>
      </c>
      <c r="B7214" s="13" t="s">
        <v>1724</v>
      </c>
      <c r="C7214" s="13" t="s">
        <v>1725</v>
      </c>
      <c r="D7214" s="15">
        <v>4.0</v>
      </c>
      <c r="E7214" s="67">
        <f t="shared" si="18"/>
        <v>1000</v>
      </c>
      <c r="F7214" s="67" t="str">
        <f t="shared" si="12"/>
        <v>4 LeadGen Set Appointments</v>
      </c>
    </row>
    <row r="7215" hidden="1">
      <c r="A7215" s="6" t="s">
        <v>87</v>
      </c>
      <c r="B7215" s="13" t="s">
        <v>2657</v>
      </c>
      <c r="C7215" s="13" t="s">
        <v>2658</v>
      </c>
      <c r="D7215" s="15">
        <v>4.0</v>
      </c>
      <c r="E7215" s="67">
        <f t="shared" si="18"/>
        <v>1000</v>
      </c>
      <c r="F7215" s="67" t="str">
        <f t="shared" si="12"/>
        <v>4 LeadGen Set Appointments</v>
      </c>
    </row>
    <row r="7216" hidden="1">
      <c r="A7216" s="6" t="s">
        <v>87</v>
      </c>
      <c r="B7216" s="13" t="s">
        <v>572</v>
      </c>
      <c r="C7216" s="13" t="s">
        <v>573</v>
      </c>
      <c r="D7216" s="15">
        <v>4.0</v>
      </c>
      <c r="E7216" s="67">
        <f t="shared" si="18"/>
        <v>1000</v>
      </c>
      <c r="F7216" s="67" t="str">
        <f t="shared" si="12"/>
        <v>4 LeadGen Set Appointments</v>
      </c>
    </row>
    <row r="7217" hidden="1">
      <c r="A7217" s="6" t="s">
        <v>87</v>
      </c>
      <c r="B7217" s="13" t="s">
        <v>1657</v>
      </c>
      <c r="C7217" s="13" t="s">
        <v>1658</v>
      </c>
      <c r="D7217" s="15">
        <v>4.0</v>
      </c>
      <c r="E7217" s="67">
        <f t="shared" si="18"/>
        <v>1000</v>
      </c>
      <c r="F7217" s="67" t="str">
        <f t="shared" si="12"/>
        <v>4 LeadGen Set Appointments</v>
      </c>
    </row>
    <row r="7218" hidden="1">
      <c r="A7218" s="6" t="s">
        <v>87</v>
      </c>
      <c r="B7218" s="13" t="s">
        <v>2572</v>
      </c>
      <c r="C7218" s="13" t="s">
        <v>2573</v>
      </c>
      <c r="D7218" s="15">
        <v>4.0</v>
      </c>
      <c r="E7218" s="67">
        <f t="shared" si="18"/>
        <v>1000</v>
      </c>
      <c r="F7218" s="67" t="str">
        <f t="shared" si="12"/>
        <v>4 LeadGen Set Appointments</v>
      </c>
    </row>
    <row r="7219" hidden="1">
      <c r="A7219" s="6" t="s">
        <v>87</v>
      </c>
      <c r="B7219" s="13" t="s">
        <v>1295</v>
      </c>
      <c r="C7219" s="13" t="s">
        <v>1296</v>
      </c>
      <c r="D7219" s="15">
        <v>4.0</v>
      </c>
      <c r="E7219" s="67">
        <f t="shared" si="18"/>
        <v>1000</v>
      </c>
      <c r="F7219" s="67" t="str">
        <f t="shared" si="12"/>
        <v>4 LeadGen Set Appointments</v>
      </c>
    </row>
    <row r="7220" hidden="1">
      <c r="A7220" s="6" t="s">
        <v>87</v>
      </c>
      <c r="B7220" s="13" t="s">
        <v>2290</v>
      </c>
      <c r="C7220" s="13" t="s">
        <v>2291</v>
      </c>
      <c r="D7220" s="15">
        <v>4.0</v>
      </c>
      <c r="E7220" s="67">
        <f t="shared" si="18"/>
        <v>1000</v>
      </c>
      <c r="F7220" s="67" t="str">
        <f t="shared" si="12"/>
        <v>4 LeadGen Set Appointments</v>
      </c>
    </row>
    <row r="7221" hidden="1">
      <c r="A7221" s="6" t="s">
        <v>87</v>
      </c>
      <c r="B7221" s="13" t="s">
        <v>2081</v>
      </c>
      <c r="C7221" s="13" t="s">
        <v>2082</v>
      </c>
      <c r="D7221" s="15">
        <v>4.0</v>
      </c>
      <c r="E7221" s="67">
        <f t="shared" si="18"/>
        <v>1000</v>
      </c>
      <c r="F7221" s="67" t="str">
        <f t="shared" si="12"/>
        <v>4 LeadGen Set Appointments</v>
      </c>
    </row>
    <row r="7222" hidden="1">
      <c r="A7222" s="6" t="s">
        <v>87</v>
      </c>
      <c r="B7222" s="13" t="s">
        <v>622</v>
      </c>
      <c r="C7222" s="13" t="s">
        <v>623</v>
      </c>
      <c r="D7222" s="15">
        <v>4.0</v>
      </c>
      <c r="E7222" s="67">
        <f t="shared" si="18"/>
        <v>1000</v>
      </c>
      <c r="F7222" s="67" t="str">
        <f t="shared" si="12"/>
        <v>4 LeadGen Set Appointments</v>
      </c>
    </row>
    <row r="7223" hidden="1">
      <c r="A7223" s="6" t="s">
        <v>87</v>
      </c>
      <c r="B7223" s="13" t="s">
        <v>2576</v>
      </c>
      <c r="C7223" s="13" t="s">
        <v>2577</v>
      </c>
      <c r="D7223" s="15">
        <v>4.0</v>
      </c>
      <c r="E7223" s="67">
        <f t="shared" si="18"/>
        <v>1000</v>
      </c>
      <c r="F7223" s="67" t="str">
        <f t="shared" si="12"/>
        <v>4 LeadGen Set Appointments</v>
      </c>
    </row>
    <row r="7224" hidden="1">
      <c r="A7224" s="6" t="s">
        <v>87</v>
      </c>
      <c r="B7224" s="13" t="s">
        <v>2578</v>
      </c>
      <c r="C7224" s="13" t="s">
        <v>2579</v>
      </c>
      <c r="D7224" s="15">
        <v>4.0</v>
      </c>
      <c r="E7224" s="67">
        <f t="shared" si="18"/>
        <v>1000</v>
      </c>
      <c r="F7224" s="67" t="str">
        <f t="shared" si="12"/>
        <v>4 LeadGen Set Appointments</v>
      </c>
    </row>
    <row r="7225" hidden="1">
      <c r="A7225" s="6" t="s">
        <v>87</v>
      </c>
      <c r="B7225" s="13" t="s">
        <v>1463</v>
      </c>
      <c r="C7225" s="13" t="s">
        <v>1464</v>
      </c>
      <c r="D7225" s="15">
        <v>3.0</v>
      </c>
      <c r="E7225" s="67">
        <f t="shared" si="18"/>
        <v>750</v>
      </c>
      <c r="F7225" s="67" t="str">
        <f t="shared" si="12"/>
        <v>3 LeadGen Set Appointments</v>
      </c>
    </row>
    <row r="7226" hidden="1">
      <c r="A7226" s="6" t="s">
        <v>87</v>
      </c>
      <c r="B7226" s="13" t="s">
        <v>2465</v>
      </c>
      <c r="C7226" s="13" t="s">
        <v>2466</v>
      </c>
      <c r="D7226" s="15">
        <v>3.0</v>
      </c>
      <c r="E7226" s="67">
        <f t="shared" si="18"/>
        <v>750</v>
      </c>
      <c r="F7226" s="67" t="str">
        <f t="shared" si="12"/>
        <v>3 LeadGen Set Appointments</v>
      </c>
    </row>
    <row r="7227" hidden="1">
      <c r="A7227" s="6" t="s">
        <v>87</v>
      </c>
      <c r="B7227" s="13" t="s">
        <v>2605</v>
      </c>
      <c r="C7227" s="13" t="s">
        <v>2606</v>
      </c>
      <c r="D7227" s="15">
        <v>3.0</v>
      </c>
      <c r="E7227" s="67">
        <f t="shared" si="18"/>
        <v>750</v>
      </c>
      <c r="F7227" s="67" t="str">
        <f t="shared" si="12"/>
        <v>3 LeadGen Set Appointments</v>
      </c>
    </row>
    <row r="7228" hidden="1">
      <c r="A7228" s="6" t="s">
        <v>87</v>
      </c>
      <c r="B7228" s="13" t="s">
        <v>576</v>
      </c>
      <c r="C7228" s="13" t="s">
        <v>577</v>
      </c>
      <c r="D7228" s="15">
        <v>3.0</v>
      </c>
      <c r="E7228" s="67">
        <f t="shared" si="18"/>
        <v>750</v>
      </c>
      <c r="F7228" s="67" t="str">
        <f t="shared" si="12"/>
        <v>3 LeadGen Set Appointments</v>
      </c>
    </row>
    <row r="7229" hidden="1">
      <c r="A7229" s="6" t="s">
        <v>87</v>
      </c>
      <c r="B7229" s="13" t="s">
        <v>1380</v>
      </c>
      <c r="C7229" s="13" t="s">
        <v>1381</v>
      </c>
      <c r="D7229" s="15">
        <v>3.0</v>
      </c>
      <c r="E7229" s="67">
        <f t="shared" si="18"/>
        <v>750</v>
      </c>
      <c r="F7229" s="67" t="str">
        <f t="shared" si="12"/>
        <v>3 LeadGen Set Appointments</v>
      </c>
    </row>
    <row r="7230" hidden="1">
      <c r="A7230" s="6" t="s">
        <v>87</v>
      </c>
      <c r="B7230" s="13" t="s">
        <v>462</v>
      </c>
      <c r="C7230" s="13" t="s">
        <v>463</v>
      </c>
      <c r="D7230" s="15">
        <v>3.0</v>
      </c>
      <c r="E7230" s="67">
        <f t="shared" si="18"/>
        <v>750</v>
      </c>
      <c r="F7230" s="67" t="str">
        <f t="shared" si="12"/>
        <v>3 LeadGen Set Appointments</v>
      </c>
    </row>
    <row r="7231" hidden="1">
      <c r="A7231" s="6" t="s">
        <v>87</v>
      </c>
      <c r="B7231" s="13" t="s">
        <v>2669</v>
      </c>
      <c r="C7231" s="13" t="s">
        <v>2670</v>
      </c>
      <c r="D7231" s="15">
        <v>3.0</v>
      </c>
      <c r="E7231" s="67">
        <f t="shared" si="18"/>
        <v>750</v>
      </c>
      <c r="F7231" s="67" t="str">
        <f t="shared" si="12"/>
        <v>3 LeadGen Set Appointments</v>
      </c>
    </row>
    <row r="7232" hidden="1">
      <c r="A7232" s="6" t="s">
        <v>87</v>
      </c>
      <c r="B7232" s="13" t="s">
        <v>560</v>
      </c>
      <c r="C7232" s="13" t="s">
        <v>561</v>
      </c>
      <c r="D7232" s="15">
        <v>3.0</v>
      </c>
      <c r="E7232" s="67">
        <f t="shared" si="18"/>
        <v>750</v>
      </c>
      <c r="F7232" s="67" t="str">
        <f t="shared" si="12"/>
        <v>3 LeadGen Set Appointments</v>
      </c>
    </row>
    <row r="7233" hidden="1">
      <c r="A7233" s="6" t="s">
        <v>87</v>
      </c>
      <c r="B7233" s="13" t="s">
        <v>1475</v>
      </c>
      <c r="C7233" s="13" t="s">
        <v>1476</v>
      </c>
      <c r="D7233" s="15">
        <v>3.0</v>
      </c>
      <c r="E7233" s="67">
        <f t="shared" si="18"/>
        <v>750</v>
      </c>
      <c r="F7233" s="67" t="str">
        <f t="shared" si="12"/>
        <v>3 LeadGen Set Appointments</v>
      </c>
    </row>
    <row r="7234" hidden="1">
      <c r="A7234" s="6" t="s">
        <v>87</v>
      </c>
      <c r="B7234" s="13" t="s">
        <v>2648</v>
      </c>
      <c r="C7234" s="13" t="s">
        <v>2649</v>
      </c>
      <c r="D7234" s="15">
        <v>3.0</v>
      </c>
      <c r="E7234" s="67">
        <f t="shared" si="18"/>
        <v>750</v>
      </c>
      <c r="F7234" s="67" t="str">
        <f t="shared" si="12"/>
        <v>3 LeadGen Set Appointments</v>
      </c>
    </row>
    <row r="7235" hidden="1">
      <c r="A7235" s="6" t="s">
        <v>87</v>
      </c>
      <c r="B7235" s="13" t="s">
        <v>2671</v>
      </c>
      <c r="C7235" s="13" t="s">
        <v>2672</v>
      </c>
      <c r="D7235" s="15">
        <v>3.0</v>
      </c>
      <c r="E7235" s="67">
        <f t="shared" si="18"/>
        <v>750</v>
      </c>
      <c r="F7235" s="67" t="str">
        <f t="shared" si="12"/>
        <v>3 LeadGen Set Appointments</v>
      </c>
    </row>
    <row r="7236" hidden="1">
      <c r="A7236" s="6" t="s">
        <v>87</v>
      </c>
      <c r="B7236" s="13" t="s">
        <v>2513</v>
      </c>
      <c r="C7236" s="13" t="s">
        <v>2514</v>
      </c>
      <c r="D7236" s="15">
        <v>3.0</v>
      </c>
      <c r="E7236" s="67">
        <f t="shared" si="18"/>
        <v>750</v>
      </c>
      <c r="F7236" s="67" t="str">
        <f t="shared" si="12"/>
        <v>3 LeadGen Set Appointments</v>
      </c>
    </row>
    <row r="7237" hidden="1">
      <c r="A7237" s="6" t="s">
        <v>87</v>
      </c>
      <c r="B7237" s="13" t="s">
        <v>2636</v>
      </c>
      <c r="C7237" s="13" t="s">
        <v>2637</v>
      </c>
      <c r="D7237" s="15">
        <v>3.0</v>
      </c>
      <c r="E7237" s="67">
        <f t="shared" si="18"/>
        <v>750</v>
      </c>
      <c r="F7237" s="67" t="str">
        <f t="shared" si="12"/>
        <v>3 LeadGen Set Appointments</v>
      </c>
    </row>
    <row r="7238" hidden="1">
      <c r="A7238" s="6" t="s">
        <v>87</v>
      </c>
      <c r="B7238" s="13" t="s">
        <v>1510</v>
      </c>
      <c r="C7238" s="13" t="s">
        <v>1511</v>
      </c>
      <c r="D7238" s="15">
        <v>3.0</v>
      </c>
      <c r="E7238" s="67">
        <f t="shared" si="18"/>
        <v>750</v>
      </c>
      <c r="F7238" s="67" t="str">
        <f t="shared" si="12"/>
        <v>3 LeadGen Set Appointments</v>
      </c>
    </row>
    <row r="7239" hidden="1">
      <c r="A7239" s="6" t="s">
        <v>87</v>
      </c>
      <c r="B7239" s="13" t="s">
        <v>1299</v>
      </c>
      <c r="C7239" s="13" t="s">
        <v>1300</v>
      </c>
      <c r="D7239" s="15">
        <v>3.0</v>
      </c>
      <c r="E7239" s="67">
        <f t="shared" si="18"/>
        <v>750</v>
      </c>
      <c r="F7239" s="67" t="str">
        <f t="shared" si="12"/>
        <v>3 LeadGen Set Appointments</v>
      </c>
    </row>
    <row r="7240" hidden="1">
      <c r="A7240" s="6" t="s">
        <v>87</v>
      </c>
      <c r="B7240" s="13" t="s">
        <v>273</v>
      </c>
      <c r="C7240" s="13" t="s">
        <v>274</v>
      </c>
      <c r="D7240" s="15">
        <v>3.0</v>
      </c>
      <c r="E7240" s="67">
        <f t="shared" si="18"/>
        <v>750</v>
      </c>
      <c r="F7240" s="67" t="str">
        <f t="shared" si="12"/>
        <v>3 LeadGen Set Appointments</v>
      </c>
    </row>
    <row r="7241" hidden="1">
      <c r="A7241" s="6" t="s">
        <v>87</v>
      </c>
      <c r="B7241" s="13" t="s">
        <v>1770</v>
      </c>
      <c r="C7241" s="13" t="s">
        <v>1771</v>
      </c>
      <c r="D7241" s="15">
        <v>3.0</v>
      </c>
      <c r="E7241" s="67">
        <f t="shared" si="18"/>
        <v>750</v>
      </c>
      <c r="F7241" s="67" t="str">
        <f t="shared" si="12"/>
        <v>3 LeadGen Set Appointments</v>
      </c>
    </row>
    <row r="7242" hidden="1">
      <c r="A7242" s="6" t="s">
        <v>87</v>
      </c>
      <c r="B7242" s="13" t="s">
        <v>2640</v>
      </c>
      <c r="C7242" s="13" t="s">
        <v>2641</v>
      </c>
      <c r="D7242" s="15">
        <v>3.0</v>
      </c>
      <c r="E7242" s="67">
        <f t="shared" si="18"/>
        <v>750</v>
      </c>
      <c r="F7242" s="67" t="str">
        <f t="shared" si="12"/>
        <v>3 LeadGen Set Appointments</v>
      </c>
    </row>
    <row r="7243" hidden="1">
      <c r="A7243" s="6" t="s">
        <v>87</v>
      </c>
      <c r="B7243" s="13" t="s">
        <v>2619</v>
      </c>
      <c r="C7243" s="13" t="s">
        <v>2620</v>
      </c>
      <c r="D7243" s="15">
        <v>3.0</v>
      </c>
      <c r="E7243" s="67">
        <f t="shared" si="18"/>
        <v>750</v>
      </c>
      <c r="F7243" s="67" t="str">
        <f t="shared" si="12"/>
        <v>3 LeadGen Set Appointments</v>
      </c>
    </row>
    <row r="7244" hidden="1">
      <c r="A7244" s="6" t="s">
        <v>87</v>
      </c>
      <c r="B7244" s="13" t="s">
        <v>2673</v>
      </c>
      <c r="C7244" s="13" t="s">
        <v>2674</v>
      </c>
      <c r="D7244" s="15">
        <v>3.0</v>
      </c>
      <c r="E7244" s="67">
        <f t="shared" si="18"/>
        <v>750</v>
      </c>
      <c r="F7244" s="67" t="str">
        <f t="shared" si="12"/>
        <v>3 LeadGen Set Appointments</v>
      </c>
    </row>
    <row r="7245" hidden="1">
      <c r="A7245" s="6" t="s">
        <v>87</v>
      </c>
      <c r="B7245" s="13" t="s">
        <v>2675</v>
      </c>
      <c r="C7245" s="13" t="s">
        <v>2676</v>
      </c>
      <c r="D7245" s="15">
        <v>3.0</v>
      </c>
      <c r="E7245" s="67">
        <f t="shared" si="18"/>
        <v>750</v>
      </c>
      <c r="F7245" s="67" t="str">
        <f t="shared" si="12"/>
        <v>3 LeadGen Set Appointments</v>
      </c>
    </row>
    <row r="7246" hidden="1">
      <c r="A7246" s="6" t="s">
        <v>87</v>
      </c>
      <c r="B7246" s="13" t="s">
        <v>242</v>
      </c>
      <c r="C7246" s="13" t="s">
        <v>1887</v>
      </c>
      <c r="D7246" s="15">
        <v>3.0</v>
      </c>
      <c r="E7246" s="67">
        <f t="shared" si="18"/>
        <v>750</v>
      </c>
      <c r="F7246" s="67" t="str">
        <f t="shared" si="12"/>
        <v>3 LeadGen Set Appointments</v>
      </c>
    </row>
    <row r="7247" hidden="1">
      <c r="A7247" s="6" t="s">
        <v>87</v>
      </c>
      <c r="B7247" s="13" t="s">
        <v>518</v>
      </c>
      <c r="C7247" s="13" t="s">
        <v>519</v>
      </c>
      <c r="D7247" s="15">
        <v>3.0</v>
      </c>
      <c r="E7247" s="67">
        <f t="shared" si="18"/>
        <v>750</v>
      </c>
      <c r="F7247" s="67" t="str">
        <f t="shared" si="12"/>
        <v>3 LeadGen Set Appointments</v>
      </c>
    </row>
    <row r="7248" hidden="1">
      <c r="A7248" s="6" t="s">
        <v>87</v>
      </c>
      <c r="B7248" s="13" t="s">
        <v>2677</v>
      </c>
      <c r="C7248" s="13" t="s">
        <v>2678</v>
      </c>
      <c r="D7248" s="15">
        <v>3.0</v>
      </c>
      <c r="E7248" s="67">
        <f t="shared" si="18"/>
        <v>750</v>
      </c>
      <c r="F7248" s="67" t="str">
        <f t="shared" si="12"/>
        <v>3 LeadGen Set Appointments</v>
      </c>
    </row>
    <row r="7249" hidden="1">
      <c r="A7249" s="6" t="s">
        <v>87</v>
      </c>
      <c r="B7249" s="13" t="s">
        <v>2236</v>
      </c>
      <c r="C7249" s="13" t="s">
        <v>2237</v>
      </c>
      <c r="D7249" s="15">
        <v>3.0</v>
      </c>
      <c r="E7249" s="67">
        <f t="shared" si="18"/>
        <v>750</v>
      </c>
      <c r="F7249" s="67" t="str">
        <f t="shared" si="12"/>
        <v>3 LeadGen Set Appointments</v>
      </c>
    </row>
    <row r="7250" hidden="1">
      <c r="A7250" s="6" t="s">
        <v>87</v>
      </c>
      <c r="B7250" s="13" t="s">
        <v>2423</v>
      </c>
      <c r="C7250" s="13" t="s">
        <v>2424</v>
      </c>
      <c r="D7250" s="15">
        <v>3.0</v>
      </c>
      <c r="E7250" s="67">
        <f t="shared" si="18"/>
        <v>750</v>
      </c>
      <c r="F7250" s="67" t="str">
        <f t="shared" si="12"/>
        <v>3 LeadGen Set Appointments</v>
      </c>
    </row>
    <row r="7251" hidden="1">
      <c r="A7251" s="6" t="s">
        <v>87</v>
      </c>
      <c r="B7251" s="13" t="s">
        <v>1923</v>
      </c>
      <c r="C7251" s="13" t="s">
        <v>1924</v>
      </c>
      <c r="D7251" s="15">
        <v>3.0</v>
      </c>
      <c r="E7251" s="67">
        <f t="shared" si="18"/>
        <v>750</v>
      </c>
      <c r="F7251" s="67" t="str">
        <f t="shared" si="12"/>
        <v>3 LeadGen Set Appointments</v>
      </c>
    </row>
    <row r="7252" hidden="1">
      <c r="A7252" s="6" t="s">
        <v>87</v>
      </c>
      <c r="B7252" s="13" t="s">
        <v>2679</v>
      </c>
      <c r="C7252" s="13" t="s">
        <v>2680</v>
      </c>
      <c r="D7252" s="15">
        <v>3.0</v>
      </c>
      <c r="E7252" s="67">
        <f t="shared" si="18"/>
        <v>750</v>
      </c>
      <c r="F7252" s="67" t="str">
        <f t="shared" si="12"/>
        <v>3 LeadGen Set Appointments</v>
      </c>
    </row>
    <row r="7253" hidden="1">
      <c r="A7253" s="6" t="s">
        <v>87</v>
      </c>
      <c r="B7253" s="13" t="s">
        <v>604</v>
      </c>
      <c r="C7253" s="13" t="s">
        <v>605</v>
      </c>
      <c r="D7253" s="15">
        <v>3.0</v>
      </c>
      <c r="E7253" s="67">
        <f t="shared" si="18"/>
        <v>750</v>
      </c>
      <c r="F7253" s="67" t="str">
        <f t="shared" si="12"/>
        <v>3 LeadGen Set Appointments</v>
      </c>
    </row>
    <row r="7254" hidden="1">
      <c r="A7254" s="6" t="s">
        <v>87</v>
      </c>
      <c r="B7254" s="13" t="s">
        <v>1897</v>
      </c>
      <c r="C7254" s="13" t="s">
        <v>2460</v>
      </c>
      <c r="D7254" s="15">
        <v>3.0</v>
      </c>
      <c r="E7254" s="67">
        <f t="shared" si="18"/>
        <v>750</v>
      </c>
      <c r="F7254" s="67" t="str">
        <f t="shared" si="12"/>
        <v>3 LeadGen Set Appointments</v>
      </c>
    </row>
    <row r="7255" hidden="1">
      <c r="A7255" s="6" t="s">
        <v>87</v>
      </c>
      <c r="B7255" s="13" t="s">
        <v>2681</v>
      </c>
      <c r="C7255" s="13" t="s">
        <v>2682</v>
      </c>
      <c r="D7255" s="15">
        <v>3.0</v>
      </c>
      <c r="E7255" s="67">
        <f t="shared" si="18"/>
        <v>750</v>
      </c>
      <c r="F7255" s="67" t="str">
        <f t="shared" si="12"/>
        <v>3 LeadGen Set Appointments</v>
      </c>
    </row>
    <row r="7256" hidden="1">
      <c r="A7256" s="6" t="s">
        <v>87</v>
      </c>
      <c r="B7256" s="13" t="s">
        <v>566</v>
      </c>
      <c r="C7256" s="13" t="s">
        <v>567</v>
      </c>
      <c r="D7256" s="15">
        <v>3.0</v>
      </c>
      <c r="E7256" s="67">
        <f t="shared" si="18"/>
        <v>750</v>
      </c>
      <c r="F7256" s="67" t="str">
        <f t="shared" si="12"/>
        <v>3 LeadGen Set Appointments</v>
      </c>
    </row>
    <row r="7257" hidden="1">
      <c r="A7257" s="6" t="s">
        <v>87</v>
      </c>
      <c r="B7257" s="13" t="s">
        <v>522</v>
      </c>
      <c r="C7257" s="13" t="s">
        <v>523</v>
      </c>
      <c r="D7257" s="15">
        <v>3.0</v>
      </c>
      <c r="E7257" s="67">
        <f t="shared" si="18"/>
        <v>750</v>
      </c>
      <c r="F7257" s="67" t="str">
        <f t="shared" si="12"/>
        <v>3 LeadGen Set Appointments</v>
      </c>
    </row>
    <row r="7258" hidden="1">
      <c r="A7258" s="6" t="s">
        <v>87</v>
      </c>
      <c r="B7258" s="13" t="s">
        <v>1351</v>
      </c>
      <c r="C7258" s="13" t="s">
        <v>1352</v>
      </c>
      <c r="D7258" s="15">
        <v>3.0</v>
      </c>
      <c r="E7258" s="67">
        <f t="shared" si="18"/>
        <v>750</v>
      </c>
      <c r="F7258" s="67" t="str">
        <f t="shared" si="12"/>
        <v>3 LeadGen Set Appointments</v>
      </c>
    </row>
    <row r="7259" hidden="1">
      <c r="A7259" s="6" t="s">
        <v>87</v>
      </c>
      <c r="B7259" s="13" t="s">
        <v>2646</v>
      </c>
      <c r="C7259" s="13" t="s">
        <v>2647</v>
      </c>
      <c r="D7259" s="15">
        <v>3.0</v>
      </c>
      <c r="E7259" s="67">
        <f t="shared" si="18"/>
        <v>750</v>
      </c>
      <c r="F7259" s="67" t="str">
        <f t="shared" si="12"/>
        <v>3 LeadGen Set Appointments</v>
      </c>
    </row>
    <row r="7260" hidden="1">
      <c r="A7260" s="6" t="s">
        <v>87</v>
      </c>
      <c r="B7260" s="13" t="s">
        <v>1457</v>
      </c>
      <c r="C7260" s="13" t="s">
        <v>2411</v>
      </c>
      <c r="D7260" s="15">
        <v>3.0</v>
      </c>
      <c r="E7260" s="67">
        <f t="shared" si="18"/>
        <v>750</v>
      </c>
      <c r="F7260" s="67" t="str">
        <f t="shared" si="12"/>
        <v>3 LeadGen Set Appointments</v>
      </c>
    </row>
    <row r="7261" hidden="1">
      <c r="A7261" s="6" t="s">
        <v>87</v>
      </c>
      <c r="B7261" s="13" t="s">
        <v>1033</v>
      </c>
      <c r="C7261" s="13" t="s">
        <v>1034</v>
      </c>
      <c r="D7261" s="15">
        <v>2.0</v>
      </c>
      <c r="E7261" s="67">
        <f t="shared" si="18"/>
        <v>500</v>
      </c>
      <c r="F7261" s="67" t="str">
        <f t="shared" si="12"/>
        <v>2 LeadGen Set Appointments</v>
      </c>
    </row>
    <row r="7262" hidden="1">
      <c r="A7262" s="6" t="s">
        <v>87</v>
      </c>
      <c r="B7262" s="13" t="s">
        <v>2683</v>
      </c>
      <c r="C7262" s="13" t="s">
        <v>2684</v>
      </c>
      <c r="D7262" s="15">
        <v>2.0</v>
      </c>
      <c r="E7262" s="67">
        <f t="shared" si="18"/>
        <v>500</v>
      </c>
      <c r="F7262" s="67" t="str">
        <f t="shared" si="12"/>
        <v>2 LeadGen Set Appointments</v>
      </c>
    </row>
    <row r="7263" hidden="1">
      <c r="A7263" s="6" t="s">
        <v>87</v>
      </c>
      <c r="B7263" s="13" t="s">
        <v>2632</v>
      </c>
      <c r="C7263" s="13" t="s">
        <v>2633</v>
      </c>
      <c r="D7263" s="15">
        <v>2.0</v>
      </c>
      <c r="E7263" s="67">
        <f t="shared" si="18"/>
        <v>500</v>
      </c>
      <c r="F7263" s="67" t="str">
        <f t="shared" si="12"/>
        <v>2 LeadGen Set Appointments</v>
      </c>
    </row>
    <row r="7264" hidden="1">
      <c r="A7264" s="6" t="s">
        <v>87</v>
      </c>
      <c r="B7264" s="13" t="s">
        <v>2685</v>
      </c>
      <c r="C7264" s="13" t="s">
        <v>2686</v>
      </c>
      <c r="D7264" s="15">
        <v>2.0</v>
      </c>
      <c r="E7264" s="67">
        <f t="shared" si="18"/>
        <v>500</v>
      </c>
      <c r="F7264" s="67" t="str">
        <f t="shared" si="12"/>
        <v>2 LeadGen Set Appointments</v>
      </c>
    </row>
    <row r="7265" hidden="1">
      <c r="A7265" s="6" t="s">
        <v>87</v>
      </c>
      <c r="B7265" s="13" t="s">
        <v>2591</v>
      </c>
      <c r="C7265" s="13" t="s">
        <v>2592</v>
      </c>
      <c r="D7265" s="15">
        <v>2.0</v>
      </c>
      <c r="E7265" s="67">
        <f t="shared" si="18"/>
        <v>500</v>
      </c>
      <c r="F7265" s="67" t="str">
        <f t="shared" si="12"/>
        <v>2 LeadGen Set Appointments</v>
      </c>
    </row>
    <row r="7266" hidden="1">
      <c r="A7266" s="6" t="s">
        <v>87</v>
      </c>
      <c r="B7266" s="13" t="s">
        <v>1037</v>
      </c>
      <c r="C7266" s="13" t="s">
        <v>1038</v>
      </c>
      <c r="D7266" s="15">
        <v>2.0</v>
      </c>
      <c r="E7266" s="67">
        <f t="shared" si="18"/>
        <v>500</v>
      </c>
      <c r="F7266" s="67" t="str">
        <f t="shared" si="12"/>
        <v>2 LeadGen Set Appointments</v>
      </c>
    </row>
    <row r="7267" hidden="1">
      <c r="A7267" s="6" t="s">
        <v>87</v>
      </c>
      <c r="B7267" s="13" t="s">
        <v>2634</v>
      </c>
      <c r="C7267" s="13" t="s">
        <v>2635</v>
      </c>
      <c r="D7267" s="15">
        <v>2.0</v>
      </c>
      <c r="E7267" s="67">
        <f t="shared" si="18"/>
        <v>500</v>
      </c>
      <c r="F7267" s="67" t="str">
        <f t="shared" si="12"/>
        <v>2 LeadGen Set Appointments</v>
      </c>
    </row>
    <row r="7268" hidden="1">
      <c r="A7268" s="6" t="s">
        <v>87</v>
      </c>
      <c r="B7268" s="13" t="s">
        <v>546</v>
      </c>
      <c r="C7268" s="13" t="s">
        <v>547</v>
      </c>
      <c r="D7268" s="15">
        <v>2.0</v>
      </c>
      <c r="E7268" s="67">
        <f t="shared" si="18"/>
        <v>500</v>
      </c>
      <c r="F7268" s="67" t="str">
        <f t="shared" si="12"/>
        <v>2 LeadGen Set Appointments</v>
      </c>
    </row>
    <row r="7269" hidden="1">
      <c r="A7269" s="6" t="s">
        <v>87</v>
      </c>
      <c r="B7269" s="13" t="s">
        <v>2628</v>
      </c>
      <c r="C7269" s="13" t="s">
        <v>2629</v>
      </c>
      <c r="D7269" s="15">
        <v>2.0</v>
      </c>
      <c r="E7269" s="67">
        <f t="shared" si="18"/>
        <v>500</v>
      </c>
      <c r="F7269" s="67" t="str">
        <f t="shared" si="12"/>
        <v>2 LeadGen Set Appointments</v>
      </c>
    </row>
    <row r="7270" hidden="1">
      <c r="A7270" s="6" t="s">
        <v>87</v>
      </c>
      <c r="B7270" s="13" t="s">
        <v>2486</v>
      </c>
      <c r="C7270" s="13" t="s">
        <v>2487</v>
      </c>
      <c r="D7270" s="15">
        <v>2.0</v>
      </c>
      <c r="E7270" s="67">
        <f t="shared" si="18"/>
        <v>500</v>
      </c>
      <c r="F7270" s="67" t="str">
        <f t="shared" si="12"/>
        <v>2 LeadGen Set Appointments</v>
      </c>
    </row>
    <row r="7271" hidden="1">
      <c r="A7271" s="6" t="s">
        <v>87</v>
      </c>
      <c r="B7271" s="13" t="s">
        <v>1583</v>
      </c>
      <c r="C7271" s="13" t="s">
        <v>1584</v>
      </c>
      <c r="D7271" s="15">
        <v>2.0</v>
      </c>
      <c r="E7271" s="67">
        <f t="shared" si="18"/>
        <v>500</v>
      </c>
      <c r="F7271" s="67" t="str">
        <f t="shared" si="12"/>
        <v>2 LeadGen Set Appointments</v>
      </c>
    </row>
    <row r="7272" hidden="1">
      <c r="A7272" s="6" t="s">
        <v>87</v>
      </c>
      <c r="B7272" s="13" t="s">
        <v>1408</v>
      </c>
      <c r="C7272" s="13" t="s">
        <v>675</v>
      </c>
      <c r="D7272" s="15">
        <v>2.0</v>
      </c>
      <c r="E7272" s="67">
        <f t="shared" si="18"/>
        <v>500</v>
      </c>
      <c r="F7272" s="67" t="str">
        <f t="shared" si="12"/>
        <v>2 LeadGen Set Appointments</v>
      </c>
    </row>
    <row r="7273" hidden="1">
      <c r="A7273" s="6" t="s">
        <v>87</v>
      </c>
      <c r="B7273" s="13" t="s">
        <v>2638</v>
      </c>
      <c r="C7273" s="13" t="s">
        <v>2639</v>
      </c>
      <c r="D7273" s="15">
        <v>2.0</v>
      </c>
      <c r="E7273" s="67">
        <f t="shared" si="18"/>
        <v>500</v>
      </c>
      <c r="F7273" s="67" t="str">
        <f t="shared" si="12"/>
        <v>2 LeadGen Set Appointments</v>
      </c>
    </row>
    <row r="7274" hidden="1">
      <c r="A7274" s="6" t="s">
        <v>87</v>
      </c>
      <c r="B7274" s="13" t="s">
        <v>494</v>
      </c>
      <c r="C7274" s="13" t="s">
        <v>495</v>
      </c>
      <c r="D7274" s="15">
        <v>2.0</v>
      </c>
      <c r="E7274" s="67">
        <f t="shared" si="18"/>
        <v>500</v>
      </c>
      <c r="F7274" s="67" t="str">
        <f t="shared" si="12"/>
        <v>2 LeadGen Set Appointments</v>
      </c>
    </row>
    <row r="7275" hidden="1">
      <c r="A7275" s="6" t="s">
        <v>87</v>
      </c>
      <c r="B7275" s="13" t="s">
        <v>2393</v>
      </c>
      <c r="C7275" s="13" t="s">
        <v>2394</v>
      </c>
      <c r="D7275" s="15">
        <v>2.0</v>
      </c>
      <c r="E7275" s="67">
        <f t="shared" si="18"/>
        <v>500</v>
      </c>
      <c r="F7275" s="67" t="str">
        <f t="shared" si="12"/>
        <v>2 LeadGen Set Appointments</v>
      </c>
    </row>
    <row r="7276" hidden="1">
      <c r="A7276" s="6" t="s">
        <v>87</v>
      </c>
      <c r="B7276" s="13" t="s">
        <v>2270</v>
      </c>
      <c r="C7276" s="13" t="s">
        <v>2687</v>
      </c>
      <c r="D7276" s="15">
        <v>2.0</v>
      </c>
      <c r="E7276" s="67">
        <f t="shared" si="18"/>
        <v>500</v>
      </c>
      <c r="F7276" s="67" t="str">
        <f t="shared" si="12"/>
        <v>2 LeadGen Set Appointments</v>
      </c>
    </row>
    <row r="7277" hidden="1">
      <c r="A7277" s="6" t="s">
        <v>87</v>
      </c>
      <c r="B7277" s="13" t="s">
        <v>2599</v>
      </c>
      <c r="C7277" s="13" t="s">
        <v>2600</v>
      </c>
      <c r="D7277" s="15">
        <v>2.0</v>
      </c>
      <c r="E7277" s="67">
        <f t="shared" si="18"/>
        <v>500</v>
      </c>
      <c r="F7277" s="67" t="str">
        <f t="shared" si="12"/>
        <v>2 LeadGen Set Appointments</v>
      </c>
    </row>
    <row r="7278" hidden="1">
      <c r="A7278" s="6" t="s">
        <v>87</v>
      </c>
      <c r="B7278" s="13" t="s">
        <v>2653</v>
      </c>
      <c r="C7278" s="13" t="s">
        <v>2654</v>
      </c>
      <c r="D7278" s="15">
        <v>2.0</v>
      </c>
      <c r="E7278" s="67">
        <f t="shared" si="18"/>
        <v>500</v>
      </c>
      <c r="F7278" s="67" t="str">
        <f t="shared" si="12"/>
        <v>2 LeadGen Set Appointments</v>
      </c>
    </row>
    <row r="7279" hidden="1">
      <c r="A7279" s="6" t="s">
        <v>87</v>
      </c>
      <c r="B7279" s="13" t="s">
        <v>582</v>
      </c>
      <c r="C7279" s="13" t="s">
        <v>583</v>
      </c>
      <c r="D7279" s="15">
        <v>2.0</v>
      </c>
      <c r="E7279" s="67">
        <f t="shared" si="18"/>
        <v>500</v>
      </c>
      <c r="F7279" s="67" t="str">
        <f t="shared" si="12"/>
        <v>2 LeadGen Set Appointments</v>
      </c>
    </row>
    <row r="7280" hidden="1">
      <c r="A7280" s="6" t="s">
        <v>87</v>
      </c>
      <c r="B7280" s="13" t="s">
        <v>1325</v>
      </c>
      <c r="C7280" s="13" t="s">
        <v>1326</v>
      </c>
      <c r="D7280" s="15">
        <v>2.0</v>
      </c>
      <c r="E7280" s="67">
        <f t="shared" si="18"/>
        <v>500</v>
      </c>
      <c r="F7280" s="67" t="str">
        <f t="shared" si="12"/>
        <v>2 LeadGen Set Appointments</v>
      </c>
    </row>
    <row r="7281" hidden="1">
      <c r="A7281" s="6" t="s">
        <v>87</v>
      </c>
      <c r="B7281" s="13" t="s">
        <v>1421</v>
      </c>
      <c r="C7281" s="13" t="s">
        <v>712</v>
      </c>
      <c r="D7281" s="15">
        <v>2.0</v>
      </c>
      <c r="E7281" s="67">
        <f t="shared" si="18"/>
        <v>500</v>
      </c>
      <c r="F7281" s="67" t="str">
        <f t="shared" si="12"/>
        <v>2 LeadGen Set Appointments</v>
      </c>
    </row>
    <row r="7282" hidden="1">
      <c r="A7282" s="6" t="s">
        <v>87</v>
      </c>
      <c r="B7282" s="13" t="s">
        <v>2688</v>
      </c>
      <c r="C7282" s="13" t="s">
        <v>16</v>
      </c>
      <c r="D7282" s="15">
        <v>2.0</v>
      </c>
      <c r="E7282" s="67">
        <f t="shared" si="18"/>
        <v>500</v>
      </c>
      <c r="F7282" s="67" t="str">
        <f t="shared" si="12"/>
        <v>2 LeadGen Set Appointments</v>
      </c>
    </row>
    <row r="7283" hidden="1">
      <c r="A7283" s="6" t="s">
        <v>87</v>
      </c>
      <c r="B7283" s="13" t="s">
        <v>2384</v>
      </c>
      <c r="C7283" s="13" t="s">
        <v>2385</v>
      </c>
      <c r="D7283" s="15">
        <v>2.0</v>
      </c>
      <c r="E7283" s="67">
        <f t="shared" si="18"/>
        <v>500</v>
      </c>
      <c r="F7283" s="67" t="str">
        <f t="shared" si="12"/>
        <v>2 LeadGen Set Appointments</v>
      </c>
    </row>
    <row r="7284" hidden="1">
      <c r="A7284" s="6" t="s">
        <v>87</v>
      </c>
      <c r="B7284" s="13" t="s">
        <v>2659</v>
      </c>
      <c r="C7284" s="13" t="s">
        <v>2660</v>
      </c>
      <c r="D7284" s="15">
        <v>2.0</v>
      </c>
      <c r="E7284" s="67">
        <f t="shared" si="18"/>
        <v>500</v>
      </c>
      <c r="F7284" s="67" t="str">
        <f t="shared" si="12"/>
        <v>2 LeadGen Set Appointments</v>
      </c>
    </row>
    <row r="7285" hidden="1">
      <c r="A7285" s="6" t="s">
        <v>87</v>
      </c>
      <c r="B7285" s="13" t="s">
        <v>2661</v>
      </c>
      <c r="C7285" s="13" t="s">
        <v>2662</v>
      </c>
      <c r="D7285" s="15">
        <v>2.0</v>
      </c>
      <c r="E7285" s="67">
        <f t="shared" si="18"/>
        <v>500</v>
      </c>
      <c r="F7285" s="67" t="str">
        <f t="shared" si="12"/>
        <v>2 LeadGen Set Appointments</v>
      </c>
    </row>
    <row r="7286" hidden="1">
      <c r="A7286" s="6" t="s">
        <v>87</v>
      </c>
      <c r="B7286" s="13" t="s">
        <v>2360</v>
      </c>
      <c r="C7286" s="13" t="s">
        <v>2361</v>
      </c>
      <c r="D7286" s="15">
        <v>2.0</v>
      </c>
      <c r="E7286" s="67">
        <f t="shared" si="18"/>
        <v>500</v>
      </c>
      <c r="F7286" s="67" t="str">
        <f t="shared" si="12"/>
        <v>2 LeadGen Set Appointments</v>
      </c>
    </row>
    <row r="7287" hidden="1">
      <c r="A7287" s="6" t="s">
        <v>87</v>
      </c>
      <c r="B7287" s="13" t="s">
        <v>1935</v>
      </c>
      <c r="C7287" s="13" t="s">
        <v>1936</v>
      </c>
      <c r="D7287" s="15">
        <v>2.0</v>
      </c>
      <c r="E7287" s="67">
        <f t="shared" si="18"/>
        <v>500</v>
      </c>
      <c r="F7287" s="67" t="str">
        <f t="shared" si="12"/>
        <v>2 LeadGen Set Appointments</v>
      </c>
    </row>
    <row r="7288" hidden="1">
      <c r="A7288" s="6" t="s">
        <v>87</v>
      </c>
      <c r="B7288" s="13" t="s">
        <v>1674</v>
      </c>
      <c r="C7288" s="13" t="s">
        <v>1675</v>
      </c>
      <c r="D7288" s="15">
        <v>2.0</v>
      </c>
      <c r="E7288" s="67">
        <f t="shared" si="18"/>
        <v>500</v>
      </c>
      <c r="F7288" s="67" t="str">
        <f t="shared" si="12"/>
        <v>2 LeadGen Set Appointments</v>
      </c>
    </row>
    <row r="7289" hidden="1">
      <c r="A7289" s="6" t="s">
        <v>87</v>
      </c>
      <c r="B7289" s="13" t="s">
        <v>1883</v>
      </c>
      <c r="C7289" s="13" t="s">
        <v>1884</v>
      </c>
      <c r="D7289" s="15">
        <v>2.0</v>
      </c>
      <c r="E7289" s="67">
        <f t="shared" si="18"/>
        <v>500</v>
      </c>
      <c r="F7289" s="67" t="str">
        <f t="shared" si="12"/>
        <v>2 LeadGen Set Appointments</v>
      </c>
    </row>
    <row r="7290" hidden="1">
      <c r="A7290" s="6" t="s">
        <v>87</v>
      </c>
      <c r="B7290" s="13" t="s">
        <v>2367</v>
      </c>
      <c r="C7290" s="13" t="s">
        <v>2368</v>
      </c>
      <c r="D7290" s="15">
        <v>2.0</v>
      </c>
      <c r="E7290" s="67">
        <f t="shared" si="18"/>
        <v>500</v>
      </c>
      <c r="F7290" s="67" t="str">
        <f t="shared" si="12"/>
        <v>2 LeadGen Set Appointments</v>
      </c>
    </row>
    <row r="7291" hidden="1">
      <c r="A7291" s="6" t="s">
        <v>87</v>
      </c>
      <c r="B7291" s="13" t="s">
        <v>258</v>
      </c>
      <c r="C7291" s="13" t="s">
        <v>2386</v>
      </c>
      <c r="D7291" s="15">
        <v>2.0</v>
      </c>
      <c r="E7291" s="67">
        <f t="shared" si="18"/>
        <v>500</v>
      </c>
      <c r="F7291" s="67" t="str">
        <f t="shared" si="12"/>
        <v>2 LeadGen Set Appointments</v>
      </c>
    </row>
    <row r="7292" hidden="1">
      <c r="A7292" s="6" t="s">
        <v>87</v>
      </c>
      <c r="B7292" s="13" t="s">
        <v>701</v>
      </c>
      <c r="C7292" s="13" t="s">
        <v>702</v>
      </c>
      <c r="D7292" s="15">
        <v>2.0</v>
      </c>
      <c r="E7292" s="67">
        <f t="shared" si="18"/>
        <v>500</v>
      </c>
      <c r="F7292" s="67" t="str">
        <f t="shared" si="12"/>
        <v>2 LeadGen Set Appointments</v>
      </c>
    </row>
    <row r="7293" hidden="1">
      <c r="A7293" s="6" t="s">
        <v>87</v>
      </c>
      <c r="B7293" s="13" t="s">
        <v>2689</v>
      </c>
      <c r="C7293" s="13" t="s">
        <v>2690</v>
      </c>
      <c r="D7293" s="15">
        <v>2.0</v>
      </c>
      <c r="E7293" s="67">
        <f t="shared" si="18"/>
        <v>500</v>
      </c>
      <c r="F7293" s="67" t="str">
        <f t="shared" si="12"/>
        <v>2 LeadGen Set Appointments</v>
      </c>
    </row>
    <row r="7294" hidden="1">
      <c r="A7294" s="6" t="s">
        <v>87</v>
      </c>
      <c r="B7294" s="13" t="s">
        <v>445</v>
      </c>
      <c r="C7294" s="13" t="s">
        <v>446</v>
      </c>
      <c r="D7294" s="15">
        <v>2.0</v>
      </c>
      <c r="E7294" s="67">
        <f t="shared" si="18"/>
        <v>500</v>
      </c>
      <c r="F7294" s="67" t="str">
        <f t="shared" si="12"/>
        <v>2 LeadGen Set Appointments</v>
      </c>
    </row>
    <row r="7295" hidden="1">
      <c r="A7295" s="6" t="s">
        <v>87</v>
      </c>
      <c r="B7295" s="13" t="s">
        <v>606</v>
      </c>
      <c r="C7295" s="13" t="s">
        <v>607</v>
      </c>
      <c r="D7295" s="15">
        <v>1.0</v>
      </c>
      <c r="E7295" s="67">
        <f t="shared" si="18"/>
        <v>250</v>
      </c>
      <c r="F7295" s="67" t="str">
        <f t="shared" si="12"/>
        <v>1 LeadGen Set Appointments</v>
      </c>
    </row>
    <row r="7296" hidden="1">
      <c r="A7296" s="6" t="s">
        <v>87</v>
      </c>
      <c r="B7296" s="13" t="s">
        <v>2691</v>
      </c>
      <c r="C7296" s="13" t="s">
        <v>2692</v>
      </c>
      <c r="D7296" s="15">
        <v>1.0</v>
      </c>
      <c r="E7296" s="67">
        <f t="shared" si="18"/>
        <v>250</v>
      </c>
      <c r="F7296" s="67" t="str">
        <f t="shared" si="12"/>
        <v>1 LeadGen Set Appointments</v>
      </c>
    </row>
    <row r="7297" hidden="1">
      <c r="A7297" s="6" t="s">
        <v>87</v>
      </c>
      <c r="B7297" s="13" t="s">
        <v>2527</v>
      </c>
      <c r="C7297" s="13" t="s">
        <v>2528</v>
      </c>
      <c r="D7297" s="15">
        <v>1.0</v>
      </c>
      <c r="E7297" s="67">
        <f t="shared" si="18"/>
        <v>250</v>
      </c>
      <c r="F7297" s="67" t="str">
        <f t="shared" si="12"/>
        <v>1 LeadGen Set Appointments</v>
      </c>
    </row>
    <row r="7298" hidden="1">
      <c r="A7298" s="6" t="s">
        <v>87</v>
      </c>
      <c r="B7298" s="13" t="s">
        <v>2471</v>
      </c>
      <c r="C7298" s="13" t="s">
        <v>2472</v>
      </c>
      <c r="D7298" s="15">
        <v>1.0</v>
      </c>
      <c r="E7298" s="67">
        <f t="shared" si="18"/>
        <v>250</v>
      </c>
      <c r="F7298" s="67" t="str">
        <f t="shared" si="12"/>
        <v>1 LeadGen Set Appointments</v>
      </c>
    </row>
    <row r="7299" hidden="1">
      <c r="A7299" s="6" t="s">
        <v>87</v>
      </c>
      <c r="B7299" s="13" t="s">
        <v>2693</v>
      </c>
      <c r="C7299" s="13" t="s">
        <v>2694</v>
      </c>
      <c r="D7299" s="15">
        <v>1.0</v>
      </c>
      <c r="E7299" s="67">
        <f t="shared" si="18"/>
        <v>250</v>
      </c>
      <c r="F7299" s="67" t="str">
        <f t="shared" si="12"/>
        <v>1 LeadGen Set Appointments</v>
      </c>
    </row>
    <row r="7300" hidden="1">
      <c r="A7300" s="6" t="s">
        <v>87</v>
      </c>
      <c r="B7300" s="13" t="s">
        <v>2626</v>
      </c>
      <c r="C7300" s="13" t="s">
        <v>2627</v>
      </c>
      <c r="D7300" s="15">
        <v>1.0</v>
      </c>
      <c r="E7300" s="67">
        <f t="shared" si="18"/>
        <v>250</v>
      </c>
      <c r="F7300" s="67" t="str">
        <f t="shared" si="12"/>
        <v>1 LeadGen Set Appointments</v>
      </c>
    </row>
    <row r="7301" hidden="1">
      <c r="A7301" s="6" t="s">
        <v>87</v>
      </c>
      <c r="B7301" s="13" t="s">
        <v>431</v>
      </c>
      <c r="C7301" s="13" t="s">
        <v>432</v>
      </c>
      <c r="D7301" s="15">
        <v>1.0</v>
      </c>
      <c r="E7301" s="67">
        <f t="shared" si="18"/>
        <v>250</v>
      </c>
      <c r="F7301" s="67" t="str">
        <f t="shared" si="12"/>
        <v>1 LeadGen Set Appointments</v>
      </c>
    </row>
    <row r="7302" hidden="1">
      <c r="A7302" s="6" t="s">
        <v>87</v>
      </c>
      <c r="B7302" s="13" t="s">
        <v>2695</v>
      </c>
      <c r="C7302" s="13" t="s">
        <v>2696</v>
      </c>
      <c r="D7302" s="15">
        <v>1.0</v>
      </c>
      <c r="E7302" s="67">
        <f t="shared" si="18"/>
        <v>250</v>
      </c>
      <c r="F7302" s="67" t="str">
        <f t="shared" si="12"/>
        <v>1 LeadGen Set Appointments</v>
      </c>
    </row>
    <row r="7303" hidden="1">
      <c r="A7303" s="6" t="s">
        <v>87</v>
      </c>
      <c r="B7303" s="13" t="s">
        <v>268</v>
      </c>
      <c r="C7303" s="13" t="s">
        <v>2621</v>
      </c>
      <c r="D7303" s="15">
        <v>1.0</v>
      </c>
      <c r="E7303" s="67">
        <f t="shared" si="18"/>
        <v>250</v>
      </c>
      <c r="F7303" s="67" t="str">
        <f t="shared" si="12"/>
        <v>1 LeadGen Set Appointments</v>
      </c>
    </row>
    <row r="7304" hidden="1">
      <c r="A7304" s="6" t="s">
        <v>87</v>
      </c>
      <c r="B7304" s="13" t="s">
        <v>1443</v>
      </c>
      <c r="C7304" s="13" t="s">
        <v>755</v>
      </c>
      <c r="D7304" s="15">
        <v>1.0</v>
      </c>
      <c r="E7304" s="67">
        <f t="shared" si="18"/>
        <v>250</v>
      </c>
      <c r="F7304" s="67" t="str">
        <f t="shared" si="12"/>
        <v>1 LeadGen Set Appointments</v>
      </c>
    </row>
    <row r="7305" hidden="1">
      <c r="A7305" s="6" t="s">
        <v>87</v>
      </c>
      <c r="B7305" s="13" t="s">
        <v>2241</v>
      </c>
      <c r="C7305" s="13" t="s">
        <v>2652</v>
      </c>
      <c r="D7305" s="15">
        <v>1.0</v>
      </c>
      <c r="E7305" s="67">
        <f t="shared" si="18"/>
        <v>250</v>
      </c>
      <c r="F7305" s="67" t="str">
        <f t="shared" si="12"/>
        <v>1 LeadGen Set Appointments</v>
      </c>
    </row>
    <row r="7306" hidden="1">
      <c r="A7306" s="6" t="s">
        <v>87</v>
      </c>
      <c r="B7306" s="13" t="s">
        <v>1375</v>
      </c>
      <c r="C7306" s="13" t="s">
        <v>647</v>
      </c>
      <c r="D7306" s="15">
        <v>1.0</v>
      </c>
      <c r="E7306" s="67">
        <f t="shared" si="18"/>
        <v>250</v>
      </c>
      <c r="F7306" s="67" t="str">
        <f t="shared" si="12"/>
        <v>1 LeadGen Set Appointments</v>
      </c>
    </row>
    <row r="7307" hidden="1">
      <c r="A7307" s="6" t="s">
        <v>87</v>
      </c>
      <c r="B7307" s="13" t="s">
        <v>2697</v>
      </c>
      <c r="C7307" s="13" t="s">
        <v>2698</v>
      </c>
      <c r="D7307" s="15">
        <v>1.0</v>
      </c>
      <c r="E7307" s="67">
        <f t="shared" si="18"/>
        <v>250</v>
      </c>
      <c r="F7307" s="67" t="str">
        <f t="shared" si="12"/>
        <v>1 LeadGen Set Appointments</v>
      </c>
    </row>
    <row r="7308" hidden="1">
      <c r="A7308" s="6" t="s">
        <v>87</v>
      </c>
      <c r="B7308" s="13" t="s">
        <v>2655</v>
      </c>
      <c r="C7308" s="13" t="s">
        <v>2656</v>
      </c>
      <c r="D7308" s="15">
        <v>1.0</v>
      </c>
      <c r="E7308" s="67">
        <f t="shared" si="18"/>
        <v>250</v>
      </c>
      <c r="F7308" s="67" t="str">
        <f t="shared" si="12"/>
        <v>1 LeadGen Set Appointments</v>
      </c>
    </row>
    <row r="7309" hidden="1">
      <c r="A7309" s="6" t="s">
        <v>87</v>
      </c>
      <c r="B7309" s="13" t="s">
        <v>2699</v>
      </c>
      <c r="C7309" s="13" t="s">
        <v>2700</v>
      </c>
      <c r="D7309" s="15">
        <v>1.0</v>
      </c>
      <c r="E7309" s="67">
        <f t="shared" si="18"/>
        <v>250</v>
      </c>
      <c r="F7309" s="67" t="str">
        <f t="shared" si="12"/>
        <v>1 LeadGen Set Appointments</v>
      </c>
    </row>
    <row r="7310" hidden="1">
      <c r="A7310" s="6" t="s">
        <v>87</v>
      </c>
      <c r="B7310" s="13" t="s">
        <v>2701</v>
      </c>
      <c r="C7310" s="13" t="s">
        <v>2702</v>
      </c>
      <c r="D7310" s="15">
        <v>1.0</v>
      </c>
      <c r="E7310" s="67">
        <f t="shared" si="18"/>
        <v>250</v>
      </c>
      <c r="F7310" s="67" t="str">
        <f t="shared" si="12"/>
        <v>1 LeadGen Set Appointments</v>
      </c>
    </row>
    <row r="7311" hidden="1">
      <c r="A7311" s="6" t="s">
        <v>87</v>
      </c>
      <c r="B7311" s="13" t="s">
        <v>2642</v>
      </c>
      <c r="C7311" s="13" t="s">
        <v>2643</v>
      </c>
      <c r="D7311" s="15">
        <v>1.0</v>
      </c>
      <c r="E7311" s="67">
        <f t="shared" si="18"/>
        <v>250</v>
      </c>
      <c r="F7311" s="67" t="str">
        <f t="shared" si="12"/>
        <v>1 LeadGen Set Appointments</v>
      </c>
    </row>
    <row r="7312" hidden="1">
      <c r="A7312" s="6" t="s">
        <v>87</v>
      </c>
      <c r="B7312" s="13" t="s">
        <v>302</v>
      </c>
      <c r="C7312" s="13" t="s">
        <v>2110</v>
      </c>
      <c r="D7312" s="15">
        <v>1.0</v>
      </c>
      <c r="E7312" s="67">
        <f t="shared" si="18"/>
        <v>250</v>
      </c>
      <c r="F7312" s="67" t="str">
        <f t="shared" si="12"/>
        <v>1 LeadGen Set Appointments</v>
      </c>
    </row>
    <row r="7313" hidden="1">
      <c r="A7313" s="6" t="s">
        <v>87</v>
      </c>
      <c r="B7313" s="13" t="s">
        <v>910</v>
      </c>
      <c r="C7313" s="13" t="s">
        <v>911</v>
      </c>
      <c r="D7313" s="15">
        <v>1.0</v>
      </c>
      <c r="E7313" s="67">
        <f t="shared" si="18"/>
        <v>250</v>
      </c>
      <c r="F7313" s="67" t="str">
        <f t="shared" si="12"/>
        <v>1 LeadGen Set Appointments</v>
      </c>
    </row>
    <row r="7314" hidden="1">
      <c r="A7314" s="6" t="s">
        <v>87</v>
      </c>
      <c r="B7314" s="13" t="s">
        <v>1917</v>
      </c>
      <c r="C7314" s="13" t="s">
        <v>1918</v>
      </c>
      <c r="D7314" s="15">
        <v>2.0</v>
      </c>
      <c r="E7314" s="67">
        <f t="shared" si="18"/>
        <v>500</v>
      </c>
      <c r="F7314" s="67" t="str">
        <f t="shared" si="12"/>
        <v>2 LeadGen Set Appointments</v>
      </c>
    </row>
    <row r="7315" hidden="1">
      <c r="A7315" s="6" t="s">
        <v>87</v>
      </c>
      <c r="B7315" s="13" t="s">
        <v>2703</v>
      </c>
      <c r="C7315" s="13" t="s">
        <v>2704</v>
      </c>
      <c r="D7315" s="15">
        <v>1.0</v>
      </c>
      <c r="E7315" s="67">
        <f t="shared" si="18"/>
        <v>250</v>
      </c>
      <c r="F7315" s="67" t="str">
        <f t="shared" si="12"/>
        <v>1 LeadGen Set Appointments</v>
      </c>
    </row>
    <row r="7316" hidden="1">
      <c r="A7316" s="6" t="s">
        <v>87</v>
      </c>
      <c r="B7316" s="13" t="s">
        <v>725</v>
      </c>
      <c r="C7316" s="13" t="s">
        <v>726</v>
      </c>
      <c r="D7316" s="15">
        <v>3.0</v>
      </c>
      <c r="E7316" s="67">
        <f t="shared" si="18"/>
        <v>750</v>
      </c>
      <c r="F7316" s="67" t="str">
        <f t="shared" si="12"/>
        <v>3 LeadGen Set Appointments</v>
      </c>
    </row>
    <row r="7317" hidden="1">
      <c r="A7317" s="6" t="s">
        <v>89</v>
      </c>
      <c r="B7317" s="13" t="s">
        <v>476</v>
      </c>
      <c r="C7317" s="13" t="s">
        <v>477</v>
      </c>
      <c r="D7317" s="15">
        <v>46.0</v>
      </c>
      <c r="E7317" s="67">
        <f t="shared" si="18"/>
        <v>23000</v>
      </c>
      <c r="F7317" s="67" t="str">
        <f t="shared" si="12"/>
        <v>46 LeadGen Set Appointments</v>
      </c>
    </row>
    <row r="7318" hidden="1">
      <c r="A7318" s="6" t="s">
        <v>89</v>
      </c>
      <c r="B7318" s="13" t="s">
        <v>644</v>
      </c>
      <c r="C7318" s="13" t="s">
        <v>645</v>
      </c>
      <c r="D7318" s="15">
        <v>32.0</v>
      </c>
      <c r="E7318" s="67">
        <f t="shared" si="18"/>
        <v>16000</v>
      </c>
      <c r="F7318" s="67" t="str">
        <f t="shared" si="12"/>
        <v>32 LeadGen Set Appointments</v>
      </c>
    </row>
    <row r="7319" hidden="1">
      <c r="A7319" s="6" t="s">
        <v>89</v>
      </c>
      <c r="B7319" s="13" t="s">
        <v>540</v>
      </c>
      <c r="C7319" s="13" t="s">
        <v>541</v>
      </c>
      <c r="D7319" s="15">
        <v>23.0</v>
      </c>
      <c r="E7319" s="67">
        <f t="shared" si="18"/>
        <v>11500</v>
      </c>
      <c r="F7319" s="67" t="str">
        <f t="shared" si="12"/>
        <v>23 LeadGen Set Appointments</v>
      </c>
    </row>
    <row r="7320" hidden="1">
      <c r="A7320" s="6" t="s">
        <v>89</v>
      </c>
      <c r="B7320" s="13" t="s">
        <v>723</v>
      </c>
      <c r="C7320" s="13" t="s">
        <v>724</v>
      </c>
      <c r="D7320" s="15">
        <v>17.0</v>
      </c>
      <c r="E7320" s="67">
        <f t="shared" si="18"/>
        <v>8500</v>
      </c>
      <c r="F7320" s="67" t="str">
        <f t="shared" si="12"/>
        <v>17 LeadGen Set Appointments</v>
      </c>
    </row>
    <row r="7321" hidden="1">
      <c r="A7321" s="6" t="s">
        <v>89</v>
      </c>
      <c r="B7321" s="13" t="s">
        <v>1865</v>
      </c>
      <c r="C7321" s="13" t="s">
        <v>1866</v>
      </c>
      <c r="D7321" s="15">
        <v>16.0</v>
      </c>
      <c r="E7321" s="67">
        <f t="shared" si="18"/>
        <v>8000</v>
      </c>
      <c r="F7321" s="67" t="str">
        <f t="shared" si="12"/>
        <v>16 LeadGen Set Appointments</v>
      </c>
    </row>
    <row r="7322" hidden="1">
      <c r="A7322" s="6" t="s">
        <v>89</v>
      </c>
      <c r="B7322" s="13" t="s">
        <v>411</v>
      </c>
      <c r="C7322" s="13" t="s">
        <v>412</v>
      </c>
      <c r="D7322" s="15">
        <v>15.0</v>
      </c>
      <c r="E7322" s="67">
        <f t="shared" si="18"/>
        <v>7500</v>
      </c>
      <c r="F7322" s="67" t="str">
        <f t="shared" si="12"/>
        <v>15 LeadGen Set Appointments</v>
      </c>
    </row>
    <row r="7323" hidden="1">
      <c r="A7323" s="6" t="s">
        <v>89</v>
      </c>
      <c r="B7323" s="13" t="s">
        <v>486</v>
      </c>
      <c r="C7323" s="13" t="s">
        <v>487</v>
      </c>
      <c r="D7323" s="15">
        <v>13.0</v>
      </c>
      <c r="E7323" s="67">
        <f t="shared" si="18"/>
        <v>6500</v>
      </c>
      <c r="F7323" s="67" t="str">
        <f t="shared" si="12"/>
        <v>13 LeadGen Set Appointments</v>
      </c>
    </row>
    <row r="7324" hidden="1">
      <c r="A7324" s="6" t="s">
        <v>89</v>
      </c>
      <c r="B7324" s="13" t="s">
        <v>746</v>
      </c>
      <c r="C7324" s="13" t="s">
        <v>747</v>
      </c>
      <c r="D7324" s="15">
        <v>13.0</v>
      </c>
      <c r="E7324" s="67">
        <f t="shared" si="18"/>
        <v>6500</v>
      </c>
      <c r="F7324" s="67" t="str">
        <f t="shared" si="12"/>
        <v>13 LeadGen Set Appointments</v>
      </c>
    </row>
    <row r="7325" hidden="1">
      <c r="A7325" s="6" t="s">
        <v>89</v>
      </c>
      <c r="B7325" s="13" t="s">
        <v>524</v>
      </c>
      <c r="C7325" s="13" t="s">
        <v>525</v>
      </c>
      <c r="D7325" s="15">
        <v>12.0</v>
      </c>
      <c r="E7325" s="67">
        <f t="shared" si="18"/>
        <v>6000</v>
      </c>
      <c r="F7325" s="67" t="str">
        <f t="shared" si="12"/>
        <v>12 LeadGen Set Appointments</v>
      </c>
    </row>
    <row r="7326" hidden="1">
      <c r="A7326" s="6" t="s">
        <v>89</v>
      </c>
      <c r="B7326" s="13" t="s">
        <v>699</v>
      </c>
      <c r="C7326" s="13" t="s">
        <v>700</v>
      </c>
      <c r="D7326" s="15">
        <v>12.0</v>
      </c>
      <c r="E7326" s="67">
        <f t="shared" si="18"/>
        <v>6000</v>
      </c>
      <c r="F7326" s="67" t="str">
        <f t="shared" si="12"/>
        <v>12 LeadGen Set Appointments</v>
      </c>
    </row>
    <row r="7327" hidden="1">
      <c r="A7327" s="6" t="s">
        <v>89</v>
      </c>
      <c r="B7327" s="13" t="s">
        <v>510</v>
      </c>
      <c r="C7327" s="13" t="s">
        <v>511</v>
      </c>
      <c r="D7327" s="15">
        <v>12.0</v>
      </c>
      <c r="E7327" s="67">
        <f t="shared" si="18"/>
        <v>6000</v>
      </c>
      <c r="F7327" s="67" t="str">
        <f t="shared" si="12"/>
        <v>12 LeadGen Set Appointments</v>
      </c>
    </row>
    <row r="7328" hidden="1">
      <c r="A7328" s="6" t="s">
        <v>89</v>
      </c>
      <c r="B7328" s="13" t="s">
        <v>2663</v>
      </c>
      <c r="C7328" s="13" t="s">
        <v>2664</v>
      </c>
      <c r="D7328" s="15">
        <v>12.0</v>
      </c>
      <c r="E7328" s="67">
        <f t="shared" si="18"/>
        <v>6000</v>
      </c>
      <c r="F7328" s="67" t="str">
        <f t="shared" si="12"/>
        <v>12 LeadGen Set Appointments</v>
      </c>
    </row>
    <row r="7329" hidden="1">
      <c r="A7329" s="6" t="s">
        <v>89</v>
      </c>
      <c r="B7329" s="13" t="s">
        <v>736</v>
      </c>
      <c r="C7329" s="13" t="s">
        <v>737</v>
      </c>
      <c r="D7329" s="15">
        <v>11.0</v>
      </c>
      <c r="E7329" s="67">
        <f t="shared" si="18"/>
        <v>5500</v>
      </c>
      <c r="F7329" s="67" t="str">
        <f t="shared" si="12"/>
        <v>11 LeadGen Set Appointments</v>
      </c>
    </row>
    <row r="7330" hidden="1">
      <c r="A7330" s="6" t="s">
        <v>89</v>
      </c>
      <c r="B7330" s="13" t="s">
        <v>443</v>
      </c>
      <c r="C7330" s="13" t="s">
        <v>444</v>
      </c>
      <c r="D7330" s="15">
        <v>11.0</v>
      </c>
      <c r="E7330" s="67">
        <f t="shared" si="18"/>
        <v>5500</v>
      </c>
      <c r="F7330" s="67" t="str">
        <f t="shared" si="12"/>
        <v>11 LeadGen Set Appointments</v>
      </c>
    </row>
    <row r="7331" hidden="1">
      <c r="A7331" s="6" t="s">
        <v>89</v>
      </c>
      <c r="B7331" s="13" t="s">
        <v>766</v>
      </c>
      <c r="C7331" s="13" t="s">
        <v>767</v>
      </c>
      <c r="D7331" s="15">
        <v>11.0</v>
      </c>
      <c r="E7331" s="67">
        <f t="shared" si="18"/>
        <v>5500</v>
      </c>
      <c r="F7331" s="67" t="str">
        <f t="shared" si="12"/>
        <v>11 LeadGen Set Appointments</v>
      </c>
    </row>
    <row r="7332" hidden="1">
      <c r="A7332" s="6" t="s">
        <v>89</v>
      </c>
      <c r="B7332" s="13" t="s">
        <v>435</v>
      </c>
      <c r="C7332" s="13" t="s">
        <v>436</v>
      </c>
      <c r="D7332" s="15">
        <v>11.0</v>
      </c>
      <c r="E7332" s="67">
        <f t="shared" si="18"/>
        <v>5500</v>
      </c>
      <c r="F7332" s="67" t="str">
        <f t="shared" si="12"/>
        <v>11 LeadGen Set Appointments</v>
      </c>
    </row>
    <row r="7333" hidden="1">
      <c r="A7333" s="6" t="s">
        <v>89</v>
      </c>
      <c r="B7333" s="13" t="s">
        <v>2705</v>
      </c>
      <c r="C7333" s="13" t="s">
        <v>2706</v>
      </c>
      <c r="D7333" s="15">
        <v>10.0</v>
      </c>
      <c r="E7333" s="67">
        <f t="shared" si="18"/>
        <v>5000</v>
      </c>
      <c r="F7333" s="67" t="str">
        <f t="shared" si="12"/>
        <v>10 LeadGen Set Appointments</v>
      </c>
    </row>
    <row r="7334" hidden="1">
      <c r="A7334" s="6" t="s">
        <v>89</v>
      </c>
      <c r="B7334" s="13" t="s">
        <v>1493</v>
      </c>
      <c r="C7334" s="13" t="s">
        <v>1494</v>
      </c>
      <c r="D7334" s="15">
        <v>10.0</v>
      </c>
      <c r="E7334" s="67">
        <f t="shared" si="18"/>
        <v>5000</v>
      </c>
      <c r="F7334" s="67" t="str">
        <f t="shared" si="12"/>
        <v>10 LeadGen Set Appointments</v>
      </c>
    </row>
    <row r="7335" hidden="1">
      <c r="A7335" s="6" t="s">
        <v>89</v>
      </c>
      <c r="B7335" s="13" t="s">
        <v>258</v>
      </c>
      <c r="C7335" s="13" t="s">
        <v>2386</v>
      </c>
      <c r="D7335" s="15">
        <v>10.0</v>
      </c>
      <c r="E7335" s="67">
        <f t="shared" si="18"/>
        <v>5000</v>
      </c>
      <c r="F7335" s="67" t="str">
        <f t="shared" si="12"/>
        <v>10 LeadGen Set Appointments</v>
      </c>
    </row>
    <row r="7336" hidden="1">
      <c r="A7336" s="6" t="s">
        <v>89</v>
      </c>
      <c r="B7336" s="13" t="s">
        <v>1471</v>
      </c>
      <c r="C7336" s="13" t="s">
        <v>1472</v>
      </c>
      <c r="D7336" s="15">
        <v>10.0</v>
      </c>
      <c r="E7336" s="67">
        <f t="shared" si="18"/>
        <v>5000</v>
      </c>
      <c r="F7336" s="67" t="str">
        <f t="shared" si="12"/>
        <v>10 LeadGen Set Appointments</v>
      </c>
    </row>
    <row r="7337" hidden="1">
      <c r="A7337" s="6" t="s">
        <v>89</v>
      </c>
      <c r="B7337" s="13" t="s">
        <v>542</v>
      </c>
      <c r="C7337" s="13" t="s">
        <v>543</v>
      </c>
      <c r="D7337" s="15">
        <v>9.0</v>
      </c>
      <c r="E7337" s="67">
        <f t="shared" si="18"/>
        <v>2250</v>
      </c>
      <c r="F7337" s="67" t="str">
        <f t="shared" si="12"/>
        <v>9 LeadGen Set Appointments</v>
      </c>
    </row>
    <row r="7338" hidden="1">
      <c r="A7338" s="6" t="s">
        <v>89</v>
      </c>
      <c r="B7338" s="13" t="s">
        <v>560</v>
      </c>
      <c r="C7338" s="13" t="s">
        <v>561</v>
      </c>
      <c r="D7338" s="15">
        <v>9.0</v>
      </c>
      <c r="E7338" s="67">
        <f t="shared" si="18"/>
        <v>2250</v>
      </c>
      <c r="F7338" s="67" t="str">
        <f t="shared" si="12"/>
        <v>9 LeadGen Set Appointments</v>
      </c>
    </row>
    <row r="7339" hidden="1">
      <c r="A7339" s="6" t="s">
        <v>89</v>
      </c>
      <c r="B7339" s="13" t="s">
        <v>1461</v>
      </c>
      <c r="C7339" s="13" t="s">
        <v>1462</v>
      </c>
      <c r="D7339" s="15">
        <v>9.0</v>
      </c>
      <c r="E7339" s="67">
        <f t="shared" si="18"/>
        <v>2250</v>
      </c>
      <c r="F7339" s="67" t="str">
        <f t="shared" si="12"/>
        <v>9 LeadGen Set Appointments</v>
      </c>
    </row>
    <row r="7340" hidden="1">
      <c r="A7340" s="6" t="s">
        <v>89</v>
      </c>
      <c r="B7340" s="13" t="s">
        <v>2179</v>
      </c>
      <c r="C7340" s="13" t="s">
        <v>2180</v>
      </c>
      <c r="D7340" s="15">
        <v>9.0</v>
      </c>
      <c r="E7340" s="67">
        <f t="shared" si="18"/>
        <v>2250</v>
      </c>
      <c r="F7340" s="67" t="str">
        <f t="shared" si="12"/>
        <v>9 LeadGen Set Appointments</v>
      </c>
    </row>
    <row r="7341" hidden="1">
      <c r="A7341" s="6" t="s">
        <v>89</v>
      </c>
      <c r="B7341" s="13" t="s">
        <v>1415</v>
      </c>
      <c r="C7341" s="13" t="s">
        <v>1416</v>
      </c>
      <c r="D7341" s="15">
        <v>9.0</v>
      </c>
      <c r="E7341" s="67">
        <f t="shared" si="18"/>
        <v>2250</v>
      </c>
      <c r="F7341" s="67" t="str">
        <f t="shared" si="12"/>
        <v>9 LeadGen Set Appointments</v>
      </c>
    </row>
    <row r="7342" hidden="1">
      <c r="A7342" s="6" t="s">
        <v>89</v>
      </c>
      <c r="B7342" s="13" t="s">
        <v>1011</v>
      </c>
      <c r="C7342" s="13" t="s">
        <v>2483</v>
      </c>
      <c r="D7342" s="15">
        <v>9.0</v>
      </c>
      <c r="E7342" s="67">
        <f t="shared" si="18"/>
        <v>2250</v>
      </c>
      <c r="F7342" s="67" t="str">
        <f t="shared" si="12"/>
        <v>9 LeadGen Set Appointments</v>
      </c>
    </row>
    <row r="7343" hidden="1">
      <c r="A7343" s="6" t="s">
        <v>89</v>
      </c>
      <c r="B7343" s="13" t="s">
        <v>1579</v>
      </c>
      <c r="C7343" s="13" t="s">
        <v>1580</v>
      </c>
      <c r="D7343" s="15">
        <v>8.0</v>
      </c>
      <c r="E7343" s="67">
        <f t="shared" si="18"/>
        <v>2000</v>
      </c>
      <c r="F7343" s="67" t="str">
        <f t="shared" si="12"/>
        <v>8 LeadGen Set Appointments</v>
      </c>
    </row>
    <row r="7344" hidden="1">
      <c r="A7344" s="6" t="s">
        <v>89</v>
      </c>
      <c r="B7344" s="13" t="s">
        <v>1448</v>
      </c>
      <c r="C7344" s="13" t="s">
        <v>1449</v>
      </c>
      <c r="D7344" s="15">
        <v>8.0</v>
      </c>
      <c r="E7344" s="67">
        <f t="shared" si="18"/>
        <v>2000</v>
      </c>
      <c r="F7344" s="67" t="str">
        <f t="shared" si="12"/>
        <v>8 LeadGen Set Appointments</v>
      </c>
    </row>
    <row r="7345" hidden="1">
      <c r="A7345" s="6" t="s">
        <v>89</v>
      </c>
      <c r="B7345" s="13" t="s">
        <v>2593</v>
      </c>
      <c r="C7345" s="13" t="s">
        <v>2594</v>
      </c>
      <c r="D7345" s="15">
        <v>8.0</v>
      </c>
      <c r="E7345" s="67">
        <f t="shared" si="18"/>
        <v>2000</v>
      </c>
      <c r="F7345" s="67" t="str">
        <f t="shared" si="12"/>
        <v>8 LeadGen Set Appointments</v>
      </c>
    </row>
    <row r="7346" hidden="1">
      <c r="A7346" s="6" t="s">
        <v>89</v>
      </c>
      <c r="B7346" s="13" t="s">
        <v>2667</v>
      </c>
      <c r="C7346" s="13" t="s">
        <v>2668</v>
      </c>
      <c r="D7346" s="15">
        <v>8.0</v>
      </c>
      <c r="E7346" s="67">
        <f t="shared" si="18"/>
        <v>2000</v>
      </c>
      <c r="F7346" s="67" t="str">
        <f t="shared" si="12"/>
        <v>8 LeadGen Set Appointments</v>
      </c>
    </row>
    <row r="7347" hidden="1">
      <c r="A7347" s="6" t="s">
        <v>89</v>
      </c>
      <c r="B7347" s="13" t="s">
        <v>516</v>
      </c>
      <c r="C7347" s="13" t="s">
        <v>517</v>
      </c>
      <c r="D7347" s="15">
        <v>8.0</v>
      </c>
      <c r="E7347" s="67">
        <f t="shared" si="18"/>
        <v>2000</v>
      </c>
      <c r="F7347" s="67" t="str">
        <f t="shared" si="12"/>
        <v>8 LeadGen Set Appointments</v>
      </c>
    </row>
    <row r="7348" hidden="1">
      <c r="A7348" s="6" t="s">
        <v>89</v>
      </c>
      <c r="B7348" s="13" t="s">
        <v>2290</v>
      </c>
      <c r="C7348" s="13" t="s">
        <v>2291</v>
      </c>
      <c r="D7348" s="15">
        <v>8.0</v>
      </c>
      <c r="E7348" s="67">
        <f t="shared" si="18"/>
        <v>2000</v>
      </c>
      <c r="F7348" s="67" t="str">
        <f t="shared" si="12"/>
        <v>8 LeadGen Set Appointments</v>
      </c>
    </row>
    <row r="7349" hidden="1">
      <c r="A7349" s="6" t="s">
        <v>89</v>
      </c>
      <c r="B7349" s="13" t="s">
        <v>2477</v>
      </c>
      <c r="C7349" s="13" t="s">
        <v>2478</v>
      </c>
      <c r="D7349" s="15">
        <v>8.0</v>
      </c>
      <c r="E7349" s="67">
        <f t="shared" si="18"/>
        <v>2000</v>
      </c>
      <c r="F7349" s="67" t="str">
        <f t="shared" si="12"/>
        <v>8 LeadGen Set Appointments</v>
      </c>
    </row>
    <row r="7350" hidden="1">
      <c r="A7350" s="6" t="s">
        <v>89</v>
      </c>
      <c r="B7350" s="13" t="s">
        <v>2077</v>
      </c>
      <c r="C7350" s="13" t="s">
        <v>2078</v>
      </c>
      <c r="D7350" s="15">
        <v>8.0</v>
      </c>
      <c r="E7350" s="67">
        <f t="shared" si="18"/>
        <v>2000</v>
      </c>
      <c r="F7350" s="67" t="str">
        <f t="shared" si="12"/>
        <v>8 LeadGen Set Appointments</v>
      </c>
    </row>
    <row r="7351" hidden="1">
      <c r="A7351" s="6" t="s">
        <v>89</v>
      </c>
      <c r="B7351" s="13" t="s">
        <v>413</v>
      </c>
      <c r="C7351" s="13" t="s">
        <v>414</v>
      </c>
      <c r="D7351" s="15">
        <v>8.0</v>
      </c>
      <c r="E7351" s="67">
        <f t="shared" si="18"/>
        <v>2000</v>
      </c>
      <c r="F7351" s="67" t="str">
        <f t="shared" si="12"/>
        <v>8 LeadGen Set Appointments</v>
      </c>
    </row>
    <row r="7352" hidden="1">
      <c r="A7352" s="6" t="s">
        <v>89</v>
      </c>
      <c r="B7352" s="13" t="s">
        <v>1463</v>
      </c>
      <c r="C7352" s="13" t="s">
        <v>1464</v>
      </c>
      <c r="D7352" s="15">
        <v>7.0</v>
      </c>
      <c r="E7352" s="67">
        <f t="shared" si="18"/>
        <v>1750</v>
      </c>
      <c r="F7352" s="67" t="str">
        <f t="shared" si="12"/>
        <v>7 LeadGen Set Appointments</v>
      </c>
    </row>
    <row r="7353" hidden="1">
      <c r="A7353" s="6" t="s">
        <v>89</v>
      </c>
      <c r="B7353" s="13" t="s">
        <v>744</v>
      </c>
      <c r="C7353" s="13" t="s">
        <v>745</v>
      </c>
      <c r="D7353" s="15">
        <v>7.0</v>
      </c>
      <c r="E7353" s="67">
        <f t="shared" si="18"/>
        <v>1750</v>
      </c>
      <c r="F7353" s="67" t="str">
        <f t="shared" si="12"/>
        <v>7 LeadGen Set Appointments</v>
      </c>
    </row>
    <row r="7354" hidden="1">
      <c r="A7354" s="6" t="s">
        <v>89</v>
      </c>
      <c r="B7354" s="13" t="s">
        <v>500</v>
      </c>
      <c r="C7354" s="13" t="s">
        <v>501</v>
      </c>
      <c r="D7354" s="15">
        <v>7.0</v>
      </c>
      <c r="E7354" s="67">
        <f t="shared" si="18"/>
        <v>1750</v>
      </c>
      <c r="F7354" s="67" t="str">
        <f t="shared" si="12"/>
        <v>7 LeadGen Set Appointments</v>
      </c>
    </row>
    <row r="7355" hidden="1">
      <c r="A7355" s="6" t="s">
        <v>89</v>
      </c>
      <c r="B7355" s="13" t="s">
        <v>305</v>
      </c>
      <c r="C7355" s="13" t="s">
        <v>2552</v>
      </c>
      <c r="D7355" s="15">
        <v>7.0</v>
      </c>
      <c r="E7355" s="67">
        <f t="shared" si="18"/>
        <v>1750</v>
      </c>
      <c r="F7355" s="67" t="str">
        <f t="shared" si="12"/>
        <v>7 LeadGen Set Appointments</v>
      </c>
    </row>
    <row r="7356" hidden="1">
      <c r="A7356" s="6" t="s">
        <v>89</v>
      </c>
      <c r="B7356" s="13" t="s">
        <v>2377</v>
      </c>
      <c r="C7356" s="13" t="s">
        <v>2378</v>
      </c>
      <c r="D7356" s="15">
        <v>7.0</v>
      </c>
      <c r="E7356" s="67">
        <f t="shared" si="18"/>
        <v>1750</v>
      </c>
      <c r="F7356" s="67" t="str">
        <f t="shared" si="12"/>
        <v>7 LeadGen Set Appointments</v>
      </c>
    </row>
    <row r="7357" hidden="1">
      <c r="A7357" s="6" t="s">
        <v>89</v>
      </c>
      <c r="B7357" s="13" t="s">
        <v>288</v>
      </c>
      <c r="C7357" s="13" t="s">
        <v>2375</v>
      </c>
      <c r="D7357" s="15">
        <v>7.0</v>
      </c>
      <c r="E7357" s="67">
        <f t="shared" si="18"/>
        <v>1750</v>
      </c>
      <c r="F7357" s="67" t="str">
        <f t="shared" si="12"/>
        <v>7 LeadGen Set Appointments</v>
      </c>
    </row>
    <row r="7358" hidden="1">
      <c r="A7358" s="6" t="s">
        <v>89</v>
      </c>
      <c r="B7358" s="13" t="s">
        <v>1408</v>
      </c>
      <c r="C7358" s="13" t="s">
        <v>675</v>
      </c>
      <c r="D7358" s="15">
        <v>7.0</v>
      </c>
      <c r="E7358" s="67">
        <f t="shared" si="18"/>
        <v>1750</v>
      </c>
      <c r="F7358" s="67" t="str">
        <f t="shared" si="12"/>
        <v>7 LeadGen Set Appointments</v>
      </c>
    </row>
    <row r="7359" hidden="1">
      <c r="A7359" s="6" t="s">
        <v>89</v>
      </c>
      <c r="B7359" s="13" t="s">
        <v>268</v>
      </c>
      <c r="C7359" s="13" t="s">
        <v>2621</v>
      </c>
      <c r="D7359" s="15">
        <v>7.0</v>
      </c>
      <c r="E7359" s="67">
        <f t="shared" si="18"/>
        <v>1750</v>
      </c>
      <c r="F7359" s="67" t="str">
        <f t="shared" si="12"/>
        <v>7 LeadGen Set Appointments</v>
      </c>
    </row>
    <row r="7360" hidden="1">
      <c r="A7360" s="6" t="s">
        <v>89</v>
      </c>
      <c r="B7360" s="13" t="s">
        <v>502</v>
      </c>
      <c r="C7360" s="13" t="s">
        <v>503</v>
      </c>
      <c r="D7360" s="15">
        <v>7.0</v>
      </c>
      <c r="E7360" s="67">
        <f t="shared" si="18"/>
        <v>1750</v>
      </c>
      <c r="F7360" s="67" t="str">
        <f t="shared" si="12"/>
        <v>7 LeadGen Set Appointments</v>
      </c>
    </row>
    <row r="7361" hidden="1">
      <c r="A7361" s="6" t="s">
        <v>89</v>
      </c>
      <c r="B7361" s="13" t="s">
        <v>1931</v>
      </c>
      <c r="C7361" s="13" t="s">
        <v>1932</v>
      </c>
      <c r="D7361" s="15">
        <v>7.0</v>
      </c>
      <c r="E7361" s="67">
        <f t="shared" si="18"/>
        <v>1750</v>
      </c>
      <c r="F7361" s="67" t="str">
        <f t="shared" si="12"/>
        <v>7 LeadGen Set Appointments</v>
      </c>
    </row>
    <row r="7362" hidden="1">
      <c r="A7362" s="6" t="s">
        <v>89</v>
      </c>
      <c r="B7362" s="13" t="s">
        <v>582</v>
      </c>
      <c r="C7362" s="13" t="s">
        <v>583</v>
      </c>
      <c r="D7362" s="15">
        <v>7.0</v>
      </c>
      <c r="E7362" s="67">
        <f t="shared" si="18"/>
        <v>1750</v>
      </c>
      <c r="F7362" s="67" t="str">
        <f t="shared" si="12"/>
        <v>7 LeadGen Set Appointments</v>
      </c>
    </row>
    <row r="7363" hidden="1">
      <c r="A7363" s="6" t="s">
        <v>89</v>
      </c>
      <c r="B7363" s="13" t="s">
        <v>2619</v>
      </c>
      <c r="C7363" s="13" t="s">
        <v>2620</v>
      </c>
      <c r="D7363" s="15">
        <v>7.0</v>
      </c>
      <c r="E7363" s="67">
        <f t="shared" si="18"/>
        <v>1750</v>
      </c>
      <c r="F7363" s="67" t="str">
        <f t="shared" si="12"/>
        <v>7 LeadGen Set Appointments</v>
      </c>
    </row>
    <row r="7364" hidden="1">
      <c r="A7364" s="6" t="s">
        <v>89</v>
      </c>
      <c r="B7364" s="13" t="s">
        <v>1724</v>
      </c>
      <c r="C7364" s="13" t="s">
        <v>1725</v>
      </c>
      <c r="D7364" s="15">
        <v>7.0</v>
      </c>
      <c r="E7364" s="67">
        <f t="shared" si="18"/>
        <v>1750</v>
      </c>
      <c r="F7364" s="67" t="str">
        <f t="shared" si="12"/>
        <v>7 LeadGen Set Appointments</v>
      </c>
    </row>
    <row r="7365" hidden="1">
      <c r="A7365" s="6" t="s">
        <v>89</v>
      </c>
      <c r="B7365" s="13" t="s">
        <v>1736</v>
      </c>
      <c r="C7365" s="13" t="s">
        <v>1737</v>
      </c>
      <c r="D7365" s="15">
        <v>7.0</v>
      </c>
      <c r="E7365" s="67">
        <f t="shared" si="18"/>
        <v>1750</v>
      </c>
      <c r="F7365" s="67" t="str">
        <f t="shared" si="12"/>
        <v>7 LeadGen Set Appointments</v>
      </c>
    </row>
    <row r="7366" hidden="1">
      <c r="A7366" s="6" t="s">
        <v>89</v>
      </c>
      <c r="B7366" s="13" t="s">
        <v>1935</v>
      </c>
      <c r="C7366" s="13" t="s">
        <v>1936</v>
      </c>
      <c r="D7366" s="15">
        <v>7.0</v>
      </c>
      <c r="E7366" s="67">
        <f t="shared" si="18"/>
        <v>1750</v>
      </c>
      <c r="F7366" s="67" t="str">
        <f t="shared" si="12"/>
        <v>7 LeadGen Set Appointments</v>
      </c>
    </row>
    <row r="7367" hidden="1">
      <c r="A7367" s="6" t="s">
        <v>89</v>
      </c>
      <c r="B7367" s="13" t="s">
        <v>2563</v>
      </c>
      <c r="C7367" s="13" t="s">
        <v>2564</v>
      </c>
      <c r="D7367" s="15">
        <v>7.0</v>
      </c>
      <c r="E7367" s="67">
        <f t="shared" si="18"/>
        <v>1750</v>
      </c>
      <c r="F7367" s="67" t="str">
        <f t="shared" si="12"/>
        <v>7 LeadGen Set Appointments</v>
      </c>
    </row>
    <row r="7368" hidden="1">
      <c r="A7368" s="6" t="s">
        <v>89</v>
      </c>
      <c r="B7368" s="13" t="s">
        <v>604</v>
      </c>
      <c r="C7368" s="13" t="s">
        <v>605</v>
      </c>
      <c r="D7368" s="15">
        <v>7.0</v>
      </c>
      <c r="E7368" s="67">
        <f t="shared" si="18"/>
        <v>1750</v>
      </c>
      <c r="F7368" s="67" t="str">
        <f t="shared" si="12"/>
        <v>7 LeadGen Set Appointments</v>
      </c>
    </row>
    <row r="7369" hidden="1">
      <c r="A7369" s="6" t="s">
        <v>89</v>
      </c>
      <c r="B7369" s="13" t="s">
        <v>624</v>
      </c>
      <c r="C7369" s="13" t="s">
        <v>625</v>
      </c>
      <c r="D7369" s="15">
        <v>7.0</v>
      </c>
      <c r="E7369" s="67">
        <f t="shared" si="18"/>
        <v>1750</v>
      </c>
      <c r="F7369" s="67" t="str">
        <f t="shared" si="12"/>
        <v>7 LeadGen Set Appointments</v>
      </c>
    </row>
    <row r="7370" hidden="1">
      <c r="A7370" s="6" t="s">
        <v>89</v>
      </c>
      <c r="B7370" s="13" t="s">
        <v>1945</v>
      </c>
      <c r="C7370" s="13" t="s">
        <v>1946</v>
      </c>
      <c r="D7370" s="15">
        <v>7.0</v>
      </c>
      <c r="E7370" s="67">
        <f t="shared" si="18"/>
        <v>1750</v>
      </c>
      <c r="F7370" s="67" t="str">
        <f t="shared" si="12"/>
        <v>7 LeadGen Set Appointments</v>
      </c>
    </row>
    <row r="7371" hidden="1">
      <c r="A7371" s="6" t="s">
        <v>89</v>
      </c>
      <c r="B7371" s="13" t="s">
        <v>2665</v>
      </c>
      <c r="C7371" s="13" t="s">
        <v>2666</v>
      </c>
      <c r="D7371" s="15">
        <v>6.0</v>
      </c>
      <c r="E7371" s="67">
        <f t="shared" si="18"/>
        <v>1500</v>
      </c>
      <c r="F7371" s="67" t="str">
        <f t="shared" si="12"/>
        <v>6 LeadGen Set Appointments</v>
      </c>
    </row>
    <row r="7372" hidden="1">
      <c r="A7372" s="6" t="s">
        <v>89</v>
      </c>
      <c r="B7372" s="13" t="s">
        <v>628</v>
      </c>
      <c r="C7372" s="13" t="s">
        <v>629</v>
      </c>
      <c r="D7372" s="15">
        <v>6.0</v>
      </c>
      <c r="E7372" s="67">
        <f t="shared" si="18"/>
        <v>1500</v>
      </c>
      <c r="F7372" s="67" t="str">
        <f t="shared" si="12"/>
        <v>6 LeadGen Set Appointments</v>
      </c>
    </row>
    <row r="7373" hidden="1">
      <c r="A7373" s="6" t="s">
        <v>89</v>
      </c>
      <c r="B7373" s="13" t="s">
        <v>1543</v>
      </c>
      <c r="C7373" s="13" t="s">
        <v>1544</v>
      </c>
      <c r="D7373" s="15">
        <v>6.0</v>
      </c>
      <c r="E7373" s="67">
        <f t="shared" si="18"/>
        <v>1500</v>
      </c>
      <c r="F7373" s="67" t="str">
        <f t="shared" si="12"/>
        <v>6 LeadGen Set Appointments</v>
      </c>
    </row>
    <row r="7374" hidden="1">
      <c r="A7374" s="6" t="s">
        <v>89</v>
      </c>
      <c r="B7374" s="13" t="s">
        <v>431</v>
      </c>
      <c r="C7374" s="13" t="s">
        <v>432</v>
      </c>
      <c r="D7374" s="15">
        <v>6.0</v>
      </c>
      <c r="E7374" s="67">
        <f t="shared" si="18"/>
        <v>1500</v>
      </c>
      <c r="F7374" s="67" t="str">
        <f t="shared" si="12"/>
        <v>6 LeadGen Set Appointments</v>
      </c>
    </row>
    <row r="7375" hidden="1">
      <c r="A7375" s="6" t="s">
        <v>89</v>
      </c>
      <c r="B7375" s="13" t="s">
        <v>2707</v>
      </c>
      <c r="C7375" s="13" t="s">
        <v>2708</v>
      </c>
      <c r="D7375" s="15">
        <v>6.0</v>
      </c>
      <c r="E7375" s="67">
        <f t="shared" si="18"/>
        <v>1500</v>
      </c>
      <c r="F7375" s="67" t="str">
        <f t="shared" si="12"/>
        <v>6 LeadGen Set Appointments</v>
      </c>
    </row>
    <row r="7376" hidden="1">
      <c r="A7376" s="6" t="s">
        <v>89</v>
      </c>
      <c r="B7376" s="13" t="s">
        <v>1426</v>
      </c>
      <c r="C7376" s="13" t="s">
        <v>1427</v>
      </c>
      <c r="D7376" s="15">
        <v>6.0</v>
      </c>
      <c r="E7376" s="67">
        <f t="shared" si="18"/>
        <v>1500</v>
      </c>
      <c r="F7376" s="67" t="str">
        <f t="shared" si="12"/>
        <v>6 LeadGen Set Appointments</v>
      </c>
    </row>
    <row r="7377" hidden="1">
      <c r="A7377" s="6" t="s">
        <v>89</v>
      </c>
      <c r="B7377" s="13" t="s">
        <v>693</v>
      </c>
      <c r="C7377" s="13" t="s">
        <v>694</v>
      </c>
      <c r="D7377" s="15">
        <v>6.0</v>
      </c>
      <c r="E7377" s="67">
        <f t="shared" si="18"/>
        <v>1500</v>
      </c>
      <c r="F7377" s="67" t="str">
        <f t="shared" si="12"/>
        <v>6 LeadGen Set Appointments</v>
      </c>
    </row>
    <row r="7378" hidden="1">
      <c r="A7378" s="6" t="s">
        <v>89</v>
      </c>
      <c r="B7378" s="13" t="s">
        <v>262</v>
      </c>
      <c r="C7378" s="13" t="s">
        <v>290</v>
      </c>
      <c r="D7378" s="15">
        <v>6.0</v>
      </c>
      <c r="E7378" s="67">
        <f t="shared" si="18"/>
        <v>1500</v>
      </c>
      <c r="F7378" s="67" t="str">
        <f t="shared" si="12"/>
        <v>6 LeadGen Set Appointments</v>
      </c>
    </row>
    <row r="7379" hidden="1">
      <c r="A7379" s="6" t="s">
        <v>89</v>
      </c>
      <c r="B7379" s="13" t="s">
        <v>1393</v>
      </c>
      <c r="C7379" s="13" t="s">
        <v>1394</v>
      </c>
      <c r="D7379" s="15">
        <v>6.0</v>
      </c>
      <c r="E7379" s="67">
        <f t="shared" si="18"/>
        <v>1500</v>
      </c>
      <c r="F7379" s="67" t="str">
        <f t="shared" si="12"/>
        <v>6 LeadGen Set Appointments</v>
      </c>
    </row>
    <row r="7380" hidden="1">
      <c r="A7380" s="6" t="s">
        <v>89</v>
      </c>
      <c r="B7380" s="13" t="s">
        <v>717</v>
      </c>
      <c r="C7380" s="13" t="s">
        <v>718</v>
      </c>
      <c r="D7380" s="15">
        <v>6.0</v>
      </c>
      <c r="E7380" s="67">
        <f t="shared" si="18"/>
        <v>1500</v>
      </c>
      <c r="F7380" s="67" t="str">
        <f t="shared" si="12"/>
        <v>6 LeadGen Set Appointments</v>
      </c>
    </row>
    <row r="7381" hidden="1">
      <c r="A7381" s="6" t="s">
        <v>89</v>
      </c>
      <c r="B7381" s="13" t="s">
        <v>1557</v>
      </c>
      <c r="C7381" s="13" t="s">
        <v>1558</v>
      </c>
      <c r="D7381" s="15">
        <v>6.0</v>
      </c>
      <c r="E7381" s="67">
        <f t="shared" si="18"/>
        <v>1500</v>
      </c>
      <c r="F7381" s="67" t="str">
        <f t="shared" si="12"/>
        <v>6 LeadGen Set Appointments</v>
      </c>
    </row>
    <row r="7382" hidden="1">
      <c r="A7382" s="6" t="s">
        <v>89</v>
      </c>
      <c r="B7382" s="13" t="s">
        <v>1421</v>
      </c>
      <c r="C7382" s="13" t="s">
        <v>712</v>
      </c>
      <c r="D7382" s="15">
        <v>6.0</v>
      </c>
      <c r="E7382" s="67">
        <f t="shared" si="18"/>
        <v>1500</v>
      </c>
      <c r="F7382" s="67" t="str">
        <f t="shared" si="12"/>
        <v>6 LeadGen Set Appointments</v>
      </c>
    </row>
    <row r="7383" hidden="1">
      <c r="A7383" s="6" t="s">
        <v>89</v>
      </c>
      <c r="B7383" s="13" t="s">
        <v>725</v>
      </c>
      <c r="C7383" s="13" t="s">
        <v>726</v>
      </c>
      <c r="D7383" s="15">
        <v>6.0</v>
      </c>
      <c r="E7383" s="67">
        <f t="shared" si="18"/>
        <v>1500</v>
      </c>
      <c r="F7383" s="67" t="str">
        <f t="shared" si="12"/>
        <v>6 LeadGen Set Appointments</v>
      </c>
    </row>
    <row r="7384" hidden="1">
      <c r="A7384" s="6" t="s">
        <v>89</v>
      </c>
      <c r="B7384" s="13" t="s">
        <v>1333</v>
      </c>
      <c r="C7384" s="13" t="s">
        <v>551</v>
      </c>
      <c r="D7384" s="15">
        <v>6.0</v>
      </c>
      <c r="E7384" s="67">
        <f t="shared" si="18"/>
        <v>1500</v>
      </c>
      <c r="F7384" s="67" t="str">
        <f t="shared" si="12"/>
        <v>6 LeadGen Set Appointments</v>
      </c>
    </row>
    <row r="7385" hidden="1">
      <c r="A7385" s="6" t="s">
        <v>89</v>
      </c>
      <c r="B7385" s="13" t="s">
        <v>518</v>
      </c>
      <c r="C7385" s="13" t="s">
        <v>519</v>
      </c>
      <c r="D7385" s="15">
        <v>6.0</v>
      </c>
      <c r="E7385" s="67">
        <f t="shared" si="18"/>
        <v>1500</v>
      </c>
      <c r="F7385" s="67" t="str">
        <f t="shared" si="12"/>
        <v>6 LeadGen Set Appointments</v>
      </c>
    </row>
    <row r="7386" hidden="1">
      <c r="A7386" s="6" t="s">
        <v>89</v>
      </c>
      <c r="B7386" s="13" t="s">
        <v>1674</v>
      </c>
      <c r="C7386" s="13" t="s">
        <v>1675</v>
      </c>
      <c r="D7386" s="15">
        <v>6.0</v>
      </c>
      <c r="E7386" s="67">
        <f t="shared" si="18"/>
        <v>1500</v>
      </c>
      <c r="F7386" s="67" t="str">
        <f t="shared" si="12"/>
        <v>6 LeadGen Set Appointments</v>
      </c>
    </row>
    <row r="7387" hidden="1">
      <c r="A7387" s="6" t="s">
        <v>89</v>
      </c>
      <c r="B7387" s="13" t="s">
        <v>2268</v>
      </c>
      <c r="C7387" s="13" t="s">
        <v>2269</v>
      </c>
      <c r="D7387" s="15">
        <v>6.0</v>
      </c>
      <c r="E7387" s="67">
        <f t="shared" si="18"/>
        <v>1500</v>
      </c>
      <c r="F7387" s="67" t="str">
        <f t="shared" si="12"/>
        <v>6 LeadGen Set Appointments</v>
      </c>
    </row>
    <row r="7388" hidden="1">
      <c r="A7388" s="6" t="s">
        <v>89</v>
      </c>
      <c r="B7388" s="13" t="s">
        <v>2488</v>
      </c>
      <c r="C7388" s="13" t="s">
        <v>2489</v>
      </c>
      <c r="D7388" s="15">
        <v>6.0</v>
      </c>
      <c r="E7388" s="67">
        <f t="shared" si="18"/>
        <v>1500</v>
      </c>
      <c r="F7388" s="67" t="str">
        <f t="shared" si="12"/>
        <v>6 LeadGen Set Appointments</v>
      </c>
    </row>
    <row r="7389" hidden="1">
      <c r="A7389" s="6" t="s">
        <v>89</v>
      </c>
      <c r="B7389" s="13" t="s">
        <v>2709</v>
      </c>
      <c r="C7389" s="13" t="s">
        <v>2710</v>
      </c>
      <c r="D7389" s="15">
        <v>5.0</v>
      </c>
      <c r="E7389" s="67">
        <f t="shared" si="18"/>
        <v>1250</v>
      </c>
      <c r="F7389" s="67" t="str">
        <f t="shared" si="12"/>
        <v>5 LeadGen Set Appointments</v>
      </c>
    </row>
    <row r="7390" hidden="1">
      <c r="A7390" s="6" t="s">
        <v>89</v>
      </c>
      <c r="B7390" s="13" t="s">
        <v>1037</v>
      </c>
      <c r="C7390" s="13" t="s">
        <v>1038</v>
      </c>
      <c r="D7390" s="15">
        <v>5.0</v>
      </c>
      <c r="E7390" s="67">
        <f t="shared" si="18"/>
        <v>1250</v>
      </c>
      <c r="F7390" s="67" t="str">
        <f t="shared" si="12"/>
        <v>5 LeadGen Set Appointments</v>
      </c>
    </row>
    <row r="7391" hidden="1">
      <c r="A7391" s="6" t="s">
        <v>89</v>
      </c>
      <c r="B7391" s="13" t="s">
        <v>2669</v>
      </c>
      <c r="C7391" s="13" t="s">
        <v>2670</v>
      </c>
      <c r="D7391" s="15">
        <v>5.0</v>
      </c>
      <c r="E7391" s="67">
        <f t="shared" si="18"/>
        <v>1250</v>
      </c>
      <c r="F7391" s="67" t="str">
        <f t="shared" si="12"/>
        <v>5 LeadGen Set Appointments</v>
      </c>
    </row>
    <row r="7392" hidden="1">
      <c r="A7392" s="6" t="s">
        <v>89</v>
      </c>
      <c r="B7392" s="13" t="s">
        <v>2471</v>
      </c>
      <c r="C7392" s="13" t="s">
        <v>2472</v>
      </c>
      <c r="D7392" s="15">
        <v>5.0</v>
      </c>
      <c r="E7392" s="67">
        <f t="shared" si="18"/>
        <v>1250</v>
      </c>
      <c r="F7392" s="67" t="str">
        <f t="shared" si="12"/>
        <v>5 LeadGen Set Appointments</v>
      </c>
    </row>
    <row r="7393" hidden="1">
      <c r="A7393" s="6" t="s">
        <v>89</v>
      </c>
      <c r="B7393" s="13" t="s">
        <v>2548</v>
      </c>
      <c r="C7393" s="13" t="s">
        <v>2549</v>
      </c>
      <c r="D7393" s="15">
        <v>5.0</v>
      </c>
      <c r="E7393" s="67">
        <f t="shared" si="18"/>
        <v>1250</v>
      </c>
      <c r="F7393" s="67" t="str">
        <f t="shared" si="12"/>
        <v>5 LeadGen Set Appointments</v>
      </c>
    </row>
    <row r="7394" hidden="1">
      <c r="A7394" s="6" t="s">
        <v>89</v>
      </c>
      <c r="B7394" s="13" t="s">
        <v>546</v>
      </c>
      <c r="C7394" s="13" t="s">
        <v>547</v>
      </c>
      <c r="D7394" s="15">
        <v>5.0</v>
      </c>
      <c r="E7394" s="67">
        <f t="shared" si="18"/>
        <v>1250</v>
      </c>
      <c r="F7394" s="67" t="str">
        <f t="shared" si="12"/>
        <v>5 LeadGen Set Appointments</v>
      </c>
    </row>
    <row r="7395" hidden="1">
      <c r="A7395" s="6" t="s">
        <v>89</v>
      </c>
      <c r="B7395" s="13" t="s">
        <v>2299</v>
      </c>
      <c r="C7395" s="13" t="s">
        <v>2300</v>
      </c>
      <c r="D7395" s="15">
        <v>5.0</v>
      </c>
      <c r="E7395" s="67">
        <f t="shared" si="18"/>
        <v>1250</v>
      </c>
      <c r="F7395" s="67" t="str">
        <f t="shared" si="12"/>
        <v>5 LeadGen Set Appointments</v>
      </c>
    </row>
    <row r="7396" hidden="1">
      <c r="A7396" s="6" t="s">
        <v>89</v>
      </c>
      <c r="B7396" s="13" t="s">
        <v>1467</v>
      </c>
      <c r="C7396" s="13" t="s">
        <v>1468</v>
      </c>
      <c r="D7396" s="15">
        <v>5.0</v>
      </c>
      <c r="E7396" s="67">
        <f t="shared" si="18"/>
        <v>1250</v>
      </c>
      <c r="F7396" s="67" t="str">
        <f t="shared" si="12"/>
        <v>5 LeadGen Set Appointments</v>
      </c>
    </row>
    <row r="7397" hidden="1">
      <c r="A7397" s="6" t="s">
        <v>89</v>
      </c>
      <c r="B7397" s="13" t="s">
        <v>1279</v>
      </c>
      <c r="C7397" s="13" t="s">
        <v>739</v>
      </c>
      <c r="D7397" s="15">
        <v>5.0</v>
      </c>
      <c r="E7397" s="67">
        <f t="shared" si="18"/>
        <v>1250</v>
      </c>
      <c r="F7397" s="67" t="str">
        <f t="shared" si="12"/>
        <v>5 LeadGen Set Appointments</v>
      </c>
    </row>
    <row r="7398" hidden="1">
      <c r="A7398" s="6" t="s">
        <v>89</v>
      </c>
      <c r="B7398" s="13" t="s">
        <v>2640</v>
      </c>
      <c r="C7398" s="13" t="s">
        <v>2641</v>
      </c>
      <c r="D7398" s="15">
        <v>5.0</v>
      </c>
      <c r="E7398" s="67">
        <f t="shared" si="18"/>
        <v>1250</v>
      </c>
      <c r="F7398" s="67" t="str">
        <f t="shared" si="12"/>
        <v>5 LeadGen Set Appointments</v>
      </c>
    </row>
    <row r="7399" hidden="1">
      <c r="A7399" s="6" t="s">
        <v>89</v>
      </c>
      <c r="B7399" s="13" t="s">
        <v>2657</v>
      </c>
      <c r="C7399" s="13" t="s">
        <v>2658</v>
      </c>
      <c r="D7399" s="15">
        <v>5.0</v>
      </c>
      <c r="E7399" s="67">
        <f t="shared" si="18"/>
        <v>1250</v>
      </c>
      <c r="F7399" s="67" t="str">
        <f t="shared" si="12"/>
        <v>5 LeadGen Set Appointments</v>
      </c>
    </row>
    <row r="7400" hidden="1">
      <c r="A7400" s="6" t="s">
        <v>89</v>
      </c>
      <c r="B7400" s="13" t="s">
        <v>572</v>
      </c>
      <c r="C7400" s="13" t="s">
        <v>573</v>
      </c>
      <c r="D7400" s="15">
        <v>5.0</v>
      </c>
      <c r="E7400" s="67">
        <f t="shared" si="18"/>
        <v>1250</v>
      </c>
      <c r="F7400" s="67" t="str">
        <f t="shared" si="12"/>
        <v>5 LeadGen Set Appointments</v>
      </c>
    </row>
    <row r="7401" hidden="1">
      <c r="A7401" s="6" t="s">
        <v>89</v>
      </c>
      <c r="B7401" s="13" t="s">
        <v>590</v>
      </c>
      <c r="C7401" s="13" t="s">
        <v>591</v>
      </c>
      <c r="D7401" s="15">
        <v>5.0</v>
      </c>
      <c r="E7401" s="67">
        <f t="shared" si="18"/>
        <v>1250</v>
      </c>
      <c r="F7401" s="67" t="str">
        <f t="shared" si="12"/>
        <v>5 LeadGen Set Appointments</v>
      </c>
    </row>
    <row r="7402" hidden="1">
      <c r="A7402" s="6" t="s">
        <v>89</v>
      </c>
      <c r="B7402" s="13" t="s">
        <v>656</v>
      </c>
      <c r="C7402" s="13" t="s">
        <v>657</v>
      </c>
      <c r="D7402" s="15">
        <v>5.0</v>
      </c>
      <c r="E7402" s="67">
        <f t="shared" si="18"/>
        <v>1250</v>
      </c>
      <c r="F7402" s="67" t="str">
        <f t="shared" si="12"/>
        <v>5 LeadGen Set Appointments</v>
      </c>
    </row>
    <row r="7403" hidden="1">
      <c r="A7403" s="6" t="s">
        <v>89</v>
      </c>
      <c r="B7403" s="13" t="s">
        <v>1983</v>
      </c>
      <c r="C7403" s="13" t="s">
        <v>1984</v>
      </c>
      <c r="D7403" s="15">
        <v>5.0</v>
      </c>
      <c r="E7403" s="67">
        <f t="shared" si="18"/>
        <v>1250</v>
      </c>
      <c r="F7403" s="67" t="str">
        <f t="shared" si="12"/>
        <v>5 LeadGen Set Appointments</v>
      </c>
    </row>
    <row r="7404" hidden="1">
      <c r="A7404" s="6" t="s">
        <v>89</v>
      </c>
      <c r="B7404" s="13" t="s">
        <v>2384</v>
      </c>
      <c r="C7404" s="13" t="s">
        <v>2385</v>
      </c>
      <c r="D7404" s="15">
        <v>5.0</v>
      </c>
      <c r="E7404" s="67">
        <f t="shared" si="18"/>
        <v>1250</v>
      </c>
      <c r="F7404" s="67" t="str">
        <f t="shared" si="12"/>
        <v>5 LeadGen Set Appointments</v>
      </c>
    </row>
    <row r="7405" hidden="1">
      <c r="A7405" s="6" t="s">
        <v>89</v>
      </c>
      <c r="B7405" s="13" t="s">
        <v>2360</v>
      </c>
      <c r="C7405" s="13" t="s">
        <v>2361</v>
      </c>
      <c r="D7405" s="15">
        <v>5.0</v>
      </c>
      <c r="E7405" s="67">
        <f t="shared" si="18"/>
        <v>1250</v>
      </c>
      <c r="F7405" s="67" t="str">
        <f t="shared" si="12"/>
        <v>5 LeadGen Set Appointments</v>
      </c>
    </row>
    <row r="7406" hidden="1">
      <c r="A7406" s="6" t="s">
        <v>89</v>
      </c>
      <c r="B7406" s="13" t="s">
        <v>532</v>
      </c>
      <c r="C7406" s="13" t="s">
        <v>533</v>
      </c>
      <c r="D7406" s="15">
        <v>5.0</v>
      </c>
      <c r="E7406" s="67">
        <f t="shared" si="18"/>
        <v>1250</v>
      </c>
      <c r="F7406" s="67" t="str">
        <f t="shared" si="12"/>
        <v>5 LeadGen Set Appointments</v>
      </c>
    </row>
    <row r="7407" hidden="1">
      <c r="A7407" s="6" t="s">
        <v>89</v>
      </c>
      <c r="B7407" s="13" t="s">
        <v>522</v>
      </c>
      <c r="C7407" s="13" t="s">
        <v>523</v>
      </c>
      <c r="D7407" s="15">
        <v>5.0</v>
      </c>
      <c r="E7407" s="67">
        <f t="shared" si="18"/>
        <v>1250</v>
      </c>
      <c r="F7407" s="67" t="str">
        <f t="shared" si="12"/>
        <v>5 LeadGen Set Appointments</v>
      </c>
    </row>
    <row r="7408" hidden="1">
      <c r="A7408" s="6" t="s">
        <v>89</v>
      </c>
      <c r="B7408" s="13" t="s">
        <v>445</v>
      </c>
      <c r="C7408" s="13" t="s">
        <v>446</v>
      </c>
      <c r="D7408" s="15">
        <v>5.0</v>
      </c>
      <c r="E7408" s="67">
        <f t="shared" si="18"/>
        <v>1250</v>
      </c>
      <c r="F7408" s="67" t="str">
        <f t="shared" si="12"/>
        <v>5 LeadGen Set Appointments</v>
      </c>
    </row>
    <row r="7409" hidden="1">
      <c r="A7409" s="6" t="s">
        <v>89</v>
      </c>
      <c r="B7409" s="13" t="s">
        <v>2589</v>
      </c>
      <c r="C7409" s="13" t="s">
        <v>2590</v>
      </c>
      <c r="D7409" s="15">
        <v>5.0</v>
      </c>
      <c r="E7409" s="67">
        <f t="shared" si="18"/>
        <v>1250</v>
      </c>
      <c r="F7409" s="67" t="str">
        <f t="shared" si="12"/>
        <v>5 LeadGen Set Appointments</v>
      </c>
    </row>
    <row r="7410" hidden="1">
      <c r="A7410" s="6" t="s">
        <v>89</v>
      </c>
      <c r="B7410" s="13" t="s">
        <v>2479</v>
      </c>
      <c r="C7410" s="13" t="s">
        <v>2480</v>
      </c>
      <c r="D7410" s="15">
        <v>5.0</v>
      </c>
      <c r="E7410" s="67">
        <f t="shared" si="18"/>
        <v>1250</v>
      </c>
      <c r="F7410" s="67" t="str">
        <f t="shared" si="12"/>
        <v>5 LeadGen Set Appointments</v>
      </c>
    </row>
    <row r="7411" hidden="1">
      <c r="A7411" s="6" t="s">
        <v>89</v>
      </c>
      <c r="B7411" s="13" t="s">
        <v>447</v>
      </c>
      <c r="C7411" s="13" t="s">
        <v>448</v>
      </c>
      <c r="D7411" s="15">
        <v>4.0</v>
      </c>
      <c r="E7411" s="67">
        <f t="shared" si="18"/>
        <v>1000</v>
      </c>
      <c r="F7411" s="67" t="str">
        <f t="shared" si="12"/>
        <v>4 LeadGen Set Appointments</v>
      </c>
    </row>
    <row r="7412" hidden="1">
      <c r="A7412" s="6" t="s">
        <v>89</v>
      </c>
      <c r="B7412" s="13" t="s">
        <v>2685</v>
      </c>
      <c r="C7412" s="13" t="s">
        <v>2686</v>
      </c>
      <c r="D7412" s="15">
        <v>4.0</v>
      </c>
      <c r="E7412" s="67">
        <f t="shared" si="18"/>
        <v>1000</v>
      </c>
      <c r="F7412" s="67" t="str">
        <f t="shared" si="12"/>
        <v>4 LeadGen Set Appointments</v>
      </c>
    </row>
    <row r="7413" hidden="1">
      <c r="A7413" s="6" t="s">
        <v>89</v>
      </c>
      <c r="B7413" s="13" t="s">
        <v>576</v>
      </c>
      <c r="C7413" s="13" t="s">
        <v>577</v>
      </c>
      <c r="D7413" s="15">
        <v>4.0</v>
      </c>
      <c r="E7413" s="67">
        <f t="shared" si="18"/>
        <v>1000</v>
      </c>
      <c r="F7413" s="67" t="str">
        <f t="shared" si="12"/>
        <v>4 LeadGen Set Appointments</v>
      </c>
    </row>
    <row r="7414" hidden="1">
      <c r="A7414" s="6" t="s">
        <v>89</v>
      </c>
      <c r="B7414" s="13" t="s">
        <v>1380</v>
      </c>
      <c r="C7414" s="13" t="s">
        <v>1381</v>
      </c>
      <c r="D7414" s="15">
        <v>4.0</v>
      </c>
      <c r="E7414" s="67">
        <f t="shared" si="18"/>
        <v>1000</v>
      </c>
      <c r="F7414" s="67" t="str">
        <f t="shared" si="12"/>
        <v>4 LeadGen Set Appointments</v>
      </c>
    </row>
    <row r="7415" hidden="1">
      <c r="A7415" s="6" t="s">
        <v>89</v>
      </c>
      <c r="B7415" s="13" t="s">
        <v>462</v>
      </c>
      <c r="C7415" s="13" t="s">
        <v>463</v>
      </c>
      <c r="D7415" s="15">
        <v>4.0</v>
      </c>
      <c r="E7415" s="67">
        <f t="shared" si="18"/>
        <v>1000</v>
      </c>
      <c r="F7415" s="67" t="str">
        <f t="shared" si="12"/>
        <v>4 LeadGen Set Appointments</v>
      </c>
    </row>
    <row r="7416" hidden="1">
      <c r="A7416" s="6" t="s">
        <v>89</v>
      </c>
      <c r="B7416" s="13" t="s">
        <v>2634</v>
      </c>
      <c r="C7416" s="13" t="s">
        <v>2635</v>
      </c>
      <c r="D7416" s="15">
        <v>4.0</v>
      </c>
      <c r="E7416" s="67">
        <f t="shared" si="18"/>
        <v>1000</v>
      </c>
      <c r="F7416" s="67" t="str">
        <f t="shared" si="12"/>
        <v>4 LeadGen Set Appointments</v>
      </c>
    </row>
    <row r="7417" hidden="1">
      <c r="A7417" s="6" t="s">
        <v>89</v>
      </c>
      <c r="B7417" s="13" t="s">
        <v>1700</v>
      </c>
      <c r="C7417" s="13" t="s">
        <v>1701</v>
      </c>
      <c r="D7417" s="15">
        <v>4.0</v>
      </c>
      <c r="E7417" s="67">
        <f t="shared" si="18"/>
        <v>1000</v>
      </c>
      <c r="F7417" s="67" t="str">
        <f t="shared" si="12"/>
        <v>4 LeadGen Set Appointments</v>
      </c>
    </row>
    <row r="7418" hidden="1">
      <c r="A7418" s="6" t="s">
        <v>89</v>
      </c>
      <c r="B7418" s="13" t="s">
        <v>494</v>
      </c>
      <c r="C7418" s="13" t="s">
        <v>495</v>
      </c>
      <c r="D7418" s="15">
        <v>4.0</v>
      </c>
      <c r="E7418" s="67">
        <f t="shared" si="18"/>
        <v>1000</v>
      </c>
      <c r="F7418" s="67" t="str">
        <f t="shared" si="12"/>
        <v>4 LeadGen Set Appointments</v>
      </c>
    </row>
    <row r="7419" hidden="1">
      <c r="A7419" s="6" t="s">
        <v>89</v>
      </c>
      <c r="B7419" s="13" t="s">
        <v>2393</v>
      </c>
      <c r="C7419" s="13" t="s">
        <v>2394</v>
      </c>
      <c r="D7419" s="15">
        <v>4.0</v>
      </c>
      <c r="E7419" s="67">
        <f t="shared" si="18"/>
        <v>1000</v>
      </c>
      <c r="F7419" s="67" t="str">
        <f t="shared" si="12"/>
        <v>4 LeadGen Set Appointments</v>
      </c>
    </row>
    <row r="7420" hidden="1">
      <c r="A7420" s="6" t="s">
        <v>89</v>
      </c>
      <c r="B7420" s="13" t="s">
        <v>1299</v>
      </c>
      <c r="C7420" s="13" t="s">
        <v>1300</v>
      </c>
      <c r="D7420" s="15">
        <v>4.0</v>
      </c>
      <c r="E7420" s="67">
        <f t="shared" si="18"/>
        <v>1000</v>
      </c>
      <c r="F7420" s="67" t="str">
        <f t="shared" si="12"/>
        <v>4 LeadGen Set Appointments</v>
      </c>
    </row>
    <row r="7421" hidden="1">
      <c r="A7421" s="6" t="s">
        <v>89</v>
      </c>
      <c r="B7421" s="13" t="s">
        <v>1443</v>
      </c>
      <c r="C7421" s="13" t="s">
        <v>755</v>
      </c>
      <c r="D7421" s="15">
        <v>4.0</v>
      </c>
      <c r="E7421" s="67">
        <f t="shared" si="18"/>
        <v>1000</v>
      </c>
      <c r="F7421" s="67" t="str">
        <f t="shared" si="12"/>
        <v>4 LeadGen Set Appointments</v>
      </c>
    </row>
    <row r="7422" hidden="1">
      <c r="A7422" s="6" t="s">
        <v>89</v>
      </c>
      <c r="B7422" s="13" t="s">
        <v>1937</v>
      </c>
      <c r="C7422" s="13" t="s">
        <v>1938</v>
      </c>
      <c r="D7422" s="15">
        <v>4.0</v>
      </c>
      <c r="E7422" s="67">
        <f t="shared" si="18"/>
        <v>1000</v>
      </c>
      <c r="F7422" s="67" t="str">
        <f t="shared" si="12"/>
        <v>4 LeadGen Set Appointments</v>
      </c>
    </row>
    <row r="7423" hidden="1">
      <c r="A7423" s="6" t="s">
        <v>89</v>
      </c>
      <c r="B7423" s="13" t="s">
        <v>1325</v>
      </c>
      <c r="C7423" s="13" t="s">
        <v>1326</v>
      </c>
      <c r="D7423" s="15">
        <v>4.0</v>
      </c>
      <c r="E7423" s="67">
        <f t="shared" si="18"/>
        <v>1000</v>
      </c>
      <c r="F7423" s="67" t="str">
        <f t="shared" si="12"/>
        <v>4 LeadGen Set Appointments</v>
      </c>
    </row>
    <row r="7424" hidden="1">
      <c r="A7424" s="6" t="s">
        <v>89</v>
      </c>
      <c r="B7424" s="13" t="s">
        <v>2100</v>
      </c>
      <c r="C7424" s="13" t="s">
        <v>2101</v>
      </c>
      <c r="D7424" s="15">
        <v>4.0</v>
      </c>
      <c r="E7424" s="67">
        <f t="shared" si="18"/>
        <v>1000</v>
      </c>
      <c r="F7424" s="67" t="str">
        <f t="shared" si="12"/>
        <v>4 LeadGen Set Appointments</v>
      </c>
    </row>
    <row r="7425" hidden="1">
      <c r="A7425" s="6" t="s">
        <v>89</v>
      </c>
      <c r="B7425" s="13" t="s">
        <v>1657</v>
      </c>
      <c r="C7425" s="13" t="s">
        <v>1658</v>
      </c>
      <c r="D7425" s="15">
        <v>4.0</v>
      </c>
      <c r="E7425" s="67">
        <f t="shared" si="18"/>
        <v>1000</v>
      </c>
      <c r="F7425" s="67" t="str">
        <f t="shared" si="12"/>
        <v>4 LeadGen Set Appointments</v>
      </c>
    </row>
    <row r="7426" hidden="1">
      <c r="A7426" s="6" t="s">
        <v>89</v>
      </c>
      <c r="B7426" s="13" t="s">
        <v>2711</v>
      </c>
      <c r="C7426" s="13" t="s">
        <v>2712</v>
      </c>
      <c r="D7426" s="15">
        <v>4.0</v>
      </c>
      <c r="E7426" s="67">
        <f t="shared" si="18"/>
        <v>1000</v>
      </c>
      <c r="F7426" s="67" t="str">
        <f t="shared" si="12"/>
        <v>4 LeadGen Set Appointments</v>
      </c>
    </row>
    <row r="7427" hidden="1">
      <c r="A7427" s="6" t="s">
        <v>89</v>
      </c>
      <c r="B7427" s="13" t="s">
        <v>2458</v>
      </c>
      <c r="C7427" s="13" t="s">
        <v>2459</v>
      </c>
      <c r="D7427" s="15">
        <v>4.0</v>
      </c>
      <c r="E7427" s="67">
        <f t="shared" si="18"/>
        <v>1000</v>
      </c>
      <c r="F7427" s="67" t="str">
        <f t="shared" si="12"/>
        <v>4 LeadGen Set Appointments</v>
      </c>
    </row>
    <row r="7428" hidden="1">
      <c r="A7428" s="6" t="s">
        <v>89</v>
      </c>
      <c r="B7428" s="13" t="s">
        <v>2611</v>
      </c>
      <c r="C7428" s="13" t="s">
        <v>2612</v>
      </c>
      <c r="D7428" s="15">
        <v>4.0</v>
      </c>
      <c r="E7428" s="67">
        <f t="shared" si="18"/>
        <v>1000</v>
      </c>
      <c r="F7428" s="67" t="str">
        <f t="shared" si="12"/>
        <v>4 LeadGen Set Appointments</v>
      </c>
    </row>
    <row r="7429" hidden="1">
      <c r="A7429" s="6" t="s">
        <v>89</v>
      </c>
      <c r="B7429" s="13" t="s">
        <v>2703</v>
      </c>
      <c r="C7429" s="13" t="s">
        <v>2704</v>
      </c>
      <c r="D7429" s="15">
        <v>4.0</v>
      </c>
      <c r="E7429" s="67">
        <f t="shared" si="18"/>
        <v>1000</v>
      </c>
      <c r="F7429" s="67" t="str">
        <f t="shared" si="12"/>
        <v>4 LeadGen Set Appointments</v>
      </c>
    </row>
    <row r="7430" hidden="1">
      <c r="A7430" s="6" t="s">
        <v>89</v>
      </c>
      <c r="B7430" s="13" t="s">
        <v>1784</v>
      </c>
      <c r="C7430" s="13" t="s">
        <v>1785</v>
      </c>
      <c r="D7430" s="15">
        <v>4.0</v>
      </c>
      <c r="E7430" s="67">
        <f t="shared" si="18"/>
        <v>1000</v>
      </c>
      <c r="F7430" s="67" t="str">
        <f t="shared" si="12"/>
        <v>4 LeadGen Set Appointments</v>
      </c>
    </row>
    <row r="7431" hidden="1">
      <c r="A7431" s="6" t="s">
        <v>89</v>
      </c>
      <c r="B7431" s="13" t="s">
        <v>2288</v>
      </c>
      <c r="C7431" s="13" t="s">
        <v>2289</v>
      </c>
      <c r="D7431" s="15">
        <v>4.0</v>
      </c>
      <c r="E7431" s="67">
        <f t="shared" si="18"/>
        <v>1000</v>
      </c>
      <c r="F7431" s="67" t="str">
        <f t="shared" si="12"/>
        <v>4 LeadGen Set Appointments</v>
      </c>
    </row>
    <row r="7432" hidden="1">
      <c r="A7432" s="6" t="s">
        <v>89</v>
      </c>
      <c r="B7432" s="13" t="s">
        <v>1487</v>
      </c>
      <c r="C7432" s="13" t="s">
        <v>2533</v>
      </c>
      <c r="D7432" s="15">
        <v>4.0</v>
      </c>
      <c r="E7432" s="67">
        <f t="shared" si="18"/>
        <v>1000</v>
      </c>
      <c r="F7432" s="67" t="str">
        <f t="shared" si="12"/>
        <v>4 LeadGen Set Appointments</v>
      </c>
    </row>
    <row r="7433" hidden="1">
      <c r="A7433" s="6" t="s">
        <v>89</v>
      </c>
      <c r="B7433" s="13" t="s">
        <v>2713</v>
      </c>
      <c r="C7433" s="13" t="s">
        <v>61</v>
      </c>
      <c r="D7433" s="15">
        <v>4.0</v>
      </c>
      <c r="E7433" s="67">
        <f t="shared" si="18"/>
        <v>1000</v>
      </c>
      <c r="F7433" s="67" t="str">
        <f t="shared" si="12"/>
        <v>4 LeadGen Set Appointments</v>
      </c>
    </row>
    <row r="7434" hidden="1">
      <c r="A7434" s="6" t="s">
        <v>89</v>
      </c>
      <c r="B7434" s="13" t="s">
        <v>1955</v>
      </c>
      <c r="C7434" s="13" t="s">
        <v>1956</v>
      </c>
      <c r="D7434" s="15">
        <v>4.0</v>
      </c>
      <c r="E7434" s="67">
        <f t="shared" si="18"/>
        <v>1000</v>
      </c>
      <c r="F7434" s="67" t="str">
        <f t="shared" si="12"/>
        <v>4 LeadGen Set Appointments</v>
      </c>
    </row>
    <row r="7435" hidden="1">
      <c r="A7435" s="6" t="s">
        <v>89</v>
      </c>
      <c r="B7435" s="13" t="s">
        <v>2423</v>
      </c>
      <c r="C7435" s="13" t="s">
        <v>2424</v>
      </c>
      <c r="D7435" s="15">
        <v>4.0</v>
      </c>
      <c r="E7435" s="67">
        <f t="shared" si="18"/>
        <v>1000</v>
      </c>
      <c r="F7435" s="67" t="str">
        <f t="shared" si="12"/>
        <v>4 LeadGen Set Appointments</v>
      </c>
    </row>
    <row r="7436" hidden="1">
      <c r="A7436" s="6" t="s">
        <v>89</v>
      </c>
      <c r="B7436" s="13" t="s">
        <v>622</v>
      </c>
      <c r="C7436" s="13" t="s">
        <v>623</v>
      </c>
      <c r="D7436" s="15">
        <v>4.0</v>
      </c>
      <c r="E7436" s="67">
        <f t="shared" si="18"/>
        <v>1000</v>
      </c>
      <c r="F7436" s="67" t="str">
        <f t="shared" si="12"/>
        <v>4 LeadGen Set Appointments</v>
      </c>
    </row>
    <row r="7437" hidden="1">
      <c r="A7437" s="6" t="s">
        <v>89</v>
      </c>
      <c r="B7437" s="13" t="s">
        <v>2576</v>
      </c>
      <c r="C7437" s="13" t="s">
        <v>2577</v>
      </c>
      <c r="D7437" s="15">
        <v>4.0</v>
      </c>
      <c r="E7437" s="67">
        <f t="shared" si="18"/>
        <v>1000</v>
      </c>
      <c r="F7437" s="67" t="str">
        <f t="shared" si="12"/>
        <v>4 LeadGen Set Appointments</v>
      </c>
    </row>
    <row r="7438" hidden="1">
      <c r="A7438" s="6" t="s">
        <v>89</v>
      </c>
      <c r="B7438" s="13" t="s">
        <v>1351</v>
      </c>
      <c r="C7438" s="13" t="s">
        <v>1352</v>
      </c>
      <c r="D7438" s="15">
        <v>4.0</v>
      </c>
      <c r="E7438" s="67">
        <f t="shared" si="18"/>
        <v>1000</v>
      </c>
      <c r="F7438" s="67" t="str">
        <f t="shared" si="12"/>
        <v>4 LeadGen Set Appointments</v>
      </c>
    </row>
    <row r="7439" hidden="1">
      <c r="A7439" s="6" t="s">
        <v>89</v>
      </c>
      <c r="B7439" s="13" t="s">
        <v>1457</v>
      </c>
      <c r="C7439" s="13" t="s">
        <v>2411</v>
      </c>
      <c r="D7439" s="15">
        <v>4.0</v>
      </c>
      <c r="E7439" s="67">
        <f t="shared" si="18"/>
        <v>1000</v>
      </c>
      <c r="F7439" s="67" t="str">
        <f t="shared" si="12"/>
        <v>4 LeadGen Set Appointments</v>
      </c>
    </row>
    <row r="7440" hidden="1">
      <c r="A7440" s="6" t="s">
        <v>89</v>
      </c>
      <c r="B7440" s="13" t="s">
        <v>1039</v>
      </c>
      <c r="C7440" s="13" t="s">
        <v>1040</v>
      </c>
      <c r="D7440" s="15">
        <v>3.0</v>
      </c>
      <c r="E7440" s="67">
        <f t="shared" si="18"/>
        <v>750</v>
      </c>
      <c r="F7440" s="67" t="str">
        <f t="shared" si="12"/>
        <v>3 LeadGen Set Appointments</v>
      </c>
    </row>
    <row r="7441" hidden="1">
      <c r="A7441" s="6" t="s">
        <v>89</v>
      </c>
      <c r="B7441" s="13" t="s">
        <v>1025</v>
      </c>
      <c r="C7441" s="13" t="s">
        <v>1026</v>
      </c>
      <c r="D7441" s="15">
        <v>3.0</v>
      </c>
      <c r="E7441" s="67">
        <f t="shared" si="18"/>
        <v>750</v>
      </c>
      <c r="F7441" s="67" t="str">
        <f t="shared" si="12"/>
        <v>3 LeadGen Set Appointments</v>
      </c>
    </row>
    <row r="7442" hidden="1">
      <c r="A7442" s="6" t="s">
        <v>89</v>
      </c>
      <c r="B7442" s="13" t="s">
        <v>271</v>
      </c>
      <c r="C7442" s="13" t="s">
        <v>2551</v>
      </c>
      <c r="D7442" s="15">
        <v>3.0</v>
      </c>
      <c r="E7442" s="67">
        <f t="shared" si="18"/>
        <v>750</v>
      </c>
      <c r="F7442" s="67" t="str">
        <f t="shared" si="12"/>
        <v>3 LeadGen Set Appointments</v>
      </c>
    </row>
    <row r="7443" hidden="1">
      <c r="A7443" s="6" t="s">
        <v>89</v>
      </c>
      <c r="B7443" s="13" t="s">
        <v>1774</v>
      </c>
      <c r="C7443" s="13" t="s">
        <v>1775</v>
      </c>
      <c r="D7443" s="15">
        <v>3.0</v>
      </c>
      <c r="E7443" s="67">
        <f t="shared" si="18"/>
        <v>750</v>
      </c>
      <c r="F7443" s="67" t="str">
        <f t="shared" si="12"/>
        <v>3 LeadGen Set Appointments</v>
      </c>
    </row>
    <row r="7444" hidden="1">
      <c r="A7444" s="6" t="s">
        <v>89</v>
      </c>
      <c r="B7444" s="13" t="s">
        <v>2693</v>
      </c>
      <c r="C7444" s="13" t="s">
        <v>2694</v>
      </c>
      <c r="D7444" s="15">
        <v>3.0</v>
      </c>
      <c r="E7444" s="67">
        <f t="shared" si="18"/>
        <v>750</v>
      </c>
      <c r="F7444" s="67" t="str">
        <f t="shared" si="12"/>
        <v>3 LeadGen Set Appointments</v>
      </c>
    </row>
    <row r="7445" hidden="1">
      <c r="A7445" s="6" t="s">
        <v>89</v>
      </c>
      <c r="B7445" s="13" t="s">
        <v>1917</v>
      </c>
      <c r="C7445" s="13" t="s">
        <v>1918</v>
      </c>
      <c r="D7445" s="15">
        <v>3.0</v>
      </c>
      <c r="E7445" s="67">
        <f t="shared" si="18"/>
        <v>750</v>
      </c>
      <c r="F7445" s="67" t="str">
        <f t="shared" si="12"/>
        <v>3 LeadGen Set Appointments</v>
      </c>
    </row>
    <row r="7446" hidden="1">
      <c r="A7446" s="6" t="s">
        <v>89</v>
      </c>
      <c r="B7446" s="13" t="s">
        <v>2714</v>
      </c>
      <c r="C7446" s="13" t="s">
        <v>2715</v>
      </c>
      <c r="D7446" s="15">
        <v>3.0</v>
      </c>
      <c r="E7446" s="67">
        <f t="shared" si="18"/>
        <v>750</v>
      </c>
      <c r="F7446" s="67" t="str">
        <f t="shared" si="12"/>
        <v>3 LeadGen Set Appointments</v>
      </c>
    </row>
    <row r="7447" hidden="1">
      <c r="A7447" s="6" t="s">
        <v>89</v>
      </c>
      <c r="B7447" s="13" t="s">
        <v>2716</v>
      </c>
      <c r="C7447" s="13" t="s">
        <v>2717</v>
      </c>
      <c r="D7447" s="15">
        <v>3.0</v>
      </c>
      <c r="E7447" s="67">
        <f t="shared" si="18"/>
        <v>750</v>
      </c>
      <c r="F7447" s="67" t="str">
        <f t="shared" si="12"/>
        <v>3 LeadGen Set Appointments</v>
      </c>
    </row>
    <row r="7448" hidden="1">
      <c r="A7448" s="6" t="s">
        <v>89</v>
      </c>
      <c r="B7448" s="13" t="s">
        <v>684</v>
      </c>
      <c r="C7448" s="13" t="s">
        <v>685</v>
      </c>
      <c r="D7448" s="15">
        <v>3.0</v>
      </c>
      <c r="E7448" s="67">
        <f t="shared" si="18"/>
        <v>750</v>
      </c>
      <c r="F7448" s="67" t="str">
        <f t="shared" si="12"/>
        <v>3 LeadGen Set Appointments</v>
      </c>
    </row>
    <row r="7449" hidden="1">
      <c r="A7449" s="6" t="s">
        <v>89</v>
      </c>
      <c r="B7449" s="13" t="s">
        <v>1583</v>
      </c>
      <c r="C7449" s="13" t="s">
        <v>1584</v>
      </c>
      <c r="D7449" s="15">
        <v>3.0</v>
      </c>
      <c r="E7449" s="67">
        <f t="shared" si="18"/>
        <v>750</v>
      </c>
      <c r="F7449" s="67" t="str">
        <f t="shared" si="12"/>
        <v>3 LeadGen Set Appointments</v>
      </c>
    </row>
    <row r="7450" hidden="1">
      <c r="A7450" s="6" t="s">
        <v>89</v>
      </c>
      <c r="B7450" s="13" t="s">
        <v>2671</v>
      </c>
      <c r="C7450" s="13" t="s">
        <v>2672</v>
      </c>
      <c r="D7450" s="15">
        <v>3.0</v>
      </c>
      <c r="E7450" s="67">
        <f t="shared" si="18"/>
        <v>750</v>
      </c>
      <c r="F7450" s="67" t="str">
        <f t="shared" si="12"/>
        <v>3 LeadGen Set Appointments</v>
      </c>
    </row>
    <row r="7451" hidden="1">
      <c r="A7451" s="6" t="s">
        <v>89</v>
      </c>
      <c r="B7451" s="13" t="s">
        <v>1585</v>
      </c>
      <c r="C7451" s="13" t="s">
        <v>2490</v>
      </c>
      <c r="D7451" s="15">
        <v>3.0</v>
      </c>
      <c r="E7451" s="67">
        <f t="shared" si="18"/>
        <v>750</v>
      </c>
      <c r="F7451" s="67" t="str">
        <f t="shared" si="12"/>
        <v>3 LeadGen Set Appointments</v>
      </c>
    </row>
    <row r="7452" hidden="1">
      <c r="A7452" s="6" t="s">
        <v>89</v>
      </c>
      <c r="B7452" s="13" t="s">
        <v>1334</v>
      </c>
      <c r="C7452" s="13" t="s">
        <v>553</v>
      </c>
      <c r="D7452" s="15">
        <v>3.0</v>
      </c>
      <c r="E7452" s="67">
        <f t="shared" si="18"/>
        <v>750</v>
      </c>
      <c r="F7452" s="67" t="str">
        <f t="shared" si="12"/>
        <v>3 LeadGen Set Appointments</v>
      </c>
    </row>
    <row r="7453" hidden="1">
      <c r="A7453" s="6" t="s">
        <v>89</v>
      </c>
      <c r="B7453" s="13" t="s">
        <v>976</v>
      </c>
      <c r="C7453" s="13" t="s">
        <v>977</v>
      </c>
      <c r="D7453" s="15">
        <v>3.0</v>
      </c>
      <c r="E7453" s="67">
        <f t="shared" si="18"/>
        <v>750</v>
      </c>
      <c r="F7453" s="67" t="str">
        <f t="shared" si="12"/>
        <v>3 LeadGen Set Appointments</v>
      </c>
    </row>
    <row r="7454" hidden="1">
      <c r="A7454" s="6" t="s">
        <v>89</v>
      </c>
      <c r="B7454" s="13" t="s">
        <v>2636</v>
      </c>
      <c r="C7454" s="13" t="s">
        <v>2637</v>
      </c>
      <c r="D7454" s="15">
        <v>3.0</v>
      </c>
      <c r="E7454" s="67">
        <f t="shared" si="18"/>
        <v>750</v>
      </c>
      <c r="F7454" s="67" t="str">
        <f t="shared" si="12"/>
        <v>3 LeadGen Set Appointments</v>
      </c>
    </row>
    <row r="7455" hidden="1">
      <c r="A7455" s="6" t="s">
        <v>89</v>
      </c>
      <c r="B7455" s="13" t="s">
        <v>2638</v>
      </c>
      <c r="C7455" s="13" t="s">
        <v>2639</v>
      </c>
      <c r="D7455" s="15">
        <v>3.0</v>
      </c>
      <c r="E7455" s="67">
        <f t="shared" si="18"/>
        <v>750</v>
      </c>
      <c r="F7455" s="67" t="str">
        <f t="shared" si="12"/>
        <v>3 LeadGen Set Appointments</v>
      </c>
    </row>
    <row r="7456" hidden="1">
      <c r="A7456" s="6" t="s">
        <v>89</v>
      </c>
      <c r="B7456" s="13" t="s">
        <v>2609</v>
      </c>
      <c r="C7456" s="13" t="s">
        <v>2610</v>
      </c>
      <c r="D7456" s="15">
        <v>3.0</v>
      </c>
      <c r="E7456" s="67">
        <f t="shared" si="18"/>
        <v>750</v>
      </c>
      <c r="F7456" s="67" t="str">
        <f t="shared" si="12"/>
        <v>3 LeadGen Set Appointments</v>
      </c>
    </row>
    <row r="7457" hidden="1">
      <c r="A7457" s="6" t="s">
        <v>89</v>
      </c>
      <c r="B7457" s="13" t="s">
        <v>2241</v>
      </c>
      <c r="C7457" s="13" t="s">
        <v>2652</v>
      </c>
      <c r="D7457" s="15">
        <v>3.0</v>
      </c>
      <c r="E7457" s="67">
        <f t="shared" si="18"/>
        <v>750</v>
      </c>
      <c r="F7457" s="67" t="str">
        <f t="shared" si="12"/>
        <v>3 LeadGen Set Appointments</v>
      </c>
    </row>
    <row r="7458" hidden="1">
      <c r="A7458" s="6" t="s">
        <v>89</v>
      </c>
      <c r="B7458" s="13" t="s">
        <v>1375</v>
      </c>
      <c r="C7458" s="13" t="s">
        <v>647</v>
      </c>
      <c r="D7458" s="15">
        <v>3.0</v>
      </c>
      <c r="E7458" s="67">
        <f t="shared" si="18"/>
        <v>750</v>
      </c>
      <c r="F7458" s="67" t="str">
        <f t="shared" si="12"/>
        <v>3 LeadGen Set Appointments</v>
      </c>
    </row>
    <row r="7459" hidden="1">
      <c r="A7459" s="6" t="s">
        <v>89</v>
      </c>
      <c r="B7459" s="13" t="s">
        <v>2542</v>
      </c>
      <c r="C7459" s="13" t="s">
        <v>2543</v>
      </c>
      <c r="D7459" s="15">
        <v>3.0</v>
      </c>
      <c r="E7459" s="67">
        <f t="shared" si="18"/>
        <v>750</v>
      </c>
      <c r="F7459" s="67" t="str">
        <f t="shared" si="12"/>
        <v>3 LeadGen Set Appointments</v>
      </c>
    </row>
    <row r="7460" hidden="1">
      <c r="A7460" s="6" t="s">
        <v>89</v>
      </c>
      <c r="B7460" s="13" t="s">
        <v>2655</v>
      </c>
      <c r="C7460" s="13" t="s">
        <v>2656</v>
      </c>
      <c r="D7460" s="15">
        <v>3.0</v>
      </c>
      <c r="E7460" s="67">
        <f t="shared" si="18"/>
        <v>750</v>
      </c>
      <c r="F7460" s="67" t="str">
        <f t="shared" si="12"/>
        <v>3 LeadGen Set Appointments</v>
      </c>
    </row>
    <row r="7461" hidden="1">
      <c r="A7461" s="6" t="s">
        <v>89</v>
      </c>
      <c r="B7461" s="13" t="s">
        <v>626</v>
      </c>
      <c r="C7461" s="13" t="s">
        <v>627</v>
      </c>
      <c r="D7461" s="15">
        <v>3.0</v>
      </c>
      <c r="E7461" s="67">
        <f t="shared" si="18"/>
        <v>750</v>
      </c>
      <c r="F7461" s="67" t="str">
        <f t="shared" si="12"/>
        <v>3 LeadGen Set Appointments</v>
      </c>
    </row>
    <row r="7462" hidden="1">
      <c r="A7462" s="6" t="s">
        <v>89</v>
      </c>
      <c r="B7462" s="13" t="s">
        <v>1442</v>
      </c>
      <c r="C7462" s="13" t="s">
        <v>749</v>
      </c>
      <c r="D7462" s="15">
        <v>3.0</v>
      </c>
      <c r="E7462" s="67">
        <f t="shared" si="18"/>
        <v>750</v>
      </c>
      <c r="F7462" s="67" t="str">
        <f t="shared" si="12"/>
        <v>3 LeadGen Set Appointments</v>
      </c>
    </row>
    <row r="7463" hidden="1">
      <c r="A7463" s="6" t="s">
        <v>89</v>
      </c>
      <c r="B7463" s="13" t="s">
        <v>302</v>
      </c>
      <c r="C7463" s="13" t="s">
        <v>2110</v>
      </c>
      <c r="D7463" s="15">
        <v>3.0</v>
      </c>
      <c r="E7463" s="67">
        <f t="shared" si="18"/>
        <v>750</v>
      </c>
      <c r="F7463" s="67" t="str">
        <f t="shared" si="12"/>
        <v>3 LeadGen Set Appointments</v>
      </c>
    </row>
    <row r="7464" hidden="1">
      <c r="A7464" s="6" t="s">
        <v>89</v>
      </c>
      <c r="B7464" s="13" t="s">
        <v>1295</v>
      </c>
      <c r="C7464" s="13" t="s">
        <v>1296</v>
      </c>
      <c r="D7464" s="15">
        <v>3.0</v>
      </c>
      <c r="E7464" s="67">
        <f t="shared" si="18"/>
        <v>750</v>
      </c>
      <c r="F7464" s="67" t="str">
        <f t="shared" si="12"/>
        <v>3 LeadGen Set Appointments</v>
      </c>
    </row>
    <row r="7465" hidden="1">
      <c r="A7465" s="6" t="s">
        <v>89</v>
      </c>
      <c r="B7465" s="13" t="s">
        <v>2718</v>
      </c>
      <c r="C7465" s="13" t="s">
        <v>2719</v>
      </c>
      <c r="D7465" s="15">
        <v>3.0</v>
      </c>
      <c r="E7465" s="67">
        <f t="shared" si="18"/>
        <v>750</v>
      </c>
      <c r="F7465" s="67" t="str">
        <f t="shared" si="12"/>
        <v>3 LeadGen Set Appointments</v>
      </c>
    </row>
    <row r="7466" hidden="1">
      <c r="A7466" s="6" t="s">
        <v>89</v>
      </c>
      <c r="B7466" s="13" t="s">
        <v>2151</v>
      </c>
      <c r="C7466" s="13" t="s">
        <v>2152</v>
      </c>
      <c r="D7466" s="15">
        <v>3.0</v>
      </c>
      <c r="E7466" s="67">
        <f t="shared" si="18"/>
        <v>750</v>
      </c>
      <c r="F7466" s="67" t="str">
        <f t="shared" si="12"/>
        <v>3 LeadGen Set Appointments</v>
      </c>
    </row>
    <row r="7467" hidden="1">
      <c r="A7467" s="6" t="s">
        <v>89</v>
      </c>
      <c r="B7467" s="13" t="s">
        <v>2081</v>
      </c>
      <c r="C7467" s="13" t="s">
        <v>2082</v>
      </c>
      <c r="D7467" s="15">
        <v>3.0</v>
      </c>
      <c r="E7467" s="67">
        <f t="shared" si="18"/>
        <v>750</v>
      </c>
      <c r="F7467" s="67" t="str">
        <f t="shared" si="12"/>
        <v>3 LeadGen Set Appointments</v>
      </c>
    </row>
    <row r="7468" hidden="1">
      <c r="A7468" s="6" t="s">
        <v>89</v>
      </c>
      <c r="B7468" s="13" t="s">
        <v>701</v>
      </c>
      <c r="C7468" s="13" t="s">
        <v>702</v>
      </c>
      <c r="D7468" s="15">
        <v>3.0</v>
      </c>
      <c r="E7468" s="67">
        <f t="shared" si="18"/>
        <v>750</v>
      </c>
      <c r="F7468" s="67" t="str">
        <f t="shared" si="12"/>
        <v>3 LeadGen Set Appointments</v>
      </c>
    </row>
    <row r="7469" hidden="1">
      <c r="A7469" s="6" t="s">
        <v>89</v>
      </c>
      <c r="B7469" s="13" t="s">
        <v>2681</v>
      </c>
      <c r="C7469" s="13" t="s">
        <v>2682</v>
      </c>
      <c r="D7469" s="15">
        <v>3.0</v>
      </c>
      <c r="E7469" s="67">
        <f t="shared" si="18"/>
        <v>750</v>
      </c>
      <c r="F7469" s="67" t="str">
        <f t="shared" si="12"/>
        <v>3 LeadGen Set Appointments</v>
      </c>
    </row>
    <row r="7470" hidden="1">
      <c r="A7470" s="6" t="s">
        <v>89</v>
      </c>
      <c r="B7470" s="13" t="s">
        <v>566</v>
      </c>
      <c r="C7470" s="13" t="s">
        <v>567</v>
      </c>
      <c r="D7470" s="15">
        <v>3.0</v>
      </c>
      <c r="E7470" s="67">
        <f t="shared" si="18"/>
        <v>750</v>
      </c>
      <c r="F7470" s="67" t="str">
        <f t="shared" si="12"/>
        <v>3 LeadGen Set Appointments</v>
      </c>
    </row>
    <row r="7471" hidden="1">
      <c r="A7471" s="6" t="s">
        <v>89</v>
      </c>
      <c r="B7471" s="13" t="s">
        <v>2511</v>
      </c>
      <c r="C7471" s="13" t="s">
        <v>2512</v>
      </c>
      <c r="D7471" s="15">
        <v>3.0</v>
      </c>
      <c r="E7471" s="67">
        <f t="shared" si="18"/>
        <v>750</v>
      </c>
      <c r="F7471" s="67" t="str">
        <f t="shared" si="12"/>
        <v>3 LeadGen Set Appointments</v>
      </c>
    </row>
    <row r="7472" hidden="1">
      <c r="A7472" s="6" t="s">
        <v>89</v>
      </c>
      <c r="B7472" s="13" t="s">
        <v>2720</v>
      </c>
      <c r="C7472" s="13" t="s">
        <v>2721</v>
      </c>
      <c r="D7472" s="15">
        <v>3.0</v>
      </c>
      <c r="E7472" s="67">
        <f t="shared" si="18"/>
        <v>750</v>
      </c>
      <c r="F7472" s="67" t="str">
        <f t="shared" si="12"/>
        <v>3 LeadGen Set Appointments</v>
      </c>
    </row>
    <row r="7473" hidden="1">
      <c r="A7473" s="6" t="s">
        <v>89</v>
      </c>
      <c r="B7473" s="13" t="s">
        <v>2578</v>
      </c>
      <c r="C7473" s="13" t="s">
        <v>2579</v>
      </c>
      <c r="D7473" s="15">
        <v>3.0</v>
      </c>
      <c r="E7473" s="67">
        <f t="shared" si="18"/>
        <v>750</v>
      </c>
      <c r="F7473" s="67" t="str">
        <f t="shared" si="12"/>
        <v>3 LeadGen Set Appointments</v>
      </c>
    </row>
    <row r="7474" hidden="1">
      <c r="A7474" s="6" t="s">
        <v>89</v>
      </c>
      <c r="B7474" s="13" t="s">
        <v>2722</v>
      </c>
      <c r="C7474" s="13" t="s">
        <v>2723</v>
      </c>
      <c r="D7474" s="15">
        <v>2.0</v>
      </c>
      <c r="E7474" s="67">
        <f t="shared" si="18"/>
        <v>500</v>
      </c>
      <c r="F7474" s="67" t="str">
        <f t="shared" si="12"/>
        <v>2 LeadGen Set Appointments</v>
      </c>
    </row>
    <row r="7475" hidden="1">
      <c r="A7475" s="6" t="s">
        <v>89</v>
      </c>
      <c r="B7475" s="13" t="s">
        <v>2632</v>
      </c>
      <c r="C7475" s="13" t="s">
        <v>2633</v>
      </c>
      <c r="D7475" s="15">
        <v>2.0</v>
      </c>
      <c r="E7475" s="67">
        <f t="shared" si="18"/>
        <v>500</v>
      </c>
      <c r="F7475" s="67" t="str">
        <f t="shared" si="12"/>
        <v>2 LeadGen Set Appointments</v>
      </c>
    </row>
    <row r="7476" hidden="1">
      <c r="A7476" s="6" t="s">
        <v>89</v>
      </c>
      <c r="B7476" s="13" t="s">
        <v>2691</v>
      </c>
      <c r="C7476" s="13" t="s">
        <v>2692</v>
      </c>
      <c r="D7476" s="15">
        <v>2.0</v>
      </c>
      <c r="E7476" s="67">
        <f t="shared" si="18"/>
        <v>500</v>
      </c>
      <c r="F7476" s="67" t="str">
        <f t="shared" si="12"/>
        <v>2 LeadGen Set Appointments</v>
      </c>
    </row>
    <row r="7477" hidden="1">
      <c r="A7477" s="6" t="s">
        <v>89</v>
      </c>
      <c r="B7477" s="13" t="s">
        <v>2591</v>
      </c>
      <c r="C7477" s="13" t="s">
        <v>2592</v>
      </c>
      <c r="D7477" s="15">
        <v>2.0</v>
      </c>
      <c r="E7477" s="67">
        <f t="shared" si="18"/>
        <v>500</v>
      </c>
      <c r="F7477" s="67" t="str">
        <f t="shared" si="12"/>
        <v>2 LeadGen Set Appointments</v>
      </c>
    </row>
    <row r="7478" hidden="1">
      <c r="A7478" s="6" t="s">
        <v>89</v>
      </c>
      <c r="B7478" s="13" t="s">
        <v>2724</v>
      </c>
      <c r="C7478" s="13" t="s">
        <v>2725</v>
      </c>
      <c r="D7478" s="15">
        <v>2.0</v>
      </c>
      <c r="E7478" s="67">
        <f t="shared" si="18"/>
        <v>500</v>
      </c>
      <c r="F7478" s="67" t="str">
        <f t="shared" si="12"/>
        <v>2 LeadGen Set Appointments</v>
      </c>
    </row>
    <row r="7479" hidden="1">
      <c r="A7479" s="6" t="s">
        <v>89</v>
      </c>
      <c r="B7479" s="13" t="s">
        <v>2726</v>
      </c>
      <c r="C7479" s="13" t="s">
        <v>2727</v>
      </c>
      <c r="D7479" s="15">
        <v>2.0</v>
      </c>
      <c r="E7479" s="67">
        <f t="shared" si="18"/>
        <v>500</v>
      </c>
      <c r="F7479" s="67" t="str">
        <f t="shared" si="12"/>
        <v>2 LeadGen Set Appointments</v>
      </c>
    </row>
    <row r="7480" hidden="1">
      <c r="A7480" s="6" t="s">
        <v>89</v>
      </c>
      <c r="B7480" s="13" t="s">
        <v>2034</v>
      </c>
      <c r="C7480" s="13" t="s">
        <v>416</v>
      </c>
      <c r="D7480" s="15">
        <v>2.0</v>
      </c>
      <c r="E7480" s="67">
        <f t="shared" si="18"/>
        <v>500</v>
      </c>
      <c r="F7480" s="67" t="str">
        <f t="shared" si="12"/>
        <v>2 LeadGen Set Appointments</v>
      </c>
    </row>
    <row r="7481" hidden="1">
      <c r="A7481" s="6" t="s">
        <v>89</v>
      </c>
      <c r="B7481" s="13" t="s">
        <v>752</v>
      </c>
      <c r="C7481" s="13" t="s">
        <v>753</v>
      </c>
      <c r="D7481" s="15">
        <v>2.0</v>
      </c>
      <c r="E7481" s="67">
        <f t="shared" si="18"/>
        <v>500</v>
      </c>
      <c r="F7481" s="67" t="str">
        <f t="shared" si="12"/>
        <v>2 LeadGen Set Appointments</v>
      </c>
    </row>
    <row r="7482" hidden="1">
      <c r="A7482" s="6" t="s">
        <v>89</v>
      </c>
      <c r="B7482" s="13" t="s">
        <v>1510</v>
      </c>
      <c r="C7482" s="13" t="s">
        <v>1511</v>
      </c>
      <c r="D7482" s="15">
        <v>2.0</v>
      </c>
      <c r="E7482" s="67">
        <f t="shared" si="18"/>
        <v>500</v>
      </c>
      <c r="F7482" s="67" t="str">
        <f t="shared" si="12"/>
        <v>2 LeadGen Set Appointments</v>
      </c>
    </row>
    <row r="7483" hidden="1">
      <c r="A7483" s="6" t="s">
        <v>89</v>
      </c>
      <c r="B7483" s="13" t="s">
        <v>2097</v>
      </c>
      <c r="C7483" s="13" t="s">
        <v>828</v>
      </c>
      <c r="D7483" s="15">
        <v>2.0</v>
      </c>
      <c r="E7483" s="67">
        <f t="shared" si="18"/>
        <v>500</v>
      </c>
      <c r="F7483" s="67" t="str">
        <f t="shared" si="12"/>
        <v>2 LeadGen Set Appointments</v>
      </c>
    </row>
    <row r="7484" hidden="1">
      <c r="A7484" s="6" t="s">
        <v>89</v>
      </c>
      <c r="B7484" s="13" t="s">
        <v>2270</v>
      </c>
      <c r="C7484" s="13" t="s">
        <v>2687</v>
      </c>
      <c r="D7484" s="15">
        <v>2.0</v>
      </c>
      <c r="E7484" s="67">
        <f t="shared" si="18"/>
        <v>500</v>
      </c>
      <c r="F7484" s="67" t="str">
        <f t="shared" si="12"/>
        <v>2 LeadGen Set Appointments</v>
      </c>
    </row>
    <row r="7485" hidden="1">
      <c r="A7485" s="6" t="s">
        <v>89</v>
      </c>
      <c r="B7485" s="13" t="s">
        <v>2653</v>
      </c>
      <c r="C7485" s="13" t="s">
        <v>2654</v>
      </c>
      <c r="D7485" s="15">
        <v>2.0</v>
      </c>
      <c r="E7485" s="67">
        <f t="shared" si="18"/>
        <v>500</v>
      </c>
      <c r="F7485" s="67" t="str">
        <f t="shared" si="12"/>
        <v>2 LeadGen Set Appointments</v>
      </c>
    </row>
    <row r="7486" hidden="1">
      <c r="A7486" s="6" t="s">
        <v>89</v>
      </c>
      <c r="B7486" s="13" t="s">
        <v>2728</v>
      </c>
      <c r="C7486" s="13" t="s">
        <v>2729</v>
      </c>
      <c r="D7486" s="15">
        <v>2.0</v>
      </c>
      <c r="E7486" s="67">
        <f t="shared" si="18"/>
        <v>500</v>
      </c>
      <c r="F7486" s="67" t="str">
        <f t="shared" si="12"/>
        <v>2 LeadGen Set Appointments</v>
      </c>
    </row>
    <row r="7487" hidden="1">
      <c r="A7487" s="6" t="s">
        <v>89</v>
      </c>
      <c r="B7487" s="13" t="s">
        <v>2699</v>
      </c>
      <c r="C7487" s="13" t="s">
        <v>2700</v>
      </c>
      <c r="D7487" s="15">
        <v>2.0</v>
      </c>
      <c r="E7487" s="67">
        <f t="shared" si="18"/>
        <v>500</v>
      </c>
      <c r="F7487" s="67" t="str">
        <f t="shared" si="12"/>
        <v>2 LeadGen Set Appointments</v>
      </c>
    </row>
    <row r="7488" hidden="1">
      <c r="A7488" s="6" t="s">
        <v>89</v>
      </c>
      <c r="B7488" s="13" t="s">
        <v>2688</v>
      </c>
      <c r="C7488" s="13" t="s">
        <v>16</v>
      </c>
      <c r="D7488" s="15">
        <v>2.0</v>
      </c>
      <c r="E7488" s="67">
        <f t="shared" si="18"/>
        <v>500</v>
      </c>
      <c r="F7488" s="67" t="str">
        <f t="shared" si="12"/>
        <v>2 LeadGen Set Appointments</v>
      </c>
    </row>
    <row r="7489" hidden="1">
      <c r="A7489" s="6" t="s">
        <v>89</v>
      </c>
      <c r="B7489" s="13" t="s">
        <v>2236</v>
      </c>
      <c r="C7489" s="13" t="s">
        <v>2237</v>
      </c>
      <c r="D7489" s="15">
        <v>2.0</v>
      </c>
      <c r="E7489" s="67">
        <f t="shared" si="18"/>
        <v>500</v>
      </c>
      <c r="F7489" s="67" t="str">
        <f t="shared" si="12"/>
        <v>2 LeadGen Set Appointments</v>
      </c>
    </row>
    <row r="7490" hidden="1">
      <c r="A7490" s="6" t="s">
        <v>89</v>
      </c>
      <c r="B7490" s="13" t="s">
        <v>1883</v>
      </c>
      <c r="C7490" s="13" t="s">
        <v>1884</v>
      </c>
      <c r="D7490" s="15">
        <v>2.0</v>
      </c>
      <c r="E7490" s="67">
        <f t="shared" si="18"/>
        <v>500</v>
      </c>
      <c r="F7490" s="67" t="str">
        <f t="shared" si="12"/>
        <v>2 LeadGen Set Appointments</v>
      </c>
    </row>
    <row r="7491" hidden="1">
      <c r="A7491" s="6" t="s">
        <v>89</v>
      </c>
      <c r="B7491" s="13" t="s">
        <v>2730</v>
      </c>
      <c r="C7491" s="13" t="s">
        <v>2731</v>
      </c>
      <c r="D7491" s="15">
        <v>2.0</v>
      </c>
      <c r="E7491" s="67">
        <f t="shared" si="18"/>
        <v>500</v>
      </c>
      <c r="F7491" s="67" t="str">
        <f t="shared" si="12"/>
        <v>2 LeadGen Set Appointments</v>
      </c>
    </row>
    <row r="7492" hidden="1">
      <c r="A7492" s="6" t="s">
        <v>89</v>
      </c>
      <c r="B7492" s="13" t="s">
        <v>1897</v>
      </c>
      <c r="C7492" s="13" t="s">
        <v>2460</v>
      </c>
      <c r="D7492" s="15">
        <v>2.0</v>
      </c>
      <c r="E7492" s="67">
        <f t="shared" si="18"/>
        <v>500</v>
      </c>
      <c r="F7492" s="67" t="str">
        <f t="shared" si="12"/>
        <v>2 LeadGen Set Appointments</v>
      </c>
    </row>
    <row r="7493" hidden="1">
      <c r="A7493" s="6" t="s">
        <v>89</v>
      </c>
      <c r="B7493" s="13" t="s">
        <v>2442</v>
      </c>
      <c r="C7493" s="13" t="s">
        <v>2732</v>
      </c>
      <c r="D7493" s="15">
        <v>2.0</v>
      </c>
      <c r="E7493" s="67">
        <f t="shared" si="18"/>
        <v>500</v>
      </c>
      <c r="F7493" s="67" t="str">
        <f t="shared" si="12"/>
        <v>2 LeadGen Set Appointments</v>
      </c>
    </row>
    <row r="7494" hidden="1">
      <c r="A7494" s="6" t="s">
        <v>89</v>
      </c>
      <c r="B7494" s="13" t="s">
        <v>1283</v>
      </c>
      <c r="C7494" s="13" t="s">
        <v>404</v>
      </c>
      <c r="D7494" s="15">
        <v>2.0</v>
      </c>
      <c r="E7494" s="67">
        <f t="shared" si="18"/>
        <v>500</v>
      </c>
      <c r="F7494" s="67" t="str">
        <f t="shared" si="12"/>
        <v>2 LeadGen Set Appointments</v>
      </c>
    </row>
    <row r="7495" hidden="1">
      <c r="A7495" s="6" t="s">
        <v>89</v>
      </c>
      <c r="B7495" s="13" t="s">
        <v>2733</v>
      </c>
      <c r="C7495" s="13" t="s">
        <v>2734</v>
      </c>
      <c r="D7495" s="15">
        <v>2.0</v>
      </c>
      <c r="E7495" s="67">
        <f t="shared" si="18"/>
        <v>500</v>
      </c>
      <c r="F7495" s="67" t="str">
        <f t="shared" si="12"/>
        <v>2 LeadGen Set Appointments</v>
      </c>
    </row>
    <row r="7496" hidden="1">
      <c r="A7496" s="6" t="s">
        <v>89</v>
      </c>
      <c r="B7496" s="13" t="s">
        <v>606</v>
      </c>
      <c r="C7496" s="13" t="s">
        <v>607</v>
      </c>
      <c r="D7496" s="15">
        <v>1.0</v>
      </c>
      <c r="E7496" s="67">
        <f t="shared" si="18"/>
        <v>250</v>
      </c>
      <c r="F7496" s="67" t="str">
        <f t="shared" si="12"/>
        <v>1 LeadGen Set Appointments</v>
      </c>
    </row>
    <row r="7497" hidden="1">
      <c r="A7497" s="6" t="s">
        <v>89</v>
      </c>
      <c r="B7497" s="13" t="s">
        <v>900</v>
      </c>
      <c r="C7497" s="13" t="s">
        <v>901</v>
      </c>
      <c r="D7497" s="15">
        <v>1.0</v>
      </c>
      <c r="E7497" s="67">
        <f t="shared" si="18"/>
        <v>250</v>
      </c>
      <c r="F7497" s="67" t="str">
        <f t="shared" si="12"/>
        <v>1 LeadGen Set Appointments</v>
      </c>
    </row>
    <row r="7498" hidden="1">
      <c r="A7498" s="6" t="s">
        <v>89</v>
      </c>
      <c r="B7498" s="13" t="s">
        <v>2572</v>
      </c>
      <c r="C7498" s="13" t="s">
        <v>2573</v>
      </c>
      <c r="D7498" s="15">
        <v>1.0</v>
      </c>
      <c r="E7498" s="67">
        <f t="shared" si="18"/>
        <v>250</v>
      </c>
      <c r="F7498" s="67" t="str">
        <f t="shared" si="12"/>
        <v>1 LeadGen Set Appointments</v>
      </c>
    </row>
    <row r="7499" hidden="1">
      <c r="A7499" s="6" t="s">
        <v>89</v>
      </c>
      <c r="B7499" s="13" t="s">
        <v>2735</v>
      </c>
      <c r="C7499" s="13" t="s">
        <v>2736</v>
      </c>
      <c r="D7499" s="15">
        <v>1.0</v>
      </c>
      <c r="E7499" s="67">
        <f t="shared" si="18"/>
        <v>250</v>
      </c>
      <c r="F7499" s="67" t="str">
        <f t="shared" si="12"/>
        <v>1 LeadGen Set Appointments</v>
      </c>
    </row>
    <row r="7500" hidden="1">
      <c r="A7500" s="6" t="s">
        <v>89</v>
      </c>
      <c r="B7500" s="13" t="s">
        <v>2648</v>
      </c>
      <c r="C7500" s="13" t="s">
        <v>2649</v>
      </c>
      <c r="D7500" s="15">
        <v>1.0</v>
      </c>
      <c r="E7500" s="67">
        <f t="shared" si="18"/>
        <v>250</v>
      </c>
      <c r="F7500" s="67" t="str">
        <f t="shared" si="12"/>
        <v>1 LeadGen Set Appointments</v>
      </c>
    </row>
    <row r="7501" hidden="1">
      <c r="A7501" s="6" t="s">
        <v>89</v>
      </c>
      <c r="B7501" s="13" t="s">
        <v>2454</v>
      </c>
      <c r="C7501" s="13" t="s">
        <v>2455</v>
      </c>
      <c r="D7501" s="15">
        <v>1.0</v>
      </c>
      <c r="E7501" s="67">
        <f t="shared" si="18"/>
        <v>250</v>
      </c>
      <c r="F7501" s="67" t="str">
        <f t="shared" si="12"/>
        <v>1 LeadGen Set Appointments</v>
      </c>
    </row>
    <row r="7502" hidden="1">
      <c r="A7502" s="6" t="s">
        <v>89</v>
      </c>
      <c r="B7502" s="13" t="s">
        <v>273</v>
      </c>
      <c r="C7502" s="13" t="s">
        <v>274</v>
      </c>
      <c r="D7502" s="15">
        <v>1.0</v>
      </c>
      <c r="E7502" s="67">
        <f t="shared" si="18"/>
        <v>250</v>
      </c>
      <c r="F7502" s="67" t="str">
        <f t="shared" si="12"/>
        <v>1 LeadGen Set Appointments</v>
      </c>
    </row>
    <row r="7503" hidden="1">
      <c r="A7503" s="6" t="s">
        <v>89</v>
      </c>
      <c r="B7503" s="13" t="s">
        <v>1770</v>
      </c>
      <c r="C7503" s="13" t="s">
        <v>1771</v>
      </c>
      <c r="D7503" s="15">
        <v>1.0</v>
      </c>
      <c r="E7503" s="67">
        <f t="shared" si="18"/>
        <v>250</v>
      </c>
      <c r="F7503" s="67" t="str">
        <f t="shared" si="12"/>
        <v>1 LeadGen Set Appointments</v>
      </c>
    </row>
    <row r="7504" hidden="1">
      <c r="A7504" s="6" t="s">
        <v>89</v>
      </c>
      <c r="B7504" s="13" t="s">
        <v>2697</v>
      </c>
      <c r="C7504" s="13" t="s">
        <v>2698</v>
      </c>
      <c r="D7504" s="15">
        <v>1.0</v>
      </c>
      <c r="E7504" s="67">
        <f t="shared" si="18"/>
        <v>250</v>
      </c>
      <c r="F7504" s="67" t="str">
        <f t="shared" si="12"/>
        <v>1 LeadGen Set Appointments</v>
      </c>
    </row>
    <row r="7505" hidden="1">
      <c r="A7505" s="6" t="s">
        <v>89</v>
      </c>
      <c r="B7505" s="13" t="s">
        <v>2737</v>
      </c>
      <c r="C7505" s="13" t="s">
        <v>2738</v>
      </c>
      <c r="D7505" s="15">
        <v>1.0</v>
      </c>
      <c r="E7505" s="67">
        <f t="shared" si="18"/>
        <v>250</v>
      </c>
      <c r="F7505" s="67" t="str">
        <f t="shared" si="12"/>
        <v>1 LeadGen Set Appointments</v>
      </c>
    </row>
    <row r="7506" hidden="1">
      <c r="A7506" s="6" t="s">
        <v>89</v>
      </c>
      <c r="B7506" s="13" t="s">
        <v>2739</v>
      </c>
      <c r="C7506" s="13" t="s">
        <v>2740</v>
      </c>
      <c r="D7506" s="15">
        <v>1.0</v>
      </c>
      <c r="E7506" s="67">
        <f t="shared" si="18"/>
        <v>250</v>
      </c>
      <c r="F7506" s="67" t="str">
        <f t="shared" si="12"/>
        <v>1 LeadGen Set Appointments</v>
      </c>
    </row>
    <row r="7507" hidden="1">
      <c r="A7507" s="6" t="s">
        <v>89</v>
      </c>
      <c r="B7507" s="13" t="s">
        <v>2341</v>
      </c>
      <c r="C7507" s="13" t="s">
        <v>2342</v>
      </c>
      <c r="D7507" s="15">
        <v>1.0</v>
      </c>
      <c r="E7507" s="67">
        <f t="shared" si="18"/>
        <v>250</v>
      </c>
      <c r="F7507" s="67" t="str">
        <f t="shared" si="12"/>
        <v>1 LeadGen Set Appointments</v>
      </c>
    </row>
    <row r="7508" hidden="1">
      <c r="A7508" s="6" t="s">
        <v>89</v>
      </c>
      <c r="B7508" s="13" t="s">
        <v>2646</v>
      </c>
      <c r="C7508" s="13" t="s">
        <v>2647</v>
      </c>
      <c r="D7508" s="15">
        <v>1.0</v>
      </c>
      <c r="E7508" s="67">
        <f t="shared" si="18"/>
        <v>250</v>
      </c>
      <c r="F7508" s="67" t="str">
        <f t="shared" si="12"/>
        <v>1 LeadGen Set Appointments</v>
      </c>
    </row>
    <row r="7509" hidden="1">
      <c r="A7509" s="6" t="s">
        <v>89</v>
      </c>
      <c r="B7509" s="13" t="s">
        <v>862</v>
      </c>
      <c r="C7509" s="13" t="s">
        <v>863</v>
      </c>
      <c r="D7509" s="15">
        <v>3.0</v>
      </c>
      <c r="E7509" s="67">
        <f t="shared" si="18"/>
        <v>750</v>
      </c>
      <c r="F7509" s="67" t="str">
        <f t="shared" si="12"/>
        <v>3 LeadGen Set Appointments</v>
      </c>
    </row>
    <row r="7510" hidden="1">
      <c r="A7510" s="6" t="s">
        <v>89</v>
      </c>
      <c r="B7510" s="13" t="s">
        <v>2741</v>
      </c>
      <c r="C7510" s="13" t="s">
        <v>2742</v>
      </c>
      <c r="D7510" s="15">
        <v>1.0</v>
      </c>
      <c r="E7510" s="67">
        <f t="shared" si="18"/>
        <v>250</v>
      </c>
      <c r="F7510" s="67" t="str">
        <f t="shared" si="12"/>
        <v>1 LeadGen Set Appointments</v>
      </c>
    </row>
    <row r="7511" hidden="1">
      <c r="A7511" s="6" t="s">
        <v>89</v>
      </c>
      <c r="B7511" s="13" t="s">
        <v>2743</v>
      </c>
      <c r="C7511" s="13" t="s">
        <v>2744</v>
      </c>
      <c r="D7511" s="15">
        <v>1.0</v>
      </c>
      <c r="E7511" s="67">
        <f t="shared" si="18"/>
        <v>250</v>
      </c>
      <c r="F7511" s="67" t="str">
        <f t="shared" si="12"/>
        <v>1 LeadGen Set Appointments</v>
      </c>
    </row>
    <row r="7512" hidden="1">
      <c r="A7512" s="6" t="s">
        <v>89</v>
      </c>
      <c r="B7512" s="13" t="s">
        <v>2745</v>
      </c>
      <c r="C7512" s="13" t="s">
        <v>2746</v>
      </c>
      <c r="D7512" s="15">
        <v>2.0</v>
      </c>
      <c r="E7512" s="67">
        <f t="shared" si="18"/>
        <v>500</v>
      </c>
      <c r="F7512" s="67" t="str">
        <f t="shared" si="12"/>
        <v>2 LeadGen Set Appointments</v>
      </c>
    </row>
    <row r="7513" hidden="1">
      <c r="A7513" s="6" t="s">
        <v>89</v>
      </c>
      <c r="B7513" s="13" t="s">
        <v>2747</v>
      </c>
      <c r="C7513" s="13" t="s">
        <v>2748</v>
      </c>
      <c r="D7513" s="15">
        <v>1.0</v>
      </c>
      <c r="E7513" s="67">
        <f t="shared" si="18"/>
        <v>250</v>
      </c>
      <c r="F7513" s="67" t="str">
        <f t="shared" si="12"/>
        <v>1 LeadGen Set Appointments</v>
      </c>
    </row>
    <row r="7514" hidden="1">
      <c r="A7514" s="6" t="s">
        <v>89</v>
      </c>
      <c r="B7514" s="13" t="s">
        <v>2749</v>
      </c>
      <c r="C7514" s="13" t="s">
        <v>2750</v>
      </c>
      <c r="D7514" s="15">
        <v>1.0</v>
      </c>
      <c r="E7514" s="67">
        <f t="shared" si="18"/>
        <v>250</v>
      </c>
      <c r="F7514" s="67" t="str">
        <f t="shared" si="12"/>
        <v>1 LeadGen Set Appointments</v>
      </c>
    </row>
    <row r="7515" hidden="1">
      <c r="A7515" s="6" t="s">
        <v>89</v>
      </c>
      <c r="B7515" s="13" t="s">
        <v>1342</v>
      </c>
      <c r="C7515" s="13" t="s">
        <v>2751</v>
      </c>
      <c r="D7515" s="15">
        <v>1.0</v>
      </c>
      <c r="E7515" s="67">
        <f t="shared" si="18"/>
        <v>250</v>
      </c>
      <c r="F7515" s="67" t="str">
        <f t="shared" si="12"/>
        <v>1 LeadGen Set Appointments</v>
      </c>
    </row>
    <row r="7516" hidden="1">
      <c r="A7516" s="6" t="s">
        <v>89</v>
      </c>
      <c r="B7516" s="13" t="s">
        <v>2752</v>
      </c>
      <c r="C7516" s="13" t="s">
        <v>2753</v>
      </c>
      <c r="D7516" s="15">
        <v>1.0</v>
      </c>
      <c r="E7516" s="67">
        <f t="shared" si="18"/>
        <v>250</v>
      </c>
      <c r="F7516" s="67" t="str">
        <f t="shared" si="12"/>
        <v>1 LeadGen Set Appointments</v>
      </c>
    </row>
    <row r="7517" hidden="1">
      <c r="A7517" s="6" t="s">
        <v>89</v>
      </c>
      <c r="B7517" s="13" t="s">
        <v>2754</v>
      </c>
      <c r="C7517" s="13" t="s">
        <v>2755</v>
      </c>
      <c r="D7517" s="15">
        <v>7.0</v>
      </c>
      <c r="E7517" s="67">
        <f t="shared" si="18"/>
        <v>1750</v>
      </c>
      <c r="F7517" s="67" t="str">
        <f t="shared" si="12"/>
        <v>7 LeadGen Set Appointments</v>
      </c>
    </row>
    <row r="7518" hidden="1">
      <c r="A7518" s="6" t="s">
        <v>89</v>
      </c>
      <c r="B7518" s="13" t="s">
        <v>2756</v>
      </c>
      <c r="C7518" s="13" t="s">
        <v>2757</v>
      </c>
      <c r="D7518" s="15">
        <v>1.0</v>
      </c>
      <c r="E7518" s="67">
        <f t="shared" si="18"/>
        <v>250</v>
      </c>
      <c r="F7518" s="67" t="str">
        <f t="shared" si="12"/>
        <v>1 LeadGen Set Appointments</v>
      </c>
    </row>
    <row r="7519" hidden="1">
      <c r="A7519" s="6" t="s">
        <v>89</v>
      </c>
      <c r="B7519" s="13" t="s">
        <v>2758</v>
      </c>
      <c r="C7519" s="13" t="s">
        <v>2759</v>
      </c>
      <c r="D7519" s="15">
        <v>1.0</v>
      </c>
      <c r="E7519" s="67">
        <f t="shared" si="18"/>
        <v>250</v>
      </c>
      <c r="F7519" s="67" t="str">
        <f t="shared" si="12"/>
        <v>1 LeadGen Set Appointments</v>
      </c>
    </row>
    <row r="7520" hidden="1">
      <c r="A7520" s="6" t="s">
        <v>89</v>
      </c>
      <c r="B7520" s="13" t="s">
        <v>2760</v>
      </c>
      <c r="C7520" s="13" t="s">
        <v>2761</v>
      </c>
      <c r="D7520" s="15">
        <v>1.0</v>
      </c>
      <c r="E7520" s="67">
        <f t="shared" si="18"/>
        <v>250</v>
      </c>
      <c r="F7520" s="67" t="str">
        <f t="shared" si="12"/>
        <v>1 LeadGen Set Appointments</v>
      </c>
    </row>
    <row r="7521" hidden="1">
      <c r="A7521" s="6" t="s">
        <v>89</v>
      </c>
      <c r="B7521" s="13" t="s">
        <v>2762</v>
      </c>
      <c r="C7521" s="13" t="s">
        <v>2763</v>
      </c>
      <c r="D7521" s="15">
        <v>2.0</v>
      </c>
      <c r="E7521" s="67">
        <f t="shared" si="18"/>
        <v>500</v>
      </c>
      <c r="F7521" s="67" t="str">
        <f t="shared" si="12"/>
        <v>2 LeadGen Set Appointments</v>
      </c>
    </row>
    <row r="7522" hidden="1">
      <c r="A7522" s="6" t="s">
        <v>89</v>
      </c>
      <c r="B7522" s="13" t="s">
        <v>2764</v>
      </c>
      <c r="C7522" s="13" t="s">
        <v>2765</v>
      </c>
      <c r="D7522" s="15">
        <v>2.0</v>
      </c>
      <c r="E7522" s="67">
        <f t="shared" si="18"/>
        <v>500</v>
      </c>
      <c r="F7522" s="67" t="str">
        <f t="shared" si="12"/>
        <v>2 LeadGen Set Appointments</v>
      </c>
    </row>
    <row r="7523" hidden="1">
      <c r="A7523" s="6" t="s">
        <v>89</v>
      </c>
      <c r="B7523" s="13" t="s">
        <v>2766</v>
      </c>
      <c r="C7523" s="13" t="s">
        <v>2767</v>
      </c>
      <c r="D7523" s="15">
        <v>1.0</v>
      </c>
      <c r="E7523" s="67">
        <f t="shared" si="18"/>
        <v>250</v>
      </c>
      <c r="F7523" s="67" t="str">
        <f t="shared" si="12"/>
        <v>1 LeadGen Set Appointments</v>
      </c>
    </row>
    <row r="7524" hidden="1">
      <c r="A7524" s="6" t="s">
        <v>89</v>
      </c>
      <c r="B7524" s="13" t="s">
        <v>1988</v>
      </c>
      <c r="C7524" s="13" t="s">
        <v>1989</v>
      </c>
      <c r="D7524" s="15">
        <v>5.0</v>
      </c>
      <c r="E7524" s="67">
        <f t="shared" si="18"/>
        <v>1250</v>
      </c>
      <c r="F7524" s="67" t="str">
        <f t="shared" si="12"/>
        <v>5 LeadGen Set Appointments</v>
      </c>
    </row>
    <row r="7525" hidden="1">
      <c r="A7525" s="6" t="s">
        <v>89</v>
      </c>
      <c r="B7525" s="13" t="s">
        <v>2768</v>
      </c>
      <c r="C7525" s="13" t="s">
        <v>2769</v>
      </c>
      <c r="D7525" s="15">
        <v>5.0</v>
      </c>
      <c r="E7525" s="67">
        <f t="shared" si="18"/>
        <v>1250</v>
      </c>
      <c r="F7525" s="67" t="str">
        <f t="shared" si="12"/>
        <v>5 LeadGen Set Appointments</v>
      </c>
    </row>
    <row r="7526" hidden="1">
      <c r="A7526" s="6" t="s">
        <v>89</v>
      </c>
      <c r="B7526" s="13" t="s">
        <v>1356</v>
      </c>
      <c r="C7526" s="13" t="s">
        <v>581</v>
      </c>
      <c r="D7526" s="15">
        <v>2.0</v>
      </c>
      <c r="E7526" s="67">
        <f t="shared" si="18"/>
        <v>500</v>
      </c>
      <c r="F7526" s="67" t="str">
        <f t="shared" si="12"/>
        <v>2 LeadGen Set Appointments</v>
      </c>
    </row>
    <row r="7527" hidden="1">
      <c r="A7527" s="6" t="s">
        <v>89</v>
      </c>
      <c r="B7527" s="13" t="s">
        <v>234</v>
      </c>
      <c r="C7527" s="13" t="s">
        <v>2770</v>
      </c>
      <c r="D7527" s="15">
        <v>4.0</v>
      </c>
      <c r="E7527" s="67">
        <f t="shared" si="18"/>
        <v>1000</v>
      </c>
      <c r="F7527" s="67" t="str">
        <f t="shared" si="12"/>
        <v>4 LeadGen Set Appointments</v>
      </c>
    </row>
    <row r="7528" hidden="1">
      <c r="A7528" s="6" t="s">
        <v>89</v>
      </c>
      <c r="B7528" s="13" t="s">
        <v>1973</v>
      </c>
      <c r="C7528" s="13" t="s">
        <v>1974</v>
      </c>
      <c r="D7528" s="15">
        <v>1.0</v>
      </c>
      <c r="E7528" s="67">
        <f t="shared" si="18"/>
        <v>250</v>
      </c>
      <c r="F7528" s="67" t="str">
        <f t="shared" si="12"/>
        <v>1 LeadGen Set Appointments</v>
      </c>
    </row>
    <row r="7529" hidden="1">
      <c r="A7529" s="6" t="s">
        <v>89</v>
      </c>
      <c r="B7529" s="13" t="s">
        <v>2771</v>
      </c>
      <c r="C7529" s="8" t="s">
        <v>2772</v>
      </c>
      <c r="D7529" s="9">
        <v>2.0</v>
      </c>
      <c r="E7529" s="67">
        <f t="shared" si="18"/>
        <v>500</v>
      </c>
      <c r="F7529" s="67" t="str">
        <f t="shared" si="12"/>
        <v>2 LeadGen Set Appointments</v>
      </c>
    </row>
    <row r="7530" hidden="1">
      <c r="A7530" s="6" t="s">
        <v>89</v>
      </c>
      <c r="B7530" s="13" t="s">
        <v>2773</v>
      </c>
      <c r="C7530" s="8" t="s">
        <v>2774</v>
      </c>
      <c r="D7530" s="9">
        <v>4.0</v>
      </c>
      <c r="E7530" s="67">
        <f t="shared" si="18"/>
        <v>1000</v>
      </c>
      <c r="F7530" s="67" t="str">
        <f t="shared" si="12"/>
        <v>4 LeadGen Set Appointments</v>
      </c>
    </row>
    <row r="7531" hidden="1">
      <c r="A7531" s="6" t="s">
        <v>92</v>
      </c>
      <c r="B7531" s="13" t="s">
        <v>476</v>
      </c>
      <c r="C7531" s="13" t="s">
        <v>477</v>
      </c>
      <c r="D7531" s="15">
        <v>51.0</v>
      </c>
      <c r="E7531" s="67">
        <f t="shared" si="18"/>
        <v>25500</v>
      </c>
      <c r="F7531" s="67" t="str">
        <f t="shared" si="12"/>
        <v>51 LeadGen Set Appointments</v>
      </c>
    </row>
    <row r="7532" hidden="1">
      <c r="A7532" s="6" t="s">
        <v>92</v>
      </c>
      <c r="B7532" s="13" t="s">
        <v>644</v>
      </c>
      <c r="C7532" s="13" t="s">
        <v>645</v>
      </c>
      <c r="D7532" s="15">
        <v>32.0</v>
      </c>
      <c r="E7532" s="67">
        <f t="shared" si="18"/>
        <v>16000</v>
      </c>
      <c r="F7532" s="67" t="str">
        <f t="shared" si="12"/>
        <v>32 LeadGen Set Appointments</v>
      </c>
    </row>
    <row r="7533" hidden="1">
      <c r="A7533" s="6" t="s">
        <v>92</v>
      </c>
      <c r="B7533" s="13" t="s">
        <v>540</v>
      </c>
      <c r="C7533" s="13" t="s">
        <v>541</v>
      </c>
      <c r="D7533" s="15">
        <v>28.0</v>
      </c>
      <c r="E7533" s="67">
        <f t="shared" si="18"/>
        <v>14000</v>
      </c>
      <c r="F7533" s="67" t="str">
        <f t="shared" si="12"/>
        <v>28 LeadGen Set Appointments</v>
      </c>
    </row>
    <row r="7534" hidden="1">
      <c r="A7534" s="6" t="s">
        <v>92</v>
      </c>
      <c r="B7534" s="13" t="s">
        <v>723</v>
      </c>
      <c r="C7534" s="13" t="s">
        <v>724</v>
      </c>
      <c r="D7534" s="15">
        <v>24.0</v>
      </c>
      <c r="E7534" s="67">
        <f t="shared" si="18"/>
        <v>12000</v>
      </c>
      <c r="F7534" s="67" t="str">
        <f t="shared" si="12"/>
        <v>24 LeadGen Set Appointments</v>
      </c>
    </row>
    <row r="7535" hidden="1">
      <c r="A7535" s="6" t="s">
        <v>92</v>
      </c>
      <c r="B7535" s="13" t="s">
        <v>435</v>
      </c>
      <c r="C7535" s="13" t="s">
        <v>436</v>
      </c>
      <c r="D7535" s="15">
        <v>18.0</v>
      </c>
      <c r="E7535" s="67">
        <f t="shared" si="18"/>
        <v>9000</v>
      </c>
      <c r="F7535" s="67" t="str">
        <f t="shared" si="12"/>
        <v>18 LeadGen Set Appointments</v>
      </c>
    </row>
    <row r="7536" hidden="1">
      <c r="A7536" s="6" t="s">
        <v>92</v>
      </c>
      <c r="B7536" s="13" t="s">
        <v>640</v>
      </c>
      <c r="C7536" s="13" t="s">
        <v>641</v>
      </c>
      <c r="D7536" s="15">
        <v>16.0</v>
      </c>
      <c r="E7536" s="67">
        <f t="shared" si="18"/>
        <v>8000</v>
      </c>
      <c r="F7536" s="67" t="str">
        <f t="shared" si="12"/>
        <v>16 LeadGen Set Appointments</v>
      </c>
    </row>
    <row r="7537" hidden="1">
      <c r="A7537" s="6" t="s">
        <v>92</v>
      </c>
      <c r="B7537" s="13" t="s">
        <v>746</v>
      </c>
      <c r="C7537" s="13" t="s">
        <v>747</v>
      </c>
      <c r="D7537" s="15">
        <v>16.0</v>
      </c>
      <c r="E7537" s="67">
        <f t="shared" si="18"/>
        <v>8000</v>
      </c>
      <c r="F7537" s="67" t="str">
        <f t="shared" si="12"/>
        <v>16 LeadGen Set Appointments</v>
      </c>
    </row>
    <row r="7538" hidden="1">
      <c r="A7538" s="6" t="s">
        <v>92</v>
      </c>
      <c r="B7538" s="13" t="s">
        <v>736</v>
      </c>
      <c r="C7538" s="13" t="s">
        <v>737</v>
      </c>
      <c r="D7538" s="15">
        <v>15.0</v>
      </c>
      <c r="E7538" s="67">
        <f t="shared" si="18"/>
        <v>7500</v>
      </c>
      <c r="F7538" s="67" t="str">
        <f t="shared" si="12"/>
        <v>15 LeadGen Set Appointments</v>
      </c>
    </row>
    <row r="7539" hidden="1">
      <c r="A7539" s="6" t="s">
        <v>92</v>
      </c>
      <c r="B7539" s="13" t="s">
        <v>516</v>
      </c>
      <c r="C7539" s="13" t="s">
        <v>517</v>
      </c>
      <c r="D7539" s="15">
        <v>14.0</v>
      </c>
      <c r="E7539" s="67">
        <f t="shared" si="18"/>
        <v>7000</v>
      </c>
      <c r="F7539" s="67" t="str">
        <f t="shared" si="12"/>
        <v>14 LeadGen Set Appointments</v>
      </c>
    </row>
    <row r="7540" hidden="1">
      <c r="A7540" s="6" t="s">
        <v>92</v>
      </c>
      <c r="B7540" s="13" t="s">
        <v>766</v>
      </c>
      <c r="C7540" s="13" t="s">
        <v>767</v>
      </c>
      <c r="D7540" s="15">
        <v>14.0</v>
      </c>
      <c r="E7540" s="67">
        <f t="shared" si="18"/>
        <v>7000</v>
      </c>
      <c r="F7540" s="67" t="str">
        <f t="shared" si="12"/>
        <v>14 LeadGen Set Appointments</v>
      </c>
    </row>
    <row r="7541" hidden="1">
      <c r="A7541" s="6" t="s">
        <v>92</v>
      </c>
      <c r="B7541" s="13" t="s">
        <v>542</v>
      </c>
      <c r="C7541" s="13" t="s">
        <v>543</v>
      </c>
      <c r="D7541" s="15">
        <v>13.0</v>
      </c>
      <c r="E7541" s="67">
        <f t="shared" si="18"/>
        <v>6500</v>
      </c>
      <c r="F7541" s="67" t="str">
        <f t="shared" si="12"/>
        <v>13 LeadGen Set Appointments</v>
      </c>
    </row>
    <row r="7542" hidden="1">
      <c r="A7542" s="6" t="s">
        <v>92</v>
      </c>
      <c r="B7542" s="13" t="s">
        <v>2548</v>
      </c>
      <c r="C7542" s="13" t="s">
        <v>2549</v>
      </c>
      <c r="D7542" s="15">
        <v>12.0</v>
      </c>
      <c r="E7542" s="67">
        <f t="shared" si="18"/>
        <v>6000</v>
      </c>
      <c r="F7542" s="67" t="str">
        <f t="shared" si="12"/>
        <v>12 LeadGen Set Appointments</v>
      </c>
    </row>
    <row r="7543" hidden="1">
      <c r="A7543" s="6" t="s">
        <v>92</v>
      </c>
      <c r="B7543" s="13" t="s">
        <v>1415</v>
      </c>
      <c r="C7543" s="13" t="s">
        <v>1416</v>
      </c>
      <c r="D7543" s="15">
        <v>12.0</v>
      </c>
      <c r="E7543" s="67">
        <f t="shared" si="18"/>
        <v>6000</v>
      </c>
      <c r="F7543" s="67" t="str">
        <f t="shared" si="12"/>
        <v>12 LeadGen Set Appointments</v>
      </c>
    </row>
    <row r="7544" hidden="1">
      <c r="A7544" s="6" t="s">
        <v>92</v>
      </c>
      <c r="B7544" s="13" t="s">
        <v>2705</v>
      </c>
      <c r="C7544" s="13" t="s">
        <v>2706</v>
      </c>
      <c r="D7544" s="15">
        <v>12.0</v>
      </c>
      <c r="E7544" s="67">
        <f t="shared" si="18"/>
        <v>6000</v>
      </c>
      <c r="F7544" s="67" t="str">
        <f t="shared" si="12"/>
        <v>12 LeadGen Set Appointments</v>
      </c>
    </row>
    <row r="7545" hidden="1">
      <c r="A7545" s="6" t="s">
        <v>92</v>
      </c>
      <c r="B7545" s="13" t="s">
        <v>500</v>
      </c>
      <c r="C7545" s="13" t="s">
        <v>501</v>
      </c>
      <c r="D7545" s="15">
        <v>11.0</v>
      </c>
      <c r="E7545" s="67">
        <f t="shared" si="18"/>
        <v>5500</v>
      </c>
      <c r="F7545" s="67" t="str">
        <f t="shared" si="12"/>
        <v>11 LeadGen Set Appointments</v>
      </c>
    </row>
    <row r="7546" hidden="1">
      <c r="A7546" s="6" t="s">
        <v>92</v>
      </c>
      <c r="B7546" s="13" t="s">
        <v>1426</v>
      </c>
      <c r="C7546" s="13" t="s">
        <v>1427</v>
      </c>
      <c r="D7546" s="15">
        <v>11.0</v>
      </c>
      <c r="E7546" s="67">
        <f t="shared" si="18"/>
        <v>5500</v>
      </c>
      <c r="F7546" s="67" t="str">
        <f t="shared" si="12"/>
        <v>11 LeadGen Set Appointments</v>
      </c>
    </row>
    <row r="7547" hidden="1">
      <c r="A7547" s="6" t="s">
        <v>92</v>
      </c>
      <c r="B7547" s="13" t="s">
        <v>486</v>
      </c>
      <c r="C7547" s="13" t="s">
        <v>487</v>
      </c>
      <c r="D7547" s="15">
        <v>11.0</v>
      </c>
      <c r="E7547" s="67">
        <f t="shared" si="18"/>
        <v>5500</v>
      </c>
      <c r="F7547" s="67" t="str">
        <f t="shared" si="12"/>
        <v>11 LeadGen Set Appointments</v>
      </c>
    </row>
    <row r="7548" hidden="1">
      <c r="A7548" s="6" t="s">
        <v>92</v>
      </c>
      <c r="B7548" s="13" t="s">
        <v>510</v>
      </c>
      <c r="C7548" s="13" t="s">
        <v>511</v>
      </c>
      <c r="D7548" s="15">
        <v>11.0</v>
      </c>
      <c r="E7548" s="67">
        <f t="shared" si="18"/>
        <v>5500</v>
      </c>
      <c r="F7548" s="67" t="str">
        <f t="shared" si="12"/>
        <v>11 LeadGen Set Appointments</v>
      </c>
    </row>
    <row r="7549" hidden="1">
      <c r="A7549" s="6" t="s">
        <v>92</v>
      </c>
      <c r="B7549" s="13" t="s">
        <v>624</v>
      </c>
      <c r="C7549" s="13" t="s">
        <v>625</v>
      </c>
      <c r="D7549" s="15">
        <v>11.0</v>
      </c>
      <c r="E7549" s="67">
        <f t="shared" si="18"/>
        <v>5500</v>
      </c>
      <c r="F7549" s="67" t="str">
        <f t="shared" si="12"/>
        <v>11 LeadGen Set Appointments</v>
      </c>
    </row>
    <row r="7550" hidden="1">
      <c r="A7550" s="6" t="s">
        <v>92</v>
      </c>
      <c r="B7550" s="13" t="s">
        <v>2077</v>
      </c>
      <c r="C7550" s="13" t="s">
        <v>2078</v>
      </c>
      <c r="D7550" s="15">
        <v>11.0</v>
      </c>
      <c r="E7550" s="67">
        <f t="shared" si="18"/>
        <v>5500</v>
      </c>
      <c r="F7550" s="67" t="str">
        <f t="shared" si="12"/>
        <v>11 LeadGen Set Appointments</v>
      </c>
    </row>
    <row r="7551" hidden="1">
      <c r="A7551" s="6" t="s">
        <v>92</v>
      </c>
      <c r="B7551" s="13" t="s">
        <v>2479</v>
      </c>
      <c r="C7551" s="13" t="s">
        <v>2480</v>
      </c>
      <c r="D7551" s="15">
        <v>11.0</v>
      </c>
      <c r="E7551" s="67">
        <f t="shared" si="18"/>
        <v>5500</v>
      </c>
      <c r="F7551" s="67" t="str">
        <f t="shared" si="12"/>
        <v>11 LeadGen Set Appointments</v>
      </c>
    </row>
    <row r="7552" hidden="1">
      <c r="A7552" s="6" t="s">
        <v>92</v>
      </c>
      <c r="B7552" s="13" t="s">
        <v>1380</v>
      </c>
      <c r="C7552" s="13" t="s">
        <v>1381</v>
      </c>
      <c r="D7552" s="15">
        <v>10.0</v>
      </c>
      <c r="E7552" s="67">
        <f t="shared" si="18"/>
        <v>5000</v>
      </c>
      <c r="F7552" s="67" t="str">
        <f t="shared" si="12"/>
        <v>10 LeadGen Set Appointments</v>
      </c>
    </row>
    <row r="7553" hidden="1">
      <c r="A7553" s="6" t="s">
        <v>92</v>
      </c>
      <c r="B7553" s="13" t="s">
        <v>1543</v>
      </c>
      <c r="C7553" s="13" t="s">
        <v>1544</v>
      </c>
      <c r="D7553" s="15">
        <v>10.0</v>
      </c>
      <c r="E7553" s="67">
        <f t="shared" si="18"/>
        <v>5000</v>
      </c>
      <c r="F7553" s="67" t="str">
        <f t="shared" si="12"/>
        <v>10 LeadGen Set Appointments</v>
      </c>
    </row>
    <row r="7554" hidden="1">
      <c r="A7554" s="6" t="s">
        <v>92</v>
      </c>
      <c r="B7554" s="13" t="s">
        <v>1334</v>
      </c>
      <c r="C7554" s="13" t="s">
        <v>553</v>
      </c>
      <c r="D7554" s="15">
        <v>10.0</v>
      </c>
      <c r="E7554" s="67">
        <f t="shared" si="18"/>
        <v>5000</v>
      </c>
      <c r="F7554" s="67" t="str">
        <f t="shared" si="12"/>
        <v>10 LeadGen Set Appointments</v>
      </c>
    </row>
    <row r="7555" hidden="1">
      <c r="A7555" s="6" t="s">
        <v>92</v>
      </c>
      <c r="B7555" s="13" t="s">
        <v>411</v>
      </c>
      <c r="C7555" s="13" t="s">
        <v>412</v>
      </c>
      <c r="D7555" s="15">
        <v>10.0</v>
      </c>
      <c r="E7555" s="67">
        <f t="shared" si="18"/>
        <v>5000</v>
      </c>
      <c r="F7555" s="67" t="str">
        <f t="shared" si="12"/>
        <v>10 LeadGen Set Appointments</v>
      </c>
    </row>
    <row r="7556" hidden="1">
      <c r="A7556" s="6" t="s">
        <v>92</v>
      </c>
      <c r="B7556" s="13" t="s">
        <v>604</v>
      </c>
      <c r="C7556" s="13" t="s">
        <v>605</v>
      </c>
      <c r="D7556" s="15">
        <v>10.0</v>
      </c>
      <c r="E7556" s="67">
        <f t="shared" si="18"/>
        <v>5000</v>
      </c>
      <c r="F7556" s="67" t="str">
        <f t="shared" si="12"/>
        <v>10 LeadGen Set Appointments</v>
      </c>
    </row>
    <row r="7557" hidden="1">
      <c r="A7557" s="6" t="s">
        <v>92</v>
      </c>
      <c r="B7557" s="13" t="s">
        <v>258</v>
      </c>
      <c r="C7557" s="13" t="s">
        <v>2386</v>
      </c>
      <c r="D7557" s="15">
        <v>10.0</v>
      </c>
      <c r="E7557" s="67">
        <f t="shared" si="18"/>
        <v>5000</v>
      </c>
      <c r="F7557" s="67" t="str">
        <f t="shared" si="12"/>
        <v>10 LeadGen Set Appointments</v>
      </c>
    </row>
    <row r="7558" hidden="1">
      <c r="A7558" s="6" t="s">
        <v>92</v>
      </c>
      <c r="B7558" s="13" t="s">
        <v>1471</v>
      </c>
      <c r="C7558" s="13" t="s">
        <v>1472</v>
      </c>
      <c r="D7558" s="15">
        <v>10.0</v>
      </c>
      <c r="E7558" s="67">
        <f t="shared" si="18"/>
        <v>5000</v>
      </c>
      <c r="F7558" s="67" t="str">
        <f t="shared" si="12"/>
        <v>10 LeadGen Set Appointments</v>
      </c>
    </row>
    <row r="7559" hidden="1">
      <c r="A7559" s="6" t="s">
        <v>92</v>
      </c>
      <c r="B7559" s="13" t="s">
        <v>413</v>
      </c>
      <c r="C7559" s="13" t="s">
        <v>414</v>
      </c>
      <c r="D7559" s="15">
        <v>10.0</v>
      </c>
      <c r="E7559" s="67">
        <f t="shared" si="18"/>
        <v>5000</v>
      </c>
      <c r="F7559" s="67" t="str">
        <f t="shared" si="12"/>
        <v>10 LeadGen Set Appointments</v>
      </c>
    </row>
    <row r="7560" hidden="1">
      <c r="A7560" s="6" t="s">
        <v>92</v>
      </c>
      <c r="B7560" s="13" t="s">
        <v>1461</v>
      </c>
      <c r="C7560" s="13" t="s">
        <v>1462</v>
      </c>
      <c r="D7560" s="15">
        <v>9.0</v>
      </c>
      <c r="E7560" s="67">
        <f t="shared" si="18"/>
        <v>2250</v>
      </c>
      <c r="F7560" s="67" t="str">
        <f t="shared" si="12"/>
        <v>9 LeadGen Set Appointments</v>
      </c>
    </row>
    <row r="7561" hidden="1">
      <c r="A7561" s="6" t="s">
        <v>92</v>
      </c>
      <c r="B7561" s="13" t="s">
        <v>1937</v>
      </c>
      <c r="C7561" s="13" t="s">
        <v>1938</v>
      </c>
      <c r="D7561" s="15">
        <v>9.0</v>
      </c>
      <c r="E7561" s="67">
        <f t="shared" si="18"/>
        <v>2250</v>
      </c>
      <c r="F7561" s="67" t="str">
        <f t="shared" si="12"/>
        <v>9 LeadGen Set Appointments</v>
      </c>
    </row>
    <row r="7562" hidden="1">
      <c r="A7562" s="6" t="s">
        <v>92</v>
      </c>
      <c r="B7562" s="13" t="s">
        <v>532</v>
      </c>
      <c r="C7562" s="13" t="s">
        <v>533</v>
      </c>
      <c r="D7562" s="15">
        <v>9.0</v>
      </c>
      <c r="E7562" s="67">
        <f t="shared" si="18"/>
        <v>2250</v>
      </c>
      <c r="F7562" s="67" t="str">
        <f t="shared" si="12"/>
        <v>9 LeadGen Set Appointments</v>
      </c>
    </row>
    <row r="7563" hidden="1">
      <c r="A7563" s="6" t="s">
        <v>92</v>
      </c>
      <c r="B7563" s="13" t="s">
        <v>2771</v>
      </c>
      <c r="C7563" s="13" t="s">
        <v>2772</v>
      </c>
      <c r="D7563" s="15">
        <v>8.0</v>
      </c>
      <c r="E7563" s="67">
        <f t="shared" si="18"/>
        <v>2000</v>
      </c>
      <c r="F7563" s="67" t="str">
        <f t="shared" si="12"/>
        <v>8 LeadGen Set Appointments</v>
      </c>
    </row>
    <row r="7564" hidden="1">
      <c r="A7564" s="6" t="s">
        <v>92</v>
      </c>
      <c r="B7564" s="13" t="s">
        <v>2752</v>
      </c>
      <c r="C7564" s="13" t="s">
        <v>2753</v>
      </c>
      <c r="D7564" s="15">
        <v>8.0</v>
      </c>
      <c r="E7564" s="67">
        <f t="shared" si="18"/>
        <v>2000</v>
      </c>
      <c r="F7564" s="67" t="str">
        <f t="shared" si="12"/>
        <v>8 LeadGen Set Appointments</v>
      </c>
    </row>
    <row r="7565" hidden="1">
      <c r="A7565" s="6" t="s">
        <v>92</v>
      </c>
      <c r="B7565" s="13" t="s">
        <v>2100</v>
      </c>
      <c r="C7565" s="13" t="s">
        <v>2101</v>
      </c>
      <c r="D7565" s="15">
        <v>8.0</v>
      </c>
      <c r="E7565" s="67">
        <f t="shared" si="18"/>
        <v>2000</v>
      </c>
      <c r="F7565" s="67" t="str">
        <f t="shared" si="12"/>
        <v>8 LeadGen Set Appointments</v>
      </c>
    </row>
    <row r="7566" hidden="1">
      <c r="A7566" s="6" t="s">
        <v>92</v>
      </c>
      <c r="B7566" s="13" t="s">
        <v>524</v>
      </c>
      <c r="C7566" s="13" t="s">
        <v>525</v>
      </c>
      <c r="D7566" s="15">
        <v>8.0</v>
      </c>
      <c r="E7566" s="67">
        <f t="shared" si="18"/>
        <v>2000</v>
      </c>
      <c r="F7566" s="67" t="str">
        <f t="shared" si="12"/>
        <v>8 LeadGen Set Appointments</v>
      </c>
    </row>
    <row r="7567" hidden="1">
      <c r="A7567" s="6" t="s">
        <v>92</v>
      </c>
      <c r="B7567" s="13" t="s">
        <v>443</v>
      </c>
      <c r="C7567" s="13" t="s">
        <v>444</v>
      </c>
      <c r="D7567" s="15">
        <v>8.0</v>
      </c>
      <c r="E7567" s="67">
        <f t="shared" si="18"/>
        <v>2000</v>
      </c>
      <c r="F7567" s="67" t="str">
        <f t="shared" si="12"/>
        <v>8 LeadGen Set Appointments</v>
      </c>
    </row>
    <row r="7568" hidden="1">
      <c r="A7568" s="6" t="s">
        <v>92</v>
      </c>
      <c r="B7568" s="13" t="s">
        <v>699</v>
      </c>
      <c r="C7568" s="13" t="s">
        <v>700</v>
      </c>
      <c r="D7568" s="15">
        <v>8.0</v>
      </c>
      <c r="E7568" s="67">
        <f t="shared" si="18"/>
        <v>2000</v>
      </c>
      <c r="F7568" s="67" t="str">
        <f t="shared" si="12"/>
        <v>8 LeadGen Set Appointments</v>
      </c>
    </row>
    <row r="7569" hidden="1">
      <c r="A7569" s="6" t="s">
        <v>92</v>
      </c>
      <c r="B7569" s="13" t="s">
        <v>1865</v>
      </c>
      <c r="C7569" s="13" t="s">
        <v>1866</v>
      </c>
      <c r="D7569" s="15">
        <v>8.0</v>
      </c>
      <c r="E7569" s="67">
        <f t="shared" si="18"/>
        <v>2000</v>
      </c>
      <c r="F7569" s="67" t="str">
        <f t="shared" si="12"/>
        <v>8 LeadGen Set Appointments</v>
      </c>
    </row>
    <row r="7570" hidden="1">
      <c r="A7570" s="6" t="s">
        <v>92</v>
      </c>
      <c r="B7570" s="13" t="s">
        <v>576</v>
      </c>
      <c r="C7570" s="13" t="s">
        <v>577</v>
      </c>
      <c r="D7570" s="15">
        <v>7.0</v>
      </c>
      <c r="E7570" s="67">
        <f t="shared" si="18"/>
        <v>1750</v>
      </c>
      <c r="F7570" s="67" t="str">
        <f t="shared" si="12"/>
        <v>7 LeadGen Set Appointments</v>
      </c>
    </row>
    <row r="7571" hidden="1">
      <c r="A7571" s="6" t="s">
        <v>92</v>
      </c>
      <c r="B7571" s="13" t="s">
        <v>2665</v>
      </c>
      <c r="C7571" s="13" t="s">
        <v>2666</v>
      </c>
      <c r="D7571" s="15">
        <v>7.0</v>
      </c>
      <c r="E7571" s="67">
        <f t="shared" si="18"/>
        <v>1750</v>
      </c>
      <c r="F7571" s="67" t="str">
        <f t="shared" si="12"/>
        <v>7 LeadGen Set Appointments</v>
      </c>
    </row>
    <row r="7572" hidden="1">
      <c r="A7572" s="6" t="s">
        <v>92</v>
      </c>
      <c r="B7572" s="13" t="s">
        <v>684</v>
      </c>
      <c r="C7572" s="13" t="s">
        <v>685</v>
      </c>
      <c r="D7572" s="15">
        <v>7.0</v>
      </c>
      <c r="E7572" s="67">
        <f t="shared" si="18"/>
        <v>1750</v>
      </c>
      <c r="F7572" s="67" t="str">
        <f t="shared" si="12"/>
        <v>7 LeadGen Set Appointments</v>
      </c>
    </row>
    <row r="7573" hidden="1">
      <c r="A7573" s="6" t="s">
        <v>92</v>
      </c>
      <c r="B7573" s="13" t="s">
        <v>502</v>
      </c>
      <c r="C7573" s="13" t="s">
        <v>503</v>
      </c>
      <c r="D7573" s="15">
        <v>7.0</v>
      </c>
      <c r="E7573" s="67">
        <f t="shared" si="18"/>
        <v>1750</v>
      </c>
      <c r="F7573" s="67" t="str">
        <f t="shared" si="12"/>
        <v>7 LeadGen Set Appointments</v>
      </c>
    </row>
    <row r="7574" hidden="1">
      <c r="A7574" s="6" t="s">
        <v>92</v>
      </c>
      <c r="B7574" s="13" t="s">
        <v>693</v>
      </c>
      <c r="C7574" s="13" t="s">
        <v>694</v>
      </c>
      <c r="D7574" s="15">
        <v>7.0</v>
      </c>
      <c r="E7574" s="67">
        <f t="shared" si="18"/>
        <v>1750</v>
      </c>
      <c r="F7574" s="67" t="str">
        <f t="shared" si="12"/>
        <v>7 LeadGen Set Appointments</v>
      </c>
    </row>
    <row r="7575" hidden="1">
      <c r="A7575" s="6" t="s">
        <v>92</v>
      </c>
      <c r="B7575" s="13" t="s">
        <v>725</v>
      </c>
      <c r="C7575" s="13" t="s">
        <v>726</v>
      </c>
      <c r="D7575" s="15">
        <v>7.0</v>
      </c>
      <c r="E7575" s="67">
        <f t="shared" si="18"/>
        <v>1750</v>
      </c>
      <c r="F7575" s="67" t="str">
        <f t="shared" si="12"/>
        <v>7 LeadGen Set Appointments</v>
      </c>
    </row>
    <row r="7576" hidden="1">
      <c r="A7576" s="6" t="s">
        <v>92</v>
      </c>
      <c r="B7576" s="13" t="s">
        <v>2288</v>
      </c>
      <c r="C7576" s="13" t="s">
        <v>2289</v>
      </c>
      <c r="D7576" s="15">
        <v>7.0</v>
      </c>
      <c r="E7576" s="67">
        <f t="shared" si="18"/>
        <v>1750</v>
      </c>
      <c r="F7576" s="67" t="str">
        <f t="shared" si="12"/>
        <v>7 LeadGen Set Appointments</v>
      </c>
    </row>
    <row r="7577" hidden="1">
      <c r="A7577" s="6" t="s">
        <v>92</v>
      </c>
      <c r="B7577" s="13" t="s">
        <v>518</v>
      </c>
      <c r="C7577" s="13" t="s">
        <v>519</v>
      </c>
      <c r="D7577" s="15">
        <v>7.0</v>
      </c>
      <c r="E7577" s="67">
        <f t="shared" si="18"/>
        <v>1750</v>
      </c>
      <c r="F7577" s="67" t="str">
        <f t="shared" si="12"/>
        <v>7 LeadGen Set Appointments</v>
      </c>
    </row>
    <row r="7578" hidden="1">
      <c r="A7578" s="6" t="s">
        <v>92</v>
      </c>
      <c r="B7578" s="13" t="s">
        <v>2563</v>
      </c>
      <c r="C7578" s="13" t="s">
        <v>2564</v>
      </c>
      <c r="D7578" s="15">
        <v>7.0</v>
      </c>
      <c r="E7578" s="67">
        <f t="shared" si="18"/>
        <v>1750</v>
      </c>
      <c r="F7578" s="67" t="str">
        <f t="shared" si="12"/>
        <v>7 LeadGen Set Appointments</v>
      </c>
    </row>
    <row r="7579" hidden="1">
      <c r="A7579" s="6" t="s">
        <v>92</v>
      </c>
      <c r="B7579" s="13" t="s">
        <v>1955</v>
      </c>
      <c r="C7579" s="13" t="s">
        <v>1956</v>
      </c>
      <c r="D7579" s="15">
        <v>7.0</v>
      </c>
      <c r="E7579" s="67">
        <f t="shared" si="18"/>
        <v>1750</v>
      </c>
      <c r="F7579" s="67" t="str">
        <f t="shared" si="12"/>
        <v>7 LeadGen Set Appointments</v>
      </c>
    </row>
    <row r="7580" hidden="1">
      <c r="A7580" s="6" t="s">
        <v>92</v>
      </c>
      <c r="B7580" s="13" t="s">
        <v>2754</v>
      </c>
      <c r="C7580" s="13" t="s">
        <v>2755</v>
      </c>
      <c r="D7580" s="15">
        <v>7.0</v>
      </c>
      <c r="E7580" s="67">
        <f t="shared" si="18"/>
        <v>1750</v>
      </c>
      <c r="F7580" s="67" t="str">
        <f t="shared" si="12"/>
        <v>7 LeadGen Set Appointments</v>
      </c>
    </row>
    <row r="7581" hidden="1">
      <c r="A7581" s="6" t="s">
        <v>92</v>
      </c>
      <c r="B7581" s="13" t="s">
        <v>2589</v>
      </c>
      <c r="C7581" s="13" t="s">
        <v>2590</v>
      </c>
      <c r="D7581" s="15">
        <v>7.0</v>
      </c>
      <c r="E7581" s="67">
        <f t="shared" si="18"/>
        <v>1750</v>
      </c>
      <c r="F7581" s="67" t="str">
        <f t="shared" si="12"/>
        <v>7 LeadGen Set Appointments</v>
      </c>
    </row>
    <row r="7582" hidden="1">
      <c r="A7582" s="6" t="s">
        <v>92</v>
      </c>
      <c r="B7582" s="13" t="s">
        <v>447</v>
      </c>
      <c r="C7582" s="13" t="s">
        <v>448</v>
      </c>
      <c r="D7582" s="15">
        <v>6.0</v>
      </c>
      <c r="E7582" s="67">
        <f t="shared" si="18"/>
        <v>1500</v>
      </c>
      <c r="F7582" s="67" t="str">
        <f t="shared" si="12"/>
        <v>6 LeadGen Set Appointments</v>
      </c>
    </row>
    <row r="7583" hidden="1">
      <c r="A7583" s="6" t="s">
        <v>92</v>
      </c>
      <c r="B7583" s="13" t="s">
        <v>2762</v>
      </c>
      <c r="C7583" s="13" t="s">
        <v>2763</v>
      </c>
      <c r="D7583" s="15">
        <v>6.0</v>
      </c>
      <c r="E7583" s="67">
        <f t="shared" si="18"/>
        <v>1500</v>
      </c>
      <c r="F7583" s="67" t="str">
        <f t="shared" si="12"/>
        <v>6 LeadGen Set Appointments</v>
      </c>
    </row>
    <row r="7584" hidden="1">
      <c r="A7584" s="6" t="s">
        <v>92</v>
      </c>
      <c r="B7584" s="13" t="s">
        <v>462</v>
      </c>
      <c r="C7584" s="13" t="s">
        <v>463</v>
      </c>
      <c r="D7584" s="15">
        <v>6.0</v>
      </c>
      <c r="E7584" s="67">
        <f t="shared" si="18"/>
        <v>1500</v>
      </c>
      <c r="F7584" s="67" t="str">
        <f t="shared" si="12"/>
        <v>6 LeadGen Set Appointments</v>
      </c>
    </row>
    <row r="7585" hidden="1">
      <c r="A7585" s="6" t="s">
        <v>92</v>
      </c>
      <c r="B7585" s="13" t="s">
        <v>628</v>
      </c>
      <c r="C7585" s="13" t="s">
        <v>629</v>
      </c>
      <c r="D7585" s="15">
        <v>6.0</v>
      </c>
      <c r="E7585" s="67">
        <f t="shared" si="18"/>
        <v>1500</v>
      </c>
      <c r="F7585" s="67" t="str">
        <f t="shared" si="12"/>
        <v>6 LeadGen Set Appointments</v>
      </c>
    </row>
    <row r="7586" hidden="1">
      <c r="A7586" s="6" t="s">
        <v>92</v>
      </c>
      <c r="B7586" s="13" t="s">
        <v>1579</v>
      </c>
      <c r="C7586" s="13" t="s">
        <v>1580</v>
      </c>
      <c r="D7586" s="15">
        <v>6.0</v>
      </c>
      <c r="E7586" s="67">
        <f t="shared" si="18"/>
        <v>1500</v>
      </c>
      <c r="F7586" s="67" t="str">
        <f t="shared" si="12"/>
        <v>6 LeadGen Set Appointments</v>
      </c>
    </row>
    <row r="7587" hidden="1">
      <c r="A7587" s="6" t="s">
        <v>92</v>
      </c>
      <c r="B7587" s="13" t="s">
        <v>1448</v>
      </c>
      <c r="C7587" s="13" t="s">
        <v>1449</v>
      </c>
      <c r="D7587" s="15">
        <v>6.0</v>
      </c>
      <c r="E7587" s="67">
        <f t="shared" si="18"/>
        <v>1500</v>
      </c>
      <c r="F7587" s="67" t="str">
        <f t="shared" si="12"/>
        <v>6 LeadGen Set Appointments</v>
      </c>
    </row>
    <row r="7588" hidden="1">
      <c r="A7588" s="6" t="s">
        <v>92</v>
      </c>
      <c r="B7588" s="13" t="s">
        <v>2034</v>
      </c>
      <c r="C7588" s="13" t="s">
        <v>416</v>
      </c>
      <c r="D7588" s="15">
        <v>6.0</v>
      </c>
      <c r="E7588" s="67">
        <f t="shared" si="18"/>
        <v>1500</v>
      </c>
      <c r="F7588" s="67" t="str">
        <f t="shared" si="12"/>
        <v>6 LeadGen Set Appointments</v>
      </c>
    </row>
    <row r="7589" hidden="1">
      <c r="A7589" s="6" t="s">
        <v>92</v>
      </c>
      <c r="B7589" s="13" t="s">
        <v>546</v>
      </c>
      <c r="C7589" s="13" t="s">
        <v>547</v>
      </c>
      <c r="D7589" s="15">
        <v>6.0</v>
      </c>
      <c r="E7589" s="67">
        <f t="shared" si="18"/>
        <v>1500</v>
      </c>
      <c r="F7589" s="67" t="str">
        <f t="shared" si="12"/>
        <v>6 LeadGen Set Appointments</v>
      </c>
    </row>
    <row r="7590" hidden="1">
      <c r="A7590" s="6" t="s">
        <v>92</v>
      </c>
      <c r="B7590" s="13" t="s">
        <v>1467</v>
      </c>
      <c r="C7590" s="13" t="s">
        <v>1468</v>
      </c>
      <c r="D7590" s="15">
        <v>6.0</v>
      </c>
      <c r="E7590" s="67">
        <f t="shared" si="18"/>
        <v>1500</v>
      </c>
      <c r="F7590" s="67" t="str">
        <f t="shared" si="12"/>
        <v>6 LeadGen Set Appointments</v>
      </c>
    </row>
    <row r="7591" hidden="1">
      <c r="A7591" s="6" t="s">
        <v>92</v>
      </c>
      <c r="B7591" s="13" t="s">
        <v>288</v>
      </c>
      <c r="C7591" s="13" t="s">
        <v>2375</v>
      </c>
      <c r="D7591" s="15">
        <v>6.0</v>
      </c>
      <c r="E7591" s="67">
        <f t="shared" si="18"/>
        <v>1500</v>
      </c>
      <c r="F7591" s="67" t="str">
        <f t="shared" si="12"/>
        <v>6 LeadGen Set Appointments</v>
      </c>
    </row>
    <row r="7592" hidden="1">
      <c r="A7592" s="6" t="s">
        <v>92</v>
      </c>
      <c r="B7592" s="13" t="s">
        <v>1408</v>
      </c>
      <c r="C7592" s="13" t="s">
        <v>675</v>
      </c>
      <c r="D7592" s="15">
        <v>6.0</v>
      </c>
      <c r="E7592" s="67">
        <f t="shared" si="18"/>
        <v>1500</v>
      </c>
      <c r="F7592" s="67" t="str">
        <f t="shared" si="12"/>
        <v>6 LeadGen Set Appointments</v>
      </c>
    </row>
    <row r="7593" hidden="1">
      <c r="A7593" s="6" t="s">
        <v>92</v>
      </c>
      <c r="B7593" s="13" t="s">
        <v>717</v>
      </c>
      <c r="C7593" s="13" t="s">
        <v>718</v>
      </c>
      <c r="D7593" s="15">
        <v>6.0</v>
      </c>
      <c r="E7593" s="67">
        <f t="shared" si="18"/>
        <v>1500</v>
      </c>
      <c r="F7593" s="67" t="str">
        <f t="shared" si="12"/>
        <v>6 LeadGen Set Appointments</v>
      </c>
    </row>
    <row r="7594" hidden="1">
      <c r="A7594" s="6" t="s">
        <v>92</v>
      </c>
      <c r="B7594" s="13" t="s">
        <v>2458</v>
      </c>
      <c r="C7594" s="13" t="s">
        <v>2459</v>
      </c>
      <c r="D7594" s="15">
        <v>6.0</v>
      </c>
      <c r="E7594" s="67">
        <f t="shared" si="18"/>
        <v>1500</v>
      </c>
      <c r="F7594" s="67" t="str">
        <f t="shared" si="12"/>
        <v>6 LeadGen Set Appointments</v>
      </c>
    </row>
    <row r="7595" hidden="1">
      <c r="A7595" s="6" t="s">
        <v>92</v>
      </c>
      <c r="B7595" s="13" t="s">
        <v>2703</v>
      </c>
      <c r="C7595" s="13" t="s">
        <v>2704</v>
      </c>
      <c r="D7595" s="15">
        <v>6.0</v>
      </c>
      <c r="E7595" s="67">
        <f t="shared" si="18"/>
        <v>1500</v>
      </c>
      <c r="F7595" s="67" t="str">
        <f t="shared" si="12"/>
        <v>6 LeadGen Set Appointments</v>
      </c>
    </row>
    <row r="7596" hidden="1">
      <c r="A7596" s="6" t="s">
        <v>92</v>
      </c>
      <c r="B7596" s="13" t="s">
        <v>1935</v>
      </c>
      <c r="C7596" s="13" t="s">
        <v>1936</v>
      </c>
      <c r="D7596" s="15">
        <v>6.0</v>
      </c>
      <c r="E7596" s="67">
        <f t="shared" si="18"/>
        <v>1500</v>
      </c>
      <c r="F7596" s="67" t="str">
        <f t="shared" si="12"/>
        <v>6 LeadGen Set Appointments</v>
      </c>
    </row>
    <row r="7597" hidden="1">
      <c r="A7597" s="6" t="s">
        <v>92</v>
      </c>
      <c r="B7597" s="13" t="s">
        <v>2773</v>
      </c>
      <c r="C7597" s="13" t="s">
        <v>2774</v>
      </c>
      <c r="D7597" s="15">
        <v>6.0</v>
      </c>
      <c r="E7597" s="67">
        <f t="shared" si="18"/>
        <v>1500</v>
      </c>
      <c r="F7597" s="67" t="str">
        <f t="shared" si="12"/>
        <v>6 LeadGen Set Appointments</v>
      </c>
    </row>
    <row r="7598" hidden="1">
      <c r="A7598" s="6" t="s">
        <v>92</v>
      </c>
      <c r="B7598" s="13" t="s">
        <v>1283</v>
      </c>
      <c r="C7598" s="13" t="s">
        <v>404</v>
      </c>
      <c r="D7598" s="15">
        <v>6.0</v>
      </c>
      <c r="E7598" s="67">
        <f t="shared" si="18"/>
        <v>1500</v>
      </c>
      <c r="F7598" s="67" t="str">
        <f t="shared" si="12"/>
        <v>6 LeadGen Set Appointments</v>
      </c>
    </row>
    <row r="7599" hidden="1">
      <c r="A7599" s="6" t="s">
        <v>92</v>
      </c>
      <c r="B7599" s="13" t="s">
        <v>1351</v>
      </c>
      <c r="C7599" s="13" t="s">
        <v>1352</v>
      </c>
      <c r="D7599" s="15">
        <v>6.0</v>
      </c>
      <c r="E7599" s="67">
        <f t="shared" si="18"/>
        <v>1500</v>
      </c>
      <c r="F7599" s="67" t="str">
        <f t="shared" si="12"/>
        <v>6 LeadGen Set Appointments</v>
      </c>
    </row>
    <row r="7600" hidden="1">
      <c r="A7600" s="6" t="s">
        <v>92</v>
      </c>
      <c r="B7600" s="13" t="s">
        <v>1457</v>
      </c>
      <c r="C7600" s="13" t="s">
        <v>2411</v>
      </c>
      <c r="D7600" s="15">
        <v>6.0</v>
      </c>
      <c r="E7600" s="67">
        <f t="shared" si="18"/>
        <v>1500</v>
      </c>
      <c r="F7600" s="67" t="str">
        <f t="shared" si="12"/>
        <v>6 LeadGen Set Appointments</v>
      </c>
    </row>
    <row r="7601" hidden="1">
      <c r="A7601" s="6" t="s">
        <v>92</v>
      </c>
      <c r="B7601" s="13" t="s">
        <v>744</v>
      </c>
      <c r="C7601" s="13" t="s">
        <v>745</v>
      </c>
      <c r="D7601" s="15">
        <v>5.0</v>
      </c>
      <c r="E7601" s="67">
        <f t="shared" si="18"/>
        <v>1250</v>
      </c>
      <c r="F7601" s="67" t="str">
        <f t="shared" si="12"/>
        <v>5 LeadGen Set Appointments</v>
      </c>
    </row>
    <row r="7602" hidden="1">
      <c r="A7602" s="6" t="s">
        <v>92</v>
      </c>
      <c r="B7602" s="13" t="s">
        <v>305</v>
      </c>
      <c r="C7602" s="13" t="s">
        <v>2552</v>
      </c>
      <c r="D7602" s="15">
        <v>5.0</v>
      </c>
      <c r="E7602" s="67">
        <f t="shared" si="18"/>
        <v>1250</v>
      </c>
      <c r="F7602" s="67" t="str">
        <f t="shared" si="12"/>
        <v>5 LeadGen Set Appointments</v>
      </c>
    </row>
    <row r="7603" hidden="1">
      <c r="A7603" s="6" t="s">
        <v>92</v>
      </c>
      <c r="B7603" s="13" t="s">
        <v>752</v>
      </c>
      <c r="C7603" s="13" t="s">
        <v>753</v>
      </c>
      <c r="D7603" s="15">
        <v>5.0</v>
      </c>
      <c r="E7603" s="67">
        <f t="shared" si="18"/>
        <v>1250</v>
      </c>
      <c r="F7603" s="67" t="str">
        <f t="shared" si="12"/>
        <v>5 LeadGen Set Appointments</v>
      </c>
    </row>
    <row r="7604" hidden="1">
      <c r="A7604" s="6" t="s">
        <v>92</v>
      </c>
      <c r="B7604" s="13" t="s">
        <v>2707</v>
      </c>
      <c r="C7604" s="13" t="s">
        <v>2708</v>
      </c>
      <c r="D7604" s="15">
        <v>5.0</v>
      </c>
      <c r="E7604" s="67">
        <f t="shared" si="18"/>
        <v>1250</v>
      </c>
      <c r="F7604" s="67" t="str">
        <f t="shared" si="12"/>
        <v>5 LeadGen Set Appointments</v>
      </c>
    </row>
    <row r="7605" hidden="1">
      <c r="A7605" s="6" t="s">
        <v>92</v>
      </c>
      <c r="B7605" s="13" t="s">
        <v>2640</v>
      </c>
      <c r="C7605" s="13" t="s">
        <v>2641</v>
      </c>
      <c r="D7605" s="15">
        <v>5.0</v>
      </c>
      <c r="E7605" s="67">
        <f t="shared" si="18"/>
        <v>1250</v>
      </c>
      <c r="F7605" s="67" t="str">
        <f t="shared" si="12"/>
        <v>5 LeadGen Set Appointments</v>
      </c>
    </row>
    <row r="7606" hidden="1">
      <c r="A7606" s="6" t="s">
        <v>92</v>
      </c>
      <c r="B7606" s="13" t="s">
        <v>1393</v>
      </c>
      <c r="C7606" s="13" t="s">
        <v>1394</v>
      </c>
      <c r="D7606" s="15">
        <v>5.0</v>
      </c>
      <c r="E7606" s="67">
        <f t="shared" si="18"/>
        <v>1250</v>
      </c>
      <c r="F7606" s="67" t="str">
        <f t="shared" si="12"/>
        <v>5 LeadGen Set Appointments</v>
      </c>
    </row>
    <row r="7607" hidden="1">
      <c r="A7607" s="6" t="s">
        <v>92</v>
      </c>
      <c r="B7607" s="13" t="s">
        <v>2619</v>
      </c>
      <c r="C7607" s="13" t="s">
        <v>2620</v>
      </c>
      <c r="D7607" s="15">
        <v>5.0</v>
      </c>
      <c r="E7607" s="67">
        <f t="shared" si="18"/>
        <v>1250</v>
      </c>
      <c r="F7607" s="67" t="str">
        <f t="shared" si="12"/>
        <v>5 LeadGen Set Appointments</v>
      </c>
    </row>
    <row r="7608" hidden="1">
      <c r="A7608" s="6" t="s">
        <v>92</v>
      </c>
      <c r="B7608" s="13" t="s">
        <v>1724</v>
      </c>
      <c r="C7608" s="13" t="s">
        <v>1725</v>
      </c>
      <c r="D7608" s="15">
        <v>5.0</v>
      </c>
      <c r="E7608" s="67">
        <f t="shared" si="18"/>
        <v>1250</v>
      </c>
      <c r="F7608" s="67" t="str">
        <f t="shared" si="12"/>
        <v>5 LeadGen Set Appointments</v>
      </c>
    </row>
    <row r="7609" hidden="1">
      <c r="A7609" s="6" t="s">
        <v>92</v>
      </c>
      <c r="B7609" s="13" t="s">
        <v>2749</v>
      </c>
      <c r="C7609" s="13" t="s">
        <v>2750</v>
      </c>
      <c r="D7609" s="15">
        <v>5.0</v>
      </c>
      <c r="E7609" s="67">
        <f t="shared" si="18"/>
        <v>1250</v>
      </c>
      <c r="F7609" s="67" t="str">
        <f t="shared" si="12"/>
        <v>5 LeadGen Set Appointments</v>
      </c>
    </row>
    <row r="7610" hidden="1">
      <c r="A7610" s="6" t="s">
        <v>92</v>
      </c>
      <c r="B7610" s="13" t="s">
        <v>626</v>
      </c>
      <c r="C7610" s="13" t="s">
        <v>627</v>
      </c>
      <c r="D7610" s="15">
        <v>5.0</v>
      </c>
      <c r="E7610" s="67">
        <f t="shared" si="18"/>
        <v>1250</v>
      </c>
      <c r="F7610" s="67" t="str">
        <f t="shared" si="12"/>
        <v>5 LeadGen Set Appointments</v>
      </c>
    </row>
    <row r="7611" hidden="1">
      <c r="A7611" s="6" t="s">
        <v>92</v>
      </c>
      <c r="B7611" s="13" t="s">
        <v>1657</v>
      </c>
      <c r="C7611" s="13" t="s">
        <v>1658</v>
      </c>
      <c r="D7611" s="15">
        <v>5.0</v>
      </c>
      <c r="E7611" s="67">
        <f t="shared" si="18"/>
        <v>1250</v>
      </c>
      <c r="F7611" s="67" t="str">
        <f t="shared" si="12"/>
        <v>5 LeadGen Set Appointments</v>
      </c>
    </row>
    <row r="7612" hidden="1">
      <c r="A7612" s="6" t="s">
        <v>92</v>
      </c>
      <c r="B7612" s="13" t="s">
        <v>2775</v>
      </c>
      <c r="C7612" s="13" t="s">
        <v>2776</v>
      </c>
      <c r="D7612" s="15">
        <v>5.0</v>
      </c>
      <c r="E7612" s="67">
        <f t="shared" si="18"/>
        <v>1250</v>
      </c>
      <c r="F7612" s="67" t="str">
        <f t="shared" si="12"/>
        <v>5 LeadGen Set Appointments</v>
      </c>
    </row>
    <row r="7613" hidden="1">
      <c r="A7613" s="6" t="s">
        <v>92</v>
      </c>
      <c r="B7613" s="13" t="s">
        <v>1983</v>
      </c>
      <c r="C7613" s="13" t="s">
        <v>1984</v>
      </c>
      <c r="D7613" s="15">
        <v>5.0</v>
      </c>
      <c r="E7613" s="67">
        <f t="shared" si="18"/>
        <v>1250</v>
      </c>
      <c r="F7613" s="67" t="str">
        <f t="shared" si="12"/>
        <v>5 LeadGen Set Appointments</v>
      </c>
    </row>
    <row r="7614" hidden="1">
      <c r="A7614" s="6" t="s">
        <v>92</v>
      </c>
      <c r="B7614" s="13" t="s">
        <v>2384</v>
      </c>
      <c r="C7614" s="13" t="s">
        <v>2385</v>
      </c>
      <c r="D7614" s="15">
        <v>5.0</v>
      </c>
      <c r="E7614" s="67">
        <f t="shared" si="18"/>
        <v>1250</v>
      </c>
      <c r="F7614" s="67" t="str">
        <f t="shared" si="12"/>
        <v>5 LeadGen Set Appointments</v>
      </c>
    </row>
    <row r="7615" hidden="1">
      <c r="A7615" s="6" t="s">
        <v>92</v>
      </c>
      <c r="B7615" s="13" t="s">
        <v>2713</v>
      </c>
      <c r="C7615" s="13" t="s">
        <v>61</v>
      </c>
      <c r="D7615" s="15">
        <v>5.0</v>
      </c>
      <c r="E7615" s="67">
        <f t="shared" si="18"/>
        <v>1250</v>
      </c>
      <c r="F7615" s="67" t="str">
        <f t="shared" si="12"/>
        <v>5 LeadGen Set Appointments</v>
      </c>
    </row>
    <row r="7616" hidden="1">
      <c r="A7616" s="6" t="s">
        <v>92</v>
      </c>
      <c r="B7616" s="13" t="s">
        <v>1442</v>
      </c>
      <c r="C7616" s="13" t="s">
        <v>749</v>
      </c>
      <c r="D7616" s="15">
        <v>5.0</v>
      </c>
      <c r="E7616" s="67">
        <f t="shared" si="18"/>
        <v>1250</v>
      </c>
      <c r="F7616" s="67" t="str">
        <f t="shared" si="12"/>
        <v>5 LeadGen Set Appointments</v>
      </c>
    </row>
    <row r="7617" hidden="1">
      <c r="A7617" s="6" t="s">
        <v>92</v>
      </c>
      <c r="B7617" s="13" t="s">
        <v>1883</v>
      </c>
      <c r="C7617" s="13" t="s">
        <v>1884</v>
      </c>
      <c r="D7617" s="15">
        <v>5.0</v>
      </c>
      <c r="E7617" s="67">
        <f t="shared" si="18"/>
        <v>1250</v>
      </c>
      <c r="F7617" s="67" t="str">
        <f t="shared" si="12"/>
        <v>5 LeadGen Set Appointments</v>
      </c>
    </row>
    <row r="7618" hidden="1">
      <c r="A7618" s="6" t="s">
        <v>92</v>
      </c>
      <c r="B7618" s="13" t="s">
        <v>2477</v>
      </c>
      <c r="C7618" s="13" t="s">
        <v>2478</v>
      </c>
      <c r="D7618" s="15">
        <v>5.0</v>
      </c>
      <c r="E7618" s="67">
        <f t="shared" si="18"/>
        <v>1250</v>
      </c>
      <c r="F7618" s="67" t="str">
        <f t="shared" si="12"/>
        <v>5 LeadGen Set Appointments</v>
      </c>
    </row>
    <row r="7619" hidden="1">
      <c r="A7619" s="6" t="s">
        <v>92</v>
      </c>
      <c r="B7619" s="13" t="s">
        <v>622</v>
      </c>
      <c r="C7619" s="13" t="s">
        <v>623</v>
      </c>
      <c r="D7619" s="15">
        <v>5.0</v>
      </c>
      <c r="E7619" s="67">
        <f t="shared" si="18"/>
        <v>1250</v>
      </c>
      <c r="F7619" s="67" t="str">
        <f t="shared" si="12"/>
        <v>5 LeadGen Set Appointments</v>
      </c>
    </row>
    <row r="7620" hidden="1">
      <c r="A7620" s="6" t="s">
        <v>92</v>
      </c>
      <c r="B7620" s="13" t="s">
        <v>566</v>
      </c>
      <c r="C7620" s="13" t="s">
        <v>567</v>
      </c>
      <c r="D7620" s="15">
        <v>5.0</v>
      </c>
      <c r="E7620" s="67">
        <f t="shared" si="18"/>
        <v>1250</v>
      </c>
      <c r="F7620" s="67" t="str">
        <f t="shared" si="12"/>
        <v>5 LeadGen Set Appointments</v>
      </c>
    </row>
    <row r="7621" hidden="1">
      <c r="A7621" s="6" t="s">
        <v>92</v>
      </c>
      <c r="B7621" s="13" t="s">
        <v>2578</v>
      </c>
      <c r="C7621" s="13" t="s">
        <v>2579</v>
      </c>
      <c r="D7621" s="15">
        <v>5.0</v>
      </c>
      <c r="E7621" s="67">
        <f t="shared" si="18"/>
        <v>1250</v>
      </c>
      <c r="F7621" s="67" t="str">
        <f t="shared" si="12"/>
        <v>5 LeadGen Set Appointments</v>
      </c>
    </row>
    <row r="7622" hidden="1">
      <c r="A7622" s="6" t="s">
        <v>92</v>
      </c>
      <c r="B7622" s="13" t="s">
        <v>445</v>
      </c>
      <c r="C7622" s="13" t="s">
        <v>446</v>
      </c>
      <c r="D7622" s="15">
        <v>5.0</v>
      </c>
      <c r="E7622" s="67">
        <f t="shared" si="18"/>
        <v>1250</v>
      </c>
      <c r="F7622" s="67" t="str">
        <f t="shared" si="12"/>
        <v>5 LeadGen Set Appointments</v>
      </c>
    </row>
    <row r="7623" hidden="1">
      <c r="A7623" s="6" t="s">
        <v>92</v>
      </c>
      <c r="B7623" s="13" t="s">
        <v>2663</v>
      </c>
      <c r="C7623" s="13" t="s">
        <v>2664</v>
      </c>
      <c r="D7623" s="15">
        <v>5.0</v>
      </c>
      <c r="E7623" s="67">
        <f t="shared" si="18"/>
        <v>1250</v>
      </c>
      <c r="F7623" s="67" t="str">
        <f t="shared" si="12"/>
        <v>5 LeadGen Set Appointments</v>
      </c>
    </row>
    <row r="7624" hidden="1">
      <c r="A7624" s="6" t="s">
        <v>92</v>
      </c>
      <c r="B7624" s="13" t="s">
        <v>1945</v>
      </c>
      <c r="C7624" s="13" t="s">
        <v>1946</v>
      </c>
      <c r="D7624" s="15">
        <v>5.0</v>
      </c>
      <c r="E7624" s="67">
        <f t="shared" si="18"/>
        <v>1250</v>
      </c>
      <c r="F7624" s="67" t="str">
        <f t="shared" si="12"/>
        <v>5 LeadGen Set Appointments</v>
      </c>
    </row>
    <row r="7625" hidden="1">
      <c r="A7625" s="6" t="s">
        <v>92</v>
      </c>
      <c r="B7625" s="13" t="s">
        <v>1463</v>
      </c>
      <c r="C7625" s="13" t="s">
        <v>1464</v>
      </c>
      <c r="D7625" s="15">
        <v>4.0</v>
      </c>
      <c r="E7625" s="67">
        <f t="shared" si="18"/>
        <v>1000</v>
      </c>
      <c r="F7625" s="67" t="str">
        <f t="shared" si="12"/>
        <v>4 LeadGen Set Appointments</v>
      </c>
    </row>
    <row r="7626" hidden="1">
      <c r="A7626" s="6" t="s">
        <v>92</v>
      </c>
      <c r="B7626" s="13" t="s">
        <v>1037</v>
      </c>
      <c r="C7626" s="13" t="s">
        <v>1038</v>
      </c>
      <c r="D7626" s="15">
        <v>4.0</v>
      </c>
      <c r="E7626" s="67">
        <f t="shared" si="18"/>
        <v>1000</v>
      </c>
      <c r="F7626" s="67" t="str">
        <f t="shared" si="12"/>
        <v>4 LeadGen Set Appointments</v>
      </c>
    </row>
    <row r="7627" hidden="1">
      <c r="A7627" s="6" t="s">
        <v>92</v>
      </c>
      <c r="B7627" s="13" t="s">
        <v>1917</v>
      </c>
      <c r="C7627" s="13" t="s">
        <v>1918</v>
      </c>
      <c r="D7627" s="15">
        <v>4.0</v>
      </c>
      <c r="E7627" s="67">
        <f t="shared" si="18"/>
        <v>1000</v>
      </c>
      <c r="F7627" s="67" t="str">
        <f t="shared" si="12"/>
        <v>4 LeadGen Set Appointments</v>
      </c>
    </row>
    <row r="7628" hidden="1">
      <c r="A7628" s="6" t="s">
        <v>92</v>
      </c>
      <c r="B7628" s="13" t="s">
        <v>2735</v>
      </c>
      <c r="C7628" s="13" t="s">
        <v>2736</v>
      </c>
      <c r="D7628" s="15">
        <v>4.0</v>
      </c>
      <c r="E7628" s="67">
        <f t="shared" si="18"/>
        <v>1000</v>
      </c>
      <c r="F7628" s="67" t="str">
        <f t="shared" si="12"/>
        <v>4 LeadGen Set Appointments</v>
      </c>
    </row>
    <row r="7629" hidden="1">
      <c r="A7629" s="6" t="s">
        <v>92</v>
      </c>
      <c r="B7629" s="13" t="s">
        <v>1973</v>
      </c>
      <c r="C7629" s="13" t="s">
        <v>1974</v>
      </c>
      <c r="D7629" s="15">
        <v>4.0</v>
      </c>
      <c r="E7629" s="67">
        <f t="shared" si="18"/>
        <v>1000</v>
      </c>
      <c r="F7629" s="67" t="str">
        <f t="shared" si="12"/>
        <v>4 LeadGen Set Appointments</v>
      </c>
    </row>
    <row r="7630" hidden="1">
      <c r="A7630" s="6" t="s">
        <v>92</v>
      </c>
      <c r="B7630" s="13" t="s">
        <v>1039</v>
      </c>
      <c r="C7630" s="13" t="s">
        <v>1040</v>
      </c>
      <c r="D7630" s="15">
        <v>4.0</v>
      </c>
      <c r="E7630" s="67">
        <f t="shared" si="18"/>
        <v>1000</v>
      </c>
      <c r="F7630" s="67" t="str">
        <f t="shared" si="12"/>
        <v>4 LeadGen Set Appointments</v>
      </c>
    </row>
    <row r="7631" hidden="1">
      <c r="A7631" s="6" t="s">
        <v>92</v>
      </c>
      <c r="B7631" s="13" t="s">
        <v>2716</v>
      </c>
      <c r="C7631" s="13" t="s">
        <v>2717</v>
      </c>
      <c r="D7631" s="15">
        <v>4.0</v>
      </c>
      <c r="E7631" s="67">
        <f t="shared" si="18"/>
        <v>1000</v>
      </c>
      <c r="F7631" s="67" t="str">
        <f t="shared" si="12"/>
        <v>4 LeadGen Set Appointments</v>
      </c>
    </row>
    <row r="7632" hidden="1">
      <c r="A7632" s="6" t="s">
        <v>92</v>
      </c>
      <c r="B7632" s="13" t="s">
        <v>431</v>
      </c>
      <c r="C7632" s="13" t="s">
        <v>432</v>
      </c>
      <c r="D7632" s="15">
        <v>4.0</v>
      </c>
      <c r="E7632" s="67">
        <f t="shared" si="18"/>
        <v>1000</v>
      </c>
      <c r="F7632" s="67" t="str">
        <f t="shared" si="12"/>
        <v>4 LeadGen Set Appointments</v>
      </c>
    </row>
    <row r="7633" hidden="1">
      <c r="A7633" s="6" t="s">
        <v>92</v>
      </c>
      <c r="B7633" s="13" t="s">
        <v>560</v>
      </c>
      <c r="C7633" s="13" t="s">
        <v>561</v>
      </c>
      <c r="D7633" s="15">
        <v>4.0</v>
      </c>
      <c r="E7633" s="67">
        <f t="shared" si="18"/>
        <v>1000</v>
      </c>
      <c r="F7633" s="67" t="str">
        <f t="shared" si="12"/>
        <v>4 LeadGen Set Appointments</v>
      </c>
    </row>
    <row r="7634" hidden="1">
      <c r="A7634" s="6" t="s">
        <v>92</v>
      </c>
      <c r="B7634" s="13" t="s">
        <v>2473</v>
      </c>
      <c r="C7634" s="13" t="s">
        <v>2474</v>
      </c>
      <c r="D7634" s="15">
        <v>4.0</v>
      </c>
      <c r="E7634" s="67">
        <f t="shared" si="18"/>
        <v>1000</v>
      </c>
      <c r="F7634" s="67" t="str">
        <f t="shared" si="12"/>
        <v>4 LeadGen Set Appointments</v>
      </c>
    </row>
    <row r="7635" hidden="1">
      <c r="A7635" s="6" t="s">
        <v>92</v>
      </c>
      <c r="B7635" s="13" t="s">
        <v>494</v>
      </c>
      <c r="C7635" s="13" t="s">
        <v>495</v>
      </c>
      <c r="D7635" s="15">
        <v>4.0</v>
      </c>
      <c r="E7635" s="67">
        <f t="shared" si="18"/>
        <v>1000</v>
      </c>
      <c r="F7635" s="67" t="str">
        <f t="shared" si="12"/>
        <v>4 LeadGen Set Appointments</v>
      </c>
    </row>
    <row r="7636" hidden="1">
      <c r="A7636" s="6" t="s">
        <v>92</v>
      </c>
      <c r="B7636" s="13" t="s">
        <v>2609</v>
      </c>
      <c r="C7636" s="13" t="s">
        <v>2610</v>
      </c>
      <c r="D7636" s="15">
        <v>4.0</v>
      </c>
      <c r="E7636" s="67">
        <f t="shared" si="18"/>
        <v>1000</v>
      </c>
      <c r="F7636" s="67" t="str">
        <f t="shared" si="12"/>
        <v>4 LeadGen Set Appointments</v>
      </c>
    </row>
    <row r="7637" hidden="1">
      <c r="A7637" s="6" t="s">
        <v>92</v>
      </c>
      <c r="B7637" s="13" t="s">
        <v>2393</v>
      </c>
      <c r="C7637" s="13" t="s">
        <v>2394</v>
      </c>
      <c r="D7637" s="15">
        <v>4.0</v>
      </c>
      <c r="E7637" s="67">
        <f t="shared" si="18"/>
        <v>1000</v>
      </c>
      <c r="F7637" s="67" t="str">
        <f t="shared" si="12"/>
        <v>4 LeadGen Set Appointments</v>
      </c>
    </row>
    <row r="7638" hidden="1">
      <c r="A7638" s="6" t="s">
        <v>92</v>
      </c>
      <c r="B7638" s="13" t="s">
        <v>2097</v>
      </c>
      <c r="C7638" s="13" t="s">
        <v>828</v>
      </c>
      <c r="D7638" s="15">
        <v>4.0</v>
      </c>
      <c r="E7638" s="67">
        <f t="shared" si="18"/>
        <v>1000</v>
      </c>
      <c r="F7638" s="67" t="str">
        <f t="shared" si="12"/>
        <v>4 LeadGen Set Appointments</v>
      </c>
    </row>
    <row r="7639" hidden="1">
      <c r="A7639" s="6" t="s">
        <v>92</v>
      </c>
      <c r="B7639" s="13" t="s">
        <v>1299</v>
      </c>
      <c r="C7639" s="13" t="s">
        <v>1300</v>
      </c>
      <c r="D7639" s="15">
        <v>4.0</v>
      </c>
      <c r="E7639" s="67">
        <f t="shared" si="18"/>
        <v>1000</v>
      </c>
      <c r="F7639" s="67" t="str">
        <f t="shared" si="12"/>
        <v>4 LeadGen Set Appointments</v>
      </c>
    </row>
    <row r="7640" hidden="1">
      <c r="A7640" s="6" t="s">
        <v>92</v>
      </c>
      <c r="B7640" s="13" t="s">
        <v>2764</v>
      </c>
      <c r="C7640" s="13" t="s">
        <v>2765</v>
      </c>
      <c r="D7640" s="15">
        <v>4.0</v>
      </c>
      <c r="E7640" s="67">
        <f t="shared" si="18"/>
        <v>1000</v>
      </c>
      <c r="F7640" s="67" t="str">
        <f t="shared" si="12"/>
        <v>4 LeadGen Set Appointments</v>
      </c>
    </row>
    <row r="7641" hidden="1">
      <c r="A7641" s="6" t="s">
        <v>92</v>
      </c>
      <c r="B7641" s="13" t="s">
        <v>1325</v>
      </c>
      <c r="C7641" s="13" t="s">
        <v>1326</v>
      </c>
      <c r="D7641" s="15">
        <v>4.0</v>
      </c>
      <c r="E7641" s="67">
        <f t="shared" si="18"/>
        <v>1000</v>
      </c>
      <c r="F7641" s="67" t="str">
        <f t="shared" si="12"/>
        <v>4 LeadGen Set Appointments</v>
      </c>
    </row>
    <row r="7642" hidden="1">
      <c r="A7642" s="6" t="s">
        <v>92</v>
      </c>
      <c r="B7642" s="13" t="s">
        <v>1421</v>
      </c>
      <c r="C7642" s="13" t="s">
        <v>712</v>
      </c>
      <c r="D7642" s="15">
        <v>4.0</v>
      </c>
      <c r="E7642" s="67">
        <f t="shared" si="18"/>
        <v>1000</v>
      </c>
      <c r="F7642" s="67" t="str">
        <f t="shared" si="12"/>
        <v>4 LeadGen Set Appointments</v>
      </c>
    </row>
    <row r="7643" hidden="1">
      <c r="A7643" s="6" t="s">
        <v>92</v>
      </c>
      <c r="B7643" s="13" t="s">
        <v>242</v>
      </c>
      <c r="C7643" s="13" t="s">
        <v>1887</v>
      </c>
      <c r="D7643" s="15">
        <v>4.0</v>
      </c>
      <c r="E7643" s="67">
        <f t="shared" si="18"/>
        <v>1000</v>
      </c>
      <c r="F7643" s="67" t="str">
        <f t="shared" si="12"/>
        <v>4 LeadGen Set Appointments</v>
      </c>
    </row>
    <row r="7644" hidden="1">
      <c r="A7644" s="6" t="s">
        <v>92</v>
      </c>
      <c r="B7644" s="13" t="s">
        <v>1333</v>
      </c>
      <c r="C7644" s="13" t="s">
        <v>551</v>
      </c>
      <c r="D7644" s="15">
        <v>4.0</v>
      </c>
      <c r="E7644" s="67">
        <f t="shared" si="18"/>
        <v>1000</v>
      </c>
      <c r="F7644" s="67" t="str">
        <f t="shared" si="12"/>
        <v>4 LeadGen Set Appointments</v>
      </c>
    </row>
    <row r="7645" hidden="1">
      <c r="A7645" s="6" t="s">
        <v>92</v>
      </c>
      <c r="B7645" s="13" t="s">
        <v>2677</v>
      </c>
      <c r="C7645" s="13" t="s">
        <v>2678</v>
      </c>
      <c r="D7645" s="15">
        <v>4.0</v>
      </c>
      <c r="E7645" s="67">
        <f t="shared" si="18"/>
        <v>1000</v>
      </c>
      <c r="F7645" s="67" t="str">
        <f t="shared" si="12"/>
        <v>4 LeadGen Set Appointments</v>
      </c>
    </row>
    <row r="7646" hidden="1">
      <c r="A7646" s="6" t="s">
        <v>92</v>
      </c>
      <c r="B7646" s="13" t="s">
        <v>1493</v>
      </c>
      <c r="C7646" s="13" t="s">
        <v>1494</v>
      </c>
      <c r="D7646" s="15">
        <v>4.0</v>
      </c>
      <c r="E7646" s="67">
        <f t="shared" si="18"/>
        <v>1000</v>
      </c>
      <c r="F7646" s="67" t="str">
        <f t="shared" si="12"/>
        <v>4 LeadGen Set Appointments</v>
      </c>
    </row>
    <row r="7647" hidden="1">
      <c r="A7647" s="6" t="s">
        <v>92</v>
      </c>
      <c r="B7647" s="13" t="s">
        <v>302</v>
      </c>
      <c r="C7647" s="13" t="s">
        <v>2110</v>
      </c>
      <c r="D7647" s="15">
        <v>4.0</v>
      </c>
      <c r="E7647" s="67">
        <f t="shared" si="18"/>
        <v>1000</v>
      </c>
      <c r="F7647" s="67" t="str">
        <f t="shared" si="12"/>
        <v>4 LeadGen Set Appointments</v>
      </c>
    </row>
    <row r="7648" hidden="1">
      <c r="A7648" s="6" t="s">
        <v>92</v>
      </c>
      <c r="B7648" s="13" t="s">
        <v>2268</v>
      </c>
      <c r="C7648" s="13" t="s">
        <v>2269</v>
      </c>
      <c r="D7648" s="15">
        <v>4.0</v>
      </c>
      <c r="E7648" s="67">
        <f t="shared" si="18"/>
        <v>1000</v>
      </c>
      <c r="F7648" s="67" t="str">
        <f t="shared" si="12"/>
        <v>4 LeadGen Set Appointments</v>
      </c>
    </row>
    <row r="7649" hidden="1">
      <c r="A7649" s="6" t="s">
        <v>92</v>
      </c>
      <c r="B7649" s="13" t="s">
        <v>2777</v>
      </c>
      <c r="C7649" s="13" t="s">
        <v>2778</v>
      </c>
      <c r="D7649" s="15">
        <v>4.0</v>
      </c>
      <c r="E7649" s="67">
        <f t="shared" si="18"/>
        <v>1000</v>
      </c>
      <c r="F7649" s="67" t="str">
        <f t="shared" si="12"/>
        <v>4 LeadGen Set Appointments</v>
      </c>
    </row>
    <row r="7650" hidden="1">
      <c r="A7650" s="6" t="s">
        <v>92</v>
      </c>
      <c r="B7650" s="13" t="s">
        <v>2718</v>
      </c>
      <c r="C7650" s="13" t="s">
        <v>2719</v>
      </c>
      <c r="D7650" s="15">
        <v>4.0</v>
      </c>
      <c r="E7650" s="67">
        <f t="shared" si="18"/>
        <v>1000</v>
      </c>
      <c r="F7650" s="67" t="str">
        <f t="shared" si="12"/>
        <v>4 LeadGen Set Appointments</v>
      </c>
    </row>
    <row r="7651" hidden="1">
      <c r="A7651" s="6" t="s">
        <v>92</v>
      </c>
      <c r="B7651" s="13" t="s">
        <v>2341</v>
      </c>
      <c r="C7651" s="13" t="s">
        <v>2342</v>
      </c>
      <c r="D7651" s="15">
        <v>4.0</v>
      </c>
      <c r="E7651" s="67">
        <f t="shared" si="18"/>
        <v>1000</v>
      </c>
      <c r="F7651" s="67" t="str">
        <f t="shared" si="12"/>
        <v>4 LeadGen Set Appointments</v>
      </c>
    </row>
    <row r="7652" hidden="1">
      <c r="A7652" s="6" t="s">
        <v>92</v>
      </c>
      <c r="B7652" s="13" t="s">
        <v>2511</v>
      </c>
      <c r="C7652" s="13" t="s">
        <v>2512</v>
      </c>
      <c r="D7652" s="15">
        <v>4.0</v>
      </c>
      <c r="E7652" s="67">
        <f t="shared" si="18"/>
        <v>1000</v>
      </c>
      <c r="F7652" s="67" t="str">
        <f t="shared" si="12"/>
        <v>4 LeadGen Set Appointments</v>
      </c>
    </row>
    <row r="7653" hidden="1">
      <c r="A7653" s="6" t="s">
        <v>92</v>
      </c>
      <c r="B7653" s="13" t="s">
        <v>2683</v>
      </c>
      <c r="C7653" s="13" t="s">
        <v>2684</v>
      </c>
      <c r="D7653" s="15">
        <v>3.0</v>
      </c>
      <c r="E7653" s="67">
        <f t="shared" si="18"/>
        <v>750</v>
      </c>
      <c r="F7653" s="67" t="str">
        <f t="shared" si="12"/>
        <v>3 LeadGen Set Appointments</v>
      </c>
    </row>
    <row r="7654" hidden="1">
      <c r="A7654" s="6" t="s">
        <v>92</v>
      </c>
      <c r="B7654" s="13" t="s">
        <v>271</v>
      </c>
      <c r="C7654" s="13" t="s">
        <v>2551</v>
      </c>
      <c r="D7654" s="15">
        <v>3.0</v>
      </c>
      <c r="E7654" s="67">
        <f t="shared" si="18"/>
        <v>750</v>
      </c>
      <c r="F7654" s="67" t="str">
        <f t="shared" si="12"/>
        <v>3 LeadGen Set Appointments</v>
      </c>
    </row>
    <row r="7655" hidden="1">
      <c r="A7655" s="6" t="s">
        <v>92</v>
      </c>
      <c r="B7655" s="13" t="s">
        <v>2572</v>
      </c>
      <c r="C7655" s="13" t="s">
        <v>2573</v>
      </c>
      <c r="D7655" s="15">
        <v>3.0</v>
      </c>
      <c r="E7655" s="67">
        <f t="shared" si="18"/>
        <v>750</v>
      </c>
      <c r="F7655" s="67" t="str">
        <f t="shared" si="12"/>
        <v>3 LeadGen Set Appointments</v>
      </c>
    </row>
    <row r="7656" hidden="1">
      <c r="A7656" s="6" t="s">
        <v>92</v>
      </c>
      <c r="B7656" s="13" t="s">
        <v>2299</v>
      </c>
      <c r="C7656" s="13" t="s">
        <v>2300</v>
      </c>
      <c r="D7656" s="15">
        <v>3.0</v>
      </c>
      <c r="E7656" s="67">
        <f t="shared" si="18"/>
        <v>750</v>
      </c>
      <c r="F7656" s="67" t="str">
        <f t="shared" si="12"/>
        <v>3 LeadGen Set Appointments</v>
      </c>
    </row>
    <row r="7657" hidden="1">
      <c r="A7657" s="6" t="s">
        <v>92</v>
      </c>
      <c r="B7657" s="13" t="s">
        <v>2766</v>
      </c>
      <c r="C7657" s="13" t="s">
        <v>2767</v>
      </c>
      <c r="D7657" s="15">
        <v>3.0</v>
      </c>
      <c r="E7657" s="67">
        <f t="shared" si="18"/>
        <v>750</v>
      </c>
      <c r="F7657" s="67" t="str">
        <f t="shared" si="12"/>
        <v>3 LeadGen Set Appointments</v>
      </c>
    </row>
    <row r="7658" hidden="1">
      <c r="A7658" s="6" t="s">
        <v>92</v>
      </c>
      <c r="B7658" s="13" t="s">
        <v>1583</v>
      </c>
      <c r="C7658" s="13" t="s">
        <v>1584</v>
      </c>
      <c r="D7658" s="15">
        <v>3.0</v>
      </c>
      <c r="E7658" s="67">
        <f t="shared" si="18"/>
        <v>750</v>
      </c>
      <c r="F7658" s="67" t="str">
        <f t="shared" si="12"/>
        <v>3 LeadGen Set Appointments</v>
      </c>
    </row>
    <row r="7659" hidden="1">
      <c r="A7659" s="6" t="s">
        <v>92</v>
      </c>
      <c r="B7659" s="13" t="s">
        <v>1585</v>
      </c>
      <c r="C7659" s="13" t="s">
        <v>2490</v>
      </c>
      <c r="D7659" s="15">
        <v>3.0</v>
      </c>
      <c r="E7659" s="67">
        <f t="shared" si="18"/>
        <v>750</v>
      </c>
      <c r="F7659" s="67" t="str">
        <f t="shared" si="12"/>
        <v>3 LeadGen Set Appointments</v>
      </c>
    </row>
    <row r="7660" hidden="1">
      <c r="A7660" s="6" t="s">
        <v>92</v>
      </c>
      <c r="B7660" s="13" t="s">
        <v>2179</v>
      </c>
      <c r="C7660" s="13" t="s">
        <v>2180</v>
      </c>
      <c r="D7660" s="15">
        <v>3.0</v>
      </c>
      <c r="E7660" s="67">
        <f t="shared" si="18"/>
        <v>750</v>
      </c>
      <c r="F7660" s="67" t="str">
        <f t="shared" si="12"/>
        <v>3 LeadGen Set Appointments</v>
      </c>
    </row>
    <row r="7661" hidden="1">
      <c r="A7661" s="6" t="s">
        <v>92</v>
      </c>
      <c r="B7661" s="13" t="s">
        <v>582</v>
      </c>
      <c r="C7661" s="13" t="s">
        <v>583</v>
      </c>
      <c r="D7661" s="15">
        <v>3.0</v>
      </c>
      <c r="E7661" s="67">
        <f t="shared" si="18"/>
        <v>750</v>
      </c>
      <c r="F7661" s="67" t="str">
        <f t="shared" si="12"/>
        <v>3 LeadGen Set Appointments</v>
      </c>
    </row>
    <row r="7662" hidden="1">
      <c r="A7662" s="6" t="s">
        <v>92</v>
      </c>
      <c r="B7662" s="13" t="s">
        <v>1375</v>
      </c>
      <c r="C7662" s="13" t="s">
        <v>647</v>
      </c>
      <c r="D7662" s="15">
        <v>3.0</v>
      </c>
      <c r="E7662" s="67">
        <f t="shared" si="18"/>
        <v>750</v>
      </c>
      <c r="F7662" s="67" t="str">
        <f t="shared" si="12"/>
        <v>3 LeadGen Set Appointments</v>
      </c>
    </row>
    <row r="7663" hidden="1">
      <c r="A7663" s="6" t="s">
        <v>92</v>
      </c>
      <c r="B7663" s="13" t="s">
        <v>2760</v>
      </c>
      <c r="C7663" s="13" t="s">
        <v>2761</v>
      </c>
      <c r="D7663" s="15">
        <v>3.0</v>
      </c>
      <c r="E7663" s="67">
        <f t="shared" si="18"/>
        <v>750</v>
      </c>
      <c r="F7663" s="67" t="str">
        <f t="shared" si="12"/>
        <v>3 LeadGen Set Appointments</v>
      </c>
    </row>
    <row r="7664" hidden="1">
      <c r="A7664" s="6" t="s">
        <v>92</v>
      </c>
      <c r="B7664" s="13" t="s">
        <v>2737</v>
      </c>
      <c r="C7664" s="13" t="s">
        <v>2738</v>
      </c>
      <c r="D7664" s="15">
        <v>3.0</v>
      </c>
      <c r="E7664" s="67">
        <f t="shared" si="18"/>
        <v>750</v>
      </c>
      <c r="F7664" s="67" t="str">
        <f t="shared" si="12"/>
        <v>3 LeadGen Set Appointments</v>
      </c>
    </row>
    <row r="7665" hidden="1">
      <c r="A7665" s="6" t="s">
        <v>92</v>
      </c>
      <c r="B7665" s="13" t="s">
        <v>572</v>
      </c>
      <c r="C7665" s="13" t="s">
        <v>573</v>
      </c>
      <c r="D7665" s="15">
        <v>3.0</v>
      </c>
      <c r="E7665" s="67">
        <f t="shared" si="18"/>
        <v>750</v>
      </c>
      <c r="F7665" s="67" t="str">
        <f t="shared" si="12"/>
        <v>3 LeadGen Set Appointments</v>
      </c>
    </row>
    <row r="7666" hidden="1">
      <c r="A7666" s="6" t="s">
        <v>92</v>
      </c>
      <c r="B7666" s="13" t="s">
        <v>590</v>
      </c>
      <c r="C7666" s="13" t="s">
        <v>591</v>
      </c>
      <c r="D7666" s="15">
        <v>3.0</v>
      </c>
      <c r="E7666" s="67">
        <f t="shared" si="18"/>
        <v>750</v>
      </c>
      <c r="F7666" s="67" t="str">
        <f t="shared" si="12"/>
        <v>3 LeadGen Set Appointments</v>
      </c>
    </row>
    <row r="7667" hidden="1">
      <c r="A7667" s="6" t="s">
        <v>92</v>
      </c>
      <c r="B7667" s="13" t="s">
        <v>656</v>
      </c>
      <c r="C7667" s="13" t="s">
        <v>657</v>
      </c>
      <c r="D7667" s="15">
        <v>3.0</v>
      </c>
      <c r="E7667" s="67">
        <f t="shared" si="18"/>
        <v>750</v>
      </c>
      <c r="F7667" s="67" t="str">
        <f t="shared" si="12"/>
        <v>3 LeadGen Set Appointments</v>
      </c>
    </row>
    <row r="7668" hidden="1">
      <c r="A7668" s="6" t="s">
        <v>92</v>
      </c>
      <c r="B7668" s="13" t="s">
        <v>1736</v>
      </c>
      <c r="C7668" s="13" t="s">
        <v>1737</v>
      </c>
      <c r="D7668" s="15">
        <v>3.0</v>
      </c>
      <c r="E7668" s="67">
        <f t="shared" si="18"/>
        <v>750</v>
      </c>
      <c r="F7668" s="67" t="str">
        <f t="shared" si="12"/>
        <v>3 LeadGen Set Appointments</v>
      </c>
    </row>
    <row r="7669" hidden="1">
      <c r="A7669" s="6" t="s">
        <v>92</v>
      </c>
      <c r="B7669" s="13" t="s">
        <v>2730</v>
      </c>
      <c r="C7669" s="13" t="s">
        <v>2731</v>
      </c>
      <c r="D7669" s="15">
        <v>3.0</v>
      </c>
      <c r="E7669" s="67">
        <f t="shared" si="18"/>
        <v>750</v>
      </c>
      <c r="F7669" s="67" t="str">
        <f t="shared" si="12"/>
        <v>3 LeadGen Set Appointments</v>
      </c>
    </row>
    <row r="7670" hidden="1">
      <c r="A7670" s="6" t="s">
        <v>92</v>
      </c>
      <c r="B7670" s="13" t="s">
        <v>1897</v>
      </c>
      <c r="C7670" s="13" t="s">
        <v>2460</v>
      </c>
      <c r="D7670" s="15">
        <v>3.0</v>
      </c>
      <c r="E7670" s="67">
        <f t="shared" si="18"/>
        <v>750</v>
      </c>
      <c r="F7670" s="67" t="str">
        <f t="shared" si="12"/>
        <v>3 LeadGen Set Appointments</v>
      </c>
    </row>
    <row r="7671" hidden="1">
      <c r="A7671" s="6" t="s">
        <v>92</v>
      </c>
      <c r="B7671" s="13" t="s">
        <v>701</v>
      </c>
      <c r="C7671" s="13" t="s">
        <v>702</v>
      </c>
      <c r="D7671" s="15">
        <v>3.0</v>
      </c>
      <c r="E7671" s="67">
        <f t="shared" si="18"/>
        <v>750</v>
      </c>
      <c r="F7671" s="67" t="str">
        <f t="shared" si="12"/>
        <v>3 LeadGen Set Appointments</v>
      </c>
    </row>
    <row r="7672" hidden="1">
      <c r="A7672" s="6" t="s">
        <v>92</v>
      </c>
      <c r="B7672" s="13" t="s">
        <v>2576</v>
      </c>
      <c r="C7672" s="13" t="s">
        <v>2577</v>
      </c>
      <c r="D7672" s="15">
        <v>3.0</v>
      </c>
      <c r="E7672" s="67">
        <f t="shared" si="18"/>
        <v>750</v>
      </c>
      <c r="F7672" s="67" t="str">
        <f t="shared" si="12"/>
        <v>3 LeadGen Set Appointments</v>
      </c>
    </row>
    <row r="7673" hidden="1">
      <c r="A7673" s="6" t="s">
        <v>92</v>
      </c>
      <c r="B7673" s="13" t="s">
        <v>2779</v>
      </c>
      <c r="C7673" s="13" t="s">
        <v>2780</v>
      </c>
      <c r="D7673" s="15">
        <v>2.0</v>
      </c>
      <c r="E7673" s="67">
        <f t="shared" si="18"/>
        <v>500</v>
      </c>
      <c r="F7673" s="67" t="str">
        <f t="shared" si="12"/>
        <v>2 LeadGen Set Appointments</v>
      </c>
    </row>
    <row r="7674" hidden="1">
      <c r="A7674" s="6" t="s">
        <v>92</v>
      </c>
      <c r="B7674" s="13" t="s">
        <v>2781</v>
      </c>
      <c r="C7674" s="13" t="s">
        <v>2782</v>
      </c>
      <c r="D7674" s="15">
        <v>2.0</v>
      </c>
      <c r="E7674" s="67">
        <f t="shared" si="18"/>
        <v>500</v>
      </c>
      <c r="F7674" s="67" t="str">
        <f t="shared" si="12"/>
        <v>2 LeadGen Set Appointments</v>
      </c>
    </row>
    <row r="7675" hidden="1">
      <c r="A7675" s="6" t="s">
        <v>92</v>
      </c>
      <c r="B7675" s="13" t="s">
        <v>2632</v>
      </c>
      <c r="C7675" s="13" t="s">
        <v>2633</v>
      </c>
      <c r="D7675" s="15">
        <v>2.0</v>
      </c>
      <c r="E7675" s="67">
        <f t="shared" si="18"/>
        <v>500</v>
      </c>
      <c r="F7675" s="67" t="str">
        <f t="shared" si="12"/>
        <v>2 LeadGen Set Appointments</v>
      </c>
    </row>
    <row r="7676" hidden="1">
      <c r="A7676" s="6" t="s">
        <v>92</v>
      </c>
      <c r="B7676" s="13" t="s">
        <v>2471</v>
      </c>
      <c r="C7676" s="13" t="s">
        <v>2472</v>
      </c>
      <c r="D7676" s="15">
        <v>2.0</v>
      </c>
      <c r="E7676" s="67">
        <f t="shared" si="18"/>
        <v>500</v>
      </c>
      <c r="F7676" s="67" t="str">
        <f t="shared" si="12"/>
        <v>2 LeadGen Set Appointments</v>
      </c>
    </row>
    <row r="7677" hidden="1">
      <c r="A7677" s="6" t="s">
        <v>92</v>
      </c>
      <c r="B7677" s="13" t="s">
        <v>2634</v>
      </c>
      <c r="C7677" s="13" t="s">
        <v>2635</v>
      </c>
      <c r="D7677" s="15">
        <v>2.0</v>
      </c>
      <c r="E7677" s="67">
        <f t="shared" si="18"/>
        <v>500</v>
      </c>
      <c r="F7677" s="67" t="str">
        <f t="shared" si="12"/>
        <v>2 LeadGen Set Appointments</v>
      </c>
    </row>
    <row r="7678" hidden="1">
      <c r="A7678" s="6" t="s">
        <v>92</v>
      </c>
      <c r="B7678" s="13" t="s">
        <v>2693</v>
      </c>
      <c r="C7678" s="13" t="s">
        <v>2694</v>
      </c>
      <c r="D7678" s="15">
        <v>2.0</v>
      </c>
      <c r="E7678" s="67">
        <f t="shared" si="18"/>
        <v>500</v>
      </c>
      <c r="F7678" s="67" t="str">
        <f t="shared" si="12"/>
        <v>2 LeadGen Set Appointments</v>
      </c>
    </row>
    <row r="7679" hidden="1">
      <c r="A7679" s="6" t="s">
        <v>92</v>
      </c>
      <c r="B7679" s="13" t="s">
        <v>922</v>
      </c>
      <c r="C7679" s="13" t="s">
        <v>923</v>
      </c>
      <c r="D7679" s="15">
        <v>2.0</v>
      </c>
      <c r="E7679" s="67">
        <f t="shared" si="18"/>
        <v>500</v>
      </c>
      <c r="F7679" s="67" t="str">
        <f t="shared" si="12"/>
        <v>2 LeadGen Set Appointments</v>
      </c>
    </row>
    <row r="7680" hidden="1">
      <c r="A7680" s="6" t="s">
        <v>92</v>
      </c>
      <c r="B7680" s="13" t="s">
        <v>1033</v>
      </c>
      <c r="C7680" s="13" t="s">
        <v>1034</v>
      </c>
      <c r="D7680" s="15">
        <v>2.0</v>
      </c>
      <c r="E7680" s="67">
        <f t="shared" si="18"/>
        <v>500</v>
      </c>
      <c r="F7680" s="67" t="str">
        <f t="shared" si="12"/>
        <v>2 LeadGen Set Appointments</v>
      </c>
    </row>
    <row r="7681" hidden="1">
      <c r="A7681" s="6" t="s">
        <v>92</v>
      </c>
      <c r="B7681" s="13" t="s">
        <v>1025</v>
      </c>
      <c r="C7681" s="13" t="s">
        <v>1026</v>
      </c>
      <c r="D7681" s="15">
        <v>2.0</v>
      </c>
      <c r="E7681" s="67">
        <f t="shared" si="18"/>
        <v>500</v>
      </c>
      <c r="F7681" s="67" t="str">
        <f t="shared" si="12"/>
        <v>2 LeadGen Set Appointments</v>
      </c>
    </row>
    <row r="7682" hidden="1">
      <c r="A7682" s="6" t="s">
        <v>92</v>
      </c>
      <c r="B7682" s="13" t="s">
        <v>2671</v>
      </c>
      <c r="C7682" s="13" t="s">
        <v>2672</v>
      </c>
      <c r="D7682" s="15">
        <v>2.0</v>
      </c>
      <c r="E7682" s="67">
        <f t="shared" si="18"/>
        <v>500</v>
      </c>
      <c r="F7682" s="67" t="str">
        <f t="shared" si="12"/>
        <v>2 LeadGen Set Appointments</v>
      </c>
    </row>
    <row r="7683" hidden="1">
      <c r="A7683" s="6" t="s">
        <v>92</v>
      </c>
      <c r="B7683" s="13" t="s">
        <v>2636</v>
      </c>
      <c r="C7683" s="13" t="s">
        <v>2637</v>
      </c>
      <c r="D7683" s="15">
        <v>2.0</v>
      </c>
      <c r="E7683" s="67">
        <f t="shared" si="18"/>
        <v>500</v>
      </c>
      <c r="F7683" s="67" t="str">
        <f t="shared" si="12"/>
        <v>2 LeadGen Set Appointments</v>
      </c>
    </row>
    <row r="7684" hidden="1">
      <c r="A7684" s="6" t="s">
        <v>92</v>
      </c>
      <c r="B7684" s="13" t="s">
        <v>2768</v>
      </c>
      <c r="C7684" s="13" t="s">
        <v>2769</v>
      </c>
      <c r="D7684" s="15">
        <v>2.0</v>
      </c>
      <c r="E7684" s="67">
        <f t="shared" si="18"/>
        <v>500</v>
      </c>
      <c r="F7684" s="67" t="str">
        <f t="shared" si="12"/>
        <v>2 LeadGen Set Appointments</v>
      </c>
    </row>
    <row r="7685" hidden="1">
      <c r="A7685" s="6" t="s">
        <v>92</v>
      </c>
      <c r="B7685" s="13" t="s">
        <v>1443</v>
      </c>
      <c r="C7685" s="13" t="s">
        <v>755</v>
      </c>
      <c r="D7685" s="15">
        <v>2.0</v>
      </c>
      <c r="E7685" s="67">
        <f t="shared" si="18"/>
        <v>500</v>
      </c>
      <c r="F7685" s="67" t="str">
        <f t="shared" si="12"/>
        <v>2 LeadGen Set Appointments</v>
      </c>
    </row>
    <row r="7686" hidden="1">
      <c r="A7686" s="6" t="s">
        <v>92</v>
      </c>
      <c r="B7686" s="13" t="s">
        <v>1279</v>
      </c>
      <c r="C7686" s="13" t="s">
        <v>739</v>
      </c>
      <c r="D7686" s="15">
        <v>2.0</v>
      </c>
      <c r="E7686" s="67">
        <f t="shared" si="18"/>
        <v>500</v>
      </c>
      <c r="F7686" s="67" t="str">
        <f t="shared" si="12"/>
        <v>2 LeadGen Set Appointments</v>
      </c>
    </row>
    <row r="7687" hidden="1">
      <c r="A7687" s="6" t="s">
        <v>92</v>
      </c>
      <c r="B7687" s="13" t="s">
        <v>262</v>
      </c>
      <c r="C7687" s="13" t="s">
        <v>290</v>
      </c>
      <c r="D7687" s="15">
        <v>2.0</v>
      </c>
      <c r="E7687" s="67">
        <f t="shared" si="18"/>
        <v>500</v>
      </c>
      <c r="F7687" s="67" t="str">
        <f t="shared" si="12"/>
        <v>2 LeadGen Set Appointments</v>
      </c>
    </row>
    <row r="7688" hidden="1">
      <c r="A7688" s="6" t="s">
        <v>92</v>
      </c>
      <c r="B7688" s="13" t="s">
        <v>2728</v>
      </c>
      <c r="C7688" s="13" t="s">
        <v>2729</v>
      </c>
      <c r="D7688" s="15">
        <v>2.0</v>
      </c>
      <c r="E7688" s="67">
        <f t="shared" si="18"/>
        <v>500</v>
      </c>
      <c r="F7688" s="67" t="str">
        <f t="shared" si="12"/>
        <v>2 LeadGen Set Appointments</v>
      </c>
    </row>
    <row r="7689" hidden="1">
      <c r="A7689" s="6" t="s">
        <v>92</v>
      </c>
      <c r="B7689" s="13" t="s">
        <v>2758</v>
      </c>
      <c r="C7689" s="13" t="s">
        <v>2759</v>
      </c>
      <c r="D7689" s="15">
        <v>2.0</v>
      </c>
      <c r="E7689" s="67">
        <f t="shared" si="18"/>
        <v>500</v>
      </c>
      <c r="F7689" s="67" t="str">
        <f t="shared" si="12"/>
        <v>2 LeadGen Set Appointments</v>
      </c>
    </row>
    <row r="7690" hidden="1">
      <c r="A7690" s="6" t="s">
        <v>92</v>
      </c>
      <c r="B7690" s="13" t="s">
        <v>2756</v>
      </c>
      <c r="C7690" s="13" t="s">
        <v>2757</v>
      </c>
      <c r="D7690" s="15">
        <v>2.0</v>
      </c>
      <c r="E7690" s="67">
        <f t="shared" si="18"/>
        <v>500</v>
      </c>
      <c r="F7690" s="67" t="str">
        <f t="shared" si="12"/>
        <v>2 LeadGen Set Appointments</v>
      </c>
    </row>
    <row r="7691" hidden="1">
      <c r="A7691" s="6" t="s">
        <v>92</v>
      </c>
      <c r="B7691" s="13" t="s">
        <v>2783</v>
      </c>
      <c r="C7691" s="13" t="s">
        <v>2784</v>
      </c>
      <c r="D7691" s="15">
        <v>2.0</v>
      </c>
      <c r="E7691" s="67">
        <f t="shared" si="18"/>
        <v>500</v>
      </c>
      <c r="F7691" s="67" t="str">
        <f t="shared" si="12"/>
        <v>2 LeadGen Set Appointments</v>
      </c>
    </row>
    <row r="7692" hidden="1">
      <c r="A7692" s="6" t="s">
        <v>92</v>
      </c>
      <c r="B7692" s="13" t="s">
        <v>2785</v>
      </c>
      <c r="C7692" s="13" t="s">
        <v>2786</v>
      </c>
      <c r="D7692" s="15">
        <v>2.0</v>
      </c>
      <c r="E7692" s="67">
        <f t="shared" si="18"/>
        <v>500</v>
      </c>
      <c r="F7692" s="67" t="str">
        <f t="shared" si="12"/>
        <v>2 LeadGen Set Appointments</v>
      </c>
    </row>
    <row r="7693" hidden="1">
      <c r="A7693" s="6" t="s">
        <v>92</v>
      </c>
      <c r="B7693" s="13" t="s">
        <v>1923</v>
      </c>
      <c r="C7693" s="13" t="s">
        <v>1924</v>
      </c>
      <c r="D7693" s="15">
        <v>2.0</v>
      </c>
      <c r="E7693" s="67">
        <f t="shared" si="18"/>
        <v>500</v>
      </c>
      <c r="F7693" s="67" t="str">
        <f t="shared" si="12"/>
        <v>2 LeadGen Set Appointments</v>
      </c>
    </row>
    <row r="7694" hidden="1">
      <c r="A7694" s="6" t="s">
        <v>92</v>
      </c>
      <c r="B7694" s="13" t="s">
        <v>2745</v>
      </c>
      <c r="C7694" s="13" t="s">
        <v>2746</v>
      </c>
      <c r="D7694" s="15">
        <v>2.0</v>
      </c>
      <c r="E7694" s="67">
        <f t="shared" si="18"/>
        <v>500</v>
      </c>
      <c r="F7694" s="67" t="str">
        <f t="shared" si="12"/>
        <v>2 LeadGen Set Appointments</v>
      </c>
    </row>
    <row r="7695" hidden="1">
      <c r="A7695" s="6" t="s">
        <v>92</v>
      </c>
      <c r="B7695" s="13" t="s">
        <v>1342</v>
      </c>
      <c r="C7695" s="13" t="s">
        <v>2751</v>
      </c>
      <c r="D7695" s="15">
        <v>2.0</v>
      </c>
      <c r="E7695" s="67">
        <f t="shared" si="18"/>
        <v>500</v>
      </c>
      <c r="F7695" s="67" t="str">
        <f t="shared" si="12"/>
        <v>2 LeadGen Set Appointments</v>
      </c>
    </row>
    <row r="7696" hidden="1">
      <c r="A7696" s="6" t="s">
        <v>92</v>
      </c>
      <c r="B7696" s="13" t="s">
        <v>522</v>
      </c>
      <c r="C7696" s="13" t="s">
        <v>523</v>
      </c>
      <c r="D7696" s="15">
        <v>2.0</v>
      </c>
      <c r="E7696" s="67">
        <f t="shared" si="18"/>
        <v>500</v>
      </c>
      <c r="F7696" s="67" t="str">
        <f t="shared" si="12"/>
        <v>2 LeadGen Set Appointments</v>
      </c>
    </row>
    <row r="7697" hidden="1">
      <c r="A7697" s="6" t="s">
        <v>92</v>
      </c>
      <c r="B7697" s="13" t="s">
        <v>862</v>
      </c>
      <c r="C7697" s="13" t="s">
        <v>863</v>
      </c>
      <c r="D7697" s="15">
        <v>2.0</v>
      </c>
      <c r="E7697" s="67">
        <f t="shared" si="18"/>
        <v>500</v>
      </c>
      <c r="F7697" s="67" t="str">
        <f t="shared" si="12"/>
        <v>2 LeadGen Set Appointments</v>
      </c>
    </row>
    <row r="7698" hidden="1">
      <c r="A7698" s="6" t="s">
        <v>92</v>
      </c>
      <c r="B7698" s="13" t="s">
        <v>2709</v>
      </c>
      <c r="C7698" s="13" t="s">
        <v>2710</v>
      </c>
      <c r="D7698" s="15">
        <v>1.0</v>
      </c>
      <c r="E7698" s="67">
        <f t="shared" si="18"/>
        <v>250</v>
      </c>
      <c r="F7698" s="67" t="str">
        <f t="shared" si="12"/>
        <v>1 LeadGen Set Appointments</v>
      </c>
    </row>
    <row r="7699" hidden="1">
      <c r="A7699" s="6" t="s">
        <v>92</v>
      </c>
      <c r="B7699" s="13" t="s">
        <v>2724</v>
      </c>
      <c r="C7699" s="13" t="s">
        <v>2725</v>
      </c>
      <c r="D7699" s="15">
        <v>1.0</v>
      </c>
      <c r="E7699" s="67">
        <f t="shared" si="18"/>
        <v>250</v>
      </c>
      <c r="F7699" s="67" t="str">
        <f t="shared" si="12"/>
        <v>1 LeadGen Set Appointments</v>
      </c>
    </row>
    <row r="7700" hidden="1">
      <c r="A7700" s="6" t="s">
        <v>92</v>
      </c>
      <c r="B7700" s="13" t="s">
        <v>1356</v>
      </c>
      <c r="C7700" s="13" t="s">
        <v>581</v>
      </c>
      <c r="D7700" s="15">
        <v>1.0</v>
      </c>
      <c r="E7700" s="67">
        <f t="shared" si="18"/>
        <v>250</v>
      </c>
      <c r="F7700" s="67" t="str">
        <f t="shared" si="12"/>
        <v>1 LeadGen Set Appointments</v>
      </c>
    </row>
    <row r="7701" hidden="1">
      <c r="A7701" s="6" t="s">
        <v>92</v>
      </c>
      <c r="B7701" s="13" t="s">
        <v>2669</v>
      </c>
      <c r="C7701" s="13" t="s">
        <v>2670</v>
      </c>
      <c r="D7701" s="15">
        <v>1.0</v>
      </c>
      <c r="E7701" s="67">
        <f t="shared" si="18"/>
        <v>250</v>
      </c>
      <c r="F7701" s="67" t="str">
        <f t="shared" si="12"/>
        <v>1 LeadGen Set Appointments</v>
      </c>
    </row>
    <row r="7702" hidden="1">
      <c r="A7702" s="6" t="s">
        <v>92</v>
      </c>
      <c r="B7702" s="13" t="s">
        <v>2743</v>
      </c>
      <c r="C7702" s="13" t="s">
        <v>2744</v>
      </c>
      <c r="D7702" s="15">
        <v>1.0</v>
      </c>
      <c r="E7702" s="67">
        <f t="shared" si="18"/>
        <v>250</v>
      </c>
      <c r="F7702" s="67" t="str">
        <f t="shared" si="12"/>
        <v>1 LeadGen Set Appointments</v>
      </c>
    </row>
    <row r="7703" hidden="1">
      <c r="A7703" s="6" t="s">
        <v>92</v>
      </c>
      <c r="B7703" s="13" t="s">
        <v>1435</v>
      </c>
      <c r="C7703" s="13" t="s">
        <v>741</v>
      </c>
      <c r="D7703" s="15">
        <v>1.0</v>
      </c>
      <c r="E7703" s="67">
        <f t="shared" si="18"/>
        <v>250</v>
      </c>
      <c r="F7703" s="67" t="str">
        <f t="shared" si="12"/>
        <v>1 LeadGen Set Appointments</v>
      </c>
    </row>
    <row r="7704" hidden="1">
      <c r="A7704" s="6" t="s">
        <v>92</v>
      </c>
      <c r="B7704" s="13" t="s">
        <v>900</v>
      </c>
      <c r="C7704" s="13" t="s">
        <v>901</v>
      </c>
      <c r="D7704" s="15">
        <v>1.0</v>
      </c>
      <c r="E7704" s="67">
        <f t="shared" si="18"/>
        <v>250</v>
      </c>
      <c r="F7704" s="67" t="str">
        <f t="shared" si="12"/>
        <v>1 LeadGen Set Appointments</v>
      </c>
    </row>
    <row r="7705" hidden="1">
      <c r="A7705" s="6" t="s">
        <v>92</v>
      </c>
      <c r="B7705" s="13" t="s">
        <v>2787</v>
      </c>
      <c r="C7705" s="13" t="s">
        <v>2788</v>
      </c>
      <c r="D7705" s="15">
        <v>1.0</v>
      </c>
      <c r="E7705" s="67">
        <f t="shared" si="18"/>
        <v>250</v>
      </c>
      <c r="F7705" s="67" t="str">
        <f t="shared" si="12"/>
        <v>1 LeadGen Set Appointments</v>
      </c>
    </row>
    <row r="7706" hidden="1">
      <c r="A7706" s="6" t="s">
        <v>92</v>
      </c>
      <c r="B7706" s="13" t="s">
        <v>2270</v>
      </c>
      <c r="C7706" s="13" t="s">
        <v>2687</v>
      </c>
      <c r="D7706" s="15">
        <v>1.0</v>
      </c>
      <c r="E7706" s="67">
        <f t="shared" si="18"/>
        <v>250</v>
      </c>
      <c r="F7706" s="67" t="str">
        <f t="shared" si="12"/>
        <v>1 LeadGen Set Appointments</v>
      </c>
    </row>
    <row r="7707" hidden="1">
      <c r="A7707" s="6" t="s">
        <v>92</v>
      </c>
      <c r="B7707" s="13" t="s">
        <v>2789</v>
      </c>
      <c r="C7707" s="13" t="s">
        <v>2790</v>
      </c>
      <c r="D7707" s="15">
        <v>1.0</v>
      </c>
      <c r="E7707" s="67">
        <f t="shared" si="18"/>
        <v>250</v>
      </c>
      <c r="F7707" s="67" t="str">
        <f t="shared" si="12"/>
        <v>1 LeadGen Set Appointments</v>
      </c>
    </row>
    <row r="7708" hidden="1">
      <c r="A7708" s="6" t="s">
        <v>92</v>
      </c>
      <c r="B7708" s="13" t="s">
        <v>2791</v>
      </c>
      <c r="C7708" s="13" t="s">
        <v>2792</v>
      </c>
      <c r="D7708" s="15">
        <v>1.0</v>
      </c>
      <c r="E7708" s="67">
        <f t="shared" si="18"/>
        <v>250</v>
      </c>
      <c r="F7708" s="67" t="str">
        <f t="shared" si="12"/>
        <v>1 LeadGen Set Appointments</v>
      </c>
    </row>
    <row r="7709" hidden="1">
      <c r="A7709" s="6" t="s">
        <v>92</v>
      </c>
      <c r="B7709" s="13" t="s">
        <v>2793</v>
      </c>
      <c r="C7709" s="13" t="s">
        <v>2794</v>
      </c>
      <c r="D7709" s="15">
        <v>1.0</v>
      </c>
      <c r="E7709" s="67">
        <f t="shared" si="18"/>
        <v>250</v>
      </c>
      <c r="F7709" s="67" t="str">
        <f t="shared" si="12"/>
        <v>1 LeadGen Set Appointments</v>
      </c>
    </row>
    <row r="7710" hidden="1">
      <c r="A7710" s="6" t="s">
        <v>92</v>
      </c>
      <c r="B7710" s="13" t="s">
        <v>2795</v>
      </c>
      <c r="C7710" s="13" t="s">
        <v>2796</v>
      </c>
      <c r="D7710" s="15">
        <v>1.0</v>
      </c>
      <c r="E7710" s="67">
        <f t="shared" si="18"/>
        <v>250</v>
      </c>
      <c r="F7710" s="67" t="str">
        <f t="shared" si="12"/>
        <v>1 LeadGen Set Appointments</v>
      </c>
    </row>
    <row r="7711" hidden="1">
      <c r="A7711" s="6" t="s">
        <v>92</v>
      </c>
      <c r="B7711" s="13" t="s">
        <v>2699</v>
      </c>
      <c r="C7711" s="13" t="s">
        <v>2700</v>
      </c>
      <c r="D7711" s="15">
        <v>1.0</v>
      </c>
      <c r="E7711" s="67">
        <f t="shared" si="18"/>
        <v>250</v>
      </c>
      <c r="F7711" s="67" t="str">
        <f t="shared" si="12"/>
        <v>1 LeadGen Set Appointments</v>
      </c>
    </row>
    <row r="7712" hidden="1">
      <c r="A7712" s="6" t="s">
        <v>92</v>
      </c>
      <c r="B7712" s="13" t="s">
        <v>2711</v>
      </c>
      <c r="C7712" s="13" t="s">
        <v>2712</v>
      </c>
      <c r="D7712" s="15">
        <v>1.0</v>
      </c>
      <c r="E7712" s="67">
        <f t="shared" si="18"/>
        <v>250</v>
      </c>
      <c r="F7712" s="67" t="str">
        <f t="shared" si="12"/>
        <v>1 LeadGen Set Appointments</v>
      </c>
    </row>
    <row r="7713" hidden="1">
      <c r="A7713" s="6" t="s">
        <v>92</v>
      </c>
      <c r="B7713" s="13" t="s">
        <v>2797</v>
      </c>
      <c r="C7713" s="13" t="s">
        <v>2798</v>
      </c>
      <c r="D7713" s="15">
        <v>1.0</v>
      </c>
      <c r="E7713" s="67">
        <f t="shared" si="18"/>
        <v>250</v>
      </c>
      <c r="F7713" s="67" t="str">
        <f t="shared" si="12"/>
        <v>1 LeadGen Set Appointments</v>
      </c>
    </row>
    <row r="7714" hidden="1">
      <c r="A7714" s="6" t="s">
        <v>92</v>
      </c>
      <c r="B7714" s="13" t="s">
        <v>1790</v>
      </c>
      <c r="C7714" s="13" t="s">
        <v>2799</v>
      </c>
      <c r="D7714" s="15">
        <v>1.0</v>
      </c>
      <c r="E7714" s="67">
        <f t="shared" si="18"/>
        <v>250</v>
      </c>
      <c r="F7714" s="67" t="str">
        <f t="shared" si="12"/>
        <v>1 LeadGen Set Appointments</v>
      </c>
    </row>
    <row r="7715" hidden="1">
      <c r="A7715" s="6" t="s">
        <v>92</v>
      </c>
      <c r="B7715" s="13" t="s">
        <v>2800</v>
      </c>
      <c r="C7715" s="13" t="s">
        <v>2801</v>
      </c>
      <c r="D7715" s="15">
        <v>1.0</v>
      </c>
      <c r="E7715" s="67">
        <f t="shared" si="18"/>
        <v>250</v>
      </c>
      <c r="F7715" s="67" t="str">
        <f t="shared" si="12"/>
        <v>1 LeadGen Set Appointments</v>
      </c>
    </row>
    <row r="7716" hidden="1">
      <c r="A7716" s="6" t="s">
        <v>92</v>
      </c>
      <c r="B7716" s="13" t="s">
        <v>2802</v>
      </c>
      <c r="C7716" s="13" t="s">
        <v>2803</v>
      </c>
      <c r="D7716" s="15">
        <v>1.0</v>
      </c>
      <c r="E7716" s="67">
        <f t="shared" si="18"/>
        <v>250</v>
      </c>
      <c r="F7716" s="67" t="str">
        <f t="shared" si="12"/>
        <v>1 LeadGen Set Appointments</v>
      </c>
    </row>
    <row r="7717" hidden="1">
      <c r="A7717" s="6" t="s">
        <v>92</v>
      </c>
      <c r="B7717" s="13" t="s">
        <v>2681</v>
      </c>
      <c r="C7717" s="13" t="s">
        <v>2682</v>
      </c>
      <c r="D7717" s="15">
        <v>1.0</v>
      </c>
      <c r="E7717" s="67">
        <f t="shared" si="18"/>
        <v>250</v>
      </c>
      <c r="F7717" s="67" t="str">
        <f t="shared" si="12"/>
        <v>1 LeadGen Set Appointments</v>
      </c>
    </row>
    <row r="7718" hidden="1">
      <c r="A7718" s="6" t="s">
        <v>92</v>
      </c>
      <c r="B7718" s="13" t="s">
        <v>2720</v>
      </c>
      <c r="C7718" s="13" t="s">
        <v>2721</v>
      </c>
      <c r="D7718" s="15">
        <v>1.0</v>
      </c>
      <c r="E7718" s="67">
        <f t="shared" si="18"/>
        <v>250</v>
      </c>
      <c r="F7718" s="67" t="str">
        <f t="shared" si="12"/>
        <v>1 LeadGen Set Appointments</v>
      </c>
    </row>
    <row r="7719" hidden="1">
      <c r="A7719" s="6" t="s">
        <v>92</v>
      </c>
      <c r="B7719" s="13" t="s">
        <v>2747</v>
      </c>
      <c r="C7719" s="13" t="s">
        <v>2748</v>
      </c>
      <c r="D7719" s="15">
        <v>1.0</v>
      </c>
      <c r="E7719" s="67">
        <f t="shared" si="18"/>
        <v>250</v>
      </c>
      <c r="F7719" s="67" t="str">
        <f t="shared" si="12"/>
        <v>1 LeadGen Set Appointments</v>
      </c>
    </row>
    <row r="7720" hidden="1">
      <c r="A7720" s="6" t="s">
        <v>92</v>
      </c>
      <c r="B7720" s="13" t="s">
        <v>307</v>
      </c>
      <c r="C7720" s="13" t="s">
        <v>692</v>
      </c>
      <c r="D7720" s="15">
        <v>2.0</v>
      </c>
      <c r="E7720" s="67">
        <f t="shared" si="18"/>
        <v>500</v>
      </c>
      <c r="F7720" s="67" t="str">
        <f t="shared" si="12"/>
        <v>2 LeadGen Set Appointments</v>
      </c>
    </row>
    <row r="7721" hidden="1">
      <c r="A7721" s="6" t="s">
        <v>92</v>
      </c>
      <c r="B7721" s="13" t="s">
        <v>2804</v>
      </c>
      <c r="C7721" s="13" t="s">
        <v>2805</v>
      </c>
      <c r="D7721" s="15">
        <v>1.0</v>
      </c>
      <c r="E7721" s="67">
        <f t="shared" si="18"/>
        <v>250</v>
      </c>
      <c r="F7721" s="67" t="str">
        <f t="shared" si="12"/>
        <v>1 LeadGen Set Appointments</v>
      </c>
    </row>
    <row r="7722" hidden="1">
      <c r="A7722" s="6" t="s">
        <v>92</v>
      </c>
      <c r="B7722" s="13" t="s">
        <v>1764</v>
      </c>
      <c r="C7722" s="13" t="s">
        <v>1765</v>
      </c>
      <c r="D7722" s="15">
        <v>4.0</v>
      </c>
      <c r="E7722" s="67">
        <f t="shared" si="18"/>
        <v>1000</v>
      </c>
      <c r="F7722" s="67" t="str">
        <f t="shared" si="12"/>
        <v>4 LeadGen Set Appointments</v>
      </c>
    </row>
    <row r="7723" hidden="1">
      <c r="A7723" s="6" t="s">
        <v>92</v>
      </c>
      <c r="B7723" s="13" t="s">
        <v>2806</v>
      </c>
      <c r="C7723" s="13" t="s">
        <v>2807</v>
      </c>
      <c r="D7723" s="15">
        <v>5.0</v>
      </c>
      <c r="E7723" s="67">
        <f t="shared" si="18"/>
        <v>1250</v>
      </c>
      <c r="F7723" s="67" t="str">
        <f t="shared" si="12"/>
        <v>5 LeadGen Set Appointments</v>
      </c>
    </row>
    <row r="7724" hidden="1">
      <c r="A7724" s="6" t="s">
        <v>92</v>
      </c>
      <c r="B7724" s="13" t="s">
        <v>2808</v>
      </c>
      <c r="C7724" s="13" t="s">
        <v>2809</v>
      </c>
      <c r="D7724" s="15">
        <v>0.0</v>
      </c>
      <c r="E7724" s="67">
        <f t="shared" si="18"/>
        <v>0</v>
      </c>
      <c r="F7724" s="67" t="str">
        <f t="shared" si="12"/>
        <v>0 LeadGen Set Appointments</v>
      </c>
    </row>
    <row r="7725" hidden="1">
      <c r="A7725" s="6" t="s">
        <v>92</v>
      </c>
      <c r="B7725" s="13" t="s">
        <v>2810</v>
      </c>
      <c r="C7725" s="13" t="s">
        <v>2811</v>
      </c>
      <c r="D7725" s="15">
        <v>4.0</v>
      </c>
      <c r="E7725" s="67">
        <f t="shared" si="18"/>
        <v>1000</v>
      </c>
      <c r="F7725" s="67" t="str">
        <f t="shared" si="12"/>
        <v>4 LeadGen Set Appointments</v>
      </c>
    </row>
    <row r="7726" hidden="1">
      <c r="A7726" s="6" t="s">
        <v>92</v>
      </c>
      <c r="B7726" s="13" t="s">
        <v>1768</v>
      </c>
      <c r="C7726" s="13" t="s">
        <v>1769</v>
      </c>
      <c r="D7726" s="15">
        <v>7.0</v>
      </c>
      <c r="E7726" s="67">
        <f t="shared" si="18"/>
        <v>1750</v>
      </c>
      <c r="F7726" s="67" t="str">
        <f t="shared" si="12"/>
        <v>7 LeadGen Set Appointments</v>
      </c>
    </row>
    <row r="7727" hidden="1">
      <c r="A7727" s="6" t="s">
        <v>92</v>
      </c>
      <c r="B7727" s="13" t="s">
        <v>2812</v>
      </c>
      <c r="C7727" s="13" t="s">
        <v>2813</v>
      </c>
      <c r="D7727" s="15">
        <v>1.0</v>
      </c>
      <c r="E7727" s="67">
        <f t="shared" si="18"/>
        <v>250</v>
      </c>
      <c r="F7727" s="67" t="str">
        <f t="shared" si="12"/>
        <v>1 LeadGen Set Appointments</v>
      </c>
    </row>
    <row r="7728" hidden="1">
      <c r="A7728" s="6" t="s">
        <v>92</v>
      </c>
      <c r="B7728" s="13" t="s">
        <v>2814</v>
      </c>
      <c r="C7728" s="13" t="s">
        <v>2815</v>
      </c>
      <c r="D7728" s="15">
        <v>1.0</v>
      </c>
      <c r="E7728" s="67">
        <f t="shared" si="18"/>
        <v>250</v>
      </c>
      <c r="F7728" s="67" t="str">
        <f t="shared" si="12"/>
        <v>1 LeadGen Set Appointments</v>
      </c>
    </row>
    <row r="7729" hidden="1">
      <c r="A7729" s="6" t="s">
        <v>92</v>
      </c>
      <c r="B7729" s="13" t="s">
        <v>1301</v>
      </c>
      <c r="C7729" s="13" t="s">
        <v>1302</v>
      </c>
      <c r="D7729" s="15">
        <v>2.0</v>
      </c>
      <c r="E7729" s="67">
        <f t="shared" si="18"/>
        <v>500</v>
      </c>
      <c r="F7729" s="67" t="str">
        <f t="shared" si="12"/>
        <v>2 LeadGen Set Appointments</v>
      </c>
    </row>
    <row r="7730" hidden="1">
      <c r="A7730" s="6" t="s">
        <v>92</v>
      </c>
      <c r="B7730" s="13" t="s">
        <v>1919</v>
      </c>
      <c r="C7730" s="13" t="s">
        <v>2816</v>
      </c>
      <c r="D7730" s="15">
        <v>3.0</v>
      </c>
      <c r="E7730" s="67">
        <f t="shared" si="18"/>
        <v>750</v>
      </c>
      <c r="F7730" s="67" t="str">
        <f t="shared" si="12"/>
        <v>3 LeadGen Set Appointments</v>
      </c>
    </row>
    <row r="7731" hidden="1">
      <c r="A7731" s="6" t="s">
        <v>92</v>
      </c>
      <c r="B7731" s="13" t="s">
        <v>2817</v>
      </c>
      <c r="C7731" s="13" t="s">
        <v>1338</v>
      </c>
      <c r="D7731" s="15">
        <v>1.0</v>
      </c>
      <c r="E7731" s="67">
        <f t="shared" si="18"/>
        <v>250</v>
      </c>
      <c r="F7731" s="67" t="str">
        <f t="shared" si="12"/>
        <v>1 LeadGen Set Appointments</v>
      </c>
    </row>
    <row r="7732" hidden="1">
      <c r="A7732" s="6" t="s">
        <v>92</v>
      </c>
      <c r="B7732" s="13" t="s">
        <v>2818</v>
      </c>
      <c r="C7732" s="77" t="s">
        <v>90</v>
      </c>
      <c r="D7732" s="78">
        <v>4.0</v>
      </c>
      <c r="E7732" s="79">
        <f t="shared" si="18"/>
        <v>1000</v>
      </c>
      <c r="F7732" s="67" t="str">
        <f t="shared" si="12"/>
        <v>4 LeadGen Set Appointments</v>
      </c>
    </row>
    <row r="7733" hidden="1">
      <c r="A7733" s="6" t="s">
        <v>92</v>
      </c>
      <c r="B7733" s="13" t="s">
        <v>311</v>
      </c>
      <c r="C7733" s="13" t="s">
        <v>312</v>
      </c>
      <c r="D7733" s="15">
        <v>6.0</v>
      </c>
      <c r="E7733" s="67">
        <f t="shared" si="18"/>
        <v>1500</v>
      </c>
      <c r="F7733" s="67" t="str">
        <f t="shared" si="12"/>
        <v>6 LeadGen Set Appointments</v>
      </c>
    </row>
    <row r="7734" hidden="1">
      <c r="A7734" s="6" t="s">
        <v>92</v>
      </c>
      <c r="B7734" s="13" t="s">
        <v>315</v>
      </c>
      <c r="C7734" s="13" t="s">
        <v>2819</v>
      </c>
      <c r="D7734" s="15">
        <v>3.0</v>
      </c>
      <c r="E7734" s="67">
        <f t="shared" si="18"/>
        <v>750</v>
      </c>
      <c r="F7734" s="67" t="str">
        <f t="shared" si="12"/>
        <v>3 LeadGen Set Appointments</v>
      </c>
    </row>
    <row r="7735" hidden="1">
      <c r="A7735" s="6" t="s">
        <v>95</v>
      </c>
      <c r="B7735" s="13" t="s">
        <v>476</v>
      </c>
      <c r="C7735" s="13" t="s">
        <v>477</v>
      </c>
      <c r="D7735" s="15">
        <v>42.0</v>
      </c>
      <c r="E7735" s="67">
        <f t="shared" si="18"/>
        <v>21000</v>
      </c>
      <c r="F7735" s="67" t="str">
        <f t="shared" si="12"/>
        <v>42 LeadGen Set Appointments</v>
      </c>
    </row>
    <row r="7736" hidden="1">
      <c r="A7736" s="6" t="s">
        <v>95</v>
      </c>
      <c r="B7736" s="13" t="s">
        <v>644</v>
      </c>
      <c r="C7736" s="13" t="s">
        <v>645</v>
      </c>
      <c r="D7736" s="15">
        <v>27.0</v>
      </c>
      <c r="E7736" s="67">
        <f t="shared" si="18"/>
        <v>13500</v>
      </c>
      <c r="F7736" s="67" t="str">
        <f t="shared" si="12"/>
        <v>27 LeadGen Set Appointments</v>
      </c>
    </row>
    <row r="7737" hidden="1">
      <c r="A7737" s="6" t="s">
        <v>95</v>
      </c>
      <c r="B7737" s="13" t="s">
        <v>746</v>
      </c>
      <c r="C7737" s="13" t="s">
        <v>747</v>
      </c>
      <c r="D7737" s="15">
        <v>20.0</v>
      </c>
      <c r="E7737" s="67">
        <f t="shared" si="18"/>
        <v>10000</v>
      </c>
      <c r="F7737" s="67" t="str">
        <f t="shared" si="12"/>
        <v>20 LeadGen Set Appointments</v>
      </c>
    </row>
    <row r="7738" hidden="1">
      <c r="A7738" s="6" t="s">
        <v>95</v>
      </c>
      <c r="B7738" s="13" t="s">
        <v>540</v>
      </c>
      <c r="C7738" s="13" t="s">
        <v>541</v>
      </c>
      <c r="D7738" s="15">
        <v>19.0</v>
      </c>
      <c r="E7738" s="67">
        <f t="shared" si="18"/>
        <v>9500</v>
      </c>
      <c r="F7738" s="67" t="str">
        <f t="shared" si="12"/>
        <v>19 LeadGen Set Appointments</v>
      </c>
    </row>
    <row r="7739" hidden="1">
      <c r="A7739" s="6" t="s">
        <v>95</v>
      </c>
      <c r="B7739" s="13" t="s">
        <v>411</v>
      </c>
      <c r="C7739" s="13" t="s">
        <v>412</v>
      </c>
      <c r="D7739" s="15">
        <v>17.0</v>
      </c>
      <c r="E7739" s="67">
        <f t="shared" si="18"/>
        <v>8500</v>
      </c>
      <c r="F7739" s="67" t="str">
        <f t="shared" si="12"/>
        <v>17 LeadGen Set Appointments</v>
      </c>
    </row>
    <row r="7740" hidden="1">
      <c r="A7740" s="6" t="s">
        <v>95</v>
      </c>
      <c r="B7740" s="13" t="s">
        <v>723</v>
      </c>
      <c r="C7740" s="13" t="s">
        <v>724</v>
      </c>
      <c r="D7740" s="15">
        <v>17.0</v>
      </c>
      <c r="E7740" s="67">
        <f t="shared" si="18"/>
        <v>8500</v>
      </c>
      <c r="F7740" s="67" t="str">
        <f t="shared" si="12"/>
        <v>17 LeadGen Set Appointments</v>
      </c>
    </row>
    <row r="7741" hidden="1">
      <c r="A7741" s="6" t="s">
        <v>95</v>
      </c>
      <c r="B7741" s="13" t="s">
        <v>516</v>
      </c>
      <c r="C7741" s="13" t="s">
        <v>517</v>
      </c>
      <c r="D7741" s="15">
        <v>15.0</v>
      </c>
      <c r="E7741" s="67">
        <f t="shared" si="18"/>
        <v>7500</v>
      </c>
      <c r="F7741" s="67" t="str">
        <f t="shared" si="12"/>
        <v>15 LeadGen Set Appointments</v>
      </c>
    </row>
    <row r="7742" hidden="1">
      <c r="A7742" s="6" t="s">
        <v>95</v>
      </c>
      <c r="B7742" s="13" t="s">
        <v>736</v>
      </c>
      <c r="C7742" s="13" t="s">
        <v>737</v>
      </c>
      <c r="D7742" s="15">
        <v>13.0</v>
      </c>
      <c r="E7742" s="67">
        <f t="shared" si="18"/>
        <v>6500</v>
      </c>
      <c r="F7742" s="67" t="str">
        <f t="shared" si="12"/>
        <v>13 LeadGen Set Appointments</v>
      </c>
    </row>
    <row r="7743" hidden="1">
      <c r="A7743" s="6" t="s">
        <v>95</v>
      </c>
      <c r="B7743" s="13" t="s">
        <v>2548</v>
      </c>
      <c r="C7743" s="13" t="s">
        <v>2549</v>
      </c>
      <c r="D7743" s="15">
        <v>12.0</v>
      </c>
      <c r="E7743" s="67">
        <f t="shared" si="18"/>
        <v>6000</v>
      </c>
      <c r="F7743" s="67" t="str">
        <f t="shared" si="12"/>
        <v>12 LeadGen Set Appointments</v>
      </c>
    </row>
    <row r="7744" hidden="1">
      <c r="A7744" s="6" t="s">
        <v>95</v>
      </c>
      <c r="B7744" s="13" t="s">
        <v>640</v>
      </c>
      <c r="C7744" s="13" t="s">
        <v>641</v>
      </c>
      <c r="D7744" s="15">
        <v>12.0</v>
      </c>
      <c r="E7744" s="67">
        <f t="shared" si="18"/>
        <v>6000</v>
      </c>
      <c r="F7744" s="67" t="str">
        <f t="shared" si="12"/>
        <v>12 LeadGen Set Appointments</v>
      </c>
    </row>
    <row r="7745" hidden="1">
      <c r="A7745" s="6" t="s">
        <v>95</v>
      </c>
      <c r="B7745" s="13" t="s">
        <v>1471</v>
      </c>
      <c r="C7745" s="13" t="s">
        <v>1472</v>
      </c>
      <c r="D7745" s="15">
        <v>12.0</v>
      </c>
      <c r="E7745" s="67">
        <f t="shared" si="18"/>
        <v>6000</v>
      </c>
      <c r="F7745" s="67" t="str">
        <f t="shared" si="12"/>
        <v>12 LeadGen Set Appointments</v>
      </c>
    </row>
    <row r="7746" hidden="1">
      <c r="A7746" s="6" t="s">
        <v>95</v>
      </c>
      <c r="B7746" s="13" t="s">
        <v>2589</v>
      </c>
      <c r="C7746" s="13" t="s">
        <v>2590</v>
      </c>
      <c r="D7746" s="15">
        <v>12.0</v>
      </c>
      <c r="E7746" s="67">
        <f t="shared" si="18"/>
        <v>6000</v>
      </c>
      <c r="F7746" s="67" t="str">
        <f t="shared" si="12"/>
        <v>12 LeadGen Set Appointments</v>
      </c>
    </row>
    <row r="7747" hidden="1">
      <c r="A7747" s="6" t="s">
        <v>95</v>
      </c>
      <c r="B7747" s="13" t="s">
        <v>1426</v>
      </c>
      <c r="C7747" s="13" t="s">
        <v>1427</v>
      </c>
      <c r="D7747" s="15">
        <v>11.0</v>
      </c>
      <c r="E7747" s="67">
        <f t="shared" si="18"/>
        <v>5500</v>
      </c>
      <c r="F7747" s="67" t="str">
        <f t="shared" si="12"/>
        <v>11 LeadGen Set Appointments</v>
      </c>
    </row>
    <row r="7748" hidden="1">
      <c r="A7748" s="6" t="s">
        <v>95</v>
      </c>
      <c r="B7748" s="13" t="s">
        <v>2806</v>
      </c>
      <c r="C7748" s="13" t="s">
        <v>2807</v>
      </c>
      <c r="D7748" s="15">
        <v>10.0</v>
      </c>
      <c r="E7748" s="67">
        <f t="shared" si="18"/>
        <v>5000</v>
      </c>
      <c r="F7748" s="67" t="str">
        <f t="shared" si="12"/>
        <v>10 LeadGen Set Appointments</v>
      </c>
    </row>
    <row r="7749" hidden="1">
      <c r="A7749" s="6" t="s">
        <v>95</v>
      </c>
      <c r="B7749" s="13" t="s">
        <v>684</v>
      </c>
      <c r="C7749" s="13" t="s">
        <v>685</v>
      </c>
      <c r="D7749" s="15">
        <v>10.0</v>
      </c>
      <c r="E7749" s="67">
        <f t="shared" si="18"/>
        <v>5000</v>
      </c>
      <c r="F7749" s="67" t="str">
        <f t="shared" si="12"/>
        <v>10 LeadGen Set Appointments</v>
      </c>
    </row>
    <row r="7750" hidden="1">
      <c r="A7750" s="6" t="s">
        <v>95</v>
      </c>
      <c r="B7750" s="13" t="s">
        <v>2810</v>
      </c>
      <c r="C7750" s="13" t="s">
        <v>2811</v>
      </c>
      <c r="D7750" s="15">
        <v>10.0</v>
      </c>
      <c r="E7750" s="67">
        <f t="shared" si="18"/>
        <v>5000</v>
      </c>
      <c r="F7750" s="67" t="str">
        <f t="shared" si="12"/>
        <v>10 LeadGen Set Appointments</v>
      </c>
    </row>
    <row r="7751" hidden="1">
      <c r="A7751" s="6" t="s">
        <v>95</v>
      </c>
      <c r="B7751" s="13" t="s">
        <v>1393</v>
      </c>
      <c r="C7751" s="13" t="s">
        <v>1394</v>
      </c>
      <c r="D7751" s="15">
        <v>10.0</v>
      </c>
      <c r="E7751" s="67">
        <f t="shared" si="18"/>
        <v>5000</v>
      </c>
      <c r="F7751" s="67" t="str">
        <f t="shared" si="12"/>
        <v>10 LeadGen Set Appointments</v>
      </c>
    </row>
    <row r="7752" hidden="1">
      <c r="A7752" s="6" t="s">
        <v>95</v>
      </c>
      <c r="B7752" s="13" t="s">
        <v>699</v>
      </c>
      <c r="C7752" s="13" t="s">
        <v>700</v>
      </c>
      <c r="D7752" s="15">
        <v>10.0</v>
      </c>
      <c r="E7752" s="67">
        <f t="shared" si="18"/>
        <v>5000</v>
      </c>
      <c r="F7752" s="67" t="str">
        <f t="shared" si="12"/>
        <v>10 LeadGen Set Appointments</v>
      </c>
    </row>
    <row r="7753" hidden="1">
      <c r="A7753" s="6" t="s">
        <v>95</v>
      </c>
      <c r="B7753" s="13" t="s">
        <v>510</v>
      </c>
      <c r="C7753" s="13" t="s">
        <v>511</v>
      </c>
      <c r="D7753" s="15">
        <v>10.0</v>
      </c>
      <c r="E7753" s="67">
        <f t="shared" si="18"/>
        <v>5000</v>
      </c>
      <c r="F7753" s="67" t="str">
        <f t="shared" si="12"/>
        <v>10 LeadGen Set Appointments</v>
      </c>
    </row>
    <row r="7754" hidden="1">
      <c r="A7754" s="6" t="s">
        <v>95</v>
      </c>
      <c r="B7754" s="13" t="s">
        <v>1493</v>
      </c>
      <c r="C7754" s="13" t="s">
        <v>1494</v>
      </c>
      <c r="D7754" s="15">
        <v>10.0</v>
      </c>
      <c r="E7754" s="67">
        <f t="shared" si="18"/>
        <v>5000</v>
      </c>
      <c r="F7754" s="67" t="str">
        <f t="shared" si="12"/>
        <v>10 LeadGen Set Appointments</v>
      </c>
    </row>
    <row r="7755" hidden="1">
      <c r="A7755" s="6" t="s">
        <v>95</v>
      </c>
      <c r="B7755" s="13" t="s">
        <v>546</v>
      </c>
      <c r="C7755" s="13" t="s">
        <v>547</v>
      </c>
      <c r="D7755" s="15">
        <v>9.0</v>
      </c>
      <c r="E7755" s="67">
        <f t="shared" ref="E7755:E7773" si="19">D7755*500</f>
        <v>4500</v>
      </c>
      <c r="F7755" s="67" t="str">
        <f t="shared" si="12"/>
        <v>9 LeadGen Set Appointments</v>
      </c>
    </row>
    <row r="7756" hidden="1">
      <c r="A7756" s="6" t="s">
        <v>95</v>
      </c>
      <c r="B7756" s="13" t="s">
        <v>2299</v>
      </c>
      <c r="C7756" s="13" t="s">
        <v>2300</v>
      </c>
      <c r="D7756" s="15">
        <v>9.0</v>
      </c>
      <c r="E7756" s="67">
        <f t="shared" si="19"/>
        <v>4500</v>
      </c>
      <c r="F7756" s="67" t="str">
        <f t="shared" si="12"/>
        <v>9 LeadGen Set Appointments</v>
      </c>
    </row>
    <row r="7757" hidden="1">
      <c r="A7757" s="6" t="s">
        <v>95</v>
      </c>
      <c r="B7757" s="13" t="s">
        <v>560</v>
      </c>
      <c r="C7757" s="13" t="s">
        <v>561</v>
      </c>
      <c r="D7757" s="15">
        <v>9.0</v>
      </c>
      <c r="E7757" s="67">
        <f t="shared" si="19"/>
        <v>4500</v>
      </c>
      <c r="F7757" s="67" t="str">
        <f t="shared" si="12"/>
        <v>9 LeadGen Set Appointments</v>
      </c>
    </row>
    <row r="7758" hidden="1">
      <c r="A7758" s="6" t="s">
        <v>95</v>
      </c>
      <c r="B7758" s="13" t="s">
        <v>2640</v>
      </c>
      <c r="C7758" s="13" t="s">
        <v>2641</v>
      </c>
      <c r="D7758" s="15">
        <v>9.0</v>
      </c>
      <c r="E7758" s="67">
        <f t="shared" si="19"/>
        <v>4500</v>
      </c>
      <c r="F7758" s="67" t="str">
        <f t="shared" si="12"/>
        <v>9 LeadGen Set Appointments</v>
      </c>
    </row>
    <row r="7759" hidden="1">
      <c r="A7759" s="6" t="s">
        <v>95</v>
      </c>
      <c r="B7759" s="13" t="s">
        <v>1421</v>
      </c>
      <c r="C7759" s="13" t="s">
        <v>712</v>
      </c>
      <c r="D7759" s="15">
        <v>9.0</v>
      </c>
      <c r="E7759" s="67">
        <f t="shared" si="19"/>
        <v>4500</v>
      </c>
      <c r="F7759" s="67" t="str">
        <f t="shared" si="12"/>
        <v>9 LeadGen Set Appointments</v>
      </c>
    </row>
    <row r="7760" hidden="1">
      <c r="A7760" s="6" t="s">
        <v>95</v>
      </c>
      <c r="B7760" s="13" t="s">
        <v>524</v>
      </c>
      <c r="C7760" s="13" t="s">
        <v>525</v>
      </c>
      <c r="D7760" s="15">
        <v>9.0</v>
      </c>
      <c r="E7760" s="67">
        <f t="shared" si="19"/>
        <v>4500</v>
      </c>
      <c r="F7760" s="67" t="str">
        <f t="shared" si="12"/>
        <v>9 LeadGen Set Appointments</v>
      </c>
    </row>
    <row r="7761" hidden="1">
      <c r="A7761" s="6" t="s">
        <v>95</v>
      </c>
      <c r="B7761" s="13" t="s">
        <v>1865</v>
      </c>
      <c r="C7761" s="13" t="s">
        <v>1866</v>
      </c>
      <c r="D7761" s="15">
        <v>9.0</v>
      </c>
      <c r="E7761" s="67">
        <f t="shared" si="19"/>
        <v>4500</v>
      </c>
      <c r="F7761" s="67" t="str">
        <f t="shared" si="12"/>
        <v>9 LeadGen Set Appointments</v>
      </c>
    </row>
    <row r="7762" hidden="1">
      <c r="A7762" s="6" t="s">
        <v>95</v>
      </c>
      <c r="B7762" s="13" t="s">
        <v>2783</v>
      </c>
      <c r="C7762" s="13" t="s">
        <v>2784</v>
      </c>
      <c r="D7762" s="15">
        <v>9.0</v>
      </c>
      <c r="E7762" s="67">
        <f t="shared" si="19"/>
        <v>4500</v>
      </c>
      <c r="F7762" s="67" t="str">
        <f t="shared" si="12"/>
        <v>9 LeadGen Set Appointments</v>
      </c>
    </row>
    <row r="7763" hidden="1">
      <c r="A7763" s="6" t="s">
        <v>95</v>
      </c>
      <c r="B7763" s="13" t="s">
        <v>435</v>
      </c>
      <c r="C7763" s="13" t="s">
        <v>436</v>
      </c>
      <c r="D7763" s="15">
        <v>9.0</v>
      </c>
      <c r="E7763" s="67">
        <f t="shared" si="19"/>
        <v>4500</v>
      </c>
      <c r="F7763" s="67" t="str">
        <f t="shared" si="12"/>
        <v>9 LeadGen Set Appointments</v>
      </c>
    </row>
    <row r="7764" hidden="1">
      <c r="A7764" s="6" t="s">
        <v>95</v>
      </c>
      <c r="B7764" s="13" t="s">
        <v>542</v>
      </c>
      <c r="C7764" s="13" t="s">
        <v>543</v>
      </c>
      <c r="D7764" s="15">
        <v>8.0</v>
      </c>
      <c r="E7764" s="67">
        <f t="shared" si="19"/>
        <v>4000</v>
      </c>
      <c r="F7764" s="67" t="str">
        <f t="shared" si="12"/>
        <v>8 LeadGen Set Appointments</v>
      </c>
    </row>
    <row r="7765" hidden="1">
      <c r="A7765" s="6" t="s">
        <v>95</v>
      </c>
      <c r="B7765" s="13" t="s">
        <v>1301</v>
      </c>
      <c r="C7765" s="13" t="s">
        <v>1302</v>
      </c>
      <c r="D7765" s="15">
        <v>8.0</v>
      </c>
      <c r="E7765" s="67">
        <f t="shared" si="19"/>
        <v>4000</v>
      </c>
      <c r="F7765" s="67" t="str">
        <f t="shared" si="12"/>
        <v>8 LeadGen Set Appointments</v>
      </c>
    </row>
    <row r="7766" hidden="1">
      <c r="A7766" s="6" t="s">
        <v>95</v>
      </c>
      <c r="B7766" s="13" t="s">
        <v>752</v>
      </c>
      <c r="C7766" s="13" t="s">
        <v>753</v>
      </c>
      <c r="D7766" s="15">
        <v>8.0</v>
      </c>
      <c r="E7766" s="67">
        <f t="shared" si="19"/>
        <v>4000</v>
      </c>
      <c r="F7766" s="67" t="str">
        <f t="shared" si="12"/>
        <v>8 LeadGen Set Appointments</v>
      </c>
    </row>
    <row r="7767" hidden="1">
      <c r="A7767" s="6" t="s">
        <v>95</v>
      </c>
      <c r="B7767" s="13" t="s">
        <v>1583</v>
      </c>
      <c r="C7767" s="13" t="s">
        <v>1584</v>
      </c>
      <c r="D7767" s="15">
        <v>8.0</v>
      </c>
      <c r="E7767" s="67">
        <f t="shared" si="19"/>
        <v>4000</v>
      </c>
      <c r="F7767" s="67" t="str">
        <f t="shared" si="12"/>
        <v>8 LeadGen Set Appointments</v>
      </c>
    </row>
    <row r="7768" hidden="1">
      <c r="A7768" s="6" t="s">
        <v>95</v>
      </c>
      <c r="B7768" s="13" t="s">
        <v>1461</v>
      </c>
      <c r="C7768" s="13" t="s">
        <v>1462</v>
      </c>
      <c r="D7768" s="15">
        <v>8.0</v>
      </c>
      <c r="E7768" s="67">
        <f t="shared" si="19"/>
        <v>4000</v>
      </c>
      <c r="F7768" s="67" t="str">
        <f t="shared" si="12"/>
        <v>8 LeadGen Set Appointments</v>
      </c>
    </row>
    <row r="7769" hidden="1">
      <c r="A7769" s="6" t="s">
        <v>95</v>
      </c>
      <c r="B7769" s="13" t="s">
        <v>1334</v>
      </c>
      <c r="C7769" s="13" t="s">
        <v>553</v>
      </c>
      <c r="D7769" s="15">
        <v>8.0</v>
      </c>
      <c r="E7769" s="67">
        <f t="shared" si="19"/>
        <v>4000</v>
      </c>
      <c r="F7769" s="67" t="str">
        <f t="shared" si="12"/>
        <v>8 LeadGen Set Appointments</v>
      </c>
    </row>
    <row r="7770" hidden="1">
      <c r="A7770" s="6" t="s">
        <v>95</v>
      </c>
      <c r="B7770" s="13" t="s">
        <v>2393</v>
      </c>
      <c r="C7770" s="13" t="s">
        <v>2394</v>
      </c>
      <c r="D7770" s="15">
        <v>8.0</v>
      </c>
      <c r="E7770" s="67">
        <f t="shared" si="19"/>
        <v>4000</v>
      </c>
      <c r="F7770" s="67" t="str">
        <f t="shared" si="12"/>
        <v>8 LeadGen Set Appointments</v>
      </c>
    </row>
    <row r="7771" hidden="1">
      <c r="A7771" s="6" t="s">
        <v>95</v>
      </c>
      <c r="B7771" s="13" t="s">
        <v>518</v>
      </c>
      <c r="C7771" s="13" t="s">
        <v>519</v>
      </c>
      <c r="D7771" s="15">
        <v>8.0</v>
      </c>
      <c r="E7771" s="67">
        <f t="shared" si="19"/>
        <v>4000</v>
      </c>
      <c r="F7771" s="67" t="str">
        <f t="shared" si="12"/>
        <v>8 LeadGen Set Appointments</v>
      </c>
    </row>
    <row r="7772" hidden="1">
      <c r="A7772" s="6" t="s">
        <v>95</v>
      </c>
      <c r="B7772" s="13" t="s">
        <v>766</v>
      </c>
      <c r="C7772" s="13" t="s">
        <v>767</v>
      </c>
      <c r="D7772" s="15">
        <v>8.0</v>
      </c>
      <c r="E7772" s="67">
        <f t="shared" si="19"/>
        <v>4000</v>
      </c>
      <c r="F7772" s="67" t="str">
        <f t="shared" si="12"/>
        <v>8 LeadGen Set Appointments</v>
      </c>
    </row>
    <row r="7773" hidden="1">
      <c r="A7773" s="6" t="s">
        <v>95</v>
      </c>
      <c r="B7773" s="13" t="s">
        <v>2479</v>
      </c>
      <c r="C7773" s="13" t="s">
        <v>2480</v>
      </c>
      <c r="D7773" s="15">
        <v>8.0</v>
      </c>
      <c r="E7773" s="67">
        <f t="shared" si="19"/>
        <v>4000</v>
      </c>
      <c r="F7773" s="67" t="str">
        <f t="shared" si="12"/>
        <v>8 LeadGen Set Appointments</v>
      </c>
    </row>
    <row r="7774" hidden="1">
      <c r="A7774" s="6" t="s">
        <v>95</v>
      </c>
      <c r="B7774" s="13" t="s">
        <v>1463</v>
      </c>
      <c r="C7774" s="13" t="s">
        <v>1464</v>
      </c>
      <c r="D7774" s="15">
        <v>7.0</v>
      </c>
      <c r="E7774" s="67">
        <f t="shared" ref="E7774:E9567" si="20">IF(D7774&lt;10, D7774*250, D7774*500)</f>
        <v>1750</v>
      </c>
      <c r="F7774" s="67" t="str">
        <f t="shared" si="12"/>
        <v>7 LeadGen Set Appointments</v>
      </c>
    </row>
    <row r="7775" hidden="1">
      <c r="A7775" s="6" t="s">
        <v>95</v>
      </c>
      <c r="B7775" s="13" t="s">
        <v>2632</v>
      </c>
      <c r="C7775" s="13" t="s">
        <v>2633</v>
      </c>
      <c r="D7775" s="15">
        <v>7.0</v>
      </c>
      <c r="E7775" s="67">
        <f t="shared" si="20"/>
        <v>1750</v>
      </c>
      <c r="F7775" s="67" t="str">
        <f t="shared" si="12"/>
        <v>7 LeadGen Set Appointments</v>
      </c>
    </row>
    <row r="7776" hidden="1">
      <c r="A7776" s="6" t="s">
        <v>95</v>
      </c>
      <c r="B7776" s="13" t="s">
        <v>1037</v>
      </c>
      <c r="C7776" s="13" t="s">
        <v>1038</v>
      </c>
      <c r="D7776" s="15">
        <v>7.0</v>
      </c>
      <c r="E7776" s="67">
        <f t="shared" si="20"/>
        <v>1750</v>
      </c>
      <c r="F7776" s="67" t="str">
        <f t="shared" si="12"/>
        <v>7 LeadGen Set Appointments</v>
      </c>
    </row>
    <row r="7777" hidden="1">
      <c r="A7777" s="6" t="s">
        <v>95</v>
      </c>
      <c r="B7777" s="13" t="s">
        <v>2764</v>
      </c>
      <c r="C7777" s="13" t="s">
        <v>2765</v>
      </c>
      <c r="D7777" s="15">
        <v>7.0</v>
      </c>
      <c r="E7777" s="67">
        <f t="shared" si="20"/>
        <v>1750</v>
      </c>
      <c r="F7777" s="67" t="str">
        <f t="shared" si="12"/>
        <v>7 LeadGen Set Appointments</v>
      </c>
    </row>
    <row r="7778" hidden="1">
      <c r="A7778" s="6" t="s">
        <v>95</v>
      </c>
      <c r="B7778" s="13" t="s">
        <v>1764</v>
      </c>
      <c r="C7778" s="13" t="s">
        <v>1765</v>
      </c>
      <c r="D7778" s="15">
        <v>7.0</v>
      </c>
      <c r="E7778" s="67">
        <f t="shared" si="20"/>
        <v>1750</v>
      </c>
      <c r="F7778" s="67" t="str">
        <f t="shared" si="12"/>
        <v>7 LeadGen Set Appointments</v>
      </c>
    </row>
    <row r="7779" hidden="1">
      <c r="A7779" s="6" t="s">
        <v>95</v>
      </c>
      <c r="B7779" s="13" t="s">
        <v>486</v>
      </c>
      <c r="C7779" s="13" t="s">
        <v>487</v>
      </c>
      <c r="D7779" s="15">
        <v>7.0</v>
      </c>
      <c r="E7779" s="67">
        <f t="shared" si="20"/>
        <v>1750</v>
      </c>
      <c r="F7779" s="67" t="str">
        <f t="shared" si="12"/>
        <v>7 LeadGen Set Appointments</v>
      </c>
    </row>
    <row r="7780" hidden="1">
      <c r="A7780" s="6" t="s">
        <v>95</v>
      </c>
      <c r="B7780" s="13" t="s">
        <v>1724</v>
      </c>
      <c r="C7780" s="13" t="s">
        <v>1725</v>
      </c>
      <c r="D7780" s="15">
        <v>7.0</v>
      </c>
      <c r="E7780" s="67">
        <f t="shared" si="20"/>
        <v>1750</v>
      </c>
      <c r="F7780" s="67" t="str">
        <f t="shared" si="12"/>
        <v>7 LeadGen Set Appointments</v>
      </c>
    </row>
    <row r="7781" hidden="1">
      <c r="A7781" s="6" t="s">
        <v>95</v>
      </c>
      <c r="B7781" s="13" t="s">
        <v>2749</v>
      </c>
      <c r="C7781" s="13" t="s">
        <v>2750</v>
      </c>
      <c r="D7781" s="15">
        <v>7.0</v>
      </c>
      <c r="E7781" s="67">
        <f t="shared" si="20"/>
        <v>1750</v>
      </c>
      <c r="F7781" s="67" t="str">
        <f t="shared" si="12"/>
        <v>7 LeadGen Set Appointments</v>
      </c>
    </row>
    <row r="7782" hidden="1">
      <c r="A7782" s="6" t="s">
        <v>95</v>
      </c>
      <c r="B7782" s="13" t="s">
        <v>656</v>
      </c>
      <c r="C7782" s="13" t="s">
        <v>657</v>
      </c>
      <c r="D7782" s="15">
        <v>7.0</v>
      </c>
      <c r="E7782" s="67">
        <f t="shared" si="20"/>
        <v>1750</v>
      </c>
      <c r="F7782" s="67" t="str">
        <f t="shared" si="12"/>
        <v>7 LeadGen Set Appointments</v>
      </c>
    </row>
    <row r="7783" hidden="1">
      <c r="A7783" s="6" t="s">
        <v>95</v>
      </c>
      <c r="B7783" s="13" t="s">
        <v>311</v>
      </c>
      <c r="C7783" s="13" t="s">
        <v>312</v>
      </c>
      <c r="D7783" s="15">
        <v>7.0</v>
      </c>
      <c r="E7783" s="67">
        <f t="shared" si="20"/>
        <v>1750</v>
      </c>
      <c r="F7783" s="67" t="str">
        <f t="shared" si="12"/>
        <v>7 LeadGen Set Appointments</v>
      </c>
    </row>
    <row r="7784" hidden="1">
      <c r="A7784" s="6" t="s">
        <v>95</v>
      </c>
      <c r="B7784" s="13" t="s">
        <v>2820</v>
      </c>
      <c r="C7784" s="13" t="s">
        <v>2821</v>
      </c>
      <c r="D7784" s="15">
        <v>6.0</v>
      </c>
      <c r="E7784" s="67">
        <f t="shared" si="20"/>
        <v>1500</v>
      </c>
      <c r="F7784" s="67" t="str">
        <f t="shared" si="12"/>
        <v>6 LeadGen Set Appointments</v>
      </c>
    </row>
    <row r="7785" hidden="1">
      <c r="A7785" s="6" t="s">
        <v>95</v>
      </c>
      <c r="B7785" s="13" t="s">
        <v>1543</v>
      </c>
      <c r="C7785" s="13" t="s">
        <v>1544</v>
      </c>
      <c r="D7785" s="15">
        <v>6.0</v>
      </c>
      <c r="E7785" s="67">
        <f t="shared" si="20"/>
        <v>1500</v>
      </c>
      <c r="F7785" s="67" t="str">
        <f t="shared" si="12"/>
        <v>6 LeadGen Set Appointments</v>
      </c>
    </row>
    <row r="7786" hidden="1">
      <c r="A7786" s="6" t="s">
        <v>95</v>
      </c>
      <c r="B7786" s="13" t="s">
        <v>502</v>
      </c>
      <c r="C7786" s="13" t="s">
        <v>503</v>
      </c>
      <c r="D7786" s="15">
        <v>6.0</v>
      </c>
      <c r="E7786" s="67">
        <f t="shared" si="20"/>
        <v>1500</v>
      </c>
      <c r="F7786" s="67" t="str">
        <f t="shared" si="12"/>
        <v>6 LeadGen Set Appointments</v>
      </c>
    </row>
    <row r="7787" hidden="1">
      <c r="A7787" s="6" t="s">
        <v>95</v>
      </c>
      <c r="B7787" s="13" t="s">
        <v>2665</v>
      </c>
      <c r="C7787" s="13" t="s">
        <v>2666</v>
      </c>
      <c r="D7787" s="15">
        <v>6.0</v>
      </c>
      <c r="E7787" s="67">
        <f t="shared" si="20"/>
        <v>1500</v>
      </c>
      <c r="F7787" s="67" t="str">
        <f t="shared" si="12"/>
        <v>6 LeadGen Set Appointments</v>
      </c>
    </row>
    <row r="7788" hidden="1">
      <c r="A7788" s="6" t="s">
        <v>95</v>
      </c>
      <c r="B7788" s="13" t="s">
        <v>2728</v>
      </c>
      <c r="C7788" s="13" t="s">
        <v>2729</v>
      </c>
      <c r="D7788" s="15">
        <v>6.0</v>
      </c>
      <c r="E7788" s="67">
        <f t="shared" si="20"/>
        <v>1500</v>
      </c>
      <c r="F7788" s="67" t="str">
        <f t="shared" si="12"/>
        <v>6 LeadGen Set Appointments</v>
      </c>
    </row>
    <row r="7789" hidden="1">
      <c r="A7789" s="6" t="s">
        <v>95</v>
      </c>
      <c r="B7789" s="13" t="s">
        <v>1325</v>
      </c>
      <c r="C7789" s="13" t="s">
        <v>1326</v>
      </c>
      <c r="D7789" s="15">
        <v>6.0</v>
      </c>
      <c r="E7789" s="67">
        <f t="shared" si="20"/>
        <v>1500</v>
      </c>
      <c r="F7789" s="67" t="str">
        <f t="shared" si="12"/>
        <v>6 LeadGen Set Appointments</v>
      </c>
    </row>
    <row r="7790" hidden="1">
      <c r="A7790" s="6" t="s">
        <v>95</v>
      </c>
      <c r="B7790" s="13" t="s">
        <v>2100</v>
      </c>
      <c r="C7790" s="13" t="s">
        <v>2101</v>
      </c>
      <c r="D7790" s="15">
        <v>6.0</v>
      </c>
      <c r="E7790" s="67">
        <f t="shared" si="20"/>
        <v>1500</v>
      </c>
      <c r="F7790" s="67" t="str">
        <f t="shared" si="12"/>
        <v>6 LeadGen Set Appointments</v>
      </c>
    </row>
    <row r="7791" hidden="1">
      <c r="A7791" s="6" t="s">
        <v>95</v>
      </c>
      <c r="B7791" s="13" t="s">
        <v>725</v>
      </c>
      <c r="C7791" s="13" t="s">
        <v>726</v>
      </c>
      <c r="D7791" s="15">
        <v>6.0</v>
      </c>
      <c r="E7791" s="67">
        <f t="shared" si="20"/>
        <v>1500</v>
      </c>
      <c r="F7791" s="67" t="str">
        <f t="shared" si="12"/>
        <v>6 LeadGen Set Appointments</v>
      </c>
    </row>
    <row r="7792" hidden="1">
      <c r="A7792" s="6" t="s">
        <v>95</v>
      </c>
      <c r="B7792" s="13" t="s">
        <v>532</v>
      </c>
      <c r="C7792" s="13" t="s">
        <v>533</v>
      </c>
      <c r="D7792" s="15">
        <v>6.0</v>
      </c>
      <c r="E7792" s="67">
        <f t="shared" si="20"/>
        <v>1500</v>
      </c>
      <c r="F7792" s="67" t="str">
        <f t="shared" si="12"/>
        <v>6 LeadGen Set Appointments</v>
      </c>
    </row>
    <row r="7793" hidden="1">
      <c r="A7793" s="6" t="s">
        <v>95</v>
      </c>
      <c r="B7793" s="13" t="s">
        <v>2268</v>
      </c>
      <c r="C7793" s="13" t="s">
        <v>2269</v>
      </c>
      <c r="D7793" s="15">
        <v>6.0</v>
      </c>
      <c r="E7793" s="67">
        <f t="shared" si="20"/>
        <v>1500</v>
      </c>
      <c r="F7793" s="67" t="str">
        <f t="shared" si="12"/>
        <v>6 LeadGen Set Appointments</v>
      </c>
    </row>
    <row r="7794" hidden="1">
      <c r="A7794" s="6" t="s">
        <v>95</v>
      </c>
      <c r="B7794" s="13" t="s">
        <v>604</v>
      </c>
      <c r="C7794" s="13" t="s">
        <v>605</v>
      </c>
      <c r="D7794" s="15">
        <v>6.0</v>
      </c>
      <c r="E7794" s="67">
        <f t="shared" si="20"/>
        <v>1500</v>
      </c>
      <c r="F7794" s="67" t="str">
        <f t="shared" si="12"/>
        <v>6 LeadGen Set Appointments</v>
      </c>
    </row>
    <row r="7795" hidden="1">
      <c r="A7795" s="6" t="s">
        <v>95</v>
      </c>
      <c r="B7795" s="13" t="s">
        <v>624</v>
      </c>
      <c r="C7795" s="13" t="s">
        <v>625</v>
      </c>
      <c r="D7795" s="15">
        <v>6.0</v>
      </c>
      <c r="E7795" s="67">
        <f t="shared" si="20"/>
        <v>1500</v>
      </c>
      <c r="F7795" s="67" t="str">
        <f t="shared" si="12"/>
        <v>6 LeadGen Set Appointments</v>
      </c>
    </row>
    <row r="7796" hidden="1">
      <c r="A7796" s="6" t="s">
        <v>95</v>
      </c>
      <c r="B7796" s="13" t="s">
        <v>2077</v>
      </c>
      <c r="C7796" s="13" t="s">
        <v>2078</v>
      </c>
      <c r="D7796" s="15">
        <v>6.0</v>
      </c>
      <c r="E7796" s="67">
        <f t="shared" si="20"/>
        <v>1500</v>
      </c>
      <c r="F7796" s="67" t="str">
        <f t="shared" si="12"/>
        <v>6 LeadGen Set Appointments</v>
      </c>
    </row>
    <row r="7797" hidden="1">
      <c r="A7797" s="6" t="s">
        <v>95</v>
      </c>
      <c r="B7797" s="13" t="s">
        <v>862</v>
      </c>
      <c r="C7797" s="13" t="s">
        <v>863</v>
      </c>
      <c r="D7797" s="15">
        <v>6.0</v>
      </c>
      <c r="E7797" s="67">
        <f t="shared" si="20"/>
        <v>1500</v>
      </c>
      <c r="F7797" s="67" t="str">
        <f t="shared" si="12"/>
        <v>6 LeadGen Set Appointments</v>
      </c>
    </row>
    <row r="7798" hidden="1">
      <c r="A7798" s="6" t="s">
        <v>95</v>
      </c>
      <c r="B7798" s="13" t="s">
        <v>445</v>
      </c>
      <c r="C7798" s="13" t="s">
        <v>446</v>
      </c>
      <c r="D7798" s="15">
        <v>6.0</v>
      </c>
      <c r="E7798" s="67">
        <f t="shared" si="20"/>
        <v>1500</v>
      </c>
      <c r="F7798" s="67" t="str">
        <f t="shared" si="12"/>
        <v>6 LeadGen Set Appointments</v>
      </c>
    </row>
    <row r="7799" hidden="1">
      <c r="A7799" s="6" t="s">
        <v>95</v>
      </c>
      <c r="B7799" s="13" t="s">
        <v>1457</v>
      </c>
      <c r="C7799" s="13" t="s">
        <v>2411</v>
      </c>
      <c r="D7799" s="15">
        <v>6.0</v>
      </c>
      <c r="E7799" s="67">
        <f t="shared" si="20"/>
        <v>1500</v>
      </c>
      <c r="F7799" s="67" t="str">
        <f t="shared" si="12"/>
        <v>6 LeadGen Set Appointments</v>
      </c>
    </row>
    <row r="7800" hidden="1">
      <c r="A7800" s="6" t="s">
        <v>95</v>
      </c>
      <c r="B7800" s="13" t="s">
        <v>2683</v>
      </c>
      <c r="C7800" s="13" t="s">
        <v>2684</v>
      </c>
      <c r="D7800" s="15">
        <v>5.0</v>
      </c>
      <c r="E7800" s="67">
        <f t="shared" si="20"/>
        <v>1250</v>
      </c>
      <c r="F7800" s="67" t="str">
        <f t="shared" si="12"/>
        <v>5 LeadGen Set Appointments</v>
      </c>
    </row>
    <row r="7801" hidden="1">
      <c r="A7801" s="6" t="s">
        <v>95</v>
      </c>
      <c r="B7801" s="13" t="s">
        <v>628</v>
      </c>
      <c r="C7801" s="13" t="s">
        <v>629</v>
      </c>
      <c r="D7801" s="15">
        <v>5.0</v>
      </c>
      <c r="E7801" s="67">
        <f t="shared" si="20"/>
        <v>1250</v>
      </c>
      <c r="F7801" s="67" t="str">
        <f t="shared" si="12"/>
        <v>5 LeadGen Set Appointments</v>
      </c>
    </row>
    <row r="7802" hidden="1">
      <c r="A7802" s="6" t="s">
        <v>95</v>
      </c>
      <c r="B7802" s="13" t="s">
        <v>1579</v>
      </c>
      <c r="C7802" s="13" t="s">
        <v>1580</v>
      </c>
      <c r="D7802" s="15">
        <v>5.0</v>
      </c>
      <c r="E7802" s="67">
        <f t="shared" si="20"/>
        <v>1250</v>
      </c>
      <c r="F7802" s="67" t="str">
        <f t="shared" si="12"/>
        <v>5 LeadGen Set Appointments</v>
      </c>
    </row>
    <row r="7803" hidden="1">
      <c r="A7803" s="6" t="s">
        <v>95</v>
      </c>
      <c r="B7803" s="13" t="s">
        <v>1448</v>
      </c>
      <c r="C7803" s="13" t="s">
        <v>1449</v>
      </c>
      <c r="D7803" s="15">
        <v>5.0</v>
      </c>
      <c r="E7803" s="67">
        <f t="shared" si="20"/>
        <v>1250</v>
      </c>
      <c r="F7803" s="67" t="str">
        <f t="shared" si="12"/>
        <v>5 LeadGen Set Appointments</v>
      </c>
    </row>
    <row r="7804" hidden="1">
      <c r="A7804" s="6" t="s">
        <v>95</v>
      </c>
      <c r="B7804" s="13" t="s">
        <v>2034</v>
      </c>
      <c r="C7804" s="13" t="s">
        <v>416</v>
      </c>
      <c r="D7804" s="15">
        <v>5.0</v>
      </c>
      <c r="E7804" s="67">
        <f t="shared" si="20"/>
        <v>1250</v>
      </c>
      <c r="F7804" s="67" t="str">
        <f t="shared" si="12"/>
        <v>5 LeadGen Set Appointments</v>
      </c>
    </row>
    <row r="7805" hidden="1">
      <c r="A7805" s="6" t="s">
        <v>95</v>
      </c>
      <c r="B7805" s="13" t="s">
        <v>2735</v>
      </c>
      <c r="C7805" s="13" t="s">
        <v>2736</v>
      </c>
      <c r="D7805" s="15">
        <v>5.0</v>
      </c>
      <c r="E7805" s="67">
        <f t="shared" si="20"/>
        <v>1250</v>
      </c>
      <c r="F7805" s="67" t="str">
        <f t="shared" si="12"/>
        <v>5 LeadGen Set Appointments</v>
      </c>
    </row>
    <row r="7806" hidden="1">
      <c r="A7806" s="6" t="s">
        <v>95</v>
      </c>
      <c r="B7806" s="13" t="s">
        <v>288</v>
      </c>
      <c r="C7806" s="13" t="s">
        <v>2375</v>
      </c>
      <c r="D7806" s="15">
        <v>5.0</v>
      </c>
      <c r="E7806" s="67">
        <f t="shared" si="20"/>
        <v>1250</v>
      </c>
      <c r="F7806" s="67" t="str">
        <f t="shared" si="12"/>
        <v>5 LeadGen Set Appointments</v>
      </c>
    </row>
    <row r="7807" hidden="1">
      <c r="A7807" s="6" t="s">
        <v>95</v>
      </c>
      <c r="B7807" s="13" t="s">
        <v>494</v>
      </c>
      <c r="C7807" s="13" t="s">
        <v>495</v>
      </c>
      <c r="D7807" s="15">
        <v>5.0</v>
      </c>
      <c r="E7807" s="67">
        <f t="shared" si="20"/>
        <v>1250</v>
      </c>
      <c r="F7807" s="67" t="str">
        <f t="shared" si="12"/>
        <v>5 LeadGen Set Appointments</v>
      </c>
    </row>
    <row r="7808" hidden="1">
      <c r="A7808" s="6" t="s">
        <v>95</v>
      </c>
      <c r="B7808" s="13" t="s">
        <v>2609</v>
      </c>
      <c r="C7808" s="13" t="s">
        <v>2610</v>
      </c>
      <c r="D7808" s="15">
        <v>5.0</v>
      </c>
      <c r="E7808" s="67">
        <f t="shared" si="20"/>
        <v>1250</v>
      </c>
      <c r="F7808" s="67" t="str">
        <f t="shared" si="12"/>
        <v>5 LeadGen Set Appointments</v>
      </c>
    </row>
    <row r="7809" hidden="1">
      <c r="A7809" s="6" t="s">
        <v>95</v>
      </c>
      <c r="B7809" s="13" t="s">
        <v>1415</v>
      </c>
      <c r="C7809" s="13" t="s">
        <v>1416</v>
      </c>
      <c r="D7809" s="15">
        <v>5.0</v>
      </c>
      <c r="E7809" s="67">
        <f t="shared" si="20"/>
        <v>1250</v>
      </c>
      <c r="F7809" s="67" t="str">
        <f t="shared" si="12"/>
        <v>5 LeadGen Set Appointments</v>
      </c>
    </row>
    <row r="7810" hidden="1">
      <c r="A7810" s="6" t="s">
        <v>95</v>
      </c>
      <c r="B7810" s="13" t="s">
        <v>1988</v>
      </c>
      <c r="C7810" s="13" t="s">
        <v>1989</v>
      </c>
      <c r="D7810" s="15">
        <v>5.0</v>
      </c>
      <c r="E7810" s="67">
        <f t="shared" si="20"/>
        <v>1250</v>
      </c>
      <c r="F7810" s="67" t="str">
        <f t="shared" si="12"/>
        <v>5 LeadGen Set Appointments</v>
      </c>
    </row>
    <row r="7811" hidden="1">
      <c r="A7811" s="6" t="s">
        <v>95</v>
      </c>
      <c r="B7811" s="13" t="s">
        <v>693</v>
      </c>
      <c r="C7811" s="13" t="s">
        <v>694</v>
      </c>
      <c r="D7811" s="15">
        <v>5.0</v>
      </c>
      <c r="E7811" s="67">
        <f t="shared" si="20"/>
        <v>1250</v>
      </c>
      <c r="F7811" s="67" t="str">
        <f t="shared" si="12"/>
        <v>5 LeadGen Set Appointments</v>
      </c>
    </row>
    <row r="7812" hidden="1">
      <c r="A7812" s="6" t="s">
        <v>95</v>
      </c>
      <c r="B7812" s="13" t="s">
        <v>2822</v>
      </c>
      <c r="C7812" s="13" t="s">
        <v>2823</v>
      </c>
      <c r="D7812" s="15">
        <v>5.0</v>
      </c>
      <c r="E7812" s="67">
        <f t="shared" si="20"/>
        <v>1250</v>
      </c>
      <c r="F7812" s="67" t="str">
        <f t="shared" si="12"/>
        <v>5 LeadGen Set Appointments</v>
      </c>
    </row>
    <row r="7813" hidden="1">
      <c r="A7813" s="6" t="s">
        <v>95</v>
      </c>
      <c r="B7813" s="13" t="s">
        <v>2458</v>
      </c>
      <c r="C7813" s="13" t="s">
        <v>2459</v>
      </c>
      <c r="D7813" s="15">
        <v>5.0</v>
      </c>
      <c r="E7813" s="67">
        <f t="shared" si="20"/>
        <v>1250</v>
      </c>
      <c r="F7813" s="67" t="str">
        <f t="shared" si="12"/>
        <v>5 LeadGen Set Appointments</v>
      </c>
    </row>
    <row r="7814" hidden="1">
      <c r="A7814" s="6" t="s">
        <v>95</v>
      </c>
      <c r="B7814" s="13" t="s">
        <v>443</v>
      </c>
      <c r="C7814" s="13" t="s">
        <v>444</v>
      </c>
      <c r="D7814" s="15">
        <v>5.0</v>
      </c>
      <c r="E7814" s="67">
        <f t="shared" si="20"/>
        <v>1250</v>
      </c>
      <c r="F7814" s="67" t="str">
        <f t="shared" si="12"/>
        <v>5 LeadGen Set Appointments</v>
      </c>
    </row>
    <row r="7815" hidden="1">
      <c r="A7815" s="6" t="s">
        <v>95</v>
      </c>
      <c r="B7815" s="13" t="s">
        <v>307</v>
      </c>
      <c r="C7815" s="13" t="s">
        <v>692</v>
      </c>
      <c r="D7815" s="15">
        <v>5.0</v>
      </c>
      <c r="E7815" s="67">
        <f t="shared" si="20"/>
        <v>1250</v>
      </c>
      <c r="F7815" s="67" t="str">
        <f t="shared" si="12"/>
        <v>5 LeadGen Set Appointments</v>
      </c>
    </row>
    <row r="7816" hidden="1">
      <c r="A7816" s="6" t="s">
        <v>95</v>
      </c>
      <c r="B7816" s="13" t="s">
        <v>701</v>
      </c>
      <c r="C7816" s="13" t="s">
        <v>702</v>
      </c>
      <c r="D7816" s="15">
        <v>5.0</v>
      </c>
      <c r="E7816" s="67">
        <f t="shared" si="20"/>
        <v>1250</v>
      </c>
      <c r="F7816" s="67" t="str">
        <f t="shared" si="12"/>
        <v>5 LeadGen Set Appointments</v>
      </c>
    </row>
    <row r="7817" hidden="1">
      <c r="A7817" s="6" t="s">
        <v>95</v>
      </c>
      <c r="B7817" s="13" t="s">
        <v>2442</v>
      </c>
      <c r="C7817" s="13" t="s">
        <v>2732</v>
      </c>
      <c r="D7817" s="15">
        <v>5.0</v>
      </c>
      <c r="E7817" s="67">
        <f t="shared" si="20"/>
        <v>1250</v>
      </c>
      <c r="F7817" s="67" t="str">
        <f t="shared" si="12"/>
        <v>5 LeadGen Set Appointments</v>
      </c>
    </row>
    <row r="7818" hidden="1">
      <c r="A7818" s="6" t="s">
        <v>95</v>
      </c>
      <c r="B7818" s="13" t="s">
        <v>622</v>
      </c>
      <c r="C7818" s="13" t="s">
        <v>623</v>
      </c>
      <c r="D7818" s="15">
        <v>5.0</v>
      </c>
      <c r="E7818" s="67">
        <f t="shared" si="20"/>
        <v>1250</v>
      </c>
      <c r="F7818" s="67" t="str">
        <f t="shared" si="12"/>
        <v>5 LeadGen Set Appointments</v>
      </c>
    </row>
    <row r="7819" hidden="1">
      <c r="A7819" s="6" t="s">
        <v>95</v>
      </c>
      <c r="B7819" s="13" t="s">
        <v>413</v>
      </c>
      <c r="C7819" s="13" t="s">
        <v>414</v>
      </c>
      <c r="D7819" s="15">
        <v>5.0</v>
      </c>
      <c r="E7819" s="67">
        <f t="shared" si="20"/>
        <v>1250</v>
      </c>
      <c r="F7819" s="67" t="str">
        <f t="shared" si="12"/>
        <v>5 LeadGen Set Appointments</v>
      </c>
    </row>
    <row r="7820" hidden="1">
      <c r="A7820" s="6" t="s">
        <v>95</v>
      </c>
      <c r="B7820" s="13" t="s">
        <v>2709</v>
      </c>
      <c r="C7820" s="13" t="s">
        <v>2710</v>
      </c>
      <c r="D7820" s="15">
        <v>4.0</v>
      </c>
      <c r="E7820" s="67">
        <f t="shared" si="20"/>
        <v>1000</v>
      </c>
      <c r="F7820" s="67" t="str">
        <f t="shared" si="12"/>
        <v>4 LeadGen Set Appointments</v>
      </c>
    </row>
    <row r="7821" hidden="1">
      <c r="A7821" s="6" t="s">
        <v>95</v>
      </c>
      <c r="B7821" s="13" t="s">
        <v>500</v>
      </c>
      <c r="C7821" s="13" t="s">
        <v>501</v>
      </c>
      <c r="D7821" s="15">
        <v>4.0</v>
      </c>
      <c r="E7821" s="67">
        <f t="shared" si="20"/>
        <v>1000</v>
      </c>
      <c r="F7821" s="67" t="str">
        <f t="shared" si="12"/>
        <v>4 LeadGen Set Appointments</v>
      </c>
    </row>
    <row r="7822" hidden="1">
      <c r="A7822" s="6" t="s">
        <v>95</v>
      </c>
      <c r="B7822" s="13" t="s">
        <v>1919</v>
      </c>
      <c r="C7822" s="13" t="s">
        <v>2816</v>
      </c>
      <c r="D7822" s="15">
        <v>4.0</v>
      </c>
      <c r="E7822" s="67">
        <f t="shared" si="20"/>
        <v>1000</v>
      </c>
      <c r="F7822" s="67" t="str">
        <f t="shared" si="12"/>
        <v>4 LeadGen Set Appointments</v>
      </c>
    </row>
    <row r="7823" hidden="1">
      <c r="A7823" s="6" t="s">
        <v>95</v>
      </c>
      <c r="B7823" s="13" t="s">
        <v>1299</v>
      </c>
      <c r="C7823" s="13" t="s">
        <v>1300</v>
      </c>
      <c r="D7823" s="15">
        <v>4.0</v>
      </c>
      <c r="E7823" s="67">
        <f t="shared" si="20"/>
        <v>1000</v>
      </c>
      <c r="F7823" s="67" t="str">
        <f t="shared" si="12"/>
        <v>4 LeadGen Set Appointments</v>
      </c>
    </row>
    <row r="7824" hidden="1">
      <c r="A7824" s="6" t="s">
        <v>95</v>
      </c>
      <c r="B7824" s="13" t="s">
        <v>1768</v>
      </c>
      <c r="C7824" s="13" t="s">
        <v>1769</v>
      </c>
      <c r="D7824" s="15">
        <v>4.0</v>
      </c>
      <c r="E7824" s="67">
        <f t="shared" si="20"/>
        <v>1000</v>
      </c>
      <c r="F7824" s="67" t="str">
        <f t="shared" si="12"/>
        <v>4 LeadGen Set Appointments</v>
      </c>
    </row>
    <row r="7825" hidden="1">
      <c r="A7825" s="6" t="s">
        <v>95</v>
      </c>
      <c r="B7825" s="13" t="s">
        <v>2818</v>
      </c>
      <c r="C7825" s="13" t="s">
        <v>90</v>
      </c>
      <c r="D7825" s="15">
        <v>4.0</v>
      </c>
      <c r="E7825" s="67">
        <f t="shared" si="20"/>
        <v>1000</v>
      </c>
      <c r="F7825" s="67" t="str">
        <f t="shared" si="12"/>
        <v>4 LeadGen Set Appointments</v>
      </c>
    </row>
    <row r="7826" hidden="1">
      <c r="A7826" s="6" t="s">
        <v>95</v>
      </c>
      <c r="B7826" s="13" t="s">
        <v>582</v>
      </c>
      <c r="C7826" s="13" t="s">
        <v>583</v>
      </c>
      <c r="D7826" s="15">
        <v>4.0</v>
      </c>
      <c r="E7826" s="67">
        <f t="shared" si="20"/>
        <v>1000</v>
      </c>
      <c r="F7826" s="67" t="str">
        <f t="shared" si="12"/>
        <v>4 LeadGen Set Appointments</v>
      </c>
    </row>
    <row r="7827" hidden="1">
      <c r="A7827" s="6" t="s">
        <v>95</v>
      </c>
      <c r="B7827" s="13" t="s">
        <v>626</v>
      </c>
      <c r="C7827" s="13" t="s">
        <v>627</v>
      </c>
      <c r="D7827" s="15">
        <v>4.0</v>
      </c>
      <c r="E7827" s="67">
        <f t="shared" si="20"/>
        <v>1000</v>
      </c>
      <c r="F7827" s="67" t="str">
        <f t="shared" si="12"/>
        <v>4 LeadGen Set Appointments</v>
      </c>
    </row>
    <row r="7828" hidden="1">
      <c r="A7828" s="6" t="s">
        <v>95</v>
      </c>
      <c r="B7828" s="13" t="s">
        <v>242</v>
      </c>
      <c r="C7828" s="13" t="s">
        <v>1887</v>
      </c>
      <c r="D7828" s="15">
        <v>4.0</v>
      </c>
      <c r="E7828" s="67">
        <f t="shared" si="20"/>
        <v>1000</v>
      </c>
      <c r="F7828" s="67" t="str">
        <f t="shared" si="12"/>
        <v>4 LeadGen Set Appointments</v>
      </c>
    </row>
    <row r="7829" hidden="1">
      <c r="A7829" s="6" t="s">
        <v>95</v>
      </c>
      <c r="B7829" s="13" t="s">
        <v>1333</v>
      </c>
      <c r="C7829" s="13" t="s">
        <v>551</v>
      </c>
      <c r="D7829" s="15">
        <v>4.0</v>
      </c>
      <c r="E7829" s="67">
        <f t="shared" si="20"/>
        <v>1000</v>
      </c>
      <c r="F7829" s="67" t="str">
        <f t="shared" si="12"/>
        <v>4 LeadGen Set Appointments</v>
      </c>
    </row>
    <row r="7830" hidden="1">
      <c r="A7830" s="6" t="s">
        <v>95</v>
      </c>
      <c r="B7830" s="13" t="s">
        <v>2384</v>
      </c>
      <c r="C7830" s="13" t="s">
        <v>2385</v>
      </c>
      <c r="D7830" s="15">
        <v>4.0</v>
      </c>
      <c r="E7830" s="67">
        <f t="shared" si="20"/>
        <v>1000</v>
      </c>
      <c r="F7830" s="67" t="str">
        <f t="shared" si="12"/>
        <v>4 LeadGen Set Appointments</v>
      </c>
    </row>
    <row r="7831" hidden="1">
      <c r="A7831" s="6" t="s">
        <v>95</v>
      </c>
      <c r="B7831" s="13" t="s">
        <v>2824</v>
      </c>
      <c r="C7831" s="13" t="s">
        <v>2825</v>
      </c>
      <c r="D7831" s="15">
        <v>4.0</v>
      </c>
      <c r="E7831" s="67">
        <f t="shared" si="20"/>
        <v>1000</v>
      </c>
      <c r="F7831" s="67" t="str">
        <f t="shared" si="12"/>
        <v>4 LeadGen Set Appointments</v>
      </c>
    </row>
    <row r="7832" hidden="1">
      <c r="A7832" s="6" t="s">
        <v>95</v>
      </c>
      <c r="B7832" s="13" t="s">
        <v>1923</v>
      </c>
      <c r="C7832" s="13" t="s">
        <v>1924</v>
      </c>
      <c r="D7832" s="15">
        <v>4.0</v>
      </c>
      <c r="E7832" s="67">
        <f t="shared" si="20"/>
        <v>1000</v>
      </c>
      <c r="F7832" s="67" t="str">
        <f t="shared" si="12"/>
        <v>4 LeadGen Set Appointments</v>
      </c>
    </row>
    <row r="7833" hidden="1">
      <c r="A7833" s="6" t="s">
        <v>95</v>
      </c>
      <c r="B7833" s="13" t="s">
        <v>2718</v>
      </c>
      <c r="C7833" s="13" t="s">
        <v>2719</v>
      </c>
      <c r="D7833" s="15">
        <v>4.0</v>
      </c>
      <c r="E7833" s="67">
        <f t="shared" si="20"/>
        <v>1000</v>
      </c>
      <c r="F7833" s="67" t="str">
        <f t="shared" si="12"/>
        <v>4 LeadGen Set Appointments</v>
      </c>
    </row>
    <row r="7834" hidden="1">
      <c r="A7834" s="6" t="s">
        <v>95</v>
      </c>
      <c r="B7834" s="13" t="s">
        <v>1897</v>
      </c>
      <c r="C7834" s="13" t="s">
        <v>2460</v>
      </c>
      <c r="D7834" s="15">
        <v>4.0</v>
      </c>
      <c r="E7834" s="67">
        <f t="shared" si="20"/>
        <v>1000</v>
      </c>
      <c r="F7834" s="67" t="str">
        <f t="shared" si="12"/>
        <v>4 LeadGen Set Appointments</v>
      </c>
    </row>
    <row r="7835" hidden="1">
      <c r="A7835" s="6" t="s">
        <v>95</v>
      </c>
      <c r="B7835" s="13" t="s">
        <v>1351</v>
      </c>
      <c r="C7835" s="13" t="s">
        <v>1352</v>
      </c>
      <c r="D7835" s="15">
        <v>4.0</v>
      </c>
      <c r="E7835" s="67">
        <f t="shared" si="20"/>
        <v>1000</v>
      </c>
      <c r="F7835" s="67" t="str">
        <f t="shared" si="12"/>
        <v>4 LeadGen Set Appointments</v>
      </c>
    </row>
    <row r="7836" hidden="1">
      <c r="A7836" s="6" t="s">
        <v>95</v>
      </c>
      <c r="B7836" s="13" t="s">
        <v>1945</v>
      </c>
      <c r="C7836" s="13" t="s">
        <v>1946</v>
      </c>
      <c r="D7836" s="15">
        <v>4.0</v>
      </c>
      <c r="E7836" s="67">
        <f t="shared" si="20"/>
        <v>1000</v>
      </c>
      <c r="F7836" s="67" t="str">
        <f t="shared" si="12"/>
        <v>4 LeadGen Set Appointments</v>
      </c>
    </row>
    <row r="7837" hidden="1">
      <c r="A7837" s="6" t="s">
        <v>95</v>
      </c>
      <c r="B7837" s="13" t="s">
        <v>447</v>
      </c>
      <c r="C7837" s="13" t="s">
        <v>448</v>
      </c>
      <c r="D7837" s="15">
        <v>3.0</v>
      </c>
      <c r="E7837" s="67">
        <f t="shared" si="20"/>
        <v>750</v>
      </c>
      <c r="F7837" s="67" t="str">
        <f t="shared" si="12"/>
        <v>3 LeadGen Set Appointments</v>
      </c>
    </row>
    <row r="7838" hidden="1">
      <c r="A7838" s="6" t="s">
        <v>95</v>
      </c>
      <c r="B7838" s="13" t="s">
        <v>576</v>
      </c>
      <c r="C7838" s="13" t="s">
        <v>577</v>
      </c>
      <c r="D7838" s="15">
        <v>3.0</v>
      </c>
      <c r="E7838" s="67">
        <f t="shared" si="20"/>
        <v>750</v>
      </c>
      <c r="F7838" s="67" t="str">
        <f t="shared" si="12"/>
        <v>3 LeadGen Set Appointments</v>
      </c>
    </row>
    <row r="7839" hidden="1">
      <c r="A7839" s="6" t="s">
        <v>95</v>
      </c>
      <c r="B7839" s="13" t="s">
        <v>462</v>
      </c>
      <c r="C7839" s="13" t="s">
        <v>463</v>
      </c>
      <c r="D7839" s="15">
        <v>3.0</v>
      </c>
      <c r="E7839" s="67">
        <f t="shared" si="20"/>
        <v>750</v>
      </c>
      <c r="F7839" s="67" t="str">
        <f t="shared" si="12"/>
        <v>3 LeadGen Set Appointments</v>
      </c>
    </row>
    <row r="7840" hidden="1">
      <c r="A7840" s="6" t="s">
        <v>95</v>
      </c>
      <c r="B7840" s="13" t="s">
        <v>2693</v>
      </c>
      <c r="C7840" s="13" t="s">
        <v>2694</v>
      </c>
      <c r="D7840" s="15">
        <v>3.0</v>
      </c>
      <c r="E7840" s="67">
        <f t="shared" si="20"/>
        <v>750</v>
      </c>
      <c r="F7840" s="67" t="str">
        <f t="shared" si="12"/>
        <v>3 LeadGen Set Appointments</v>
      </c>
    </row>
    <row r="7841" hidden="1">
      <c r="A7841" s="6" t="s">
        <v>95</v>
      </c>
      <c r="B7841" s="13" t="s">
        <v>2826</v>
      </c>
      <c r="C7841" s="13" t="s">
        <v>2827</v>
      </c>
      <c r="D7841" s="15">
        <v>3.0</v>
      </c>
      <c r="E7841" s="67">
        <f t="shared" si="20"/>
        <v>750</v>
      </c>
      <c r="F7841" s="67" t="str">
        <f t="shared" si="12"/>
        <v>3 LeadGen Set Appointments</v>
      </c>
    </row>
    <row r="7842" hidden="1">
      <c r="A7842" s="6" t="s">
        <v>95</v>
      </c>
      <c r="B7842" s="13" t="s">
        <v>431</v>
      </c>
      <c r="C7842" s="13" t="s">
        <v>432</v>
      </c>
      <c r="D7842" s="15">
        <v>3.0</v>
      </c>
      <c r="E7842" s="67">
        <f t="shared" si="20"/>
        <v>750</v>
      </c>
      <c r="F7842" s="67" t="str">
        <f t="shared" si="12"/>
        <v>3 LeadGen Set Appointments</v>
      </c>
    </row>
    <row r="7843" hidden="1">
      <c r="A7843" s="6" t="s">
        <v>95</v>
      </c>
      <c r="B7843" s="13" t="s">
        <v>1467</v>
      </c>
      <c r="C7843" s="13" t="s">
        <v>1468</v>
      </c>
      <c r="D7843" s="15">
        <v>3.0</v>
      </c>
      <c r="E7843" s="67">
        <f t="shared" si="20"/>
        <v>750</v>
      </c>
      <c r="F7843" s="67" t="str">
        <f t="shared" si="12"/>
        <v>3 LeadGen Set Appointments</v>
      </c>
    </row>
    <row r="7844" hidden="1">
      <c r="A7844" s="6" t="s">
        <v>95</v>
      </c>
      <c r="B7844" s="13" t="s">
        <v>2828</v>
      </c>
      <c r="C7844" s="13" t="s">
        <v>2829</v>
      </c>
      <c r="D7844" s="15">
        <v>3.0</v>
      </c>
      <c r="E7844" s="67">
        <f t="shared" si="20"/>
        <v>750</v>
      </c>
      <c r="F7844" s="67" t="str">
        <f t="shared" si="12"/>
        <v>3 LeadGen Set Appointments</v>
      </c>
    </row>
    <row r="7845" hidden="1">
      <c r="A7845" s="6" t="s">
        <v>95</v>
      </c>
      <c r="B7845" s="13" t="s">
        <v>1408</v>
      </c>
      <c r="C7845" s="13" t="s">
        <v>675</v>
      </c>
      <c r="D7845" s="15">
        <v>3.0</v>
      </c>
      <c r="E7845" s="67">
        <f t="shared" si="20"/>
        <v>750</v>
      </c>
      <c r="F7845" s="67" t="str">
        <f t="shared" si="12"/>
        <v>3 LeadGen Set Appointments</v>
      </c>
    </row>
    <row r="7846" hidden="1">
      <c r="A7846" s="6" t="s">
        <v>95</v>
      </c>
      <c r="B7846" s="13" t="s">
        <v>2473</v>
      </c>
      <c r="C7846" s="13" t="s">
        <v>2474</v>
      </c>
      <c r="D7846" s="15">
        <v>3.0</v>
      </c>
      <c r="E7846" s="67">
        <f t="shared" si="20"/>
        <v>750</v>
      </c>
      <c r="F7846" s="67" t="str">
        <f t="shared" si="12"/>
        <v>3 LeadGen Set Appointments</v>
      </c>
    </row>
    <row r="7847" hidden="1">
      <c r="A7847" s="6" t="s">
        <v>95</v>
      </c>
      <c r="B7847" s="13" t="s">
        <v>2636</v>
      </c>
      <c r="C7847" s="13" t="s">
        <v>2637</v>
      </c>
      <c r="D7847" s="15">
        <v>3.0</v>
      </c>
      <c r="E7847" s="67">
        <f t="shared" si="20"/>
        <v>750</v>
      </c>
      <c r="F7847" s="67" t="str">
        <f t="shared" si="12"/>
        <v>3 LeadGen Set Appointments</v>
      </c>
    </row>
    <row r="7848" hidden="1">
      <c r="A7848" s="6" t="s">
        <v>95</v>
      </c>
      <c r="B7848" s="13" t="s">
        <v>1279</v>
      </c>
      <c r="C7848" s="13" t="s">
        <v>739</v>
      </c>
      <c r="D7848" s="15">
        <v>3.0</v>
      </c>
      <c r="E7848" s="67">
        <f t="shared" si="20"/>
        <v>750</v>
      </c>
      <c r="F7848" s="67" t="str">
        <f t="shared" si="12"/>
        <v>3 LeadGen Set Appointments</v>
      </c>
    </row>
    <row r="7849" hidden="1">
      <c r="A7849" s="6" t="s">
        <v>95</v>
      </c>
      <c r="B7849" s="13" t="s">
        <v>1375</v>
      </c>
      <c r="C7849" s="13" t="s">
        <v>647</v>
      </c>
      <c r="D7849" s="15">
        <v>3.0</v>
      </c>
      <c r="E7849" s="67">
        <f t="shared" si="20"/>
        <v>750</v>
      </c>
      <c r="F7849" s="67" t="str">
        <f t="shared" si="12"/>
        <v>3 LeadGen Set Appointments</v>
      </c>
    </row>
    <row r="7850" hidden="1">
      <c r="A7850" s="6" t="s">
        <v>95</v>
      </c>
      <c r="B7850" s="13" t="s">
        <v>2789</v>
      </c>
      <c r="C7850" s="13" t="s">
        <v>2790</v>
      </c>
      <c r="D7850" s="15">
        <v>3.0</v>
      </c>
      <c r="E7850" s="67">
        <f t="shared" si="20"/>
        <v>750</v>
      </c>
      <c r="F7850" s="67" t="str">
        <f t="shared" si="12"/>
        <v>3 LeadGen Set Appointments</v>
      </c>
    </row>
    <row r="7851" hidden="1">
      <c r="A7851" s="6" t="s">
        <v>95</v>
      </c>
      <c r="B7851" s="13" t="s">
        <v>2619</v>
      </c>
      <c r="C7851" s="13" t="s">
        <v>2620</v>
      </c>
      <c r="D7851" s="15">
        <v>3.0</v>
      </c>
      <c r="E7851" s="67">
        <f t="shared" si="20"/>
        <v>750</v>
      </c>
      <c r="F7851" s="67" t="str">
        <f t="shared" si="12"/>
        <v>3 LeadGen Set Appointments</v>
      </c>
    </row>
    <row r="7852" hidden="1">
      <c r="A7852" s="6" t="s">
        <v>95</v>
      </c>
      <c r="B7852" s="13" t="s">
        <v>590</v>
      </c>
      <c r="C7852" s="13" t="s">
        <v>591</v>
      </c>
      <c r="D7852" s="15">
        <v>3.0</v>
      </c>
      <c r="E7852" s="67">
        <f t="shared" si="20"/>
        <v>750</v>
      </c>
      <c r="F7852" s="67" t="str">
        <f t="shared" si="12"/>
        <v>3 LeadGen Set Appointments</v>
      </c>
    </row>
    <row r="7853" hidden="1">
      <c r="A7853" s="6" t="s">
        <v>95</v>
      </c>
      <c r="B7853" s="13" t="s">
        <v>2795</v>
      </c>
      <c r="C7853" s="13" t="s">
        <v>2796</v>
      </c>
      <c r="D7853" s="15">
        <v>3.0</v>
      </c>
      <c r="E7853" s="67">
        <f t="shared" si="20"/>
        <v>750</v>
      </c>
      <c r="F7853" s="67" t="str">
        <f t="shared" si="12"/>
        <v>3 LeadGen Set Appointments</v>
      </c>
    </row>
    <row r="7854" hidden="1">
      <c r="A7854" s="6" t="s">
        <v>95</v>
      </c>
      <c r="B7854" s="13" t="s">
        <v>2830</v>
      </c>
      <c r="C7854" s="13" t="s">
        <v>2831</v>
      </c>
      <c r="D7854" s="15">
        <v>3.0</v>
      </c>
      <c r="E7854" s="67">
        <f t="shared" si="20"/>
        <v>750</v>
      </c>
      <c r="F7854" s="67" t="str">
        <f t="shared" si="12"/>
        <v>3 LeadGen Set Appointments</v>
      </c>
    </row>
    <row r="7855" hidden="1">
      <c r="A7855" s="6" t="s">
        <v>95</v>
      </c>
      <c r="B7855" s="13" t="s">
        <v>2572</v>
      </c>
      <c r="C7855" s="13" t="s">
        <v>2573</v>
      </c>
      <c r="D7855" s="15">
        <v>3.0</v>
      </c>
      <c r="E7855" s="67">
        <f t="shared" si="20"/>
        <v>750</v>
      </c>
      <c r="F7855" s="67" t="str">
        <f t="shared" si="12"/>
        <v>3 LeadGen Set Appointments</v>
      </c>
    </row>
    <row r="7856" hidden="1">
      <c r="A7856" s="6" t="s">
        <v>95</v>
      </c>
      <c r="B7856" s="13" t="s">
        <v>315</v>
      </c>
      <c r="C7856" s="13" t="s">
        <v>2819</v>
      </c>
      <c r="D7856" s="15">
        <v>3.0</v>
      </c>
      <c r="E7856" s="67">
        <f t="shared" si="20"/>
        <v>750</v>
      </c>
      <c r="F7856" s="67" t="str">
        <f t="shared" si="12"/>
        <v>3 LeadGen Set Appointments</v>
      </c>
    </row>
    <row r="7857" hidden="1">
      <c r="A7857" s="6" t="s">
        <v>95</v>
      </c>
      <c r="B7857" s="13" t="s">
        <v>2711</v>
      </c>
      <c r="C7857" s="13" t="s">
        <v>2712</v>
      </c>
      <c r="D7857" s="15">
        <v>3.0</v>
      </c>
      <c r="E7857" s="67">
        <f t="shared" si="20"/>
        <v>750</v>
      </c>
      <c r="F7857" s="67" t="str">
        <f t="shared" si="12"/>
        <v>3 LeadGen Set Appointments</v>
      </c>
    </row>
    <row r="7858" hidden="1">
      <c r="A7858" s="6" t="s">
        <v>95</v>
      </c>
      <c r="B7858" s="13" t="s">
        <v>2705</v>
      </c>
      <c r="C7858" s="13" t="s">
        <v>2706</v>
      </c>
      <c r="D7858" s="15">
        <v>3.0</v>
      </c>
      <c r="E7858" s="67">
        <f t="shared" si="20"/>
        <v>750</v>
      </c>
      <c r="F7858" s="67" t="str">
        <f t="shared" si="12"/>
        <v>3 LeadGen Set Appointments</v>
      </c>
    </row>
    <row r="7859" hidden="1">
      <c r="A7859" s="6" t="s">
        <v>95</v>
      </c>
      <c r="B7859" s="13" t="s">
        <v>2288</v>
      </c>
      <c r="C7859" s="13" t="s">
        <v>2289</v>
      </c>
      <c r="D7859" s="15">
        <v>3.0</v>
      </c>
      <c r="E7859" s="67">
        <f t="shared" si="20"/>
        <v>750</v>
      </c>
      <c r="F7859" s="67" t="str">
        <f t="shared" si="12"/>
        <v>3 LeadGen Set Appointments</v>
      </c>
    </row>
    <row r="7860" hidden="1">
      <c r="A7860" s="6" t="s">
        <v>95</v>
      </c>
      <c r="B7860" s="13" t="s">
        <v>2713</v>
      </c>
      <c r="C7860" s="13" t="s">
        <v>61</v>
      </c>
      <c r="D7860" s="15">
        <v>3.0</v>
      </c>
      <c r="E7860" s="67">
        <f t="shared" si="20"/>
        <v>750</v>
      </c>
      <c r="F7860" s="67" t="str">
        <f t="shared" si="12"/>
        <v>3 LeadGen Set Appointments</v>
      </c>
    </row>
    <row r="7861" hidden="1">
      <c r="A7861" s="6" t="s">
        <v>95</v>
      </c>
      <c r="B7861" s="13" t="s">
        <v>1442</v>
      </c>
      <c r="C7861" s="13" t="s">
        <v>749</v>
      </c>
      <c r="D7861" s="15">
        <v>3.0</v>
      </c>
      <c r="E7861" s="67">
        <f t="shared" si="20"/>
        <v>750</v>
      </c>
      <c r="F7861" s="67" t="str">
        <f t="shared" si="12"/>
        <v>3 LeadGen Set Appointments</v>
      </c>
    </row>
    <row r="7862" hidden="1">
      <c r="A7862" s="6" t="s">
        <v>95</v>
      </c>
      <c r="B7862" s="13" t="s">
        <v>2677</v>
      </c>
      <c r="C7862" s="13" t="s">
        <v>2678</v>
      </c>
      <c r="D7862" s="15">
        <v>3.0</v>
      </c>
      <c r="E7862" s="67">
        <f t="shared" si="20"/>
        <v>750</v>
      </c>
      <c r="F7862" s="67" t="str">
        <f t="shared" si="12"/>
        <v>3 LeadGen Set Appointments</v>
      </c>
    </row>
    <row r="7863" hidden="1">
      <c r="A7863" s="6" t="s">
        <v>95</v>
      </c>
      <c r="B7863" s="13" t="s">
        <v>2814</v>
      </c>
      <c r="C7863" s="13" t="s">
        <v>2815</v>
      </c>
      <c r="D7863" s="15">
        <v>3.0</v>
      </c>
      <c r="E7863" s="67">
        <f t="shared" si="20"/>
        <v>750</v>
      </c>
      <c r="F7863" s="67" t="str">
        <f t="shared" si="12"/>
        <v>3 LeadGen Set Appointments</v>
      </c>
    </row>
    <row r="7864" hidden="1">
      <c r="A7864" s="6" t="s">
        <v>95</v>
      </c>
      <c r="B7864" s="13" t="s">
        <v>2802</v>
      </c>
      <c r="C7864" s="13" t="s">
        <v>2803</v>
      </c>
      <c r="D7864" s="15">
        <v>3.0</v>
      </c>
      <c r="E7864" s="67">
        <f t="shared" si="20"/>
        <v>750</v>
      </c>
      <c r="F7864" s="67" t="str">
        <f t="shared" si="12"/>
        <v>3 LeadGen Set Appointments</v>
      </c>
    </row>
    <row r="7865" hidden="1">
      <c r="A7865" s="6" t="s">
        <v>95</v>
      </c>
      <c r="B7865" s="13" t="s">
        <v>2773</v>
      </c>
      <c r="C7865" s="13" t="s">
        <v>2774</v>
      </c>
      <c r="D7865" s="15">
        <v>3.0</v>
      </c>
      <c r="E7865" s="67">
        <f t="shared" si="20"/>
        <v>750</v>
      </c>
      <c r="F7865" s="67" t="str">
        <f t="shared" si="12"/>
        <v>3 LeadGen Set Appointments</v>
      </c>
    </row>
    <row r="7866" hidden="1">
      <c r="A7866" s="6" t="s">
        <v>95</v>
      </c>
      <c r="B7866" s="13" t="s">
        <v>2781</v>
      </c>
      <c r="C7866" s="13" t="s">
        <v>2782</v>
      </c>
      <c r="D7866" s="15">
        <v>2.0</v>
      </c>
      <c r="E7866" s="67">
        <f t="shared" si="20"/>
        <v>500</v>
      </c>
      <c r="F7866" s="67" t="str">
        <f t="shared" si="12"/>
        <v>2 LeadGen Set Appointments</v>
      </c>
    </row>
    <row r="7867" hidden="1">
      <c r="A7867" s="6" t="s">
        <v>95</v>
      </c>
      <c r="B7867" s="13" t="s">
        <v>744</v>
      </c>
      <c r="C7867" s="13" t="s">
        <v>745</v>
      </c>
      <c r="D7867" s="15">
        <v>2.0</v>
      </c>
      <c r="E7867" s="67">
        <f t="shared" si="20"/>
        <v>500</v>
      </c>
      <c r="F7867" s="67" t="str">
        <f t="shared" si="12"/>
        <v>2 LeadGen Set Appointments</v>
      </c>
    </row>
    <row r="7868" hidden="1">
      <c r="A7868" s="6" t="s">
        <v>95</v>
      </c>
      <c r="B7868" s="13" t="s">
        <v>1380</v>
      </c>
      <c r="C7868" s="13" t="s">
        <v>1381</v>
      </c>
      <c r="D7868" s="15">
        <v>2.0</v>
      </c>
      <c r="E7868" s="67">
        <f t="shared" si="20"/>
        <v>500</v>
      </c>
      <c r="F7868" s="67" t="str">
        <f t="shared" si="12"/>
        <v>2 LeadGen Set Appointments</v>
      </c>
    </row>
    <row r="7869" hidden="1">
      <c r="A7869" s="6" t="s">
        <v>95</v>
      </c>
      <c r="B7869" s="13" t="s">
        <v>451</v>
      </c>
      <c r="C7869" s="13" t="s">
        <v>452</v>
      </c>
      <c r="D7869" s="15">
        <v>2.0</v>
      </c>
      <c r="E7869" s="67">
        <f t="shared" si="20"/>
        <v>500</v>
      </c>
      <c r="F7869" s="67" t="str">
        <f t="shared" si="12"/>
        <v>2 LeadGen Set Appointments</v>
      </c>
    </row>
    <row r="7870" hidden="1">
      <c r="A7870" s="6" t="s">
        <v>95</v>
      </c>
      <c r="B7870" s="13" t="s">
        <v>2832</v>
      </c>
      <c r="C7870" s="13" t="s">
        <v>2833</v>
      </c>
      <c r="D7870" s="15">
        <v>2.0</v>
      </c>
      <c r="E7870" s="67">
        <f t="shared" si="20"/>
        <v>500</v>
      </c>
      <c r="F7870" s="67" t="str">
        <f t="shared" si="12"/>
        <v>2 LeadGen Set Appointments</v>
      </c>
    </row>
    <row r="7871" hidden="1">
      <c r="A7871" s="6" t="s">
        <v>95</v>
      </c>
      <c r="B7871" s="13" t="s">
        <v>900</v>
      </c>
      <c r="C7871" s="13" t="s">
        <v>901</v>
      </c>
      <c r="D7871" s="15">
        <v>2.0</v>
      </c>
      <c r="E7871" s="67">
        <f t="shared" si="20"/>
        <v>500</v>
      </c>
      <c r="F7871" s="67" t="str">
        <f t="shared" si="12"/>
        <v>2 LeadGen Set Appointments</v>
      </c>
    </row>
    <row r="7872" hidden="1">
      <c r="A7872" s="6" t="s">
        <v>95</v>
      </c>
      <c r="B7872" s="13" t="s">
        <v>1025</v>
      </c>
      <c r="C7872" s="13" t="s">
        <v>1026</v>
      </c>
      <c r="D7872" s="15">
        <v>3.0</v>
      </c>
      <c r="E7872" s="67">
        <f t="shared" si="20"/>
        <v>750</v>
      </c>
      <c r="F7872" s="67" t="str">
        <f t="shared" si="12"/>
        <v>3 LeadGen Set Appointments</v>
      </c>
    </row>
    <row r="7873" hidden="1">
      <c r="A7873" s="6" t="s">
        <v>95</v>
      </c>
      <c r="B7873" s="13" t="s">
        <v>2716</v>
      </c>
      <c r="C7873" s="13" t="s">
        <v>2717</v>
      </c>
      <c r="D7873" s="15">
        <v>2.0</v>
      </c>
      <c r="E7873" s="67">
        <f t="shared" si="20"/>
        <v>500</v>
      </c>
      <c r="F7873" s="67" t="str">
        <f t="shared" si="12"/>
        <v>2 LeadGen Set Appointments</v>
      </c>
    </row>
    <row r="7874" hidden="1">
      <c r="A7874" s="6" t="s">
        <v>95</v>
      </c>
      <c r="B7874" s="13" t="s">
        <v>2834</v>
      </c>
      <c r="C7874" s="13" t="s">
        <v>2772</v>
      </c>
      <c r="D7874" s="15">
        <v>2.0</v>
      </c>
      <c r="E7874" s="67">
        <f t="shared" si="20"/>
        <v>500</v>
      </c>
      <c r="F7874" s="67" t="str">
        <f t="shared" si="12"/>
        <v>2 LeadGen Set Appointments</v>
      </c>
    </row>
    <row r="7875" hidden="1">
      <c r="A7875" s="6" t="s">
        <v>95</v>
      </c>
      <c r="B7875" s="13" t="s">
        <v>2766</v>
      </c>
      <c r="C7875" s="13" t="s">
        <v>2767</v>
      </c>
      <c r="D7875" s="15">
        <v>2.0</v>
      </c>
      <c r="E7875" s="67">
        <f t="shared" si="20"/>
        <v>500</v>
      </c>
      <c r="F7875" s="67" t="str">
        <f t="shared" si="12"/>
        <v>2 LeadGen Set Appointments</v>
      </c>
    </row>
    <row r="7876" hidden="1">
      <c r="A7876" s="6" t="s">
        <v>95</v>
      </c>
      <c r="B7876" s="13" t="s">
        <v>2835</v>
      </c>
      <c r="C7876" s="13" t="s">
        <v>2836</v>
      </c>
      <c r="D7876" s="15">
        <v>2.0</v>
      </c>
      <c r="E7876" s="67">
        <f t="shared" si="20"/>
        <v>500</v>
      </c>
      <c r="F7876" s="67" t="str">
        <f t="shared" si="12"/>
        <v>2 LeadGen Set Appointments</v>
      </c>
    </row>
    <row r="7877" hidden="1">
      <c r="A7877" s="6" t="s">
        <v>95</v>
      </c>
      <c r="B7877" s="13" t="s">
        <v>2097</v>
      </c>
      <c r="C7877" s="13" t="s">
        <v>828</v>
      </c>
      <c r="D7877" s="15">
        <v>2.0</v>
      </c>
      <c r="E7877" s="67">
        <f t="shared" si="20"/>
        <v>500</v>
      </c>
      <c r="F7877" s="67" t="str">
        <f t="shared" si="12"/>
        <v>2 LeadGen Set Appointments</v>
      </c>
    </row>
    <row r="7878" hidden="1">
      <c r="A7878" s="6" t="s">
        <v>95</v>
      </c>
      <c r="B7878" s="13" t="s">
        <v>262</v>
      </c>
      <c r="C7878" s="13" t="s">
        <v>290</v>
      </c>
      <c r="D7878" s="15">
        <v>2.0</v>
      </c>
      <c r="E7878" s="67">
        <f t="shared" si="20"/>
        <v>500</v>
      </c>
      <c r="F7878" s="67" t="str">
        <f t="shared" si="12"/>
        <v>2 LeadGen Set Appointments</v>
      </c>
    </row>
    <row r="7879" hidden="1">
      <c r="A7879" s="6" t="s">
        <v>95</v>
      </c>
      <c r="B7879" s="13" t="s">
        <v>2837</v>
      </c>
      <c r="C7879" s="13" t="s">
        <v>2838</v>
      </c>
      <c r="D7879" s="15">
        <v>2.0</v>
      </c>
      <c r="E7879" s="67">
        <f t="shared" si="20"/>
        <v>500</v>
      </c>
      <c r="F7879" s="67" t="str">
        <f t="shared" si="12"/>
        <v>2 LeadGen Set Appointments</v>
      </c>
    </row>
    <row r="7880" hidden="1">
      <c r="A7880" s="6" t="s">
        <v>95</v>
      </c>
      <c r="B7880" s="13" t="s">
        <v>572</v>
      </c>
      <c r="C7880" s="13" t="s">
        <v>573</v>
      </c>
      <c r="D7880" s="15">
        <v>2.0</v>
      </c>
      <c r="E7880" s="67">
        <f t="shared" si="20"/>
        <v>500</v>
      </c>
      <c r="F7880" s="67" t="str">
        <f t="shared" si="12"/>
        <v>2 LeadGen Set Appointments</v>
      </c>
    </row>
    <row r="7881" hidden="1">
      <c r="A7881" s="6" t="s">
        <v>95</v>
      </c>
      <c r="B7881" s="13" t="s">
        <v>2797</v>
      </c>
      <c r="C7881" s="13" t="s">
        <v>2798</v>
      </c>
      <c r="D7881" s="15">
        <v>2.0</v>
      </c>
      <c r="E7881" s="67">
        <f t="shared" si="20"/>
        <v>500</v>
      </c>
      <c r="F7881" s="67" t="str">
        <f t="shared" si="12"/>
        <v>2 LeadGen Set Appointments</v>
      </c>
    </row>
    <row r="7882" hidden="1">
      <c r="A7882" s="6" t="s">
        <v>95</v>
      </c>
      <c r="B7882" s="13" t="s">
        <v>2804</v>
      </c>
      <c r="C7882" s="13" t="s">
        <v>2805</v>
      </c>
      <c r="D7882" s="15">
        <v>2.0</v>
      </c>
      <c r="E7882" s="67">
        <f t="shared" si="20"/>
        <v>500</v>
      </c>
      <c r="F7882" s="67" t="str">
        <f t="shared" si="12"/>
        <v>2 LeadGen Set Appointments</v>
      </c>
    </row>
    <row r="7883" hidden="1">
      <c r="A7883" s="6" t="s">
        <v>95</v>
      </c>
      <c r="B7883" s="13" t="s">
        <v>2756</v>
      </c>
      <c r="C7883" s="13" t="s">
        <v>2757</v>
      </c>
      <c r="D7883" s="15">
        <v>2.0</v>
      </c>
      <c r="E7883" s="67">
        <f t="shared" si="20"/>
        <v>500</v>
      </c>
      <c r="F7883" s="67" t="str">
        <f t="shared" si="12"/>
        <v>2 LeadGen Set Appointments</v>
      </c>
    </row>
    <row r="7884" hidden="1">
      <c r="A7884" s="6" t="s">
        <v>95</v>
      </c>
      <c r="B7884" s="13" t="s">
        <v>1790</v>
      </c>
      <c r="C7884" s="13" t="s">
        <v>2799</v>
      </c>
      <c r="D7884" s="15">
        <v>2.0</v>
      </c>
      <c r="E7884" s="67">
        <f t="shared" si="20"/>
        <v>500</v>
      </c>
      <c r="F7884" s="67" t="str">
        <f t="shared" si="12"/>
        <v>2 LeadGen Set Appointments</v>
      </c>
    </row>
    <row r="7885" hidden="1">
      <c r="A7885" s="6" t="s">
        <v>95</v>
      </c>
      <c r="B7885" s="13" t="s">
        <v>302</v>
      </c>
      <c r="C7885" s="13" t="s">
        <v>2110</v>
      </c>
      <c r="D7885" s="15">
        <v>2.0</v>
      </c>
      <c r="E7885" s="67">
        <f t="shared" si="20"/>
        <v>500</v>
      </c>
      <c r="F7885" s="67" t="str">
        <f t="shared" si="12"/>
        <v>2 LeadGen Set Appointments</v>
      </c>
    </row>
    <row r="7886" hidden="1">
      <c r="A7886" s="6" t="s">
        <v>95</v>
      </c>
      <c r="B7886" s="13" t="s">
        <v>2800</v>
      </c>
      <c r="C7886" s="13" t="s">
        <v>2801</v>
      </c>
      <c r="D7886" s="15">
        <v>2.0</v>
      </c>
      <c r="E7886" s="67">
        <f t="shared" si="20"/>
        <v>500</v>
      </c>
      <c r="F7886" s="67" t="str">
        <f t="shared" si="12"/>
        <v>2 LeadGen Set Appointments</v>
      </c>
    </row>
    <row r="7887" hidden="1">
      <c r="A7887" s="6" t="s">
        <v>95</v>
      </c>
      <c r="B7887" s="13" t="s">
        <v>2785</v>
      </c>
      <c r="C7887" s="13" t="s">
        <v>2786</v>
      </c>
      <c r="D7887" s="15">
        <v>2.0</v>
      </c>
      <c r="E7887" s="67">
        <f t="shared" si="20"/>
        <v>500</v>
      </c>
      <c r="F7887" s="67" t="str">
        <f t="shared" si="12"/>
        <v>2 LeadGen Set Appointments</v>
      </c>
    </row>
    <row r="7888" hidden="1">
      <c r="A7888" s="6" t="s">
        <v>95</v>
      </c>
      <c r="B7888" s="13" t="s">
        <v>2745</v>
      </c>
      <c r="C7888" s="13" t="s">
        <v>2746</v>
      </c>
      <c r="D7888" s="15">
        <v>2.0</v>
      </c>
      <c r="E7888" s="67">
        <f t="shared" si="20"/>
        <v>500</v>
      </c>
      <c r="F7888" s="67" t="str">
        <f t="shared" si="12"/>
        <v>2 LeadGen Set Appointments</v>
      </c>
    </row>
    <row r="7889" hidden="1">
      <c r="A7889" s="6" t="s">
        <v>95</v>
      </c>
      <c r="B7889" s="13" t="s">
        <v>258</v>
      </c>
      <c r="C7889" s="13" t="s">
        <v>2386</v>
      </c>
      <c r="D7889" s="15">
        <v>2.0</v>
      </c>
      <c r="E7889" s="67">
        <f t="shared" si="20"/>
        <v>500</v>
      </c>
      <c r="F7889" s="67" t="str">
        <f t="shared" si="12"/>
        <v>2 LeadGen Set Appointments</v>
      </c>
    </row>
    <row r="7890" hidden="1">
      <c r="A7890" s="6" t="s">
        <v>95</v>
      </c>
      <c r="B7890" s="13" t="s">
        <v>566</v>
      </c>
      <c r="C7890" s="13" t="s">
        <v>567</v>
      </c>
      <c r="D7890" s="15">
        <v>2.0</v>
      </c>
      <c r="E7890" s="67">
        <f t="shared" si="20"/>
        <v>500</v>
      </c>
      <c r="F7890" s="67" t="str">
        <f t="shared" si="12"/>
        <v>2 LeadGen Set Appointments</v>
      </c>
    </row>
    <row r="7891" hidden="1">
      <c r="A7891" s="6" t="s">
        <v>95</v>
      </c>
      <c r="B7891" s="13" t="s">
        <v>1342</v>
      </c>
      <c r="C7891" s="13" t="s">
        <v>2751</v>
      </c>
      <c r="D7891" s="15">
        <v>2.0</v>
      </c>
      <c r="E7891" s="67">
        <f t="shared" si="20"/>
        <v>500</v>
      </c>
      <c r="F7891" s="67" t="str">
        <f t="shared" si="12"/>
        <v>2 LeadGen Set Appointments</v>
      </c>
    </row>
    <row r="7892" hidden="1">
      <c r="A7892" s="6" t="s">
        <v>95</v>
      </c>
      <c r="B7892" s="13" t="s">
        <v>2576</v>
      </c>
      <c r="C7892" s="13" t="s">
        <v>2577</v>
      </c>
      <c r="D7892" s="15">
        <v>2.0</v>
      </c>
      <c r="E7892" s="67">
        <f t="shared" si="20"/>
        <v>500</v>
      </c>
      <c r="F7892" s="67" t="str">
        <f t="shared" si="12"/>
        <v>2 LeadGen Set Appointments</v>
      </c>
    </row>
    <row r="7893" hidden="1">
      <c r="A7893" s="6" t="s">
        <v>95</v>
      </c>
      <c r="B7893" s="13" t="s">
        <v>2747</v>
      </c>
      <c r="C7893" s="13" t="s">
        <v>2748</v>
      </c>
      <c r="D7893" s="15">
        <v>2.0</v>
      </c>
      <c r="E7893" s="67">
        <f t="shared" si="20"/>
        <v>500</v>
      </c>
      <c r="F7893" s="67" t="str">
        <f t="shared" si="12"/>
        <v>2 LeadGen Set Appointments</v>
      </c>
    </row>
    <row r="7894" hidden="1">
      <c r="A7894" s="6" t="s">
        <v>95</v>
      </c>
      <c r="B7894" s="13" t="s">
        <v>2754</v>
      </c>
      <c r="C7894" s="13" t="s">
        <v>2755</v>
      </c>
      <c r="D7894" s="15">
        <v>2.0</v>
      </c>
      <c r="E7894" s="67">
        <f t="shared" si="20"/>
        <v>500</v>
      </c>
      <c r="F7894" s="67" t="str">
        <f t="shared" si="12"/>
        <v>2 LeadGen Set Appointments</v>
      </c>
    </row>
    <row r="7895" hidden="1">
      <c r="A7895" s="6" t="s">
        <v>95</v>
      </c>
      <c r="B7895" s="13" t="s">
        <v>2663</v>
      </c>
      <c r="C7895" s="13" t="s">
        <v>2664</v>
      </c>
      <c r="D7895" s="15">
        <v>2.0</v>
      </c>
      <c r="E7895" s="67">
        <f t="shared" si="20"/>
        <v>500</v>
      </c>
      <c r="F7895" s="67" t="str">
        <f t="shared" si="12"/>
        <v>2 LeadGen Set Appointments</v>
      </c>
    </row>
    <row r="7896" hidden="1">
      <c r="A7896" s="6" t="s">
        <v>95</v>
      </c>
      <c r="B7896" s="13" t="s">
        <v>2724</v>
      </c>
      <c r="C7896" s="13" t="s">
        <v>2725</v>
      </c>
      <c r="D7896" s="15">
        <v>1.0</v>
      </c>
      <c r="E7896" s="67">
        <f t="shared" si="20"/>
        <v>250</v>
      </c>
      <c r="F7896" s="67" t="str">
        <f t="shared" si="12"/>
        <v>1 LeadGen Set Appointments</v>
      </c>
    </row>
    <row r="7897" hidden="1">
      <c r="A7897" s="6" t="s">
        <v>95</v>
      </c>
      <c r="B7897" s="13" t="s">
        <v>2634</v>
      </c>
      <c r="C7897" s="13" t="s">
        <v>2635</v>
      </c>
      <c r="D7897" s="15">
        <v>1.0</v>
      </c>
      <c r="E7897" s="67">
        <f t="shared" si="20"/>
        <v>250</v>
      </c>
      <c r="F7897" s="67" t="str">
        <f t="shared" si="12"/>
        <v>1 LeadGen Set Appointments</v>
      </c>
    </row>
    <row r="7898" hidden="1">
      <c r="A7898" s="6" t="s">
        <v>95</v>
      </c>
      <c r="B7898" s="13" t="s">
        <v>922</v>
      </c>
      <c r="C7898" s="13" t="s">
        <v>923</v>
      </c>
      <c r="D7898" s="15">
        <v>1.0</v>
      </c>
      <c r="E7898" s="67">
        <f t="shared" si="20"/>
        <v>250</v>
      </c>
      <c r="F7898" s="67" t="str">
        <f t="shared" si="12"/>
        <v>1 LeadGen Set Appointments</v>
      </c>
    </row>
    <row r="7899" hidden="1">
      <c r="A7899" s="6" t="s">
        <v>95</v>
      </c>
      <c r="B7899" s="13" t="s">
        <v>1033</v>
      </c>
      <c r="C7899" s="13" t="s">
        <v>1034</v>
      </c>
      <c r="D7899" s="15">
        <v>1.0</v>
      </c>
      <c r="E7899" s="67">
        <f t="shared" si="20"/>
        <v>250</v>
      </c>
      <c r="F7899" s="67" t="str">
        <f t="shared" si="12"/>
        <v>1 LeadGen Set Appointments</v>
      </c>
    </row>
    <row r="7900" hidden="1">
      <c r="A7900" s="6" t="s">
        <v>95</v>
      </c>
      <c r="B7900" s="13" t="s">
        <v>606</v>
      </c>
      <c r="C7900" s="13" t="s">
        <v>607</v>
      </c>
      <c r="D7900" s="15">
        <v>1.0</v>
      </c>
      <c r="E7900" s="67">
        <f t="shared" si="20"/>
        <v>250</v>
      </c>
      <c r="F7900" s="67" t="str">
        <f t="shared" si="12"/>
        <v>1 LeadGen Set Appointments</v>
      </c>
    </row>
    <row r="7901" hidden="1">
      <c r="A7901" s="6" t="s">
        <v>95</v>
      </c>
      <c r="B7901" s="13" t="s">
        <v>2752</v>
      </c>
      <c r="C7901" s="13" t="s">
        <v>2753</v>
      </c>
      <c r="D7901" s="15">
        <v>1.0</v>
      </c>
      <c r="E7901" s="67">
        <f t="shared" si="20"/>
        <v>250</v>
      </c>
      <c r="F7901" s="67" t="str">
        <f t="shared" si="12"/>
        <v>1 LeadGen Set Appointments</v>
      </c>
    </row>
    <row r="7902" hidden="1">
      <c r="A7902" s="6" t="s">
        <v>95</v>
      </c>
      <c r="B7902" s="13" t="s">
        <v>2179</v>
      </c>
      <c r="C7902" s="13" t="s">
        <v>2180</v>
      </c>
      <c r="D7902" s="15">
        <v>1.0</v>
      </c>
      <c r="E7902" s="67">
        <f t="shared" si="20"/>
        <v>250</v>
      </c>
      <c r="F7902" s="67" t="str">
        <f t="shared" si="12"/>
        <v>1 LeadGen Set Appointments</v>
      </c>
    </row>
    <row r="7903" hidden="1">
      <c r="A7903" s="6" t="s">
        <v>95</v>
      </c>
      <c r="B7903" s="13" t="s">
        <v>2768</v>
      </c>
      <c r="C7903" s="13" t="s">
        <v>2769</v>
      </c>
      <c r="D7903" s="15">
        <v>1.0</v>
      </c>
      <c r="E7903" s="67">
        <f t="shared" si="20"/>
        <v>250</v>
      </c>
      <c r="F7903" s="67" t="str">
        <f t="shared" si="12"/>
        <v>1 LeadGen Set Appointments</v>
      </c>
    </row>
    <row r="7904" hidden="1">
      <c r="A7904" s="6" t="s">
        <v>95</v>
      </c>
      <c r="B7904" s="13" t="s">
        <v>2839</v>
      </c>
      <c r="C7904" s="13" t="s">
        <v>2840</v>
      </c>
      <c r="D7904" s="15">
        <v>1.0</v>
      </c>
      <c r="E7904" s="67">
        <f t="shared" si="20"/>
        <v>250</v>
      </c>
      <c r="F7904" s="67" t="str">
        <f t="shared" si="12"/>
        <v>1 LeadGen Set Appointments</v>
      </c>
    </row>
    <row r="7905" hidden="1">
      <c r="A7905" s="6" t="s">
        <v>95</v>
      </c>
      <c r="B7905" s="13" t="s">
        <v>1443</v>
      </c>
      <c r="C7905" s="13" t="s">
        <v>755</v>
      </c>
      <c r="D7905" s="15">
        <v>1.0</v>
      </c>
      <c r="E7905" s="67">
        <f t="shared" si="20"/>
        <v>250</v>
      </c>
      <c r="F7905" s="67" t="str">
        <f t="shared" si="12"/>
        <v>1 LeadGen Set Appointments</v>
      </c>
    </row>
    <row r="7906" hidden="1">
      <c r="A7906" s="6" t="s">
        <v>95</v>
      </c>
      <c r="B7906" s="13" t="s">
        <v>2841</v>
      </c>
      <c r="C7906" s="13" t="s">
        <v>2842</v>
      </c>
      <c r="D7906" s="15">
        <v>1.0</v>
      </c>
      <c r="E7906" s="67">
        <f t="shared" si="20"/>
        <v>250</v>
      </c>
      <c r="F7906" s="67" t="str">
        <f t="shared" si="12"/>
        <v>1 LeadGen Set Appointments</v>
      </c>
    </row>
    <row r="7907" hidden="1">
      <c r="A7907" s="6" t="s">
        <v>95</v>
      </c>
      <c r="B7907" s="13" t="s">
        <v>1489</v>
      </c>
      <c r="C7907" s="13" t="s">
        <v>2843</v>
      </c>
      <c r="D7907" s="15">
        <v>1.0</v>
      </c>
      <c r="E7907" s="67">
        <f t="shared" si="20"/>
        <v>250</v>
      </c>
      <c r="F7907" s="67" t="str">
        <f t="shared" si="12"/>
        <v>1 LeadGen Set Appointments</v>
      </c>
    </row>
    <row r="7908" hidden="1">
      <c r="A7908" s="6" t="s">
        <v>95</v>
      </c>
      <c r="B7908" s="13" t="s">
        <v>2844</v>
      </c>
      <c r="C7908" s="13" t="s">
        <v>2845</v>
      </c>
      <c r="D7908" s="15">
        <v>1.0</v>
      </c>
      <c r="E7908" s="67">
        <f t="shared" si="20"/>
        <v>250</v>
      </c>
      <c r="F7908" s="67" t="str">
        <f t="shared" si="12"/>
        <v>1 LeadGen Set Appointments</v>
      </c>
    </row>
    <row r="7909" hidden="1">
      <c r="A7909" s="6" t="s">
        <v>95</v>
      </c>
      <c r="B7909" s="13" t="s">
        <v>2791</v>
      </c>
      <c r="C7909" s="13" t="s">
        <v>2792</v>
      </c>
      <c r="D7909" s="15">
        <v>1.0</v>
      </c>
      <c r="E7909" s="67">
        <f t="shared" si="20"/>
        <v>250</v>
      </c>
      <c r="F7909" s="67" t="str">
        <f t="shared" si="12"/>
        <v>1 LeadGen Set Appointments</v>
      </c>
    </row>
    <row r="7910" hidden="1">
      <c r="A7910" s="6" t="s">
        <v>95</v>
      </c>
      <c r="B7910" s="13" t="s">
        <v>2793</v>
      </c>
      <c r="C7910" s="13" t="s">
        <v>2794</v>
      </c>
      <c r="D7910" s="15">
        <v>1.0</v>
      </c>
      <c r="E7910" s="67">
        <f t="shared" si="20"/>
        <v>250</v>
      </c>
      <c r="F7910" s="67" t="str">
        <f t="shared" si="12"/>
        <v>1 LeadGen Set Appointments</v>
      </c>
    </row>
    <row r="7911" hidden="1">
      <c r="A7911" s="6" t="s">
        <v>95</v>
      </c>
      <c r="B7911" s="13" t="s">
        <v>1657</v>
      </c>
      <c r="C7911" s="13" t="s">
        <v>1658</v>
      </c>
      <c r="D7911" s="15">
        <v>1.0</v>
      </c>
      <c r="E7911" s="67">
        <f t="shared" si="20"/>
        <v>250</v>
      </c>
      <c r="F7911" s="67" t="str">
        <f t="shared" si="12"/>
        <v>1 LeadGen Set Appointments</v>
      </c>
    </row>
    <row r="7912" hidden="1">
      <c r="A7912" s="6" t="s">
        <v>95</v>
      </c>
      <c r="B7912" s="13" t="s">
        <v>2758</v>
      </c>
      <c r="C7912" s="13" t="s">
        <v>2759</v>
      </c>
      <c r="D7912" s="15">
        <v>1.0</v>
      </c>
      <c r="E7912" s="67">
        <f t="shared" si="20"/>
        <v>250</v>
      </c>
      <c r="F7912" s="67" t="str">
        <f t="shared" si="12"/>
        <v>1 LeadGen Set Appointments</v>
      </c>
    </row>
    <row r="7913" hidden="1">
      <c r="A7913" s="6" t="s">
        <v>95</v>
      </c>
      <c r="B7913" s="13" t="s">
        <v>2360</v>
      </c>
      <c r="C7913" s="13" t="s">
        <v>2361</v>
      </c>
      <c r="D7913" s="15">
        <v>1.0</v>
      </c>
      <c r="E7913" s="67">
        <f t="shared" si="20"/>
        <v>250</v>
      </c>
      <c r="F7913" s="67" t="str">
        <f t="shared" si="12"/>
        <v>1 LeadGen Set Appointments</v>
      </c>
    </row>
    <row r="7914" hidden="1">
      <c r="A7914" s="6" t="s">
        <v>95</v>
      </c>
      <c r="B7914" s="13" t="s">
        <v>1736</v>
      </c>
      <c r="C7914" s="13" t="s">
        <v>1737</v>
      </c>
      <c r="D7914" s="15">
        <v>1.0</v>
      </c>
      <c r="E7914" s="67">
        <f t="shared" si="20"/>
        <v>250</v>
      </c>
      <c r="F7914" s="67" t="str">
        <f t="shared" si="12"/>
        <v>1 LeadGen Set Appointments</v>
      </c>
    </row>
    <row r="7915" hidden="1">
      <c r="A7915" s="6" t="s">
        <v>95</v>
      </c>
      <c r="B7915" s="13" t="s">
        <v>2846</v>
      </c>
      <c r="C7915" s="13" t="s">
        <v>2847</v>
      </c>
      <c r="D7915" s="15">
        <v>1.0</v>
      </c>
      <c r="E7915" s="67">
        <f t="shared" si="20"/>
        <v>250</v>
      </c>
      <c r="F7915" s="67" t="str">
        <f t="shared" si="12"/>
        <v>1 LeadGen Set Appointments</v>
      </c>
    </row>
    <row r="7916" hidden="1">
      <c r="A7916" s="6" t="s">
        <v>95</v>
      </c>
      <c r="B7916" s="13" t="s">
        <v>2848</v>
      </c>
      <c r="C7916" s="13" t="s">
        <v>2849</v>
      </c>
      <c r="D7916" s="15">
        <v>1.0</v>
      </c>
      <c r="E7916" s="67">
        <f t="shared" si="20"/>
        <v>250</v>
      </c>
      <c r="F7916" s="67" t="str">
        <f t="shared" si="12"/>
        <v>1 LeadGen Set Appointments</v>
      </c>
    </row>
    <row r="7917" hidden="1">
      <c r="A7917" s="6" t="s">
        <v>95</v>
      </c>
      <c r="B7917" s="13" t="s">
        <v>1955</v>
      </c>
      <c r="C7917" s="13" t="s">
        <v>1956</v>
      </c>
      <c r="D7917" s="15">
        <v>1.0</v>
      </c>
      <c r="E7917" s="67">
        <f t="shared" si="20"/>
        <v>250</v>
      </c>
      <c r="F7917" s="67" t="str">
        <f t="shared" si="12"/>
        <v>1 LeadGen Set Appointments</v>
      </c>
    </row>
    <row r="7918" hidden="1">
      <c r="A7918" s="6" t="s">
        <v>95</v>
      </c>
      <c r="B7918" s="13" t="s">
        <v>1283</v>
      </c>
      <c r="C7918" s="13" t="s">
        <v>404</v>
      </c>
      <c r="D7918" s="15">
        <v>1.0</v>
      </c>
      <c r="E7918" s="67">
        <f t="shared" si="20"/>
        <v>250</v>
      </c>
      <c r="F7918" s="67" t="str">
        <f t="shared" si="12"/>
        <v>1 LeadGen Set Appointments</v>
      </c>
    </row>
    <row r="7919" hidden="1">
      <c r="A7919" s="6" t="s">
        <v>95</v>
      </c>
      <c r="B7919" s="13" t="s">
        <v>522</v>
      </c>
      <c r="C7919" s="13" t="s">
        <v>523</v>
      </c>
      <c r="D7919" s="15">
        <v>1.0</v>
      </c>
      <c r="E7919" s="67">
        <f t="shared" si="20"/>
        <v>250</v>
      </c>
      <c r="F7919" s="67" t="str">
        <f t="shared" si="12"/>
        <v>1 LeadGen Set Appointments</v>
      </c>
    </row>
    <row r="7920" hidden="1">
      <c r="A7920" s="6" t="s">
        <v>95</v>
      </c>
      <c r="B7920" s="13" t="s">
        <v>1344</v>
      </c>
      <c r="C7920" s="13" t="s">
        <v>569</v>
      </c>
      <c r="D7920" s="15">
        <v>0.0</v>
      </c>
      <c r="E7920" s="67">
        <f t="shared" si="20"/>
        <v>0</v>
      </c>
      <c r="F7920" s="67" t="str">
        <f t="shared" si="12"/>
        <v>0 LeadGen Set Appointments</v>
      </c>
    </row>
    <row r="7921" hidden="1">
      <c r="A7921" s="6" t="s">
        <v>95</v>
      </c>
      <c r="B7921" s="13" t="s">
        <v>2850</v>
      </c>
      <c r="C7921" s="13" t="s">
        <v>2851</v>
      </c>
      <c r="D7921" s="15">
        <v>0.0</v>
      </c>
      <c r="E7921" s="67">
        <f t="shared" si="20"/>
        <v>0</v>
      </c>
      <c r="F7921" s="67" t="str">
        <f t="shared" si="12"/>
        <v>0 LeadGen Set Appointments</v>
      </c>
    </row>
    <row r="7922" hidden="1">
      <c r="A7922" s="6" t="s">
        <v>95</v>
      </c>
      <c r="B7922" s="13" t="s">
        <v>2852</v>
      </c>
      <c r="C7922" s="13" t="s">
        <v>2853</v>
      </c>
      <c r="D7922" s="15">
        <v>0.0</v>
      </c>
      <c r="E7922" s="67">
        <f t="shared" si="20"/>
        <v>0</v>
      </c>
      <c r="F7922" s="67" t="str">
        <f t="shared" si="12"/>
        <v>0 LeadGen Set Appointments</v>
      </c>
    </row>
    <row r="7923" hidden="1">
      <c r="A7923" s="6" t="s">
        <v>95</v>
      </c>
      <c r="B7923" s="13" t="s">
        <v>2854</v>
      </c>
      <c r="C7923" s="13" t="s">
        <v>2855</v>
      </c>
      <c r="D7923" s="15">
        <v>0.0</v>
      </c>
      <c r="E7923" s="67">
        <f t="shared" si="20"/>
        <v>0</v>
      </c>
      <c r="F7923" s="67" t="str">
        <f t="shared" si="12"/>
        <v>0 LeadGen Set Appointments</v>
      </c>
    </row>
    <row r="7924" hidden="1">
      <c r="A7924" s="6" t="s">
        <v>95</v>
      </c>
      <c r="B7924" s="13" t="s">
        <v>2707</v>
      </c>
      <c r="C7924" s="13" t="s">
        <v>2708</v>
      </c>
      <c r="D7924" s="15">
        <v>0.0</v>
      </c>
      <c r="E7924" s="67">
        <f t="shared" si="20"/>
        <v>0</v>
      </c>
      <c r="F7924" s="67" t="str">
        <f t="shared" si="12"/>
        <v>0 LeadGen Set Appointments</v>
      </c>
    </row>
    <row r="7925" hidden="1">
      <c r="A7925" s="6" t="s">
        <v>95</v>
      </c>
      <c r="B7925" s="13" t="s">
        <v>2856</v>
      </c>
      <c r="C7925" s="13" t="s">
        <v>2857</v>
      </c>
      <c r="D7925" s="15">
        <v>0.0</v>
      </c>
      <c r="E7925" s="67">
        <f t="shared" si="20"/>
        <v>0</v>
      </c>
      <c r="F7925" s="67" t="str">
        <f t="shared" si="12"/>
        <v>0 LeadGen Set Appointments</v>
      </c>
    </row>
    <row r="7926" hidden="1">
      <c r="A7926" s="6" t="s">
        <v>95</v>
      </c>
      <c r="B7926" s="13" t="s">
        <v>2858</v>
      </c>
      <c r="C7926" s="13" t="s">
        <v>2859</v>
      </c>
      <c r="D7926" s="15">
        <v>0.0</v>
      </c>
      <c r="E7926" s="67">
        <f t="shared" si="20"/>
        <v>0</v>
      </c>
      <c r="F7926" s="67" t="str">
        <f t="shared" si="12"/>
        <v>0 LeadGen Set Appointments</v>
      </c>
    </row>
    <row r="7927" hidden="1">
      <c r="A7927" s="6" t="s">
        <v>95</v>
      </c>
      <c r="B7927" s="13" t="s">
        <v>807</v>
      </c>
      <c r="C7927" s="13" t="s">
        <v>808</v>
      </c>
      <c r="D7927" s="15">
        <v>0.0</v>
      </c>
      <c r="E7927" s="67">
        <f t="shared" si="20"/>
        <v>0</v>
      </c>
      <c r="F7927" s="67" t="str">
        <f t="shared" si="12"/>
        <v>0 LeadGen Set Appointments</v>
      </c>
    </row>
    <row r="7928" hidden="1">
      <c r="A7928" s="6" t="s">
        <v>95</v>
      </c>
      <c r="B7928" s="13" t="s">
        <v>2860</v>
      </c>
      <c r="C7928" s="13" t="s">
        <v>2861</v>
      </c>
      <c r="D7928" s="15">
        <v>0.0</v>
      </c>
      <c r="E7928" s="67">
        <f t="shared" si="20"/>
        <v>0</v>
      </c>
      <c r="F7928" s="67" t="str">
        <f t="shared" si="12"/>
        <v>0 LeadGen Set Appointments</v>
      </c>
    </row>
    <row r="7929" hidden="1">
      <c r="A7929" s="6" t="s">
        <v>95</v>
      </c>
      <c r="B7929" s="13" t="s">
        <v>2862</v>
      </c>
      <c r="C7929" s="13" t="s">
        <v>2863</v>
      </c>
      <c r="D7929" s="15">
        <v>0.0</v>
      </c>
      <c r="E7929" s="67">
        <f t="shared" si="20"/>
        <v>0</v>
      </c>
      <c r="F7929" s="67" t="str">
        <f t="shared" si="12"/>
        <v>0 LeadGen Set Appointments</v>
      </c>
    </row>
    <row r="7930" hidden="1">
      <c r="A7930" s="6" t="s">
        <v>95</v>
      </c>
      <c r="B7930" s="13" t="s">
        <v>2864</v>
      </c>
      <c r="C7930" s="13" t="s">
        <v>2865</v>
      </c>
      <c r="D7930" s="15">
        <v>0.0</v>
      </c>
      <c r="E7930" s="67">
        <f t="shared" si="20"/>
        <v>0</v>
      </c>
      <c r="F7930" s="67" t="str">
        <f t="shared" si="12"/>
        <v>0 LeadGen Set Appointments</v>
      </c>
    </row>
    <row r="7931" hidden="1">
      <c r="A7931" s="6" t="s">
        <v>95</v>
      </c>
      <c r="B7931" s="13" t="s">
        <v>2808</v>
      </c>
      <c r="C7931" s="13" t="s">
        <v>2809</v>
      </c>
      <c r="D7931" s="15">
        <v>0.0</v>
      </c>
      <c r="E7931" s="67">
        <f t="shared" si="20"/>
        <v>0</v>
      </c>
      <c r="F7931" s="67" t="str">
        <f t="shared" si="12"/>
        <v>0 LeadGen Set Appointments</v>
      </c>
    </row>
    <row r="7932" hidden="1">
      <c r="A7932" s="6" t="s">
        <v>95</v>
      </c>
      <c r="B7932" s="13" t="s">
        <v>2866</v>
      </c>
      <c r="C7932" s="13" t="s">
        <v>2867</v>
      </c>
      <c r="D7932" s="15">
        <v>0.0</v>
      </c>
      <c r="E7932" s="67">
        <f t="shared" si="20"/>
        <v>0</v>
      </c>
      <c r="F7932" s="67" t="str">
        <f t="shared" si="12"/>
        <v>0 LeadGen Set Appointments</v>
      </c>
    </row>
    <row r="7933" hidden="1">
      <c r="A7933" s="6" t="s">
        <v>95</v>
      </c>
      <c r="B7933" s="13" t="s">
        <v>2868</v>
      </c>
      <c r="C7933" s="13" t="s">
        <v>2869</v>
      </c>
      <c r="D7933" s="15">
        <v>1.0</v>
      </c>
      <c r="E7933" s="67">
        <f t="shared" si="20"/>
        <v>250</v>
      </c>
      <c r="F7933" s="67" t="str">
        <f t="shared" si="12"/>
        <v>1 LeadGen Set Appointments</v>
      </c>
    </row>
    <row r="7934" hidden="1">
      <c r="A7934" s="6" t="s">
        <v>95</v>
      </c>
      <c r="B7934" s="13" t="s">
        <v>2870</v>
      </c>
      <c r="C7934" s="13" t="s">
        <v>2871</v>
      </c>
      <c r="D7934" s="15">
        <v>1.0</v>
      </c>
      <c r="E7934" s="67">
        <f t="shared" si="20"/>
        <v>250</v>
      </c>
      <c r="F7934" s="67" t="str">
        <f t="shared" si="12"/>
        <v>1 LeadGen Set Appointments</v>
      </c>
    </row>
    <row r="7935" hidden="1">
      <c r="A7935" s="6" t="s">
        <v>97</v>
      </c>
      <c r="B7935" s="13" t="s">
        <v>476</v>
      </c>
      <c r="C7935" s="13" t="s">
        <v>477</v>
      </c>
      <c r="D7935" s="15">
        <v>53.0</v>
      </c>
      <c r="E7935" s="67">
        <f t="shared" si="20"/>
        <v>26500</v>
      </c>
      <c r="F7935" s="67" t="str">
        <f t="shared" si="12"/>
        <v>53 LeadGen Set Appointments</v>
      </c>
    </row>
    <row r="7936" hidden="1">
      <c r="A7936" s="6" t="s">
        <v>97</v>
      </c>
      <c r="B7936" s="13" t="s">
        <v>644</v>
      </c>
      <c r="C7936" s="13" t="s">
        <v>645</v>
      </c>
      <c r="D7936" s="15">
        <v>32.0</v>
      </c>
      <c r="E7936" s="67">
        <f t="shared" si="20"/>
        <v>16000</v>
      </c>
      <c r="F7936" s="67" t="str">
        <f t="shared" si="12"/>
        <v>32 LeadGen Set Appointments</v>
      </c>
    </row>
    <row r="7937" hidden="1">
      <c r="A7937" s="6" t="s">
        <v>97</v>
      </c>
      <c r="B7937" s="13" t="s">
        <v>540</v>
      </c>
      <c r="C7937" s="13" t="s">
        <v>541</v>
      </c>
      <c r="D7937" s="15">
        <v>31.0</v>
      </c>
      <c r="E7937" s="67">
        <f t="shared" si="20"/>
        <v>15500</v>
      </c>
      <c r="F7937" s="67" t="str">
        <f t="shared" si="12"/>
        <v>31 LeadGen Set Appointments</v>
      </c>
    </row>
    <row r="7938" hidden="1">
      <c r="A7938" s="6" t="s">
        <v>97</v>
      </c>
      <c r="B7938" s="13" t="s">
        <v>1865</v>
      </c>
      <c r="C7938" s="13" t="s">
        <v>1866</v>
      </c>
      <c r="D7938" s="15">
        <v>23.0</v>
      </c>
      <c r="E7938" s="67">
        <f t="shared" si="20"/>
        <v>11500</v>
      </c>
      <c r="F7938" s="67" t="str">
        <f t="shared" si="12"/>
        <v>23 LeadGen Set Appointments</v>
      </c>
    </row>
    <row r="7939" hidden="1">
      <c r="A7939" s="6" t="s">
        <v>97</v>
      </c>
      <c r="B7939" s="13" t="s">
        <v>516</v>
      </c>
      <c r="C7939" s="13" t="s">
        <v>517</v>
      </c>
      <c r="D7939" s="15">
        <v>22.0</v>
      </c>
      <c r="E7939" s="67">
        <f t="shared" si="20"/>
        <v>11000</v>
      </c>
      <c r="F7939" s="67" t="str">
        <f t="shared" si="12"/>
        <v>22 LeadGen Set Appointments</v>
      </c>
    </row>
    <row r="7940" hidden="1">
      <c r="A7940" s="6" t="s">
        <v>97</v>
      </c>
      <c r="B7940" s="13" t="s">
        <v>411</v>
      </c>
      <c r="C7940" s="13" t="s">
        <v>412</v>
      </c>
      <c r="D7940" s="15">
        <v>22.0</v>
      </c>
      <c r="E7940" s="67">
        <f t="shared" si="20"/>
        <v>11000</v>
      </c>
      <c r="F7940" s="67" t="str">
        <f t="shared" si="12"/>
        <v>22 LeadGen Set Appointments</v>
      </c>
    </row>
    <row r="7941" hidden="1">
      <c r="A7941" s="6" t="s">
        <v>97</v>
      </c>
      <c r="B7941" s="13" t="s">
        <v>1426</v>
      </c>
      <c r="C7941" s="13" t="s">
        <v>1427</v>
      </c>
      <c r="D7941" s="15">
        <v>20.0</v>
      </c>
      <c r="E7941" s="67">
        <f t="shared" si="20"/>
        <v>10000</v>
      </c>
      <c r="F7941" s="67" t="str">
        <f t="shared" si="12"/>
        <v>20 LeadGen Set Appointments</v>
      </c>
    </row>
    <row r="7942" hidden="1">
      <c r="A7942" s="6" t="s">
        <v>97</v>
      </c>
      <c r="B7942" s="13" t="s">
        <v>746</v>
      </c>
      <c r="C7942" s="13" t="s">
        <v>747</v>
      </c>
      <c r="D7942" s="15">
        <v>20.0</v>
      </c>
      <c r="E7942" s="67">
        <f t="shared" si="20"/>
        <v>10000</v>
      </c>
      <c r="F7942" s="67" t="str">
        <f t="shared" si="12"/>
        <v>20 LeadGen Set Appointments</v>
      </c>
    </row>
    <row r="7943" hidden="1">
      <c r="A7943" s="6" t="s">
        <v>97</v>
      </c>
      <c r="B7943" s="13" t="s">
        <v>723</v>
      </c>
      <c r="C7943" s="13" t="s">
        <v>724</v>
      </c>
      <c r="D7943" s="15">
        <v>18.0</v>
      </c>
      <c r="E7943" s="67">
        <f t="shared" si="20"/>
        <v>9000</v>
      </c>
      <c r="F7943" s="67" t="str">
        <f t="shared" si="12"/>
        <v>18 LeadGen Set Appointments</v>
      </c>
    </row>
    <row r="7944" hidden="1">
      <c r="A7944" s="6" t="s">
        <v>97</v>
      </c>
      <c r="B7944" s="13" t="s">
        <v>1471</v>
      </c>
      <c r="C7944" s="13" t="s">
        <v>1472</v>
      </c>
      <c r="D7944" s="15">
        <v>18.0</v>
      </c>
      <c r="E7944" s="67">
        <f t="shared" si="20"/>
        <v>9000</v>
      </c>
      <c r="F7944" s="67" t="str">
        <f t="shared" si="12"/>
        <v>18 LeadGen Set Appointments</v>
      </c>
    </row>
    <row r="7945" hidden="1">
      <c r="A7945" s="6" t="s">
        <v>97</v>
      </c>
      <c r="B7945" s="13" t="s">
        <v>542</v>
      </c>
      <c r="C7945" s="13" t="s">
        <v>543</v>
      </c>
      <c r="D7945" s="15">
        <v>16.0</v>
      </c>
      <c r="E7945" s="67">
        <f t="shared" si="20"/>
        <v>8000</v>
      </c>
      <c r="F7945" s="67" t="str">
        <f t="shared" si="12"/>
        <v>16 LeadGen Set Appointments</v>
      </c>
    </row>
    <row r="7946" hidden="1">
      <c r="A7946" s="6" t="s">
        <v>97</v>
      </c>
      <c r="B7946" s="13" t="s">
        <v>518</v>
      </c>
      <c r="C7946" s="13" t="s">
        <v>519</v>
      </c>
      <c r="D7946" s="15">
        <v>16.0</v>
      </c>
      <c r="E7946" s="67">
        <f t="shared" si="20"/>
        <v>8000</v>
      </c>
      <c r="F7946" s="67" t="str">
        <f t="shared" si="12"/>
        <v>16 LeadGen Set Appointments</v>
      </c>
    </row>
    <row r="7947" hidden="1">
      <c r="A7947" s="6" t="s">
        <v>97</v>
      </c>
      <c r="B7947" s="13" t="s">
        <v>1461</v>
      </c>
      <c r="C7947" s="13" t="s">
        <v>1462</v>
      </c>
      <c r="D7947" s="15">
        <v>13.0</v>
      </c>
      <c r="E7947" s="67">
        <f t="shared" si="20"/>
        <v>6500</v>
      </c>
      <c r="F7947" s="67" t="str">
        <f t="shared" si="12"/>
        <v>13 LeadGen Set Appointments</v>
      </c>
    </row>
    <row r="7948" hidden="1">
      <c r="A7948" s="6" t="s">
        <v>97</v>
      </c>
      <c r="B7948" s="13" t="s">
        <v>1415</v>
      </c>
      <c r="C7948" s="13" t="s">
        <v>1416</v>
      </c>
      <c r="D7948" s="15">
        <v>13.0</v>
      </c>
      <c r="E7948" s="67">
        <f t="shared" si="20"/>
        <v>6500</v>
      </c>
      <c r="F7948" s="67" t="str">
        <f t="shared" si="12"/>
        <v>13 LeadGen Set Appointments</v>
      </c>
    </row>
    <row r="7949" hidden="1">
      <c r="A7949" s="6" t="s">
        <v>97</v>
      </c>
      <c r="B7949" s="13" t="s">
        <v>443</v>
      </c>
      <c r="C7949" s="13" t="s">
        <v>444</v>
      </c>
      <c r="D7949" s="15">
        <v>13.0</v>
      </c>
      <c r="E7949" s="67">
        <f t="shared" si="20"/>
        <v>6500</v>
      </c>
      <c r="F7949" s="67" t="str">
        <f t="shared" si="12"/>
        <v>13 LeadGen Set Appointments</v>
      </c>
    </row>
    <row r="7950" hidden="1">
      <c r="A7950" s="6" t="s">
        <v>97</v>
      </c>
      <c r="B7950" s="13" t="s">
        <v>1692</v>
      </c>
      <c r="C7950" s="13" t="s">
        <v>1693</v>
      </c>
      <c r="D7950" s="15">
        <v>12.0</v>
      </c>
      <c r="E7950" s="67">
        <f t="shared" si="20"/>
        <v>6000</v>
      </c>
      <c r="F7950" s="67" t="str">
        <f t="shared" si="12"/>
        <v>12 LeadGen Set Appointments</v>
      </c>
    </row>
    <row r="7951" hidden="1">
      <c r="A7951" s="6" t="s">
        <v>97</v>
      </c>
      <c r="B7951" s="13" t="s">
        <v>2868</v>
      </c>
      <c r="C7951" s="13" t="s">
        <v>2869</v>
      </c>
      <c r="D7951" s="15">
        <v>12.0</v>
      </c>
      <c r="E7951" s="67">
        <f t="shared" si="20"/>
        <v>6000</v>
      </c>
      <c r="F7951" s="67" t="str">
        <f t="shared" si="12"/>
        <v>12 LeadGen Set Appointments</v>
      </c>
    </row>
    <row r="7952" hidden="1">
      <c r="A7952" s="6" t="s">
        <v>97</v>
      </c>
      <c r="B7952" s="13" t="s">
        <v>524</v>
      </c>
      <c r="C7952" s="13" t="s">
        <v>525</v>
      </c>
      <c r="D7952" s="15">
        <v>12.0</v>
      </c>
      <c r="E7952" s="67">
        <f t="shared" si="20"/>
        <v>6000</v>
      </c>
      <c r="F7952" s="67" t="str">
        <f t="shared" si="12"/>
        <v>12 LeadGen Set Appointments</v>
      </c>
    </row>
    <row r="7953" hidden="1">
      <c r="A7953" s="6" t="s">
        <v>97</v>
      </c>
      <c r="B7953" s="13" t="s">
        <v>510</v>
      </c>
      <c r="C7953" s="13" t="s">
        <v>511</v>
      </c>
      <c r="D7953" s="15">
        <v>12.0</v>
      </c>
      <c r="E7953" s="67">
        <f t="shared" si="20"/>
        <v>6000</v>
      </c>
      <c r="F7953" s="67" t="str">
        <f t="shared" si="12"/>
        <v>12 LeadGen Set Appointments</v>
      </c>
    </row>
    <row r="7954" hidden="1">
      <c r="A7954" s="6" t="s">
        <v>97</v>
      </c>
      <c r="B7954" s="13" t="s">
        <v>486</v>
      </c>
      <c r="C7954" s="13" t="s">
        <v>487</v>
      </c>
      <c r="D7954" s="15">
        <v>11.0</v>
      </c>
      <c r="E7954" s="67">
        <f t="shared" si="20"/>
        <v>5500</v>
      </c>
      <c r="F7954" s="67" t="str">
        <f t="shared" si="12"/>
        <v>11 LeadGen Set Appointments</v>
      </c>
    </row>
    <row r="7955" hidden="1">
      <c r="A7955" s="6" t="s">
        <v>97</v>
      </c>
      <c r="B7955" s="13" t="s">
        <v>2749</v>
      </c>
      <c r="C7955" s="13" t="s">
        <v>2750</v>
      </c>
      <c r="D7955" s="15">
        <v>11.0</v>
      </c>
      <c r="E7955" s="67">
        <f t="shared" si="20"/>
        <v>5500</v>
      </c>
      <c r="F7955" s="67" t="str">
        <f t="shared" si="12"/>
        <v>11 LeadGen Set Appointments</v>
      </c>
    </row>
    <row r="7956" hidden="1">
      <c r="A7956" s="6" t="s">
        <v>97</v>
      </c>
      <c r="B7956" s="13" t="s">
        <v>699</v>
      </c>
      <c r="C7956" s="13" t="s">
        <v>700</v>
      </c>
      <c r="D7956" s="15">
        <v>11.0</v>
      </c>
      <c r="E7956" s="67">
        <f t="shared" si="20"/>
        <v>5500</v>
      </c>
      <c r="F7956" s="67" t="str">
        <f t="shared" si="12"/>
        <v>11 LeadGen Set Appointments</v>
      </c>
    </row>
    <row r="7957" hidden="1">
      <c r="A7957" s="6" t="s">
        <v>97</v>
      </c>
      <c r="B7957" s="13" t="s">
        <v>1442</v>
      </c>
      <c r="C7957" s="13" t="s">
        <v>749</v>
      </c>
      <c r="D7957" s="15">
        <v>11.0</v>
      </c>
      <c r="E7957" s="67">
        <f t="shared" si="20"/>
        <v>5500</v>
      </c>
      <c r="F7957" s="67" t="str">
        <f t="shared" si="12"/>
        <v>11 LeadGen Set Appointments</v>
      </c>
    </row>
    <row r="7958" hidden="1">
      <c r="A7958" s="6" t="s">
        <v>97</v>
      </c>
      <c r="B7958" s="13" t="s">
        <v>1493</v>
      </c>
      <c r="C7958" s="13" t="s">
        <v>1494</v>
      </c>
      <c r="D7958" s="15">
        <v>11.0</v>
      </c>
      <c r="E7958" s="67">
        <f t="shared" si="20"/>
        <v>5500</v>
      </c>
      <c r="F7958" s="67" t="str">
        <f t="shared" si="12"/>
        <v>11 LeadGen Set Appointments</v>
      </c>
    </row>
    <row r="7959" hidden="1">
      <c r="A7959" s="6" t="s">
        <v>97</v>
      </c>
      <c r="B7959" s="13" t="s">
        <v>2872</v>
      </c>
      <c r="C7959" s="13" t="s">
        <v>2873</v>
      </c>
      <c r="D7959" s="15">
        <v>11.0</v>
      </c>
      <c r="E7959" s="67">
        <f t="shared" si="20"/>
        <v>5500</v>
      </c>
      <c r="F7959" s="67" t="str">
        <f t="shared" si="12"/>
        <v>11 LeadGen Set Appointments</v>
      </c>
    </row>
    <row r="7960" hidden="1">
      <c r="A7960" s="6" t="s">
        <v>97</v>
      </c>
      <c r="B7960" s="13" t="s">
        <v>413</v>
      </c>
      <c r="C7960" s="13" t="s">
        <v>414</v>
      </c>
      <c r="D7960" s="15">
        <v>11.0</v>
      </c>
      <c r="E7960" s="67">
        <f t="shared" si="20"/>
        <v>5500</v>
      </c>
      <c r="F7960" s="67" t="str">
        <f t="shared" si="12"/>
        <v>11 LeadGen Set Appointments</v>
      </c>
    </row>
    <row r="7961" hidden="1">
      <c r="A7961" s="6" t="s">
        <v>97</v>
      </c>
      <c r="B7961" s="13" t="s">
        <v>2548</v>
      </c>
      <c r="C7961" s="13" t="s">
        <v>2549</v>
      </c>
      <c r="D7961" s="15">
        <v>10.0</v>
      </c>
      <c r="E7961" s="67">
        <f t="shared" si="20"/>
        <v>5000</v>
      </c>
      <c r="F7961" s="67" t="str">
        <f t="shared" si="12"/>
        <v>10 LeadGen Set Appointments</v>
      </c>
    </row>
    <row r="7962" hidden="1">
      <c r="A7962" s="6" t="s">
        <v>97</v>
      </c>
      <c r="B7962" s="13" t="s">
        <v>640</v>
      </c>
      <c r="C7962" s="13" t="s">
        <v>641</v>
      </c>
      <c r="D7962" s="15">
        <v>10.0</v>
      </c>
      <c r="E7962" s="67">
        <f t="shared" si="20"/>
        <v>5000</v>
      </c>
      <c r="F7962" s="67" t="str">
        <f t="shared" si="12"/>
        <v>10 LeadGen Set Appointments</v>
      </c>
    </row>
    <row r="7963" hidden="1">
      <c r="A7963" s="6" t="s">
        <v>97</v>
      </c>
      <c r="B7963" s="13" t="s">
        <v>1299</v>
      </c>
      <c r="C7963" s="13" t="s">
        <v>1300</v>
      </c>
      <c r="D7963" s="15">
        <v>10.0</v>
      </c>
      <c r="E7963" s="67">
        <f t="shared" si="20"/>
        <v>5000</v>
      </c>
      <c r="F7963" s="67" t="str">
        <f t="shared" si="12"/>
        <v>10 LeadGen Set Appointments</v>
      </c>
    </row>
    <row r="7964" hidden="1">
      <c r="A7964" s="6" t="s">
        <v>97</v>
      </c>
      <c r="B7964" s="13" t="s">
        <v>2665</v>
      </c>
      <c r="C7964" s="13" t="s">
        <v>2666</v>
      </c>
      <c r="D7964" s="15">
        <v>10.0</v>
      </c>
      <c r="E7964" s="67">
        <f t="shared" si="20"/>
        <v>5000</v>
      </c>
      <c r="F7964" s="67" t="str">
        <f t="shared" si="12"/>
        <v>10 LeadGen Set Appointments</v>
      </c>
    </row>
    <row r="7965" hidden="1">
      <c r="A7965" s="6" t="s">
        <v>97</v>
      </c>
      <c r="B7965" s="13" t="s">
        <v>2844</v>
      </c>
      <c r="C7965" s="13" t="s">
        <v>2845</v>
      </c>
      <c r="D7965" s="15">
        <v>10.0</v>
      </c>
      <c r="E7965" s="67">
        <f t="shared" si="20"/>
        <v>5000</v>
      </c>
      <c r="F7965" s="67" t="str">
        <f t="shared" si="12"/>
        <v>10 LeadGen Set Appointments</v>
      </c>
    </row>
    <row r="7966" hidden="1">
      <c r="A7966" s="6" t="s">
        <v>97</v>
      </c>
      <c r="B7966" s="13" t="s">
        <v>1421</v>
      </c>
      <c r="C7966" s="13" t="s">
        <v>712</v>
      </c>
      <c r="D7966" s="15">
        <v>10.0</v>
      </c>
      <c r="E7966" s="67">
        <f t="shared" si="20"/>
        <v>5000</v>
      </c>
      <c r="F7966" s="67" t="str">
        <f t="shared" si="12"/>
        <v>10 LeadGen Set Appointments</v>
      </c>
    </row>
    <row r="7967" hidden="1">
      <c r="A7967" s="6" t="s">
        <v>97</v>
      </c>
      <c r="B7967" s="13" t="s">
        <v>590</v>
      </c>
      <c r="C7967" s="13" t="s">
        <v>591</v>
      </c>
      <c r="D7967" s="15">
        <v>10.0</v>
      </c>
      <c r="E7967" s="67">
        <f t="shared" si="20"/>
        <v>5000</v>
      </c>
      <c r="F7967" s="67" t="str">
        <f t="shared" si="12"/>
        <v>10 LeadGen Set Appointments</v>
      </c>
    </row>
    <row r="7968" hidden="1">
      <c r="A7968" s="6" t="s">
        <v>97</v>
      </c>
      <c r="B7968" s="13" t="s">
        <v>725</v>
      </c>
      <c r="C7968" s="13" t="s">
        <v>726</v>
      </c>
      <c r="D7968" s="15">
        <v>10.0</v>
      </c>
      <c r="E7968" s="67">
        <f t="shared" si="20"/>
        <v>5000</v>
      </c>
      <c r="F7968" s="67" t="str">
        <f t="shared" si="12"/>
        <v>10 LeadGen Set Appointments</v>
      </c>
    </row>
    <row r="7969" hidden="1">
      <c r="A7969" s="6" t="s">
        <v>97</v>
      </c>
      <c r="B7969" s="13" t="s">
        <v>626</v>
      </c>
      <c r="C7969" s="13" t="s">
        <v>627</v>
      </c>
      <c r="D7969" s="15">
        <v>10.0</v>
      </c>
      <c r="E7969" s="67">
        <f t="shared" si="20"/>
        <v>5000</v>
      </c>
      <c r="F7969" s="67" t="str">
        <f t="shared" si="12"/>
        <v>10 LeadGen Set Appointments</v>
      </c>
    </row>
    <row r="7970" hidden="1">
      <c r="A7970" s="6" t="s">
        <v>97</v>
      </c>
      <c r="B7970" s="13" t="s">
        <v>766</v>
      </c>
      <c r="C7970" s="13" t="s">
        <v>767</v>
      </c>
      <c r="D7970" s="15">
        <v>10.0</v>
      </c>
      <c r="E7970" s="67">
        <f t="shared" si="20"/>
        <v>5000</v>
      </c>
      <c r="F7970" s="67" t="str">
        <f t="shared" si="12"/>
        <v>10 LeadGen Set Appointments</v>
      </c>
    </row>
    <row r="7971" hidden="1">
      <c r="A7971" s="6" t="s">
        <v>97</v>
      </c>
      <c r="B7971" s="13" t="s">
        <v>622</v>
      </c>
      <c r="C7971" s="13" t="s">
        <v>623</v>
      </c>
      <c r="D7971" s="15">
        <v>10.0</v>
      </c>
      <c r="E7971" s="67">
        <f t="shared" si="20"/>
        <v>5000</v>
      </c>
      <c r="F7971" s="67" t="str">
        <f t="shared" si="12"/>
        <v>10 LeadGen Set Appointments</v>
      </c>
    </row>
    <row r="7972" hidden="1">
      <c r="A7972" s="6" t="s">
        <v>97</v>
      </c>
      <c r="B7972" s="13" t="s">
        <v>736</v>
      </c>
      <c r="C7972" s="13" t="s">
        <v>737</v>
      </c>
      <c r="D7972" s="15">
        <v>9.0</v>
      </c>
      <c r="E7972" s="67">
        <f t="shared" si="20"/>
        <v>2250</v>
      </c>
      <c r="F7972" s="67" t="str">
        <f t="shared" si="12"/>
        <v>9 LeadGen Set Appointments</v>
      </c>
    </row>
    <row r="7973" hidden="1">
      <c r="A7973" s="6" t="s">
        <v>97</v>
      </c>
      <c r="B7973" s="13" t="s">
        <v>546</v>
      </c>
      <c r="C7973" s="13" t="s">
        <v>547</v>
      </c>
      <c r="D7973" s="15">
        <v>9.0</v>
      </c>
      <c r="E7973" s="67">
        <f t="shared" si="20"/>
        <v>2250</v>
      </c>
      <c r="F7973" s="67" t="str">
        <f t="shared" si="12"/>
        <v>9 LeadGen Set Appointments</v>
      </c>
    </row>
    <row r="7974" hidden="1">
      <c r="A7974" s="6" t="s">
        <v>97</v>
      </c>
      <c r="B7974" s="13" t="s">
        <v>2054</v>
      </c>
      <c r="C7974" s="13" t="s">
        <v>2055</v>
      </c>
      <c r="D7974" s="15">
        <v>9.0</v>
      </c>
      <c r="E7974" s="67">
        <f t="shared" si="20"/>
        <v>2250</v>
      </c>
      <c r="F7974" s="67" t="str">
        <f t="shared" si="12"/>
        <v>9 LeadGen Set Appointments</v>
      </c>
    </row>
    <row r="7975" hidden="1">
      <c r="A7975" s="6" t="s">
        <v>97</v>
      </c>
      <c r="B7975" s="13" t="s">
        <v>656</v>
      </c>
      <c r="C7975" s="13" t="s">
        <v>657</v>
      </c>
      <c r="D7975" s="15">
        <v>9.0</v>
      </c>
      <c r="E7975" s="67">
        <f t="shared" si="20"/>
        <v>2250</v>
      </c>
      <c r="F7975" s="67" t="str">
        <f t="shared" si="12"/>
        <v>9 LeadGen Set Appointments</v>
      </c>
    </row>
    <row r="7976" hidden="1">
      <c r="A7976" s="6" t="s">
        <v>97</v>
      </c>
      <c r="B7976" s="13" t="s">
        <v>2360</v>
      </c>
      <c r="C7976" s="13" t="s">
        <v>2361</v>
      </c>
      <c r="D7976" s="15">
        <v>9.0</v>
      </c>
      <c r="E7976" s="67">
        <f t="shared" si="20"/>
        <v>2250</v>
      </c>
      <c r="F7976" s="67" t="str">
        <f t="shared" si="12"/>
        <v>9 LeadGen Set Appointments</v>
      </c>
    </row>
    <row r="7977" hidden="1">
      <c r="A7977" s="6" t="s">
        <v>97</v>
      </c>
      <c r="B7977" s="13" t="s">
        <v>2479</v>
      </c>
      <c r="C7977" s="13" t="s">
        <v>2480</v>
      </c>
      <c r="D7977" s="15">
        <v>9.0</v>
      </c>
      <c r="E7977" s="67">
        <f t="shared" si="20"/>
        <v>2250</v>
      </c>
      <c r="F7977" s="67" t="str">
        <f t="shared" si="12"/>
        <v>9 LeadGen Set Appointments</v>
      </c>
    </row>
    <row r="7978" hidden="1">
      <c r="A7978" s="6" t="s">
        <v>97</v>
      </c>
      <c r="B7978" s="13" t="s">
        <v>500</v>
      </c>
      <c r="C7978" s="13" t="s">
        <v>501</v>
      </c>
      <c r="D7978" s="15">
        <v>8.0</v>
      </c>
      <c r="E7978" s="67">
        <f t="shared" si="20"/>
        <v>2000</v>
      </c>
      <c r="F7978" s="67" t="str">
        <f t="shared" si="12"/>
        <v>8 LeadGen Set Appointments</v>
      </c>
    </row>
    <row r="7979" hidden="1">
      <c r="A7979" s="6" t="s">
        <v>97</v>
      </c>
      <c r="B7979" s="13" t="s">
        <v>2393</v>
      </c>
      <c r="C7979" s="13" t="s">
        <v>2394</v>
      </c>
      <c r="D7979" s="15">
        <v>8.0</v>
      </c>
      <c r="E7979" s="67">
        <f t="shared" si="20"/>
        <v>2000</v>
      </c>
      <c r="F7979" s="67" t="str">
        <f t="shared" si="12"/>
        <v>8 LeadGen Set Appointments</v>
      </c>
    </row>
    <row r="7980" hidden="1">
      <c r="A7980" s="6" t="s">
        <v>97</v>
      </c>
      <c r="B7980" s="13" t="s">
        <v>2097</v>
      </c>
      <c r="C7980" s="13" t="s">
        <v>828</v>
      </c>
      <c r="D7980" s="15">
        <v>8.0</v>
      </c>
      <c r="E7980" s="67">
        <f t="shared" si="20"/>
        <v>2000</v>
      </c>
      <c r="F7980" s="67" t="str">
        <f t="shared" si="12"/>
        <v>8 LeadGen Set Appointments</v>
      </c>
    </row>
    <row r="7981" hidden="1">
      <c r="A7981" s="6" t="s">
        <v>97</v>
      </c>
      <c r="B7981" s="13" t="s">
        <v>1393</v>
      </c>
      <c r="C7981" s="13" t="s">
        <v>1394</v>
      </c>
      <c r="D7981" s="15">
        <v>8.0</v>
      </c>
      <c r="E7981" s="67">
        <f t="shared" si="20"/>
        <v>2000</v>
      </c>
      <c r="F7981" s="67" t="str">
        <f t="shared" si="12"/>
        <v>8 LeadGen Set Appointments</v>
      </c>
    </row>
    <row r="7982" hidden="1">
      <c r="A7982" s="6" t="s">
        <v>97</v>
      </c>
      <c r="B7982" s="13" t="s">
        <v>2100</v>
      </c>
      <c r="C7982" s="13" t="s">
        <v>2101</v>
      </c>
      <c r="D7982" s="15">
        <v>8.0</v>
      </c>
      <c r="E7982" s="67">
        <f t="shared" si="20"/>
        <v>2000</v>
      </c>
      <c r="F7982" s="67" t="str">
        <f t="shared" si="12"/>
        <v>8 LeadGen Set Appointments</v>
      </c>
    </row>
    <row r="7983" hidden="1">
      <c r="A7983" s="6" t="s">
        <v>97</v>
      </c>
      <c r="B7983" s="13" t="s">
        <v>307</v>
      </c>
      <c r="C7983" s="13" t="s">
        <v>692</v>
      </c>
      <c r="D7983" s="15">
        <v>8.0</v>
      </c>
      <c r="E7983" s="67">
        <f t="shared" si="20"/>
        <v>2000</v>
      </c>
      <c r="F7983" s="67" t="str">
        <f t="shared" si="12"/>
        <v>8 LeadGen Set Appointments</v>
      </c>
    </row>
    <row r="7984" hidden="1">
      <c r="A7984" s="6" t="s">
        <v>97</v>
      </c>
      <c r="B7984" s="13" t="s">
        <v>2874</v>
      </c>
      <c r="C7984" s="13" t="s">
        <v>2875</v>
      </c>
      <c r="D7984" s="15">
        <v>8.0</v>
      </c>
      <c r="E7984" s="67">
        <f t="shared" si="20"/>
        <v>2000</v>
      </c>
      <c r="F7984" s="67" t="str">
        <f t="shared" si="12"/>
        <v>8 LeadGen Set Appointments</v>
      </c>
    </row>
    <row r="7985" hidden="1">
      <c r="A7985" s="6" t="s">
        <v>97</v>
      </c>
      <c r="B7985" s="13" t="s">
        <v>447</v>
      </c>
      <c r="C7985" s="13" t="s">
        <v>448</v>
      </c>
      <c r="D7985" s="15">
        <v>7.0</v>
      </c>
      <c r="E7985" s="67">
        <f t="shared" si="20"/>
        <v>1750</v>
      </c>
      <c r="F7985" s="67" t="str">
        <f t="shared" si="12"/>
        <v>7 LeadGen Set Appointments</v>
      </c>
    </row>
    <row r="7986" hidden="1">
      <c r="A7986" s="6" t="s">
        <v>97</v>
      </c>
      <c r="B7986" s="13" t="s">
        <v>1579</v>
      </c>
      <c r="C7986" s="13" t="s">
        <v>1580</v>
      </c>
      <c r="D7986" s="15">
        <v>7.0</v>
      </c>
      <c r="E7986" s="67">
        <f t="shared" si="20"/>
        <v>1750</v>
      </c>
      <c r="F7986" s="67" t="str">
        <f t="shared" si="12"/>
        <v>7 LeadGen Set Appointments</v>
      </c>
    </row>
    <row r="7987" hidden="1">
      <c r="A7987" s="6" t="s">
        <v>97</v>
      </c>
      <c r="B7987" s="13" t="s">
        <v>1979</v>
      </c>
      <c r="C7987" s="13" t="s">
        <v>1980</v>
      </c>
      <c r="D7987" s="15">
        <v>7.0</v>
      </c>
      <c r="E7987" s="67">
        <f t="shared" si="20"/>
        <v>1750</v>
      </c>
      <c r="F7987" s="67" t="str">
        <f t="shared" si="12"/>
        <v>7 LeadGen Set Appointments</v>
      </c>
    </row>
    <row r="7988" hidden="1">
      <c r="A7988" s="6" t="s">
        <v>97</v>
      </c>
      <c r="B7988" s="13" t="s">
        <v>288</v>
      </c>
      <c r="C7988" s="13" t="s">
        <v>2375</v>
      </c>
      <c r="D7988" s="15">
        <v>7.0</v>
      </c>
      <c r="E7988" s="67">
        <f t="shared" si="20"/>
        <v>1750</v>
      </c>
      <c r="F7988" s="67" t="str">
        <f t="shared" si="12"/>
        <v>7 LeadGen Set Appointments</v>
      </c>
    </row>
    <row r="7989" hidden="1">
      <c r="A7989" s="6" t="s">
        <v>97</v>
      </c>
      <c r="B7989" s="13" t="s">
        <v>262</v>
      </c>
      <c r="C7989" s="13" t="s">
        <v>290</v>
      </c>
      <c r="D7989" s="15">
        <v>7.0</v>
      </c>
      <c r="E7989" s="67">
        <f t="shared" si="20"/>
        <v>1750</v>
      </c>
      <c r="F7989" s="67" t="str">
        <f t="shared" si="12"/>
        <v>7 LeadGen Set Appointments</v>
      </c>
    </row>
    <row r="7990" hidden="1">
      <c r="A7990" s="6" t="s">
        <v>97</v>
      </c>
      <c r="B7990" s="13" t="s">
        <v>2288</v>
      </c>
      <c r="C7990" s="13" t="s">
        <v>2289</v>
      </c>
      <c r="D7990" s="15">
        <v>7.0</v>
      </c>
      <c r="E7990" s="67">
        <f t="shared" si="20"/>
        <v>1750</v>
      </c>
      <c r="F7990" s="67" t="str">
        <f t="shared" si="12"/>
        <v>7 LeadGen Set Appointments</v>
      </c>
    </row>
    <row r="7991" hidden="1">
      <c r="A7991" s="6" t="s">
        <v>97</v>
      </c>
      <c r="B7991" s="13" t="s">
        <v>532</v>
      </c>
      <c r="C7991" s="13" t="s">
        <v>533</v>
      </c>
      <c r="D7991" s="15">
        <v>7.0</v>
      </c>
      <c r="E7991" s="67">
        <f t="shared" si="20"/>
        <v>1750</v>
      </c>
      <c r="F7991" s="67" t="str">
        <f t="shared" si="12"/>
        <v>7 LeadGen Set Appointments</v>
      </c>
    </row>
    <row r="7992" hidden="1">
      <c r="A7992" s="6" t="s">
        <v>97</v>
      </c>
      <c r="B7992" s="13" t="s">
        <v>445</v>
      </c>
      <c r="C7992" s="13" t="s">
        <v>446</v>
      </c>
      <c r="D7992" s="15">
        <v>7.0</v>
      </c>
      <c r="E7992" s="67">
        <f t="shared" si="20"/>
        <v>1750</v>
      </c>
      <c r="F7992" s="67" t="str">
        <f t="shared" si="12"/>
        <v>7 LeadGen Set Appointments</v>
      </c>
    </row>
    <row r="7993" hidden="1">
      <c r="A7993" s="6" t="s">
        <v>97</v>
      </c>
      <c r="B7993" s="13" t="s">
        <v>2589</v>
      </c>
      <c r="C7993" s="13" t="s">
        <v>2590</v>
      </c>
      <c r="D7993" s="15">
        <v>7.0</v>
      </c>
      <c r="E7993" s="67">
        <f t="shared" si="20"/>
        <v>1750</v>
      </c>
      <c r="F7993" s="67" t="str">
        <f t="shared" si="12"/>
        <v>7 LeadGen Set Appointments</v>
      </c>
    </row>
    <row r="7994" hidden="1">
      <c r="A7994" s="6" t="s">
        <v>97</v>
      </c>
      <c r="B7994" s="13" t="s">
        <v>2663</v>
      </c>
      <c r="C7994" s="13" t="s">
        <v>2664</v>
      </c>
      <c r="D7994" s="15">
        <v>7.0</v>
      </c>
      <c r="E7994" s="67">
        <f t="shared" si="20"/>
        <v>1750</v>
      </c>
      <c r="F7994" s="67" t="str">
        <f t="shared" si="12"/>
        <v>7 LeadGen Set Appointments</v>
      </c>
    </row>
    <row r="7995" hidden="1">
      <c r="A7995" s="6" t="s">
        <v>97</v>
      </c>
      <c r="B7995" s="13" t="s">
        <v>1380</v>
      </c>
      <c r="C7995" s="13" t="s">
        <v>1381</v>
      </c>
      <c r="D7995" s="15">
        <v>6.0</v>
      </c>
      <c r="E7995" s="67">
        <f t="shared" si="20"/>
        <v>1500</v>
      </c>
      <c r="F7995" s="67" t="str">
        <f t="shared" si="12"/>
        <v>6 LeadGen Set Appointments</v>
      </c>
    </row>
    <row r="7996" hidden="1">
      <c r="A7996" s="6" t="s">
        <v>97</v>
      </c>
      <c r="B7996" s="13" t="s">
        <v>2634</v>
      </c>
      <c r="C7996" s="13" t="s">
        <v>2635</v>
      </c>
      <c r="D7996" s="15">
        <v>6.0</v>
      </c>
      <c r="E7996" s="67">
        <f t="shared" si="20"/>
        <v>1500</v>
      </c>
      <c r="F7996" s="67" t="str">
        <f t="shared" si="12"/>
        <v>6 LeadGen Set Appointments</v>
      </c>
    </row>
    <row r="7997" hidden="1">
      <c r="A7997" s="6" t="s">
        <v>97</v>
      </c>
      <c r="B7997" s="13" t="s">
        <v>2752</v>
      </c>
      <c r="C7997" s="13" t="s">
        <v>2753</v>
      </c>
      <c r="D7997" s="15">
        <v>6.0</v>
      </c>
      <c r="E7997" s="67">
        <f t="shared" si="20"/>
        <v>1500</v>
      </c>
      <c r="F7997" s="67" t="str">
        <f t="shared" si="12"/>
        <v>6 LeadGen Set Appointments</v>
      </c>
    </row>
    <row r="7998" hidden="1">
      <c r="A7998" s="6" t="s">
        <v>97</v>
      </c>
      <c r="B7998" s="13" t="s">
        <v>2636</v>
      </c>
      <c r="C7998" s="13" t="s">
        <v>2637</v>
      </c>
      <c r="D7998" s="15">
        <v>6.0</v>
      </c>
      <c r="E7998" s="67">
        <f t="shared" si="20"/>
        <v>1500</v>
      </c>
      <c r="F7998" s="67" t="str">
        <f t="shared" si="12"/>
        <v>6 LeadGen Set Appointments</v>
      </c>
    </row>
    <row r="7999" hidden="1">
      <c r="A7999" s="6" t="s">
        <v>97</v>
      </c>
      <c r="B7999" s="13" t="s">
        <v>693</v>
      </c>
      <c r="C7999" s="13" t="s">
        <v>694</v>
      </c>
      <c r="D7999" s="15">
        <v>6.0</v>
      </c>
      <c r="E7999" s="67">
        <f t="shared" si="20"/>
        <v>1500</v>
      </c>
      <c r="F7999" s="67" t="str">
        <f t="shared" si="12"/>
        <v>6 LeadGen Set Appointments</v>
      </c>
    </row>
    <row r="8000" hidden="1">
      <c r="A8000" s="6" t="s">
        <v>97</v>
      </c>
      <c r="B8000" s="13" t="s">
        <v>2640</v>
      </c>
      <c r="C8000" s="13" t="s">
        <v>2641</v>
      </c>
      <c r="D8000" s="15">
        <v>6.0</v>
      </c>
      <c r="E8000" s="67">
        <f t="shared" si="20"/>
        <v>1500</v>
      </c>
      <c r="F8000" s="67" t="str">
        <f t="shared" si="12"/>
        <v>6 LeadGen Set Appointments</v>
      </c>
    </row>
    <row r="8001" hidden="1">
      <c r="A8001" s="6" t="s">
        <v>97</v>
      </c>
      <c r="B8001" s="13" t="s">
        <v>582</v>
      </c>
      <c r="C8001" s="13" t="s">
        <v>583</v>
      </c>
      <c r="D8001" s="15">
        <v>6.0</v>
      </c>
      <c r="E8001" s="67">
        <f t="shared" si="20"/>
        <v>1500</v>
      </c>
      <c r="F8001" s="67" t="str">
        <f t="shared" si="12"/>
        <v>6 LeadGen Set Appointments</v>
      </c>
    </row>
    <row r="8002" hidden="1">
      <c r="A8002" s="6" t="s">
        <v>97</v>
      </c>
      <c r="B8002" s="13" t="s">
        <v>1375</v>
      </c>
      <c r="C8002" s="13" t="s">
        <v>647</v>
      </c>
      <c r="D8002" s="15">
        <v>6.0</v>
      </c>
      <c r="E8002" s="67">
        <f t="shared" si="20"/>
        <v>1500</v>
      </c>
      <c r="F8002" s="67" t="str">
        <f t="shared" si="12"/>
        <v>6 LeadGen Set Appointments</v>
      </c>
    </row>
    <row r="8003" hidden="1">
      <c r="A8003" s="6" t="s">
        <v>97</v>
      </c>
      <c r="B8003" s="13" t="s">
        <v>604</v>
      </c>
      <c r="C8003" s="13" t="s">
        <v>605</v>
      </c>
      <c r="D8003" s="15">
        <v>6.0</v>
      </c>
      <c r="E8003" s="67">
        <f t="shared" si="20"/>
        <v>1500</v>
      </c>
      <c r="F8003" s="67" t="str">
        <f t="shared" si="12"/>
        <v>6 LeadGen Set Appointments</v>
      </c>
    </row>
    <row r="8004" hidden="1">
      <c r="A8004" s="6" t="s">
        <v>97</v>
      </c>
      <c r="B8004" s="13" t="s">
        <v>701</v>
      </c>
      <c r="C8004" s="13" t="s">
        <v>702</v>
      </c>
      <c r="D8004" s="15">
        <v>6.0</v>
      </c>
      <c r="E8004" s="67">
        <f t="shared" si="20"/>
        <v>1500</v>
      </c>
      <c r="F8004" s="67" t="str">
        <f t="shared" si="12"/>
        <v>6 LeadGen Set Appointments</v>
      </c>
    </row>
    <row r="8005" hidden="1">
      <c r="A8005" s="6" t="s">
        <v>97</v>
      </c>
      <c r="B8005" s="13" t="s">
        <v>2876</v>
      </c>
      <c r="C8005" s="13" t="s">
        <v>2877</v>
      </c>
      <c r="D8005" s="15">
        <v>6.0</v>
      </c>
      <c r="E8005" s="67">
        <f t="shared" si="20"/>
        <v>1500</v>
      </c>
      <c r="F8005" s="67" t="str">
        <f t="shared" si="12"/>
        <v>6 LeadGen Set Appointments</v>
      </c>
    </row>
    <row r="8006" hidden="1">
      <c r="A8006" s="6" t="s">
        <v>97</v>
      </c>
      <c r="B8006" s="13" t="s">
        <v>1351</v>
      </c>
      <c r="C8006" s="13" t="s">
        <v>1352</v>
      </c>
      <c r="D8006" s="15">
        <v>6.0</v>
      </c>
      <c r="E8006" s="67">
        <f t="shared" si="20"/>
        <v>1500</v>
      </c>
      <c r="F8006" s="67" t="str">
        <f t="shared" si="12"/>
        <v>6 LeadGen Set Appointments</v>
      </c>
    </row>
    <row r="8007" hidden="1">
      <c r="A8007" s="6" t="s">
        <v>97</v>
      </c>
      <c r="B8007" s="13" t="s">
        <v>311</v>
      </c>
      <c r="C8007" s="13" t="s">
        <v>312</v>
      </c>
      <c r="D8007" s="15">
        <v>6.0</v>
      </c>
      <c r="E8007" s="67">
        <f t="shared" si="20"/>
        <v>1500</v>
      </c>
      <c r="F8007" s="67" t="str">
        <f t="shared" si="12"/>
        <v>6 LeadGen Set Appointments</v>
      </c>
    </row>
    <row r="8008" hidden="1">
      <c r="A8008" s="6" t="s">
        <v>97</v>
      </c>
      <c r="B8008" s="13" t="s">
        <v>1037</v>
      </c>
      <c r="C8008" s="13" t="s">
        <v>1038</v>
      </c>
      <c r="D8008" s="15">
        <v>5.0</v>
      </c>
      <c r="E8008" s="67">
        <f t="shared" si="20"/>
        <v>1250</v>
      </c>
      <c r="F8008" s="67" t="str">
        <f t="shared" si="12"/>
        <v>5 LeadGen Set Appointments</v>
      </c>
    </row>
    <row r="8009" hidden="1">
      <c r="A8009" s="6" t="s">
        <v>97</v>
      </c>
      <c r="B8009" s="13" t="s">
        <v>462</v>
      </c>
      <c r="C8009" s="13" t="s">
        <v>463</v>
      </c>
      <c r="D8009" s="15">
        <v>5.0</v>
      </c>
      <c r="E8009" s="67">
        <f t="shared" si="20"/>
        <v>1250</v>
      </c>
      <c r="F8009" s="67" t="str">
        <f t="shared" si="12"/>
        <v>5 LeadGen Set Appointments</v>
      </c>
    </row>
    <row r="8010" hidden="1">
      <c r="A8010" s="6" t="s">
        <v>97</v>
      </c>
      <c r="B8010" s="13" t="s">
        <v>1301</v>
      </c>
      <c r="C8010" s="13" t="s">
        <v>1302</v>
      </c>
      <c r="D8010" s="15">
        <v>5.0</v>
      </c>
      <c r="E8010" s="67">
        <f t="shared" si="20"/>
        <v>1250</v>
      </c>
      <c r="F8010" s="67" t="str">
        <f t="shared" si="12"/>
        <v>5 LeadGen Set Appointments</v>
      </c>
    </row>
    <row r="8011" hidden="1">
      <c r="A8011" s="6" t="s">
        <v>97</v>
      </c>
      <c r="B8011" s="13" t="s">
        <v>628</v>
      </c>
      <c r="C8011" s="13" t="s">
        <v>629</v>
      </c>
      <c r="D8011" s="15">
        <v>5.0</v>
      </c>
      <c r="E8011" s="67">
        <f t="shared" si="20"/>
        <v>1250</v>
      </c>
      <c r="F8011" s="67" t="str">
        <f t="shared" si="12"/>
        <v>5 LeadGen Set Appointments</v>
      </c>
    </row>
    <row r="8012" hidden="1">
      <c r="A8012" s="6" t="s">
        <v>97</v>
      </c>
      <c r="B8012" s="13" t="s">
        <v>1448</v>
      </c>
      <c r="C8012" s="13" t="s">
        <v>1449</v>
      </c>
      <c r="D8012" s="15">
        <v>5.0</v>
      </c>
      <c r="E8012" s="67">
        <f t="shared" si="20"/>
        <v>1250</v>
      </c>
      <c r="F8012" s="67" t="str">
        <f t="shared" si="12"/>
        <v>5 LeadGen Set Appointments</v>
      </c>
    </row>
    <row r="8013" hidden="1">
      <c r="A8013" s="6" t="s">
        <v>97</v>
      </c>
      <c r="B8013" s="13" t="s">
        <v>2299</v>
      </c>
      <c r="C8013" s="13" t="s">
        <v>2300</v>
      </c>
      <c r="D8013" s="15">
        <v>5.0</v>
      </c>
      <c r="E8013" s="67">
        <f t="shared" si="20"/>
        <v>1250</v>
      </c>
      <c r="F8013" s="67" t="str">
        <f t="shared" si="12"/>
        <v>5 LeadGen Set Appointments</v>
      </c>
    </row>
    <row r="8014" hidden="1">
      <c r="A8014" s="6" t="s">
        <v>97</v>
      </c>
      <c r="B8014" s="13" t="s">
        <v>684</v>
      </c>
      <c r="C8014" s="13" t="s">
        <v>685</v>
      </c>
      <c r="D8014" s="15">
        <v>5.0</v>
      </c>
      <c r="E8014" s="67">
        <f t="shared" si="20"/>
        <v>1250</v>
      </c>
      <c r="F8014" s="67" t="str">
        <f t="shared" si="12"/>
        <v>5 LeadGen Set Appointments</v>
      </c>
    </row>
    <row r="8015" hidden="1">
      <c r="A8015" s="6" t="s">
        <v>97</v>
      </c>
      <c r="B8015" s="13" t="s">
        <v>560</v>
      </c>
      <c r="C8015" s="13" t="s">
        <v>561</v>
      </c>
      <c r="D8015" s="15">
        <v>5.0</v>
      </c>
      <c r="E8015" s="67">
        <f t="shared" si="20"/>
        <v>1250</v>
      </c>
      <c r="F8015" s="67" t="str">
        <f t="shared" si="12"/>
        <v>5 LeadGen Set Appointments</v>
      </c>
    </row>
    <row r="8016" hidden="1">
      <c r="A8016" s="6" t="s">
        <v>97</v>
      </c>
      <c r="B8016" s="13" t="s">
        <v>1467</v>
      </c>
      <c r="C8016" s="13" t="s">
        <v>1468</v>
      </c>
      <c r="D8016" s="15">
        <v>5.0</v>
      </c>
      <c r="E8016" s="67">
        <f t="shared" si="20"/>
        <v>1250</v>
      </c>
      <c r="F8016" s="67" t="str">
        <f t="shared" si="12"/>
        <v>5 LeadGen Set Appointments</v>
      </c>
    </row>
    <row r="8017" hidden="1">
      <c r="A8017" s="6" t="s">
        <v>97</v>
      </c>
      <c r="B8017" s="13" t="s">
        <v>1443</v>
      </c>
      <c r="C8017" s="13" t="s">
        <v>755</v>
      </c>
      <c r="D8017" s="15">
        <v>5.0</v>
      </c>
      <c r="E8017" s="67">
        <f t="shared" si="20"/>
        <v>1250</v>
      </c>
      <c r="F8017" s="67" t="str">
        <f t="shared" si="12"/>
        <v>5 LeadGen Set Appointments</v>
      </c>
    </row>
    <row r="8018" hidden="1">
      <c r="A8018" s="6" t="s">
        <v>97</v>
      </c>
      <c r="B8018" s="13" t="s">
        <v>682</v>
      </c>
      <c r="C8018" s="13" t="s">
        <v>683</v>
      </c>
      <c r="D8018" s="15">
        <v>5.0</v>
      </c>
      <c r="E8018" s="67">
        <f t="shared" si="20"/>
        <v>1250</v>
      </c>
      <c r="F8018" s="67" t="str">
        <f t="shared" si="12"/>
        <v>5 LeadGen Set Appointments</v>
      </c>
    </row>
    <row r="8019" hidden="1">
      <c r="A8019" s="6" t="s">
        <v>97</v>
      </c>
      <c r="B8019" s="13" t="s">
        <v>1657</v>
      </c>
      <c r="C8019" s="13" t="s">
        <v>1658</v>
      </c>
      <c r="D8019" s="15">
        <v>5.0</v>
      </c>
      <c r="E8019" s="67">
        <f t="shared" si="20"/>
        <v>1250</v>
      </c>
      <c r="F8019" s="67" t="str">
        <f t="shared" si="12"/>
        <v>5 LeadGen Set Appointments</v>
      </c>
    </row>
    <row r="8020" hidden="1">
      <c r="A8020" s="6" t="s">
        <v>97</v>
      </c>
      <c r="B8020" s="13" t="s">
        <v>2384</v>
      </c>
      <c r="C8020" s="13" t="s">
        <v>2385</v>
      </c>
      <c r="D8020" s="15">
        <v>5.0</v>
      </c>
      <c r="E8020" s="67">
        <f t="shared" si="20"/>
        <v>1250</v>
      </c>
      <c r="F8020" s="67" t="str">
        <f t="shared" si="12"/>
        <v>5 LeadGen Set Appointments</v>
      </c>
    </row>
    <row r="8021" hidden="1">
      <c r="A8021" s="6" t="s">
        <v>97</v>
      </c>
      <c r="B8021" s="13" t="s">
        <v>2814</v>
      </c>
      <c r="C8021" s="13" t="s">
        <v>2815</v>
      </c>
      <c r="D8021" s="15">
        <v>5.0</v>
      </c>
      <c r="E8021" s="67">
        <f t="shared" si="20"/>
        <v>1250</v>
      </c>
      <c r="F8021" s="67" t="str">
        <f t="shared" si="12"/>
        <v>5 LeadGen Set Appointments</v>
      </c>
    </row>
    <row r="8022" hidden="1">
      <c r="A8022" s="6" t="s">
        <v>97</v>
      </c>
      <c r="B8022" s="13" t="s">
        <v>1955</v>
      </c>
      <c r="C8022" s="13" t="s">
        <v>1956</v>
      </c>
      <c r="D8022" s="15">
        <v>5.0</v>
      </c>
      <c r="E8022" s="67">
        <f t="shared" si="20"/>
        <v>1250</v>
      </c>
      <c r="F8022" s="67" t="str">
        <f t="shared" si="12"/>
        <v>5 LeadGen Set Appointments</v>
      </c>
    </row>
    <row r="8023" hidden="1">
      <c r="A8023" s="6" t="s">
        <v>97</v>
      </c>
      <c r="B8023" s="13" t="s">
        <v>2878</v>
      </c>
      <c r="C8023" s="13" t="s">
        <v>2879</v>
      </c>
      <c r="D8023" s="15">
        <v>5.0</v>
      </c>
      <c r="E8023" s="67">
        <f t="shared" si="20"/>
        <v>1250</v>
      </c>
      <c r="F8023" s="67" t="str">
        <f t="shared" si="12"/>
        <v>5 LeadGen Set Appointments</v>
      </c>
    </row>
    <row r="8024" hidden="1">
      <c r="A8024" s="6" t="s">
        <v>97</v>
      </c>
      <c r="B8024" s="13" t="s">
        <v>1283</v>
      </c>
      <c r="C8024" s="13" t="s">
        <v>404</v>
      </c>
      <c r="D8024" s="15">
        <v>5.0</v>
      </c>
      <c r="E8024" s="67">
        <f t="shared" si="20"/>
        <v>1250</v>
      </c>
      <c r="F8024" s="67" t="str">
        <f t="shared" si="12"/>
        <v>5 LeadGen Set Appointments</v>
      </c>
    </row>
    <row r="8025" hidden="1">
      <c r="A8025" s="6" t="s">
        <v>97</v>
      </c>
      <c r="B8025" s="13" t="s">
        <v>2077</v>
      </c>
      <c r="C8025" s="13" t="s">
        <v>2078</v>
      </c>
      <c r="D8025" s="15">
        <v>5.0</v>
      </c>
      <c r="E8025" s="67">
        <f t="shared" si="20"/>
        <v>1250</v>
      </c>
      <c r="F8025" s="67" t="str">
        <f t="shared" si="12"/>
        <v>5 LeadGen Set Appointments</v>
      </c>
    </row>
    <row r="8026" hidden="1">
      <c r="A8026" s="6" t="s">
        <v>97</v>
      </c>
      <c r="B8026" s="13" t="s">
        <v>1457</v>
      </c>
      <c r="C8026" s="13" t="s">
        <v>2411</v>
      </c>
      <c r="D8026" s="15">
        <v>5.0</v>
      </c>
      <c r="E8026" s="67">
        <f t="shared" si="20"/>
        <v>1250</v>
      </c>
      <c r="F8026" s="67" t="str">
        <f t="shared" si="12"/>
        <v>5 LeadGen Set Appointments</v>
      </c>
    </row>
    <row r="8027" hidden="1">
      <c r="A8027" s="6" t="s">
        <v>97</v>
      </c>
      <c r="B8027" s="13" t="s">
        <v>2683</v>
      </c>
      <c r="C8027" s="13" t="s">
        <v>2684</v>
      </c>
      <c r="D8027" s="15">
        <v>4.0</v>
      </c>
      <c r="E8027" s="67">
        <f t="shared" si="20"/>
        <v>1000</v>
      </c>
      <c r="F8027" s="67" t="str">
        <f t="shared" si="12"/>
        <v>4 LeadGen Set Appointments</v>
      </c>
    </row>
    <row r="8028" hidden="1">
      <c r="A8028" s="6" t="s">
        <v>97</v>
      </c>
      <c r="B8028" s="13" t="s">
        <v>2724</v>
      </c>
      <c r="C8028" s="13" t="s">
        <v>2725</v>
      </c>
      <c r="D8028" s="15">
        <v>4.0</v>
      </c>
      <c r="E8028" s="67">
        <f t="shared" si="20"/>
        <v>1000</v>
      </c>
      <c r="F8028" s="67" t="str">
        <f t="shared" si="12"/>
        <v>4 LeadGen Set Appointments</v>
      </c>
    </row>
    <row r="8029" hidden="1">
      <c r="A8029" s="6" t="s">
        <v>97</v>
      </c>
      <c r="B8029" s="13" t="s">
        <v>2806</v>
      </c>
      <c r="C8029" s="13" t="s">
        <v>2807</v>
      </c>
      <c r="D8029" s="15">
        <v>4.0</v>
      </c>
      <c r="E8029" s="67">
        <f t="shared" si="20"/>
        <v>1000</v>
      </c>
      <c r="F8029" s="67" t="str">
        <f t="shared" si="12"/>
        <v>4 LeadGen Set Appointments</v>
      </c>
    </row>
    <row r="8030" hidden="1">
      <c r="A8030" s="6" t="s">
        <v>97</v>
      </c>
      <c r="B8030" s="13" t="s">
        <v>2820</v>
      </c>
      <c r="C8030" s="13" t="s">
        <v>2821</v>
      </c>
      <c r="D8030" s="15">
        <v>4.0</v>
      </c>
      <c r="E8030" s="67">
        <f t="shared" si="20"/>
        <v>1000</v>
      </c>
      <c r="F8030" s="67" t="str">
        <f t="shared" si="12"/>
        <v>4 LeadGen Set Appointments</v>
      </c>
    </row>
    <row r="8031" hidden="1">
      <c r="A8031" s="6" t="s">
        <v>97</v>
      </c>
      <c r="B8031" s="13" t="s">
        <v>752</v>
      </c>
      <c r="C8031" s="13" t="s">
        <v>753</v>
      </c>
      <c r="D8031" s="15">
        <v>4.0</v>
      </c>
      <c r="E8031" s="67">
        <f t="shared" si="20"/>
        <v>1000</v>
      </c>
      <c r="F8031" s="67" t="str">
        <f t="shared" si="12"/>
        <v>4 LeadGen Set Appointments</v>
      </c>
    </row>
    <row r="8032" hidden="1">
      <c r="A8032" s="6" t="s">
        <v>97</v>
      </c>
      <c r="B8032" s="13" t="s">
        <v>502</v>
      </c>
      <c r="C8032" s="13" t="s">
        <v>503</v>
      </c>
      <c r="D8032" s="15">
        <v>4.0</v>
      </c>
      <c r="E8032" s="67">
        <f t="shared" si="20"/>
        <v>1000</v>
      </c>
      <c r="F8032" s="67" t="str">
        <f t="shared" si="12"/>
        <v>4 LeadGen Set Appointments</v>
      </c>
    </row>
    <row r="8033" hidden="1">
      <c r="A8033" s="6" t="s">
        <v>97</v>
      </c>
      <c r="B8033" s="13" t="s">
        <v>1279</v>
      </c>
      <c r="C8033" s="13" t="s">
        <v>739</v>
      </c>
      <c r="D8033" s="15">
        <v>4.0</v>
      </c>
      <c r="E8033" s="67">
        <f t="shared" si="20"/>
        <v>1000</v>
      </c>
      <c r="F8033" s="67" t="str">
        <f t="shared" si="12"/>
        <v>4 LeadGen Set Appointments</v>
      </c>
    </row>
    <row r="8034" hidden="1">
      <c r="A8034" s="6" t="s">
        <v>97</v>
      </c>
      <c r="B8034" s="13" t="s">
        <v>1764</v>
      </c>
      <c r="C8034" s="13" t="s">
        <v>1765</v>
      </c>
      <c r="D8034" s="15">
        <v>4.0</v>
      </c>
      <c r="E8034" s="67">
        <f t="shared" si="20"/>
        <v>1000</v>
      </c>
      <c r="F8034" s="67" t="str">
        <f t="shared" si="12"/>
        <v>4 LeadGen Set Appointments</v>
      </c>
    </row>
    <row r="8035" hidden="1">
      <c r="A8035" s="6" t="s">
        <v>97</v>
      </c>
      <c r="B8035" s="13" t="s">
        <v>1724</v>
      </c>
      <c r="C8035" s="13" t="s">
        <v>1725</v>
      </c>
      <c r="D8035" s="15">
        <v>4.0</v>
      </c>
      <c r="E8035" s="67">
        <f t="shared" si="20"/>
        <v>1000</v>
      </c>
      <c r="F8035" s="67" t="str">
        <f t="shared" si="12"/>
        <v>4 LeadGen Set Appointments</v>
      </c>
    </row>
    <row r="8036" hidden="1">
      <c r="A8036" s="6" t="s">
        <v>97</v>
      </c>
      <c r="B8036" s="13" t="s">
        <v>315</v>
      </c>
      <c r="C8036" s="13" t="s">
        <v>2819</v>
      </c>
      <c r="D8036" s="15">
        <v>4.0</v>
      </c>
      <c r="E8036" s="67">
        <f t="shared" si="20"/>
        <v>1000</v>
      </c>
      <c r="F8036" s="67" t="str">
        <f t="shared" si="12"/>
        <v>4 LeadGen Set Appointments</v>
      </c>
    </row>
    <row r="8037" hidden="1">
      <c r="A8037" s="6" t="s">
        <v>97</v>
      </c>
      <c r="B8037" s="13" t="s">
        <v>2713</v>
      </c>
      <c r="C8037" s="13" t="s">
        <v>61</v>
      </c>
      <c r="D8037" s="15">
        <v>4.0</v>
      </c>
      <c r="E8037" s="67">
        <f t="shared" si="20"/>
        <v>1000</v>
      </c>
      <c r="F8037" s="67" t="str">
        <f t="shared" si="12"/>
        <v>4 LeadGen Set Appointments</v>
      </c>
    </row>
    <row r="8038" hidden="1">
      <c r="A8038" s="6" t="s">
        <v>97</v>
      </c>
      <c r="B8038" s="13" t="s">
        <v>624</v>
      </c>
      <c r="C8038" s="13" t="s">
        <v>625</v>
      </c>
      <c r="D8038" s="15">
        <v>4.0</v>
      </c>
      <c r="E8038" s="67">
        <f t="shared" si="20"/>
        <v>1000</v>
      </c>
      <c r="F8038" s="67" t="str">
        <f t="shared" si="12"/>
        <v>4 LeadGen Set Appointments</v>
      </c>
    </row>
    <row r="8039" hidden="1">
      <c r="A8039" s="6" t="s">
        <v>97</v>
      </c>
      <c r="B8039" s="13" t="s">
        <v>2718</v>
      </c>
      <c r="C8039" s="13" t="s">
        <v>2719</v>
      </c>
      <c r="D8039" s="15">
        <v>4.0</v>
      </c>
      <c r="E8039" s="67">
        <f t="shared" si="20"/>
        <v>1000</v>
      </c>
      <c r="F8039" s="67" t="str">
        <f t="shared" si="12"/>
        <v>4 LeadGen Set Appointments</v>
      </c>
    </row>
    <row r="8040" hidden="1">
      <c r="A8040" s="6" t="s">
        <v>97</v>
      </c>
      <c r="B8040" s="13" t="s">
        <v>1897</v>
      </c>
      <c r="C8040" s="13" t="s">
        <v>2460</v>
      </c>
      <c r="D8040" s="15">
        <v>4.0</v>
      </c>
      <c r="E8040" s="67">
        <f t="shared" si="20"/>
        <v>1000</v>
      </c>
      <c r="F8040" s="67" t="str">
        <f t="shared" si="12"/>
        <v>4 LeadGen Set Appointments</v>
      </c>
    </row>
    <row r="8041" hidden="1">
      <c r="A8041" s="6" t="s">
        <v>97</v>
      </c>
      <c r="B8041" s="13" t="s">
        <v>258</v>
      </c>
      <c r="C8041" s="13" t="s">
        <v>2386</v>
      </c>
      <c r="D8041" s="15">
        <v>4.0</v>
      </c>
      <c r="E8041" s="67">
        <f t="shared" si="20"/>
        <v>1000</v>
      </c>
      <c r="F8041" s="67" t="str">
        <f t="shared" si="12"/>
        <v>4 LeadGen Set Appointments</v>
      </c>
    </row>
    <row r="8042" hidden="1">
      <c r="A8042" s="6" t="s">
        <v>97</v>
      </c>
      <c r="B8042" s="13" t="s">
        <v>576</v>
      </c>
      <c r="C8042" s="13" t="s">
        <v>577</v>
      </c>
      <c r="D8042" s="15">
        <v>3.0</v>
      </c>
      <c r="E8042" s="67">
        <f t="shared" si="20"/>
        <v>750</v>
      </c>
      <c r="F8042" s="67" t="str">
        <f t="shared" si="12"/>
        <v>3 LeadGen Set Appointments</v>
      </c>
    </row>
    <row r="8043" hidden="1">
      <c r="A8043" s="6" t="s">
        <v>97</v>
      </c>
      <c r="B8043" s="13" t="s">
        <v>744</v>
      </c>
      <c r="C8043" s="13" t="s">
        <v>745</v>
      </c>
      <c r="D8043" s="15">
        <v>3.0</v>
      </c>
      <c r="E8043" s="67">
        <f t="shared" si="20"/>
        <v>750</v>
      </c>
      <c r="F8043" s="67" t="str">
        <f t="shared" si="12"/>
        <v>3 LeadGen Set Appointments</v>
      </c>
    </row>
    <row r="8044" hidden="1">
      <c r="A8044" s="6" t="s">
        <v>97</v>
      </c>
      <c r="B8044" s="13" t="s">
        <v>451</v>
      </c>
      <c r="C8044" s="13" t="s">
        <v>452</v>
      </c>
      <c r="D8044" s="15">
        <v>3.0</v>
      </c>
      <c r="E8044" s="67">
        <f t="shared" si="20"/>
        <v>750</v>
      </c>
      <c r="F8044" s="67" t="str">
        <f t="shared" si="12"/>
        <v>3 LeadGen Set Appointments</v>
      </c>
    </row>
    <row r="8045" hidden="1">
      <c r="A8045" s="6" t="s">
        <v>97</v>
      </c>
      <c r="B8045" s="13" t="s">
        <v>2034</v>
      </c>
      <c r="C8045" s="13" t="s">
        <v>416</v>
      </c>
      <c r="D8045" s="15">
        <v>3.0</v>
      </c>
      <c r="E8045" s="67">
        <f t="shared" si="20"/>
        <v>750</v>
      </c>
      <c r="F8045" s="67" t="str">
        <f t="shared" si="12"/>
        <v>3 LeadGen Set Appointments</v>
      </c>
    </row>
    <row r="8046" hidden="1">
      <c r="A8046" s="6" t="s">
        <v>97</v>
      </c>
      <c r="B8046" s="13" t="s">
        <v>1543</v>
      </c>
      <c r="C8046" s="13" t="s">
        <v>1544</v>
      </c>
      <c r="D8046" s="15">
        <v>3.0</v>
      </c>
      <c r="E8046" s="67">
        <f t="shared" si="20"/>
        <v>750</v>
      </c>
      <c r="F8046" s="67" t="str">
        <f t="shared" si="12"/>
        <v>3 LeadGen Set Appointments</v>
      </c>
    </row>
    <row r="8047" hidden="1">
      <c r="A8047" s="6" t="s">
        <v>97</v>
      </c>
      <c r="B8047" s="13" t="s">
        <v>2766</v>
      </c>
      <c r="C8047" s="13" t="s">
        <v>2767</v>
      </c>
      <c r="D8047" s="15">
        <v>3.0</v>
      </c>
      <c r="E8047" s="67">
        <f t="shared" si="20"/>
        <v>750</v>
      </c>
      <c r="F8047" s="67" t="str">
        <f t="shared" si="12"/>
        <v>3 LeadGen Set Appointments</v>
      </c>
    </row>
    <row r="8048" hidden="1">
      <c r="A8048" s="6" t="s">
        <v>97</v>
      </c>
      <c r="B8048" s="13" t="s">
        <v>1583</v>
      </c>
      <c r="C8048" s="13" t="s">
        <v>1584</v>
      </c>
      <c r="D8048" s="15">
        <v>3.0</v>
      </c>
      <c r="E8048" s="67">
        <f t="shared" si="20"/>
        <v>750</v>
      </c>
      <c r="F8048" s="67" t="str">
        <f t="shared" si="12"/>
        <v>3 LeadGen Set Appointments</v>
      </c>
    </row>
    <row r="8049" hidden="1">
      <c r="A8049" s="6" t="s">
        <v>97</v>
      </c>
      <c r="B8049" s="13" t="s">
        <v>1408</v>
      </c>
      <c r="C8049" s="13" t="s">
        <v>675</v>
      </c>
      <c r="D8049" s="15">
        <v>3.0</v>
      </c>
      <c r="E8049" s="67">
        <f t="shared" si="20"/>
        <v>750</v>
      </c>
      <c r="F8049" s="67" t="str">
        <f t="shared" si="12"/>
        <v>3 LeadGen Set Appointments</v>
      </c>
    </row>
    <row r="8050" hidden="1">
      <c r="A8050" s="6" t="s">
        <v>97</v>
      </c>
      <c r="B8050" s="13" t="s">
        <v>1334</v>
      </c>
      <c r="C8050" s="13" t="s">
        <v>553</v>
      </c>
      <c r="D8050" s="15">
        <v>3.0</v>
      </c>
      <c r="E8050" s="67">
        <f t="shared" si="20"/>
        <v>750</v>
      </c>
      <c r="F8050" s="67" t="str">
        <f t="shared" si="12"/>
        <v>3 LeadGen Set Appointments</v>
      </c>
    </row>
    <row r="8051" hidden="1">
      <c r="A8051" s="6" t="s">
        <v>97</v>
      </c>
      <c r="B8051" s="13" t="s">
        <v>2835</v>
      </c>
      <c r="C8051" s="13" t="s">
        <v>2836</v>
      </c>
      <c r="D8051" s="15">
        <v>3.0</v>
      </c>
      <c r="E8051" s="67">
        <f t="shared" si="20"/>
        <v>750</v>
      </c>
      <c r="F8051" s="67" t="str">
        <f t="shared" si="12"/>
        <v>3 LeadGen Set Appointments</v>
      </c>
    </row>
    <row r="8052" hidden="1">
      <c r="A8052" s="6" t="s">
        <v>97</v>
      </c>
      <c r="B8052" s="13" t="s">
        <v>2609</v>
      </c>
      <c r="C8052" s="13" t="s">
        <v>2610</v>
      </c>
      <c r="D8052" s="15">
        <v>3.0</v>
      </c>
      <c r="E8052" s="67">
        <f t="shared" si="20"/>
        <v>750</v>
      </c>
      <c r="F8052" s="67" t="str">
        <f t="shared" si="12"/>
        <v>3 LeadGen Set Appointments</v>
      </c>
    </row>
    <row r="8053" hidden="1">
      <c r="A8053" s="6" t="s">
        <v>97</v>
      </c>
      <c r="B8053" s="13" t="s">
        <v>2822</v>
      </c>
      <c r="C8053" s="13" t="s">
        <v>2823</v>
      </c>
      <c r="D8053" s="15">
        <v>3.0</v>
      </c>
      <c r="E8053" s="67">
        <f t="shared" si="20"/>
        <v>750</v>
      </c>
      <c r="F8053" s="67" t="str">
        <f t="shared" si="12"/>
        <v>3 LeadGen Set Appointments</v>
      </c>
    </row>
    <row r="8054" hidden="1">
      <c r="A8054" s="6" t="s">
        <v>97</v>
      </c>
      <c r="B8054" s="13" t="s">
        <v>2458</v>
      </c>
      <c r="C8054" s="13" t="s">
        <v>2459</v>
      </c>
      <c r="D8054" s="15">
        <v>3.0</v>
      </c>
      <c r="E8054" s="67">
        <f t="shared" si="20"/>
        <v>750</v>
      </c>
      <c r="F8054" s="67" t="str">
        <f t="shared" si="12"/>
        <v>3 LeadGen Set Appointments</v>
      </c>
    </row>
    <row r="8055" hidden="1">
      <c r="A8055" s="6" t="s">
        <v>97</v>
      </c>
      <c r="B8055" s="13" t="s">
        <v>2846</v>
      </c>
      <c r="C8055" s="13" t="s">
        <v>2847</v>
      </c>
      <c r="D8055" s="15">
        <v>3.0</v>
      </c>
      <c r="E8055" s="67">
        <f t="shared" si="20"/>
        <v>750</v>
      </c>
      <c r="F8055" s="67" t="str">
        <f t="shared" si="12"/>
        <v>3 LeadGen Set Appointments</v>
      </c>
    </row>
    <row r="8056" hidden="1">
      <c r="A8056" s="6" t="s">
        <v>97</v>
      </c>
      <c r="B8056" s="13" t="s">
        <v>302</v>
      </c>
      <c r="C8056" s="13" t="s">
        <v>2110</v>
      </c>
      <c r="D8056" s="15">
        <v>3.0</v>
      </c>
      <c r="E8056" s="67">
        <f t="shared" si="20"/>
        <v>750</v>
      </c>
      <c r="F8056" s="67" t="str">
        <f t="shared" si="12"/>
        <v>3 LeadGen Set Appointments</v>
      </c>
    </row>
    <row r="8057" hidden="1">
      <c r="A8057" s="6" t="s">
        <v>97</v>
      </c>
      <c r="B8057" s="13" t="s">
        <v>1923</v>
      </c>
      <c r="C8057" s="13" t="s">
        <v>1924</v>
      </c>
      <c r="D8057" s="15">
        <v>3.0</v>
      </c>
      <c r="E8057" s="67">
        <f t="shared" si="20"/>
        <v>750</v>
      </c>
      <c r="F8057" s="67" t="str">
        <f t="shared" si="12"/>
        <v>3 LeadGen Set Appointments</v>
      </c>
    </row>
    <row r="8058" hidden="1">
      <c r="A8058" s="6" t="s">
        <v>97</v>
      </c>
      <c r="B8058" s="13" t="s">
        <v>2745</v>
      </c>
      <c r="C8058" s="13" t="s">
        <v>2746</v>
      </c>
      <c r="D8058" s="15">
        <v>3.0</v>
      </c>
      <c r="E8058" s="67">
        <f t="shared" si="20"/>
        <v>750</v>
      </c>
      <c r="F8058" s="67" t="str">
        <f t="shared" si="12"/>
        <v>3 LeadGen Set Appointments</v>
      </c>
    </row>
    <row r="8059" hidden="1">
      <c r="A8059" s="6" t="s">
        <v>97</v>
      </c>
      <c r="B8059" s="13" t="s">
        <v>1342</v>
      </c>
      <c r="C8059" s="13" t="s">
        <v>2751</v>
      </c>
      <c r="D8059" s="15">
        <v>3.0</v>
      </c>
      <c r="E8059" s="67">
        <f t="shared" si="20"/>
        <v>750</v>
      </c>
      <c r="F8059" s="67" t="str">
        <f t="shared" si="12"/>
        <v>3 LeadGen Set Appointments</v>
      </c>
    </row>
    <row r="8060" hidden="1">
      <c r="A8060" s="6" t="s">
        <v>97</v>
      </c>
      <c r="B8060" s="13" t="s">
        <v>2880</v>
      </c>
      <c r="C8060" s="13" t="s">
        <v>2881</v>
      </c>
      <c r="D8060" s="15">
        <v>2.0</v>
      </c>
      <c r="E8060" s="67">
        <f t="shared" si="20"/>
        <v>500</v>
      </c>
      <c r="F8060" s="67" t="str">
        <f t="shared" si="12"/>
        <v>2 LeadGen Set Appointments</v>
      </c>
    </row>
    <row r="8061" hidden="1">
      <c r="A8061" s="6" t="s">
        <v>97</v>
      </c>
      <c r="B8061" s="13" t="s">
        <v>606</v>
      </c>
      <c r="C8061" s="13" t="s">
        <v>607</v>
      </c>
      <c r="D8061" s="15">
        <v>2.0</v>
      </c>
      <c r="E8061" s="67">
        <f t="shared" si="20"/>
        <v>500</v>
      </c>
      <c r="F8061" s="67" t="str">
        <f t="shared" si="12"/>
        <v>2 LeadGen Set Appointments</v>
      </c>
    </row>
    <row r="8062" hidden="1">
      <c r="A8062" s="6" t="s">
        <v>97</v>
      </c>
      <c r="B8062" s="13" t="s">
        <v>2882</v>
      </c>
      <c r="C8062" s="13" t="s">
        <v>2883</v>
      </c>
      <c r="D8062" s="15">
        <v>2.0</v>
      </c>
      <c r="E8062" s="67">
        <f t="shared" si="20"/>
        <v>500</v>
      </c>
      <c r="F8062" s="67" t="str">
        <f t="shared" si="12"/>
        <v>2 LeadGen Set Appointments</v>
      </c>
    </row>
    <row r="8063" hidden="1">
      <c r="A8063" s="6" t="s">
        <v>97</v>
      </c>
      <c r="B8063" s="13" t="s">
        <v>1344</v>
      </c>
      <c r="C8063" s="13" t="s">
        <v>569</v>
      </c>
      <c r="D8063" s="15">
        <v>2.0</v>
      </c>
      <c r="E8063" s="67">
        <f t="shared" si="20"/>
        <v>500</v>
      </c>
      <c r="F8063" s="67" t="str">
        <f t="shared" si="12"/>
        <v>2 LeadGen Set Appointments</v>
      </c>
    </row>
    <row r="8064" hidden="1">
      <c r="A8064" s="6" t="s">
        <v>97</v>
      </c>
      <c r="B8064" s="13" t="s">
        <v>2884</v>
      </c>
      <c r="C8064" s="13" t="s">
        <v>2736</v>
      </c>
      <c r="D8064" s="15">
        <v>2.0</v>
      </c>
      <c r="E8064" s="67">
        <f t="shared" si="20"/>
        <v>500</v>
      </c>
      <c r="F8064" s="67" t="str">
        <f t="shared" si="12"/>
        <v>2 LeadGen Set Appointments</v>
      </c>
    </row>
    <row r="8065" hidden="1">
      <c r="A8065" s="6" t="s">
        <v>97</v>
      </c>
      <c r="B8065" s="13" t="s">
        <v>2832</v>
      </c>
      <c r="C8065" s="13" t="s">
        <v>2833</v>
      </c>
      <c r="D8065" s="15">
        <v>2.0</v>
      </c>
      <c r="E8065" s="67">
        <f t="shared" si="20"/>
        <v>500</v>
      </c>
      <c r="F8065" s="67" t="str">
        <f t="shared" si="12"/>
        <v>2 LeadGen Set Appointments</v>
      </c>
    </row>
    <row r="8066" hidden="1">
      <c r="A8066" s="6" t="s">
        <v>97</v>
      </c>
      <c r="B8066" s="13" t="s">
        <v>2850</v>
      </c>
      <c r="C8066" s="13" t="s">
        <v>2851</v>
      </c>
      <c r="D8066" s="15">
        <v>2.0</v>
      </c>
      <c r="E8066" s="67">
        <f t="shared" si="20"/>
        <v>500</v>
      </c>
      <c r="F8066" s="67" t="str">
        <f t="shared" si="12"/>
        <v>2 LeadGen Set Appointments</v>
      </c>
    </row>
    <row r="8067" hidden="1">
      <c r="A8067" s="6" t="s">
        <v>97</v>
      </c>
      <c r="B8067" s="13" t="s">
        <v>1919</v>
      </c>
      <c r="C8067" s="13" t="s">
        <v>2816</v>
      </c>
      <c r="D8067" s="15">
        <v>2.0</v>
      </c>
      <c r="E8067" s="67">
        <f t="shared" si="20"/>
        <v>500</v>
      </c>
      <c r="F8067" s="67" t="str">
        <f t="shared" si="12"/>
        <v>2 LeadGen Set Appointments</v>
      </c>
    </row>
    <row r="8068" hidden="1">
      <c r="A8068" s="6" t="s">
        <v>97</v>
      </c>
      <c r="B8068" s="13" t="s">
        <v>2885</v>
      </c>
      <c r="C8068" s="13" t="s">
        <v>2886</v>
      </c>
      <c r="D8068" s="15">
        <v>2.0</v>
      </c>
      <c r="E8068" s="67">
        <f t="shared" si="20"/>
        <v>500</v>
      </c>
      <c r="F8068" s="67" t="str">
        <f t="shared" si="12"/>
        <v>2 LeadGen Set Appointments</v>
      </c>
    </row>
    <row r="8069" hidden="1">
      <c r="A8069" s="6" t="s">
        <v>97</v>
      </c>
      <c r="B8069" s="13" t="s">
        <v>2179</v>
      </c>
      <c r="C8069" s="13" t="s">
        <v>2180</v>
      </c>
      <c r="D8069" s="15">
        <v>2.0</v>
      </c>
      <c r="E8069" s="67">
        <f t="shared" si="20"/>
        <v>500</v>
      </c>
      <c r="F8069" s="67" t="str">
        <f t="shared" si="12"/>
        <v>2 LeadGen Set Appointments</v>
      </c>
    </row>
    <row r="8070" hidden="1">
      <c r="A8070" s="6" t="s">
        <v>97</v>
      </c>
      <c r="B8070" s="13" t="s">
        <v>2619</v>
      </c>
      <c r="C8070" s="13" t="s">
        <v>2620</v>
      </c>
      <c r="D8070" s="15">
        <v>2.0</v>
      </c>
      <c r="E8070" s="67">
        <f t="shared" si="20"/>
        <v>500</v>
      </c>
      <c r="F8070" s="67" t="str">
        <f t="shared" si="12"/>
        <v>2 LeadGen Set Appointments</v>
      </c>
    </row>
    <row r="8071" hidden="1">
      <c r="A8071" s="6" t="s">
        <v>97</v>
      </c>
      <c r="B8071" s="13" t="s">
        <v>572</v>
      </c>
      <c r="C8071" s="13" t="s">
        <v>573</v>
      </c>
      <c r="D8071" s="15">
        <v>2.0</v>
      </c>
      <c r="E8071" s="67">
        <f t="shared" si="20"/>
        <v>500</v>
      </c>
      <c r="F8071" s="67" t="str">
        <f t="shared" si="12"/>
        <v>2 LeadGen Set Appointments</v>
      </c>
    </row>
    <row r="8072" hidden="1">
      <c r="A8072" s="6" t="s">
        <v>97</v>
      </c>
      <c r="B8072" s="13" t="s">
        <v>2830</v>
      </c>
      <c r="C8072" s="13" t="s">
        <v>2831</v>
      </c>
      <c r="D8072" s="15">
        <v>2.0</v>
      </c>
      <c r="E8072" s="67">
        <f t="shared" si="20"/>
        <v>500</v>
      </c>
      <c r="F8072" s="67" t="str">
        <f t="shared" si="12"/>
        <v>2 LeadGen Set Appointments</v>
      </c>
    </row>
    <row r="8073" hidden="1">
      <c r="A8073" s="6" t="s">
        <v>97</v>
      </c>
      <c r="B8073" s="13" t="s">
        <v>2572</v>
      </c>
      <c r="C8073" s="13" t="s">
        <v>2573</v>
      </c>
      <c r="D8073" s="15">
        <v>2.0</v>
      </c>
      <c r="E8073" s="67">
        <f t="shared" si="20"/>
        <v>500</v>
      </c>
      <c r="F8073" s="67" t="str">
        <f t="shared" si="12"/>
        <v>2 LeadGen Set Appointments</v>
      </c>
    </row>
    <row r="8074" hidden="1">
      <c r="A8074" s="6" t="s">
        <v>97</v>
      </c>
      <c r="B8074" s="13" t="s">
        <v>2804</v>
      </c>
      <c r="C8074" s="13" t="s">
        <v>2805</v>
      </c>
      <c r="D8074" s="15">
        <v>2.0</v>
      </c>
      <c r="E8074" s="67">
        <f t="shared" si="20"/>
        <v>500</v>
      </c>
      <c r="F8074" s="67" t="str">
        <f t="shared" si="12"/>
        <v>2 LeadGen Set Appointments</v>
      </c>
    </row>
    <row r="8075" hidden="1">
      <c r="A8075" s="6" t="s">
        <v>97</v>
      </c>
      <c r="B8075" s="13" t="s">
        <v>2677</v>
      </c>
      <c r="C8075" s="13" t="s">
        <v>2678</v>
      </c>
      <c r="D8075" s="15">
        <v>2.0</v>
      </c>
      <c r="E8075" s="67">
        <f t="shared" si="20"/>
        <v>500</v>
      </c>
      <c r="F8075" s="67" t="str">
        <f t="shared" si="12"/>
        <v>2 LeadGen Set Appointments</v>
      </c>
    </row>
    <row r="8076" hidden="1">
      <c r="A8076" s="6" t="s">
        <v>97</v>
      </c>
      <c r="B8076" s="13" t="s">
        <v>2800</v>
      </c>
      <c r="C8076" s="13" t="s">
        <v>2801</v>
      </c>
      <c r="D8076" s="15">
        <v>2.0</v>
      </c>
      <c r="E8076" s="67">
        <f t="shared" si="20"/>
        <v>500</v>
      </c>
      <c r="F8076" s="67" t="str">
        <f t="shared" si="12"/>
        <v>2 LeadGen Set Appointments</v>
      </c>
    </row>
    <row r="8077" hidden="1">
      <c r="A8077" s="6" t="s">
        <v>97</v>
      </c>
      <c r="B8077" s="13" t="s">
        <v>2862</v>
      </c>
      <c r="C8077" s="13" t="s">
        <v>2863</v>
      </c>
      <c r="D8077" s="15">
        <v>2.0</v>
      </c>
      <c r="E8077" s="67">
        <f t="shared" si="20"/>
        <v>500</v>
      </c>
      <c r="F8077" s="67" t="str">
        <f t="shared" si="12"/>
        <v>2 LeadGen Set Appointments</v>
      </c>
    </row>
    <row r="8078" hidden="1">
      <c r="A8078" s="6" t="s">
        <v>97</v>
      </c>
      <c r="B8078" s="13" t="s">
        <v>2887</v>
      </c>
      <c r="C8078" s="13" t="s">
        <v>1898</v>
      </c>
      <c r="D8078" s="15">
        <v>2.0</v>
      </c>
      <c r="E8078" s="67">
        <f t="shared" si="20"/>
        <v>500</v>
      </c>
      <c r="F8078" s="67" t="str">
        <f t="shared" si="12"/>
        <v>2 LeadGen Set Appointments</v>
      </c>
    </row>
    <row r="8079" hidden="1">
      <c r="A8079" s="6" t="s">
        <v>97</v>
      </c>
      <c r="B8079" s="13" t="s">
        <v>2802</v>
      </c>
      <c r="C8079" s="13" t="s">
        <v>2803</v>
      </c>
      <c r="D8079" s="15">
        <v>2.0</v>
      </c>
      <c r="E8079" s="67">
        <f t="shared" si="20"/>
        <v>500</v>
      </c>
      <c r="F8079" s="67" t="str">
        <f t="shared" si="12"/>
        <v>2 LeadGen Set Appointments</v>
      </c>
    </row>
    <row r="8080" hidden="1">
      <c r="A8080" s="6" t="s">
        <v>97</v>
      </c>
      <c r="B8080" s="13" t="s">
        <v>566</v>
      </c>
      <c r="C8080" s="13" t="s">
        <v>567</v>
      </c>
      <c r="D8080" s="15">
        <v>2.0</v>
      </c>
      <c r="E8080" s="67">
        <f t="shared" si="20"/>
        <v>500</v>
      </c>
      <c r="F8080" s="67" t="str">
        <f t="shared" si="12"/>
        <v>2 LeadGen Set Appointments</v>
      </c>
    </row>
    <row r="8081" hidden="1">
      <c r="A8081" s="6" t="s">
        <v>97</v>
      </c>
      <c r="B8081" s="13" t="s">
        <v>2576</v>
      </c>
      <c r="C8081" s="13" t="s">
        <v>2577</v>
      </c>
      <c r="D8081" s="15">
        <v>2.0</v>
      </c>
      <c r="E8081" s="67">
        <f t="shared" si="20"/>
        <v>500</v>
      </c>
      <c r="F8081" s="67" t="str">
        <f t="shared" si="12"/>
        <v>2 LeadGen Set Appointments</v>
      </c>
    </row>
    <row r="8082" hidden="1">
      <c r="A8082" s="6" t="s">
        <v>97</v>
      </c>
      <c r="B8082" s="13" t="s">
        <v>2808</v>
      </c>
      <c r="C8082" s="13" t="s">
        <v>2809</v>
      </c>
      <c r="D8082" s="15">
        <v>2.0</v>
      </c>
      <c r="E8082" s="67">
        <f t="shared" si="20"/>
        <v>500</v>
      </c>
      <c r="F8082" s="67" t="str">
        <f t="shared" si="12"/>
        <v>2 LeadGen Set Appointments</v>
      </c>
    </row>
    <row r="8083" hidden="1">
      <c r="A8083" s="6" t="s">
        <v>97</v>
      </c>
      <c r="B8083" s="13" t="s">
        <v>862</v>
      </c>
      <c r="C8083" s="13" t="s">
        <v>863</v>
      </c>
      <c r="D8083" s="15">
        <v>2.0</v>
      </c>
      <c r="E8083" s="67">
        <f t="shared" si="20"/>
        <v>500</v>
      </c>
      <c r="F8083" s="67" t="str">
        <f t="shared" si="12"/>
        <v>2 LeadGen Set Appointments</v>
      </c>
    </row>
    <row r="8084" hidden="1">
      <c r="A8084" s="6" t="s">
        <v>97</v>
      </c>
      <c r="B8084" s="13" t="s">
        <v>1181</v>
      </c>
      <c r="C8084" s="13" t="s">
        <v>1182</v>
      </c>
      <c r="D8084" s="15">
        <v>1.0</v>
      </c>
      <c r="E8084" s="67">
        <f t="shared" si="20"/>
        <v>250</v>
      </c>
      <c r="F8084" s="67" t="str">
        <f t="shared" si="12"/>
        <v>1 LeadGen Set Appointments</v>
      </c>
    </row>
    <row r="8085" hidden="1">
      <c r="A8085" s="6" t="s">
        <v>97</v>
      </c>
      <c r="B8085" s="13" t="s">
        <v>596</v>
      </c>
      <c r="C8085" s="13" t="s">
        <v>597</v>
      </c>
      <c r="D8085" s="15">
        <v>1.0</v>
      </c>
      <c r="E8085" s="67">
        <f t="shared" si="20"/>
        <v>250</v>
      </c>
      <c r="F8085" s="67" t="str">
        <f t="shared" si="12"/>
        <v>1 LeadGen Set Appointments</v>
      </c>
    </row>
    <row r="8086" hidden="1">
      <c r="A8086" s="6" t="s">
        <v>97</v>
      </c>
      <c r="B8086" s="13" t="s">
        <v>1033</v>
      </c>
      <c r="C8086" s="13" t="s">
        <v>1034</v>
      </c>
      <c r="D8086" s="15">
        <v>1.0</v>
      </c>
      <c r="E8086" s="67">
        <f t="shared" si="20"/>
        <v>250</v>
      </c>
      <c r="F8086" s="67" t="str">
        <f t="shared" si="12"/>
        <v>1 LeadGen Set Appointments</v>
      </c>
    </row>
    <row r="8087" hidden="1">
      <c r="A8087" s="6" t="s">
        <v>97</v>
      </c>
      <c r="B8087" s="13" t="s">
        <v>2781</v>
      </c>
      <c r="C8087" s="13" t="s">
        <v>2782</v>
      </c>
      <c r="D8087" s="15">
        <v>1.0</v>
      </c>
      <c r="E8087" s="67">
        <f t="shared" si="20"/>
        <v>250</v>
      </c>
      <c r="F8087" s="67" t="str">
        <f t="shared" si="12"/>
        <v>1 LeadGen Set Appointments</v>
      </c>
    </row>
    <row r="8088" hidden="1">
      <c r="A8088" s="6" t="s">
        <v>97</v>
      </c>
      <c r="B8088" s="13" t="s">
        <v>2762</v>
      </c>
      <c r="C8088" s="13" t="s">
        <v>2763</v>
      </c>
      <c r="D8088" s="15">
        <v>1.0</v>
      </c>
      <c r="E8088" s="67">
        <f t="shared" si="20"/>
        <v>250</v>
      </c>
      <c r="F8088" s="67" t="str">
        <f t="shared" si="12"/>
        <v>1 LeadGen Set Appointments</v>
      </c>
    </row>
    <row r="8089" hidden="1">
      <c r="A8089" s="6" t="s">
        <v>97</v>
      </c>
      <c r="B8089" s="13" t="s">
        <v>234</v>
      </c>
      <c r="C8089" s="13" t="s">
        <v>2770</v>
      </c>
      <c r="D8089" s="15">
        <v>1.0</v>
      </c>
      <c r="E8089" s="67">
        <f t="shared" si="20"/>
        <v>250</v>
      </c>
      <c r="F8089" s="67" t="str">
        <f t="shared" si="12"/>
        <v>1 LeadGen Set Appointments</v>
      </c>
    </row>
    <row r="8090" hidden="1">
      <c r="A8090" s="6" t="s">
        <v>97</v>
      </c>
      <c r="B8090" s="13" t="s">
        <v>1025</v>
      </c>
      <c r="C8090" s="13" t="s">
        <v>1026</v>
      </c>
      <c r="D8090" s="15">
        <v>1.0</v>
      </c>
      <c r="E8090" s="67">
        <f t="shared" si="20"/>
        <v>250</v>
      </c>
      <c r="F8090" s="67" t="str">
        <f t="shared" si="12"/>
        <v>1 LeadGen Set Appointments</v>
      </c>
    </row>
    <row r="8091" hidden="1">
      <c r="A8091" s="6" t="s">
        <v>97</v>
      </c>
      <c r="B8091" s="13" t="s">
        <v>1039</v>
      </c>
      <c r="C8091" s="13" t="s">
        <v>1040</v>
      </c>
      <c r="D8091" s="15">
        <v>1.0</v>
      </c>
      <c r="E8091" s="67">
        <f t="shared" si="20"/>
        <v>250</v>
      </c>
      <c r="F8091" s="67" t="str">
        <f t="shared" si="12"/>
        <v>1 LeadGen Set Appointments</v>
      </c>
    </row>
    <row r="8092" hidden="1">
      <c r="A8092" s="6" t="s">
        <v>97</v>
      </c>
      <c r="B8092" s="13" t="s">
        <v>1276</v>
      </c>
      <c r="C8092" s="13" t="s">
        <v>461</v>
      </c>
      <c r="D8092" s="15">
        <v>1.0</v>
      </c>
      <c r="E8092" s="67">
        <f t="shared" si="20"/>
        <v>250</v>
      </c>
      <c r="F8092" s="67" t="str">
        <f t="shared" si="12"/>
        <v>1 LeadGen Set Appointments</v>
      </c>
    </row>
    <row r="8093" hidden="1">
      <c r="A8093" s="6" t="s">
        <v>97</v>
      </c>
      <c r="B8093" s="13" t="s">
        <v>2693</v>
      </c>
      <c r="C8093" s="13" t="s">
        <v>2694</v>
      </c>
      <c r="D8093" s="15">
        <v>1.0</v>
      </c>
      <c r="E8093" s="67">
        <f t="shared" si="20"/>
        <v>250</v>
      </c>
      <c r="F8093" s="67" t="str">
        <f t="shared" si="12"/>
        <v>1 LeadGen Set Appointments</v>
      </c>
    </row>
    <row r="8094" hidden="1">
      <c r="A8094" s="6" t="s">
        <v>97</v>
      </c>
      <c r="B8094" s="13" t="s">
        <v>2888</v>
      </c>
      <c r="C8094" s="13" t="s">
        <v>2889</v>
      </c>
      <c r="D8094" s="15">
        <v>1.0</v>
      </c>
      <c r="E8094" s="67">
        <f t="shared" si="20"/>
        <v>250</v>
      </c>
      <c r="F8094" s="67" t="str">
        <f t="shared" si="12"/>
        <v>1 LeadGen Set Appointments</v>
      </c>
    </row>
    <row r="8095" hidden="1">
      <c r="A8095" s="6" t="s">
        <v>97</v>
      </c>
      <c r="B8095" s="13" t="s">
        <v>2890</v>
      </c>
      <c r="C8095" s="13" t="s">
        <v>2891</v>
      </c>
      <c r="D8095" s="15">
        <v>1.0</v>
      </c>
      <c r="E8095" s="67">
        <f t="shared" si="20"/>
        <v>250</v>
      </c>
      <c r="F8095" s="67" t="str">
        <f t="shared" si="12"/>
        <v>1 LeadGen Set Appointments</v>
      </c>
    </row>
    <row r="8096" hidden="1">
      <c r="A8096" s="6" t="s">
        <v>97</v>
      </c>
      <c r="B8096" s="13" t="s">
        <v>2828</v>
      </c>
      <c r="C8096" s="13" t="s">
        <v>2829</v>
      </c>
      <c r="D8096" s="15">
        <v>1.0</v>
      </c>
      <c r="E8096" s="67">
        <f t="shared" si="20"/>
        <v>250</v>
      </c>
      <c r="F8096" s="67" t="str">
        <f t="shared" si="12"/>
        <v>1 LeadGen Set Appointments</v>
      </c>
    </row>
    <row r="8097" hidden="1">
      <c r="A8097" s="6" t="s">
        <v>97</v>
      </c>
      <c r="B8097" s="13" t="s">
        <v>2892</v>
      </c>
      <c r="C8097" s="13" t="s">
        <v>2893</v>
      </c>
      <c r="D8097" s="15">
        <v>1.0</v>
      </c>
      <c r="E8097" s="67">
        <f t="shared" si="20"/>
        <v>250</v>
      </c>
      <c r="F8097" s="67" t="str">
        <f t="shared" si="12"/>
        <v>1 LeadGen Set Appointments</v>
      </c>
    </row>
    <row r="8098" hidden="1">
      <c r="A8098" s="6" t="s">
        <v>97</v>
      </c>
      <c r="B8098" s="13" t="s">
        <v>2473</v>
      </c>
      <c r="C8098" s="13" t="s">
        <v>2474</v>
      </c>
      <c r="D8098" s="15">
        <v>1.0</v>
      </c>
      <c r="E8098" s="67">
        <f t="shared" si="20"/>
        <v>250</v>
      </c>
      <c r="F8098" s="67" t="str">
        <f t="shared" si="12"/>
        <v>1 LeadGen Set Appointments</v>
      </c>
    </row>
    <row r="8099" hidden="1">
      <c r="A8099" s="6" t="s">
        <v>97</v>
      </c>
      <c r="B8099" s="13" t="s">
        <v>494</v>
      </c>
      <c r="C8099" s="13" t="s">
        <v>495</v>
      </c>
      <c r="D8099" s="15">
        <v>1.0</v>
      </c>
      <c r="E8099" s="67">
        <f t="shared" si="20"/>
        <v>250</v>
      </c>
      <c r="F8099" s="67" t="str">
        <f t="shared" si="12"/>
        <v>1 LeadGen Set Appointments</v>
      </c>
    </row>
    <row r="8100" hidden="1">
      <c r="A8100" s="6" t="s">
        <v>97</v>
      </c>
      <c r="B8100" s="13" t="s">
        <v>2839</v>
      </c>
      <c r="C8100" s="13" t="s">
        <v>2840</v>
      </c>
      <c r="D8100" s="15">
        <v>1.0</v>
      </c>
      <c r="E8100" s="67">
        <f t="shared" si="20"/>
        <v>250</v>
      </c>
      <c r="F8100" s="67" t="str">
        <f t="shared" si="12"/>
        <v>1 LeadGen Set Appointments</v>
      </c>
    </row>
    <row r="8101" hidden="1">
      <c r="A8101" s="6" t="s">
        <v>97</v>
      </c>
      <c r="B8101" s="13" t="s">
        <v>2707</v>
      </c>
      <c r="C8101" s="13" t="s">
        <v>2708</v>
      </c>
      <c r="D8101" s="15">
        <v>1.0</v>
      </c>
      <c r="E8101" s="67">
        <f t="shared" si="20"/>
        <v>250</v>
      </c>
      <c r="F8101" s="67" t="str">
        <f t="shared" si="12"/>
        <v>1 LeadGen Set Appointments</v>
      </c>
    </row>
    <row r="8102" hidden="1">
      <c r="A8102" s="6" t="s">
        <v>97</v>
      </c>
      <c r="B8102" s="13" t="s">
        <v>2837</v>
      </c>
      <c r="C8102" s="13" t="s">
        <v>2838</v>
      </c>
      <c r="D8102" s="15">
        <v>1.0</v>
      </c>
      <c r="E8102" s="67">
        <f t="shared" si="20"/>
        <v>250</v>
      </c>
      <c r="F8102" s="67" t="str">
        <f t="shared" si="12"/>
        <v>1 LeadGen Set Appointments</v>
      </c>
    </row>
    <row r="8103" hidden="1">
      <c r="A8103" s="6" t="s">
        <v>97</v>
      </c>
      <c r="B8103" s="13" t="s">
        <v>2841</v>
      </c>
      <c r="C8103" s="13" t="s">
        <v>2842</v>
      </c>
      <c r="D8103" s="15">
        <v>1.0</v>
      </c>
      <c r="E8103" s="67">
        <f t="shared" si="20"/>
        <v>250</v>
      </c>
      <c r="F8103" s="67" t="str">
        <f t="shared" si="12"/>
        <v>1 LeadGen Set Appointments</v>
      </c>
    </row>
    <row r="8104" hidden="1">
      <c r="A8104" s="6" t="s">
        <v>97</v>
      </c>
      <c r="B8104" s="13" t="s">
        <v>2789</v>
      </c>
      <c r="C8104" s="13" t="s">
        <v>2790</v>
      </c>
      <c r="D8104" s="15">
        <v>1.0</v>
      </c>
      <c r="E8104" s="67">
        <f t="shared" si="20"/>
        <v>250</v>
      </c>
      <c r="F8104" s="67" t="str">
        <f t="shared" si="12"/>
        <v>1 LeadGen Set Appointments</v>
      </c>
    </row>
    <row r="8105" hidden="1">
      <c r="A8105" s="6" t="s">
        <v>97</v>
      </c>
      <c r="B8105" s="13" t="s">
        <v>1333</v>
      </c>
      <c r="C8105" s="13" t="s">
        <v>551</v>
      </c>
      <c r="D8105" s="15">
        <v>1.0</v>
      </c>
      <c r="E8105" s="67">
        <f t="shared" si="20"/>
        <v>250</v>
      </c>
      <c r="F8105" s="67" t="str">
        <f t="shared" si="12"/>
        <v>1 LeadGen Set Appointments</v>
      </c>
    </row>
    <row r="8106" hidden="1">
      <c r="A8106" s="6" t="s">
        <v>97</v>
      </c>
      <c r="B8106" s="13" t="s">
        <v>1430</v>
      </c>
      <c r="C8106" s="13" t="s">
        <v>1431</v>
      </c>
      <c r="D8106" s="15">
        <v>1.0</v>
      </c>
      <c r="E8106" s="67">
        <f t="shared" si="20"/>
        <v>250</v>
      </c>
      <c r="F8106" s="67" t="str">
        <f t="shared" si="12"/>
        <v>1 LeadGen Set Appointments</v>
      </c>
    </row>
    <row r="8107" hidden="1">
      <c r="A8107" s="6" t="s">
        <v>97</v>
      </c>
      <c r="B8107" s="13" t="s">
        <v>2894</v>
      </c>
      <c r="C8107" s="13" t="s">
        <v>2895</v>
      </c>
      <c r="D8107" s="15">
        <v>1.0</v>
      </c>
      <c r="E8107" s="67">
        <f t="shared" si="20"/>
        <v>250</v>
      </c>
      <c r="F8107" s="67" t="str">
        <f t="shared" si="12"/>
        <v>1 LeadGen Set Appointments</v>
      </c>
    </row>
    <row r="8108" hidden="1">
      <c r="A8108" s="6" t="s">
        <v>97</v>
      </c>
      <c r="B8108" s="13" t="s">
        <v>1321</v>
      </c>
      <c r="C8108" s="13" t="s">
        <v>1322</v>
      </c>
      <c r="D8108" s="15">
        <v>1.0</v>
      </c>
      <c r="E8108" s="67">
        <f t="shared" si="20"/>
        <v>250</v>
      </c>
      <c r="F8108" s="67" t="str">
        <f t="shared" si="12"/>
        <v>1 LeadGen Set Appointments</v>
      </c>
    </row>
    <row r="8109" hidden="1">
      <c r="A8109" s="6" t="s">
        <v>97</v>
      </c>
      <c r="B8109" s="13" t="s">
        <v>1736</v>
      </c>
      <c r="C8109" s="13" t="s">
        <v>1737</v>
      </c>
      <c r="D8109" s="15">
        <v>1.0</v>
      </c>
      <c r="E8109" s="67">
        <f t="shared" si="20"/>
        <v>250</v>
      </c>
      <c r="F8109" s="67" t="str">
        <f t="shared" si="12"/>
        <v>1 LeadGen Set Appointments</v>
      </c>
    </row>
    <row r="8110" hidden="1">
      <c r="A8110" s="6" t="s">
        <v>97</v>
      </c>
      <c r="B8110" s="13" t="s">
        <v>2824</v>
      </c>
      <c r="C8110" s="13" t="s">
        <v>2825</v>
      </c>
      <c r="D8110" s="15">
        <v>1.0</v>
      </c>
      <c r="E8110" s="67">
        <f t="shared" si="20"/>
        <v>250</v>
      </c>
      <c r="F8110" s="67" t="str">
        <f t="shared" si="12"/>
        <v>1 LeadGen Set Appointments</v>
      </c>
    </row>
    <row r="8111" hidden="1">
      <c r="A8111" s="6" t="s">
        <v>97</v>
      </c>
      <c r="B8111" s="13" t="s">
        <v>2268</v>
      </c>
      <c r="C8111" s="13" t="s">
        <v>2269</v>
      </c>
      <c r="D8111" s="15">
        <v>1.0</v>
      </c>
      <c r="E8111" s="67">
        <f t="shared" si="20"/>
        <v>250</v>
      </c>
      <c r="F8111" s="67" t="str">
        <f t="shared" si="12"/>
        <v>1 LeadGen Set Appointments</v>
      </c>
    </row>
    <row r="8112" hidden="1">
      <c r="A8112" s="6" t="s">
        <v>97</v>
      </c>
      <c r="B8112" s="13" t="s">
        <v>2896</v>
      </c>
      <c r="C8112" s="13" t="s">
        <v>2897</v>
      </c>
      <c r="D8112" s="15">
        <v>1.0</v>
      </c>
      <c r="E8112" s="67">
        <f t="shared" si="20"/>
        <v>250</v>
      </c>
      <c r="F8112" s="67" t="str">
        <f t="shared" si="12"/>
        <v>1 LeadGen Set Appointments</v>
      </c>
    </row>
    <row r="8113" hidden="1">
      <c r="A8113" s="6" t="s">
        <v>97</v>
      </c>
      <c r="B8113" s="13" t="s">
        <v>2898</v>
      </c>
      <c r="C8113" s="13" t="s">
        <v>2899</v>
      </c>
      <c r="D8113" s="15">
        <v>4.0</v>
      </c>
      <c r="E8113" s="67">
        <f t="shared" si="20"/>
        <v>1000</v>
      </c>
      <c r="F8113" s="67" t="str">
        <f t="shared" si="12"/>
        <v>4 LeadGen Set Appointments</v>
      </c>
    </row>
    <row r="8114" hidden="1">
      <c r="A8114" s="6" t="s">
        <v>97</v>
      </c>
      <c r="B8114" s="13" t="s">
        <v>1712</v>
      </c>
      <c r="C8114" s="13" t="s">
        <v>2900</v>
      </c>
      <c r="D8114" s="15">
        <v>3.0</v>
      </c>
      <c r="E8114" s="67">
        <f t="shared" si="20"/>
        <v>750</v>
      </c>
      <c r="F8114" s="67" t="str">
        <f t="shared" si="12"/>
        <v>3 LeadGen Set Appointments</v>
      </c>
    </row>
    <row r="8115" hidden="1">
      <c r="A8115" s="6" t="s">
        <v>97</v>
      </c>
      <c r="B8115" s="13" t="s">
        <v>1438</v>
      </c>
      <c r="C8115" s="13" t="s">
        <v>1439</v>
      </c>
      <c r="D8115" s="15">
        <v>1.0</v>
      </c>
      <c r="E8115" s="67">
        <f t="shared" si="20"/>
        <v>250</v>
      </c>
      <c r="F8115" s="67" t="str">
        <f t="shared" si="12"/>
        <v>1 LeadGen Set Appointments</v>
      </c>
    </row>
    <row r="8116" hidden="1">
      <c r="A8116" s="6" t="s">
        <v>97</v>
      </c>
      <c r="B8116" s="13" t="s">
        <v>672</v>
      </c>
      <c r="C8116" s="13" t="s">
        <v>673</v>
      </c>
      <c r="D8116" s="15">
        <v>2.0</v>
      </c>
      <c r="E8116" s="67">
        <f t="shared" si="20"/>
        <v>500</v>
      </c>
      <c r="F8116" s="67" t="str">
        <f t="shared" si="12"/>
        <v>2 LeadGen Set Appointments</v>
      </c>
    </row>
    <row r="8117" hidden="1">
      <c r="A8117" s="6" t="s">
        <v>97</v>
      </c>
      <c r="B8117" s="13" t="s">
        <v>2901</v>
      </c>
      <c r="C8117" s="13" t="s">
        <v>2902</v>
      </c>
      <c r="D8117" s="15">
        <v>1.0</v>
      </c>
      <c r="E8117" s="67">
        <f t="shared" si="20"/>
        <v>250</v>
      </c>
      <c r="F8117" s="67" t="str">
        <f t="shared" si="12"/>
        <v>1 LeadGen Set Appointments</v>
      </c>
    </row>
    <row r="8118" hidden="1">
      <c r="A8118" s="6" t="s">
        <v>97</v>
      </c>
      <c r="B8118" s="13" t="s">
        <v>2903</v>
      </c>
      <c r="C8118" s="13" t="s">
        <v>2904</v>
      </c>
      <c r="D8118" s="15">
        <v>1.0</v>
      </c>
      <c r="E8118" s="67">
        <f t="shared" si="20"/>
        <v>250</v>
      </c>
      <c r="F8118" s="67" t="str">
        <f t="shared" si="12"/>
        <v>1 LeadGen Set Appointments</v>
      </c>
    </row>
    <row r="8119" hidden="1">
      <c r="A8119" s="6" t="s">
        <v>98</v>
      </c>
      <c r="B8119" s="13" t="s">
        <v>476</v>
      </c>
      <c r="C8119" s="13" t="s">
        <v>477</v>
      </c>
      <c r="D8119" s="15">
        <v>54.0</v>
      </c>
      <c r="E8119" s="67">
        <f t="shared" si="20"/>
        <v>27000</v>
      </c>
      <c r="F8119" s="67" t="str">
        <f t="shared" si="12"/>
        <v>54 LeadGen Set Appointments</v>
      </c>
    </row>
    <row r="8120" hidden="1">
      <c r="A8120" s="6" t="s">
        <v>98</v>
      </c>
      <c r="B8120" s="13" t="s">
        <v>644</v>
      </c>
      <c r="C8120" s="13" t="s">
        <v>645</v>
      </c>
      <c r="D8120" s="15">
        <v>51.0</v>
      </c>
      <c r="E8120" s="67">
        <f t="shared" si="20"/>
        <v>25500</v>
      </c>
      <c r="F8120" s="67" t="str">
        <f t="shared" si="12"/>
        <v>51 LeadGen Set Appointments</v>
      </c>
    </row>
    <row r="8121" hidden="1">
      <c r="A8121" s="6" t="s">
        <v>98</v>
      </c>
      <c r="B8121" s="13" t="s">
        <v>723</v>
      </c>
      <c r="C8121" s="13" t="s">
        <v>724</v>
      </c>
      <c r="D8121" s="15">
        <v>30.0</v>
      </c>
      <c r="E8121" s="67">
        <f t="shared" si="20"/>
        <v>15000</v>
      </c>
      <c r="F8121" s="67" t="str">
        <f t="shared" si="12"/>
        <v>30 LeadGen Set Appointments</v>
      </c>
    </row>
    <row r="8122" hidden="1">
      <c r="A8122" s="6" t="s">
        <v>98</v>
      </c>
      <c r="B8122" s="13" t="s">
        <v>540</v>
      </c>
      <c r="C8122" s="13" t="s">
        <v>541</v>
      </c>
      <c r="D8122" s="15">
        <v>27.0</v>
      </c>
      <c r="E8122" s="67">
        <f t="shared" si="20"/>
        <v>13500</v>
      </c>
      <c r="F8122" s="67" t="str">
        <f t="shared" si="12"/>
        <v>27 LeadGen Set Appointments</v>
      </c>
    </row>
    <row r="8123" hidden="1">
      <c r="A8123" s="6" t="s">
        <v>98</v>
      </c>
      <c r="B8123" s="13" t="s">
        <v>411</v>
      </c>
      <c r="C8123" s="13" t="s">
        <v>412</v>
      </c>
      <c r="D8123" s="15">
        <v>22.0</v>
      </c>
      <c r="E8123" s="67">
        <f t="shared" si="20"/>
        <v>11000</v>
      </c>
      <c r="F8123" s="67" t="str">
        <f t="shared" si="12"/>
        <v>22 LeadGen Set Appointments</v>
      </c>
    </row>
    <row r="8124" hidden="1">
      <c r="A8124" s="6" t="s">
        <v>98</v>
      </c>
      <c r="B8124" s="13" t="s">
        <v>640</v>
      </c>
      <c r="C8124" s="13" t="s">
        <v>641</v>
      </c>
      <c r="D8124" s="15">
        <v>20.0</v>
      </c>
      <c r="E8124" s="67">
        <f t="shared" si="20"/>
        <v>10000</v>
      </c>
      <c r="F8124" s="67" t="str">
        <f t="shared" si="12"/>
        <v>20 LeadGen Set Appointments</v>
      </c>
    </row>
    <row r="8125" hidden="1">
      <c r="A8125" s="6" t="s">
        <v>98</v>
      </c>
      <c r="B8125" s="13" t="s">
        <v>1865</v>
      </c>
      <c r="C8125" s="13" t="s">
        <v>1866</v>
      </c>
      <c r="D8125" s="15">
        <v>20.0</v>
      </c>
      <c r="E8125" s="67">
        <f t="shared" si="20"/>
        <v>10000</v>
      </c>
      <c r="F8125" s="67" t="str">
        <f t="shared" si="12"/>
        <v>20 LeadGen Set Appointments</v>
      </c>
    </row>
    <row r="8126" hidden="1">
      <c r="A8126" s="6" t="s">
        <v>98</v>
      </c>
      <c r="B8126" s="13" t="s">
        <v>1461</v>
      </c>
      <c r="C8126" s="13" t="s">
        <v>1462</v>
      </c>
      <c r="D8126" s="15">
        <v>19.0</v>
      </c>
      <c r="E8126" s="67">
        <f t="shared" si="20"/>
        <v>9500</v>
      </c>
      <c r="F8126" s="67" t="str">
        <f t="shared" si="12"/>
        <v>19 LeadGen Set Appointments</v>
      </c>
    </row>
    <row r="8127" hidden="1">
      <c r="A8127" s="6" t="s">
        <v>98</v>
      </c>
      <c r="B8127" s="13" t="s">
        <v>1426</v>
      </c>
      <c r="C8127" s="13" t="s">
        <v>1427</v>
      </c>
      <c r="D8127" s="15">
        <v>17.0</v>
      </c>
      <c r="E8127" s="67">
        <f t="shared" si="20"/>
        <v>8500</v>
      </c>
      <c r="F8127" s="67" t="str">
        <f t="shared" si="12"/>
        <v>17 LeadGen Set Appointments</v>
      </c>
    </row>
    <row r="8128" hidden="1">
      <c r="A8128" s="6" t="s">
        <v>98</v>
      </c>
      <c r="B8128" s="13" t="s">
        <v>1493</v>
      </c>
      <c r="C8128" s="13" t="s">
        <v>1494</v>
      </c>
      <c r="D8128" s="15">
        <v>15.0</v>
      </c>
      <c r="E8128" s="67">
        <f t="shared" si="20"/>
        <v>7500</v>
      </c>
      <c r="F8128" s="67" t="str">
        <f t="shared" si="12"/>
        <v>15 LeadGen Set Appointments</v>
      </c>
    </row>
    <row r="8129" hidden="1">
      <c r="A8129" s="6" t="s">
        <v>98</v>
      </c>
      <c r="B8129" s="13" t="s">
        <v>486</v>
      </c>
      <c r="C8129" s="13" t="s">
        <v>487</v>
      </c>
      <c r="D8129" s="15">
        <v>14.0</v>
      </c>
      <c r="E8129" s="67">
        <f t="shared" si="20"/>
        <v>7000</v>
      </c>
      <c r="F8129" s="67" t="str">
        <f t="shared" si="12"/>
        <v>14 LeadGen Set Appointments</v>
      </c>
    </row>
    <row r="8130" hidden="1">
      <c r="A8130" s="6" t="s">
        <v>98</v>
      </c>
      <c r="B8130" s="13" t="s">
        <v>590</v>
      </c>
      <c r="C8130" s="13" t="s">
        <v>591</v>
      </c>
      <c r="D8130" s="15">
        <v>14.0</v>
      </c>
      <c r="E8130" s="67">
        <f t="shared" si="20"/>
        <v>7000</v>
      </c>
      <c r="F8130" s="67" t="str">
        <f t="shared" si="12"/>
        <v>14 LeadGen Set Appointments</v>
      </c>
    </row>
    <row r="8131" hidden="1">
      <c r="A8131" s="6" t="s">
        <v>98</v>
      </c>
      <c r="B8131" s="13" t="s">
        <v>443</v>
      </c>
      <c r="C8131" s="13" t="s">
        <v>444</v>
      </c>
      <c r="D8131" s="15">
        <v>14.0</v>
      </c>
      <c r="E8131" s="67">
        <f t="shared" si="20"/>
        <v>7000</v>
      </c>
      <c r="F8131" s="67" t="str">
        <f t="shared" si="12"/>
        <v>14 LeadGen Set Appointments</v>
      </c>
    </row>
    <row r="8132" hidden="1">
      <c r="A8132" s="6" t="s">
        <v>98</v>
      </c>
      <c r="B8132" s="13" t="s">
        <v>699</v>
      </c>
      <c r="C8132" s="13" t="s">
        <v>700</v>
      </c>
      <c r="D8132" s="15">
        <v>14.0</v>
      </c>
      <c r="E8132" s="67">
        <f t="shared" si="20"/>
        <v>7000</v>
      </c>
      <c r="F8132" s="67" t="str">
        <f t="shared" si="12"/>
        <v>14 LeadGen Set Appointments</v>
      </c>
    </row>
    <row r="8133" hidden="1">
      <c r="A8133" s="6" t="s">
        <v>98</v>
      </c>
      <c r="B8133" s="13" t="s">
        <v>1471</v>
      </c>
      <c r="C8133" s="13" t="s">
        <v>1472</v>
      </c>
      <c r="D8133" s="15">
        <v>14.0</v>
      </c>
      <c r="E8133" s="67">
        <f t="shared" si="20"/>
        <v>7000</v>
      </c>
      <c r="F8133" s="67" t="str">
        <f t="shared" si="12"/>
        <v>14 LeadGen Set Appointments</v>
      </c>
    </row>
    <row r="8134" hidden="1">
      <c r="A8134" s="6" t="s">
        <v>98</v>
      </c>
      <c r="B8134" s="13" t="s">
        <v>516</v>
      </c>
      <c r="C8134" s="13" t="s">
        <v>517</v>
      </c>
      <c r="D8134" s="15">
        <v>13.0</v>
      </c>
      <c r="E8134" s="67">
        <f t="shared" si="20"/>
        <v>6500</v>
      </c>
      <c r="F8134" s="67" t="str">
        <f t="shared" si="12"/>
        <v>13 LeadGen Set Appointments</v>
      </c>
    </row>
    <row r="8135" hidden="1">
      <c r="A8135" s="6" t="s">
        <v>98</v>
      </c>
      <c r="B8135" s="13" t="s">
        <v>766</v>
      </c>
      <c r="C8135" s="13" t="s">
        <v>767</v>
      </c>
      <c r="D8135" s="15">
        <v>13.0</v>
      </c>
      <c r="E8135" s="67">
        <f t="shared" si="20"/>
        <v>6500</v>
      </c>
      <c r="F8135" s="67" t="str">
        <f t="shared" si="12"/>
        <v>13 LeadGen Set Appointments</v>
      </c>
    </row>
    <row r="8136" hidden="1">
      <c r="A8136" s="6" t="s">
        <v>98</v>
      </c>
      <c r="B8136" s="13" t="s">
        <v>435</v>
      </c>
      <c r="C8136" s="13" t="s">
        <v>436</v>
      </c>
      <c r="D8136" s="15">
        <v>13.0</v>
      </c>
      <c r="E8136" s="67">
        <f t="shared" si="20"/>
        <v>6500</v>
      </c>
      <c r="F8136" s="67" t="str">
        <f t="shared" si="12"/>
        <v>13 LeadGen Set Appointments</v>
      </c>
    </row>
    <row r="8137" hidden="1">
      <c r="A8137" s="6" t="s">
        <v>98</v>
      </c>
      <c r="B8137" s="13" t="s">
        <v>1415</v>
      </c>
      <c r="C8137" s="13" t="s">
        <v>1416</v>
      </c>
      <c r="D8137" s="15">
        <v>12.0</v>
      </c>
      <c r="E8137" s="67">
        <f t="shared" si="20"/>
        <v>6000</v>
      </c>
      <c r="F8137" s="67" t="str">
        <f t="shared" si="12"/>
        <v>12 LeadGen Set Appointments</v>
      </c>
    </row>
    <row r="8138" hidden="1">
      <c r="A8138" s="6" t="s">
        <v>98</v>
      </c>
      <c r="B8138" s="13" t="s">
        <v>1421</v>
      </c>
      <c r="C8138" s="13" t="s">
        <v>712</v>
      </c>
      <c r="D8138" s="15">
        <v>12.0</v>
      </c>
      <c r="E8138" s="67">
        <f t="shared" si="20"/>
        <v>6000</v>
      </c>
      <c r="F8138" s="67" t="str">
        <f t="shared" si="12"/>
        <v>12 LeadGen Set Appointments</v>
      </c>
    </row>
    <row r="8139" hidden="1">
      <c r="A8139" s="6" t="s">
        <v>98</v>
      </c>
      <c r="B8139" s="13" t="s">
        <v>622</v>
      </c>
      <c r="C8139" s="13" t="s">
        <v>623</v>
      </c>
      <c r="D8139" s="15">
        <v>12.0</v>
      </c>
      <c r="E8139" s="67">
        <f t="shared" si="20"/>
        <v>6000</v>
      </c>
      <c r="F8139" s="67" t="str">
        <f t="shared" si="12"/>
        <v>12 LeadGen Set Appointments</v>
      </c>
    </row>
    <row r="8140" hidden="1">
      <c r="A8140" s="6" t="s">
        <v>98</v>
      </c>
      <c r="B8140" s="13" t="s">
        <v>746</v>
      </c>
      <c r="C8140" s="13" t="s">
        <v>747</v>
      </c>
      <c r="D8140" s="15">
        <v>12.0</v>
      </c>
      <c r="E8140" s="67">
        <f t="shared" si="20"/>
        <v>6000</v>
      </c>
      <c r="F8140" s="67" t="str">
        <f t="shared" si="12"/>
        <v>12 LeadGen Set Appointments</v>
      </c>
    </row>
    <row r="8141" hidden="1">
      <c r="A8141" s="6" t="s">
        <v>98</v>
      </c>
      <c r="B8141" s="13" t="s">
        <v>736</v>
      </c>
      <c r="C8141" s="13" t="s">
        <v>737</v>
      </c>
      <c r="D8141" s="15">
        <v>11.0</v>
      </c>
      <c r="E8141" s="67">
        <f t="shared" si="20"/>
        <v>5500</v>
      </c>
      <c r="F8141" s="67" t="str">
        <f t="shared" si="12"/>
        <v>11 LeadGen Set Appointments</v>
      </c>
    </row>
    <row r="8142" hidden="1">
      <c r="A8142" s="6" t="s">
        <v>98</v>
      </c>
      <c r="B8142" s="13" t="s">
        <v>1692</v>
      </c>
      <c r="C8142" s="13" t="s">
        <v>1693</v>
      </c>
      <c r="D8142" s="15">
        <v>11.0</v>
      </c>
      <c r="E8142" s="67">
        <f t="shared" si="20"/>
        <v>5500</v>
      </c>
      <c r="F8142" s="67" t="str">
        <f t="shared" si="12"/>
        <v>11 LeadGen Set Appointments</v>
      </c>
    </row>
    <row r="8143" hidden="1">
      <c r="A8143" s="6" t="s">
        <v>98</v>
      </c>
      <c r="B8143" s="13" t="s">
        <v>315</v>
      </c>
      <c r="C8143" s="13" t="s">
        <v>2819</v>
      </c>
      <c r="D8143" s="15">
        <v>11.0</v>
      </c>
      <c r="E8143" s="67">
        <f t="shared" si="20"/>
        <v>5500</v>
      </c>
      <c r="F8143" s="67" t="str">
        <f t="shared" si="12"/>
        <v>11 LeadGen Set Appointments</v>
      </c>
    </row>
    <row r="8144" hidden="1">
      <c r="A8144" s="6" t="s">
        <v>98</v>
      </c>
      <c r="B8144" s="13" t="s">
        <v>2548</v>
      </c>
      <c r="C8144" s="13" t="s">
        <v>2549</v>
      </c>
      <c r="D8144" s="15">
        <v>10.0</v>
      </c>
      <c r="E8144" s="67">
        <f t="shared" si="20"/>
        <v>5000</v>
      </c>
      <c r="F8144" s="67" t="str">
        <f t="shared" si="12"/>
        <v>10 LeadGen Set Appointments</v>
      </c>
    </row>
    <row r="8145" hidden="1">
      <c r="A8145" s="6" t="s">
        <v>98</v>
      </c>
      <c r="B8145" s="13" t="s">
        <v>546</v>
      </c>
      <c r="C8145" s="13" t="s">
        <v>547</v>
      </c>
      <c r="D8145" s="15">
        <v>10.0</v>
      </c>
      <c r="E8145" s="67">
        <f t="shared" si="20"/>
        <v>5000</v>
      </c>
      <c r="F8145" s="67" t="str">
        <f t="shared" si="12"/>
        <v>10 LeadGen Set Appointments</v>
      </c>
    </row>
    <row r="8146" hidden="1">
      <c r="A8146" s="6" t="s">
        <v>98</v>
      </c>
      <c r="B8146" s="13" t="s">
        <v>2640</v>
      </c>
      <c r="C8146" s="13" t="s">
        <v>2641</v>
      </c>
      <c r="D8146" s="15">
        <v>10.0</v>
      </c>
      <c r="E8146" s="67">
        <f t="shared" si="20"/>
        <v>5000</v>
      </c>
      <c r="F8146" s="67" t="str">
        <f t="shared" si="12"/>
        <v>10 LeadGen Set Appointments</v>
      </c>
    </row>
    <row r="8147" hidden="1">
      <c r="A8147" s="6" t="s">
        <v>98</v>
      </c>
      <c r="B8147" s="13" t="s">
        <v>524</v>
      </c>
      <c r="C8147" s="13" t="s">
        <v>525</v>
      </c>
      <c r="D8147" s="15">
        <v>10.0</v>
      </c>
      <c r="E8147" s="67">
        <f t="shared" si="20"/>
        <v>5000</v>
      </c>
      <c r="F8147" s="67" t="str">
        <f t="shared" si="12"/>
        <v>10 LeadGen Set Appointments</v>
      </c>
    </row>
    <row r="8148" hidden="1">
      <c r="A8148" s="6" t="s">
        <v>98</v>
      </c>
      <c r="B8148" s="13" t="s">
        <v>510</v>
      </c>
      <c r="C8148" s="13" t="s">
        <v>511</v>
      </c>
      <c r="D8148" s="15">
        <v>10.0</v>
      </c>
      <c r="E8148" s="67">
        <f t="shared" si="20"/>
        <v>5000</v>
      </c>
      <c r="F8148" s="67" t="str">
        <f t="shared" si="12"/>
        <v>10 LeadGen Set Appointments</v>
      </c>
    </row>
    <row r="8149" hidden="1">
      <c r="A8149" s="6" t="s">
        <v>98</v>
      </c>
      <c r="B8149" s="13" t="s">
        <v>1923</v>
      </c>
      <c r="C8149" s="13" t="s">
        <v>1924</v>
      </c>
      <c r="D8149" s="15">
        <v>10.0</v>
      </c>
      <c r="E8149" s="67">
        <f t="shared" si="20"/>
        <v>5000</v>
      </c>
      <c r="F8149" s="67" t="str">
        <f t="shared" si="12"/>
        <v>10 LeadGen Set Appointments</v>
      </c>
    </row>
    <row r="8150" hidden="1">
      <c r="A8150" s="6" t="s">
        <v>98</v>
      </c>
      <c r="B8150" s="13" t="s">
        <v>624</v>
      </c>
      <c r="C8150" s="13" t="s">
        <v>625</v>
      </c>
      <c r="D8150" s="15">
        <v>10.0</v>
      </c>
      <c r="E8150" s="67">
        <f t="shared" si="20"/>
        <v>5000</v>
      </c>
      <c r="F8150" s="67" t="str">
        <f t="shared" si="12"/>
        <v>10 LeadGen Set Appointments</v>
      </c>
    </row>
    <row r="8151" hidden="1">
      <c r="A8151" s="6" t="s">
        <v>98</v>
      </c>
      <c r="B8151" s="13" t="s">
        <v>2878</v>
      </c>
      <c r="C8151" s="13" t="s">
        <v>2879</v>
      </c>
      <c r="D8151" s="15">
        <v>10.0</v>
      </c>
      <c r="E8151" s="67">
        <f t="shared" si="20"/>
        <v>5000</v>
      </c>
      <c r="F8151" s="67" t="str">
        <f t="shared" si="12"/>
        <v>10 LeadGen Set Appointments</v>
      </c>
    </row>
    <row r="8152" hidden="1">
      <c r="A8152" s="6" t="s">
        <v>98</v>
      </c>
      <c r="B8152" s="13" t="s">
        <v>413</v>
      </c>
      <c r="C8152" s="13" t="s">
        <v>414</v>
      </c>
      <c r="D8152" s="15">
        <v>10.0</v>
      </c>
      <c r="E8152" s="67">
        <f t="shared" si="20"/>
        <v>5000</v>
      </c>
      <c r="F8152" s="67" t="str">
        <f t="shared" si="12"/>
        <v>10 LeadGen Set Appointments</v>
      </c>
    </row>
    <row r="8153" hidden="1">
      <c r="A8153" s="6" t="s">
        <v>98</v>
      </c>
      <c r="B8153" s="13" t="s">
        <v>2523</v>
      </c>
      <c r="C8153" s="13" t="s">
        <v>2524</v>
      </c>
      <c r="D8153" s="15">
        <v>9.0</v>
      </c>
      <c r="E8153" s="67">
        <f t="shared" si="20"/>
        <v>2250</v>
      </c>
      <c r="F8153" s="67" t="str">
        <f t="shared" si="12"/>
        <v>9 LeadGen Set Appointments</v>
      </c>
    </row>
    <row r="8154" hidden="1">
      <c r="A8154" s="6" t="s">
        <v>98</v>
      </c>
      <c r="B8154" s="13" t="s">
        <v>2820</v>
      </c>
      <c r="C8154" s="13" t="s">
        <v>2821</v>
      </c>
      <c r="D8154" s="15">
        <v>9.0</v>
      </c>
      <c r="E8154" s="67">
        <f t="shared" si="20"/>
        <v>2250</v>
      </c>
      <c r="F8154" s="67" t="str">
        <f t="shared" si="12"/>
        <v>9 LeadGen Set Appointments</v>
      </c>
    </row>
    <row r="8155" hidden="1">
      <c r="A8155" s="6" t="s">
        <v>98</v>
      </c>
      <c r="B8155" s="13" t="s">
        <v>752</v>
      </c>
      <c r="C8155" s="13" t="s">
        <v>753</v>
      </c>
      <c r="D8155" s="15">
        <v>9.0</v>
      </c>
      <c r="E8155" s="67">
        <f t="shared" si="20"/>
        <v>2250</v>
      </c>
      <c r="F8155" s="67" t="str">
        <f t="shared" si="12"/>
        <v>9 LeadGen Set Appointments</v>
      </c>
    </row>
    <row r="8156" hidden="1">
      <c r="A8156" s="6" t="s">
        <v>98</v>
      </c>
      <c r="B8156" s="13" t="s">
        <v>1393</v>
      </c>
      <c r="C8156" s="13" t="s">
        <v>1394</v>
      </c>
      <c r="D8156" s="15">
        <v>9.0</v>
      </c>
      <c r="E8156" s="67">
        <f t="shared" si="20"/>
        <v>2250</v>
      </c>
      <c r="F8156" s="67" t="str">
        <f t="shared" si="12"/>
        <v>9 LeadGen Set Appointments</v>
      </c>
    </row>
    <row r="8157" hidden="1">
      <c r="A8157" s="6" t="s">
        <v>98</v>
      </c>
      <c r="B8157" s="13" t="s">
        <v>2749</v>
      </c>
      <c r="C8157" s="13" t="s">
        <v>2750</v>
      </c>
      <c r="D8157" s="15">
        <v>9.0</v>
      </c>
      <c r="E8157" s="67">
        <f t="shared" si="20"/>
        <v>2250</v>
      </c>
      <c r="F8157" s="67" t="str">
        <f t="shared" si="12"/>
        <v>9 LeadGen Set Appointments</v>
      </c>
    </row>
    <row r="8158" hidden="1">
      <c r="A8158" s="6" t="s">
        <v>98</v>
      </c>
      <c r="B8158" s="13" t="s">
        <v>1712</v>
      </c>
      <c r="C8158" s="13" t="s">
        <v>2900</v>
      </c>
      <c r="D8158" s="15">
        <v>9.0</v>
      </c>
      <c r="E8158" s="67">
        <f t="shared" si="20"/>
        <v>2250</v>
      </c>
      <c r="F8158" s="67" t="str">
        <f t="shared" si="12"/>
        <v>9 LeadGen Set Appointments</v>
      </c>
    </row>
    <row r="8159" hidden="1">
      <c r="A8159" s="6" t="s">
        <v>98</v>
      </c>
      <c r="B8159" s="13" t="s">
        <v>2589</v>
      </c>
      <c r="C8159" s="13" t="s">
        <v>2590</v>
      </c>
      <c r="D8159" s="15">
        <v>9.0</v>
      </c>
      <c r="E8159" s="67">
        <f t="shared" si="20"/>
        <v>2250</v>
      </c>
      <c r="F8159" s="67" t="str">
        <f t="shared" si="12"/>
        <v>9 LeadGen Set Appointments</v>
      </c>
    </row>
    <row r="8160" hidden="1">
      <c r="A8160" s="6" t="s">
        <v>98</v>
      </c>
      <c r="B8160" s="13" t="s">
        <v>542</v>
      </c>
      <c r="C8160" s="13" t="s">
        <v>543</v>
      </c>
      <c r="D8160" s="15">
        <v>8.0</v>
      </c>
      <c r="E8160" s="67">
        <f t="shared" si="20"/>
        <v>2000</v>
      </c>
      <c r="F8160" s="67" t="str">
        <f t="shared" si="12"/>
        <v>8 LeadGen Set Appointments</v>
      </c>
    </row>
    <row r="8161" hidden="1">
      <c r="A8161" s="6" t="s">
        <v>98</v>
      </c>
      <c r="B8161" s="13" t="s">
        <v>2898</v>
      </c>
      <c r="C8161" s="13" t="s">
        <v>2899</v>
      </c>
      <c r="D8161" s="15">
        <v>8.0</v>
      </c>
      <c r="E8161" s="67">
        <f t="shared" si="20"/>
        <v>2000</v>
      </c>
      <c r="F8161" s="67" t="str">
        <f t="shared" si="12"/>
        <v>8 LeadGen Set Appointments</v>
      </c>
    </row>
    <row r="8162" hidden="1">
      <c r="A8162" s="6" t="s">
        <v>98</v>
      </c>
      <c r="B8162" s="13" t="s">
        <v>262</v>
      </c>
      <c r="C8162" s="13" t="s">
        <v>290</v>
      </c>
      <c r="D8162" s="15">
        <v>8.0</v>
      </c>
      <c r="E8162" s="67">
        <f t="shared" si="20"/>
        <v>2000</v>
      </c>
      <c r="F8162" s="67" t="str">
        <f t="shared" si="12"/>
        <v>8 LeadGen Set Appointments</v>
      </c>
    </row>
    <row r="8163" hidden="1">
      <c r="A8163" s="6" t="s">
        <v>98</v>
      </c>
      <c r="B8163" s="13" t="s">
        <v>725</v>
      </c>
      <c r="C8163" s="13" t="s">
        <v>726</v>
      </c>
      <c r="D8163" s="15">
        <v>8.0</v>
      </c>
      <c r="E8163" s="67">
        <f t="shared" si="20"/>
        <v>2000</v>
      </c>
      <c r="F8163" s="67" t="str">
        <f t="shared" si="12"/>
        <v>8 LeadGen Set Appointments</v>
      </c>
    </row>
    <row r="8164" hidden="1">
      <c r="A8164" s="6" t="s">
        <v>98</v>
      </c>
      <c r="B8164" s="13" t="s">
        <v>518</v>
      </c>
      <c r="C8164" s="13" t="s">
        <v>519</v>
      </c>
      <c r="D8164" s="15">
        <v>8.0</v>
      </c>
      <c r="E8164" s="67">
        <f t="shared" si="20"/>
        <v>2000</v>
      </c>
      <c r="F8164" s="67" t="str">
        <f t="shared" si="12"/>
        <v>8 LeadGen Set Appointments</v>
      </c>
    </row>
    <row r="8165" hidden="1">
      <c r="A8165" s="6" t="s">
        <v>98</v>
      </c>
      <c r="B8165" s="13" t="s">
        <v>532</v>
      </c>
      <c r="C8165" s="13" t="s">
        <v>533</v>
      </c>
      <c r="D8165" s="15">
        <v>8.0</v>
      </c>
      <c r="E8165" s="67">
        <f t="shared" si="20"/>
        <v>2000</v>
      </c>
      <c r="F8165" s="67" t="str">
        <f t="shared" si="12"/>
        <v>8 LeadGen Set Appointments</v>
      </c>
    </row>
    <row r="8166" hidden="1">
      <c r="A8166" s="6" t="s">
        <v>98</v>
      </c>
      <c r="B8166" s="13" t="s">
        <v>2872</v>
      </c>
      <c r="C8166" s="13" t="s">
        <v>2873</v>
      </c>
      <c r="D8166" s="15">
        <v>8.0</v>
      </c>
      <c r="E8166" s="67">
        <f t="shared" si="20"/>
        <v>2000</v>
      </c>
      <c r="F8166" s="67" t="str">
        <f t="shared" si="12"/>
        <v>8 LeadGen Set Appointments</v>
      </c>
    </row>
    <row r="8167" hidden="1">
      <c r="A8167" s="6" t="s">
        <v>98</v>
      </c>
      <c r="B8167" s="13" t="s">
        <v>500</v>
      </c>
      <c r="C8167" s="13" t="s">
        <v>501</v>
      </c>
      <c r="D8167" s="15">
        <v>7.0</v>
      </c>
      <c r="E8167" s="67">
        <f t="shared" si="20"/>
        <v>1750</v>
      </c>
      <c r="F8167" s="67" t="str">
        <f t="shared" si="12"/>
        <v>7 LeadGen Set Appointments</v>
      </c>
    </row>
    <row r="8168" hidden="1">
      <c r="A8168" s="6" t="s">
        <v>98</v>
      </c>
      <c r="B8168" s="13" t="s">
        <v>431</v>
      </c>
      <c r="C8168" s="13" t="s">
        <v>432</v>
      </c>
      <c r="D8168" s="15">
        <v>7.0</v>
      </c>
      <c r="E8168" s="67">
        <f t="shared" si="20"/>
        <v>1750</v>
      </c>
      <c r="F8168" s="67" t="str">
        <f t="shared" si="12"/>
        <v>7 LeadGen Set Appointments</v>
      </c>
    </row>
    <row r="8169" hidden="1">
      <c r="A8169" s="6" t="s">
        <v>98</v>
      </c>
      <c r="B8169" s="13" t="s">
        <v>2890</v>
      </c>
      <c r="C8169" s="13" t="s">
        <v>2891</v>
      </c>
      <c r="D8169" s="15">
        <v>7.0</v>
      </c>
      <c r="E8169" s="67">
        <f t="shared" si="20"/>
        <v>1750</v>
      </c>
      <c r="F8169" s="67" t="str">
        <f t="shared" si="12"/>
        <v>7 LeadGen Set Appointments</v>
      </c>
    </row>
    <row r="8170" hidden="1">
      <c r="A8170" s="6" t="s">
        <v>98</v>
      </c>
      <c r="B8170" s="13" t="s">
        <v>302</v>
      </c>
      <c r="C8170" s="13" t="s">
        <v>2110</v>
      </c>
      <c r="D8170" s="15">
        <v>7.0</v>
      </c>
      <c r="E8170" s="67">
        <f t="shared" si="20"/>
        <v>1750</v>
      </c>
      <c r="F8170" s="67" t="str">
        <f t="shared" si="12"/>
        <v>7 LeadGen Set Appointments</v>
      </c>
    </row>
    <row r="8171" hidden="1">
      <c r="A8171" s="6" t="s">
        <v>98</v>
      </c>
      <c r="B8171" s="13" t="s">
        <v>2808</v>
      </c>
      <c r="C8171" s="13" t="s">
        <v>2809</v>
      </c>
      <c r="D8171" s="15">
        <v>7.0</v>
      </c>
      <c r="E8171" s="67">
        <f t="shared" si="20"/>
        <v>1750</v>
      </c>
      <c r="F8171" s="67" t="str">
        <f t="shared" si="12"/>
        <v>7 LeadGen Set Appointments</v>
      </c>
    </row>
    <row r="8172" hidden="1">
      <c r="A8172" s="6" t="s">
        <v>98</v>
      </c>
      <c r="B8172" s="13" t="s">
        <v>576</v>
      </c>
      <c r="C8172" s="13" t="s">
        <v>577</v>
      </c>
      <c r="D8172" s="15">
        <v>6.0</v>
      </c>
      <c r="E8172" s="67">
        <f t="shared" si="20"/>
        <v>1500</v>
      </c>
      <c r="F8172" s="67" t="str">
        <f t="shared" si="12"/>
        <v>6 LeadGen Set Appointments</v>
      </c>
    </row>
    <row r="8173" hidden="1">
      <c r="A8173" s="6" t="s">
        <v>98</v>
      </c>
      <c r="B8173" s="13" t="s">
        <v>2693</v>
      </c>
      <c r="C8173" s="13" t="s">
        <v>2694</v>
      </c>
      <c r="D8173" s="15">
        <v>6.0</v>
      </c>
      <c r="E8173" s="67">
        <f t="shared" si="20"/>
        <v>1500</v>
      </c>
      <c r="F8173" s="67" t="str">
        <f t="shared" si="12"/>
        <v>6 LeadGen Set Appointments</v>
      </c>
    </row>
    <row r="8174" hidden="1">
      <c r="A8174" s="6" t="s">
        <v>98</v>
      </c>
      <c r="B8174" s="13" t="s">
        <v>560</v>
      </c>
      <c r="C8174" s="13" t="s">
        <v>561</v>
      </c>
      <c r="D8174" s="15">
        <v>6.0</v>
      </c>
      <c r="E8174" s="67">
        <f t="shared" si="20"/>
        <v>1500</v>
      </c>
      <c r="F8174" s="67" t="str">
        <f t="shared" si="12"/>
        <v>6 LeadGen Set Appointments</v>
      </c>
    </row>
    <row r="8175" hidden="1">
      <c r="A8175" s="6" t="s">
        <v>98</v>
      </c>
      <c r="B8175" s="13" t="s">
        <v>288</v>
      </c>
      <c r="C8175" s="13" t="s">
        <v>2375</v>
      </c>
      <c r="D8175" s="15">
        <v>6.0</v>
      </c>
      <c r="E8175" s="67">
        <f t="shared" si="20"/>
        <v>1500</v>
      </c>
      <c r="F8175" s="67" t="str">
        <f t="shared" si="12"/>
        <v>6 LeadGen Set Appointments</v>
      </c>
    </row>
    <row r="8176" hidden="1">
      <c r="A8176" s="6" t="s">
        <v>98</v>
      </c>
      <c r="B8176" s="13" t="s">
        <v>2054</v>
      </c>
      <c r="C8176" s="13" t="s">
        <v>2055</v>
      </c>
      <c r="D8176" s="15">
        <v>6.0</v>
      </c>
      <c r="E8176" s="67">
        <f t="shared" si="20"/>
        <v>1500</v>
      </c>
      <c r="F8176" s="67" t="str">
        <f t="shared" si="12"/>
        <v>6 LeadGen Set Appointments</v>
      </c>
    </row>
    <row r="8177" hidden="1">
      <c r="A8177" s="6" t="s">
        <v>98</v>
      </c>
      <c r="B8177" s="13" t="s">
        <v>2609</v>
      </c>
      <c r="C8177" s="13" t="s">
        <v>2610</v>
      </c>
      <c r="D8177" s="15">
        <v>6.0</v>
      </c>
      <c r="E8177" s="67">
        <f t="shared" si="20"/>
        <v>1500</v>
      </c>
      <c r="F8177" s="67" t="str">
        <f t="shared" si="12"/>
        <v>6 LeadGen Set Appointments</v>
      </c>
    </row>
    <row r="8178" hidden="1">
      <c r="A8178" s="6" t="s">
        <v>98</v>
      </c>
      <c r="B8178" s="13" t="s">
        <v>502</v>
      </c>
      <c r="C8178" s="13" t="s">
        <v>503</v>
      </c>
      <c r="D8178" s="15">
        <v>6.0</v>
      </c>
      <c r="E8178" s="67">
        <f t="shared" si="20"/>
        <v>1500</v>
      </c>
      <c r="F8178" s="67" t="str">
        <f t="shared" si="12"/>
        <v>6 LeadGen Set Appointments</v>
      </c>
    </row>
    <row r="8179" hidden="1">
      <c r="A8179" s="6" t="s">
        <v>98</v>
      </c>
      <c r="B8179" s="13" t="s">
        <v>1279</v>
      </c>
      <c r="C8179" s="13" t="s">
        <v>739</v>
      </c>
      <c r="D8179" s="15">
        <v>6.0</v>
      </c>
      <c r="E8179" s="67">
        <f t="shared" si="20"/>
        <v>1500</v>
      </c>
      <c r="F8179" s="67" t="str">
        <f t="shared" si="12"/>
        <v>6 LeadGen Set Appointments</v>
      </c>
    </row>
    <row r="8180" hidden="1">
      <c r="A8180" s="6" t="s">
        <v>98</v>
      </c>
      <c r="B8180" s="13" t="s">
        <v>572</v>
      </c>
      <c r="C8180" s="13" t="s">
        <v>573</v>
      </c>
      <c r="D8180" s="15">
        <v>6.0</v>
      </c>
      <c r="E8180" s="67">
        <f t="shared" si="20"/>
        <v>1500</v>
      </c>
      <c r="F8180" s="67" t="str">
        <f t="shared" si="12"/>
        <v>6 LeadGen Set Appointments</v>
      </c>
    </row>
    <row r="8181" hidden="1">
      <c r="A8181" s="6" t="s">
        <v>98</v>
      </c>
      <c r="B8181" s="13" t="s">
        <v>2288</v>
      </c>
      <c r="C8181" s="13" t="s">
        <v>2289</v>
      </c>
      <c r="D8181" s="15">
        <v>6.0</v>
      </c>
      <c r="E8181" s="67">
        <f t="shared" si="20"/>
        <v>1500</v>
      </c>
      <c r="F8181" s="67" t="str">
        <f t="shared" si="12"/>
        <v>6 LeadGen Set Appointments</v>
      </c>
    </row>
    <row r="8182" hidden="1">
      <c r="A8182" s="6" t="s">
        <v>98</v>
      </c>
      <c r="B8182" s="13" t="s">
        <v>2814</v>
      </c>
      <c r="C8182" s="13" t="s">
        <v>2815</v>
      </c>
      <c r="D8182" s="15">
        <v>6.0</v>
      </c>
      <c r="E8182" s="67">
        <f t="shared" si="20"/>
        <v>1500</v>
      </c>
      <c r="F8182" s="67" t="str">
        <f t="shared" si="12"/>
        <v>6 LeadGen Set Appointments</v>
      </c>
    </row>
    <row r="8183" hidden="1">
      <c r="A8183" s="6" t="s">
        <v>98</v>
      </c>
      <c r="B8183" s="13" t="s">
        <v>258</v>
      </c>
      <c r="C8183" s="13" t="s">
        <v>2386</v>
      </c>
      <c r="D8183" s="15">
        <v>6.0</v>
      </c>
      <c r="E8183" s="67">
        <f t="shared" si="20"/>
        <v>1500</v>
      </c>
      <c r="F8183" s="67" t="str">
        <f t="shared" si="12"/>
        <v>6 LeadGen Set Appointments</v>
      </c>
    </row>
    <row r="8184" hidden="1">
      <c r="A8184" s="6" t="s">
        <v>98</v>
      </c>
      <c r="B8184" s="13" t="s">
        <v>701</v>
      </c>
      <c r="C8184" s="13" t="s">
        <v>702</v>
      </c>
      <c r="D8184" s="15">
        <v>6.0</v>
      </c>
      <c r="E8184" s="67">
        <f t="shared" si="20"/>
        <v>1500</v>
      </c>
      <c r="F8184" s="67" t="str">
        <f t="shared" si="12"/>
        <v>6 LeadGen Set Appointments</v>
      </c>
    </row>
    <row r="8185" hidden="1">
      <c r="A8185" s="6" t="s">
        <v>98</v>
      </c>
      <c r="B8185" s="13" t="s">
        <v>1283</v>
      </c>
      <c r="C8185" s="13" t="s">
        <v>404</v>
      </c>
      <c r="D8185" s="15">
        <v>6.0</v>
      </c>
      <c r="E8185" s="67">
        <f t="shared" si="20"/>
        <v>1500</v>
      </c>
      <c r="F8185" s="67" t="str">
        <f t="shared" si="12"/>
        <v>6 LeadGen Set Appointments</v>
      </c>
    </row>
    <row r="8186" hidden="1">
      <c r="A8186" s="6" t="s">
        <v>98</v>
      </c>
      <c r="B8186" s="13" t="s">
        <v>447</v>
      </c>
      <c r="C8186" s="13" t="s">
        <v>448</v>
      </c>
      <c r="D8186" s="15">
        <v>5.0</v>
      </c>
      <c r="E8186" s="67">
        <f t="shared" si="20"/>
        <v>1250</v>
      </c>
      <c r="F8186" s="67" t="str">
        <f t="shared" si="12"/>
        <v>5 LeadGen Set Appointments</v>
      </c>
    </row>
    <row r="8187" hidden="1">
      <c r="A8187" s="6" t="s">
        <v>98</v>
      </c>
      <c r="B8187" s="13" t="s">
        <v>1037</v>
      </c>
      <c r="C8187" s="13" t="s">
        <v>1038</v>
      </c>
      <c r="D8187" s="15">
        <v>5.0</v>
      </c>
      <c r="E8187" s="67">
        <f t="shared" si="20"/>
        <v>1250</v>
      </c>
      <c r="F8187" s="67" t="str">
        <f t="shared" si="12"/>
        <v>5 LeadGen Set Appointments</v>
      </c>
    </row>
    <row r="8188" hidden="1">
      <c r="A8188" s="6" t="s">
        <v>98</v>
      </c>
      <c r="B8188" s="13" t="s">
        <v>462</v>
      </c>
      <c r="C8188" s="13" t="s">
        <v>463</v>
      </c>
      <c r="D8188" s="15">
        <v>5.0</v>
      </c>
      <c r="E8188" s="67">
        <f t="shared" si="20"/>
        <v>1250</v>
      </c>
      <c r="F8188" s="67" t="str">
        <f t="shared" si="12"/>
        <v>5 LeadGen Set Appointments</v>
      </c>
    </row>
    <row r="8189" hidden="1">
      <c r="A8189" s="6" t="s">
        <v>98</v>
      </c>
      <c r="B8189" s="13" t="s">
        <v>1301</v>
      </c>
      <c r="C8189" s="13" t="s">
        <v>1302</v>
      </c>
      <c r="D8189" s="15">
        <v>5.0</v>
      </c>
      <c r="E8189" s="67">
        <f t="shared" si="20"/>
        <v>1250</v>
      </c>
      <c r="F8189" s="67" t="str">
        <f t="shared" si="12"/>
        <v>5 LeadGen Set Appointments</v>
      </c>
    </row>
    <row r="8190" hidden="1">
      <c r="A8190" s="6" t="s">
        <v>98</v>
      </c>
      <c r="B8190" s="13" t="s">
        <v>628</v>
      </c>
      <c r="C8190" s="13" t="s">
        <v>629</v>
      </c>
      <c r="D8190" s="15">
        <v>5.0</v>
      </c>
      <c r="E8190" s="67">
        <f t="shared" si="20"/>
        <v>1250</v>
      </c>
      <c r="F8190" s="67" t="str">
        <f t="shared" si="12"/>
        <v>5 LeadGen Set Appointments</v>
      </c>
    </row>
    <row r="8191" hidden="1">
      <c r="A8191" s="6" t="s">
        <v>98</v>
      </c>
      <c r="B8191" s="13" t="s">
        <v>1448</v>
      </c>
      <c r="C8191" s="13" t="s">
        <v>1449</v>
      </c>
      <c r="D8191" s="15">
        <v>5.0</v>
      </c>
      <c r="E8191" s="67">
        <f t="shared" si="20"/>
        <v>1250</v>
      </c>
      <c r="F8191" s="67" t="str">
        <f t="shared" si="12"/>
        <v>5 LeadGen Set Appointments</v>
      </c>
    </row>
    <row r="8192" hidden="1">
      <c r="A8192" s="6" t="s">
        <v>98</v>
      </c>
      <c r="B8192" s="13" t="s">
        <v>2299</v>
      </c>
      <c r="C8192" s="13" t="s">
        <v>2300</v>
      </c>
      <c r="D8192" s="15">
        <v>5.0</v>
      </c>
      <c r="E8192" s="67">
        <f t="shared" si="20"/>
        <v>1250</v>
      </c>
      <c r="F8192" s="67" t="str">
        <f t="shared" si="12"/>
        <v>5 LeadGen Set Appointments</v>
      </c>
    </row>
    <row r="8193" hidden="1">
      <c r="A8193" s="6" t="s">
        <v>98</v>
      </c>
      <c r="B8193" s="13" t="s">
        <v>684</v>
      </c>
      <c r="C8193" s="13" t="s">
        <v>685</v>
      </c>
      <c r="D8193" s="15">
        <v>5.0</v>
      </c>
      <c r="E8193" s="67">
        <f t="shared" si="20"/>
        <v>1250</v>
      </c>
      <c r="F8193" s="67" t="str">
        <f t="shared" si="12"/>
        <v>5 LeadGen Set Appointments</v>
      </c>
    </row>
    <row r="8194" hidden="1">
      <c r="A8194" s="6" t="s">
        <v>98</v>
      </c>
      <c r="B8194" s="13" t="s">
        <v>2179</v>
      </c>
      <c r="C8194" s="13" t="s">
        <v>2180</v>
      </c>
      <c r="D8194" s="15">
        <v>5.0</v>
      </c>
      <c r="E8194" s="67">
        <f t="shared" si="20"/>
        <v>1250</v>
      </c>
      <c r="F8194" s="67" t="str">
        <f t="shared" si="12"/>
        <v>5 LeadGen Set Appointments</v>
      </c>
    </row>
    <row r="8195" hidden="1">
      <c r="A8195" s="6" t="s">
        <v>98</v>
      </c>
      <c r="B8195" s="13" t="s">
        <v>2707</v>
      </c>
      <c r="C8195" s="13" t="s">
        <v>2708</v>
      </c>
      <c r="D8195" s="15">
        <v>5.0</v>
      </c>
      <c r="E8195" s="67">
        <f t="shared" si="20"/>
        <v>1250</v>
      </c>
      <c r="F8195" s="67" t="str">
        <f t="shared" si="12"/>
        <v>5 LeadGen Set Appointments</v>
      </c>
    </row>
    <row r="8196" hidden="1">
      <c r="A8196" s="6" t="s">
        <v>98</v>
      </c>
      <c r="B8196" s="13" t="s">
        <v>682</v>
      </c>
      <c r="C8196" s="13" t="s">
        <v>683</v>
      </c>
      <c r="D8196" s="15">
        <v>5.0</v>
      </c>
      <c r="E8196" s="67">
        <f t="shared" si="20"/>
        <v>1250</v>
      </c>
      <c r="F8196" s="67" t="str">
        <f t="shared" si="12"/>
        <v>5 LeadGen Set Appointments</v>
      </c>
    </row>
    <row r="8197" hidden="1">
      <c r="A8197" s="6" t="s">
        <v>98</v>
      </c>
      <c r="B8197" s="13" t="s">
        <v>693</v>
      </c>
      <c r="C8197" s="13" t="s">
        <v>694</v>
      </c>
      <c r="D8197" s="15">
        <v>5.0</v>
      </c>
      <c r="E8197" s="67">
        <f t="shared" si="20"/>
        <v>1250</v>
      </c>
      <c r="F8197" s="67" t="str">
        <f t="shared" si="12"/>
        <v>5 LeadGen Set Appointments</v>
      </c>
    </row>
    <row r="8198" hidden="1">
      <c r="A8198" s="6" t="s">
        <v>98</v>
      </c>
      <c r="B8198" s="13" t="s">
        <v>582</v>
      </c>
      <c r="C8198" s="13" t="s">
        <v>583</v>
      </c>
      <c r="D8198" s="15">
        <v>5.0</v>
      </c>
      <c r="E8198" s="67">
        <f t="shared" si="20"/>
        <v>1250</v>
      </c>
      <c r="F8198" s="67" t="str">
        <f t="shared" si="12"/>
        <v>5 LeadGen Set Appointments</v>
      </c>
    </row>
    <row r="8199" hidden="1">
      <c r="A8199" s="6" t="s">
        <v>98</v>
      </c>
      <c r="B8199" s="13" t="s">
        <v>1375</v>
      </c>
      <c r="C8199" s="13" t="s">
        <v>647</v>
      </c>
      <c r="D8199" s="15">
        <v>5.0</v>
      </c>
      <c r="E8199" s="67">
        <f t="shared" si="20"/>
        <v>1250</v>
      </c>
      <c r="F8199" s="67" t="str">
        <f t="shared" si="12"/>
        <v>5 LeadGen Set Appointments</v>
      </c>
    </row>
    <row r="8200" hidden="1">
      <c r="A8200" s="6" t="s">
        <v>98</v>
      </c>
      <c r="B8200" s="13" t="s">
        <v>1325</v>
      </c>
      <c r="C8200" s="13" t="s">
        <v>1326</v>
      </c>
      <c r="D8200" s="15">
        <v>5.0</v>
      </c>
      <c r="E8200" s="67">
        <f t="shared" si="20"/>
        <v>1250</v>
      </c>
      <c r="F8200" s="67" t="str">
        <f t="shared" si="12"/>
        <v>5 LeadGen Set Appointments</v>
      </c>
    </row>
    <row r="8201" hidden="1">
      <c r="A8201" s="6" t="s">
        <v>98</v>
      </c>
      <c r="B8201" s="13" t="s">
        <v>2713</v>
      </c>
      <c r="C8201" s="13" t="s">
        <v>61</v>
      </c>
      <c r="D8201" s="15">
        <v>5.0</v>
      </c>
      <c r="E8201" s="67">
        <f t="shared" si="20"/>
        <v>1250</v>
      </c>
      <c r="F8201" s="67" t="str">
        <f t="shared" si="12"/>
        <v>5 LeadGen Set Appointments</v>
      </c>
    </row>
    <row r="8202" hidden="1">
      <c r="A8202" s="6" t="s">
        <v>98</v>
      </c>
      <c r="B8202" s="13" t="s">
        <v>1736</v>
      </c>
      <c r="C8202" s="13" t="s">
        <v>1737</v>
      </c>
      <c r="D8202" s="15">
        <v>5.0</v>
      </c>
      <c r="E8202" s="67">
        <f t="shared" si="20"/>
        <v>1250</v>
      </c>
      <c r="F8202" s="67" t="str">
        <f t="shared" si="12"/>
        <v>5 LeadGen Set Appointments</v>
      </c>
    </row>
    <row r="8203" hidden="1">
      <c r="A8203" s="6" t="s">
        <v>98</v>
      </c>
      <c r="B8203" s="13" t="s">
        <v>2785</v>
      </c>
      <c r="C8203" s="13" t="s">
        <v>2786</v>
      </c>
      <c r="D8203" s="15">
        <v>5.0</v>
      </c>
      <c r="E8203" s="67">
        <f t="shared" si="20"/>
        <v>1250</v>
      </c>
      <c r="F8203" s="67" t="str">
        <f t="shared" si="12"/>
        <v>5 LeadGen Set Appointments</v>
      </c>
    </row>
    <row r="8204" hidden="1">
      <c r="A8204" s="6" t="s">
        <v>98</v>
      </c>
      <c r="B8204" s="13" t="s">
        <v>311</v>
      </c>
      <c r="C8204" s="13" t="s">
        <v>312</v>
      </c>
      <c r="D8204" s="15">
        <v>5.0</v>
      </c>
      <c r="E8204" s="67">
        <f t="shared" si="20"/>
        <v>1250</v>
      </c>
      <c r="F8204" s="67" t="str">
        <f t="shared" si="12"/>
        <v>5 LeadGen Set Appointments</v>
      </c>
    </row>
    <row r="8205" hidden="1">
      <c r="A8205" s="6" t="s">
        <v>98</v>
      </c>
      <c r="B8205" s="13" t="s">
        <v>2683</v>
      </c>
      <c r="C8205" s="13" t="s">
        <v>2684</v>
      </c>
      <c r="D8205" s="15">
        <v>4.0</v>
      </c>
      <c r="E8205" s="67">
        <f t="shared" si="20"/>
        <v>1000</v>
      </c>
      <c r="F8205" s="67" t="str">
        <f t="shared" si="12"/>
        <v>4 LeadGen Set Appointments</v>
      </c>
    </row>
    <row r="8206" hidden="1">
      <c r="A8206" s="6" t="s">
        <v>98</v>
      </c>
      <c r="B8206" s="13" t="s">
        <v>2034</v>
      </c>
      <c r="C8206" s="13" t="s">
        <v>416</v>
      </c>
      <c r="D8206" s="15">
        <v>4.0</v>
      </c>
      <c r="E8206" s="67">
        <f t="shared" si="20"/>
        <v>1000</v>
      </c>
      <c r="F8206" s="67" t="str">
        <f t="shared" si="12"/>
        <v>4 LeadGen Set Appointments</v>
      </c>
    </row>
    <row r="8207" hidden="1">
      <c r="A8207" s="6" t="s">
        <v>98</v>
      </c>
      <c r="B8207" s="13" t="s">
        <v>1344</v>
      </c>
      <c r="C8207" s="13" t="s">
        <v>569</v>
      </c>
      <c r="D8207" s="15">
        <v>4.0</v>
      </c>
      <c r="E8207" s="67">
        <f t="shared" si="20"/>
        <v>1000</v>
      </c>
      <c r="F8207" s="67" t="str">
        <f t="shared" si="12"/>
        <v>4 LeadGen Set Appointments</v>
      </c>
    </row>
    <row r="8208" hidden="1">
      <c r="A8208" s="6" t="s">
        <v>98</v>
      </c>
      <c r="B8208" s="13" t="s">
        <v>2832</v>
      </c>
      <c r="C8208" s="13" t="s">
        <v>2833</v>
      </c>
      <c r="D8208" s="15">
        <v>4.0</v>
      </c>
      <c r="E8208" s="67">
        <f t="shared" si="20"/>
        <v>1000</v>
      </c>
      <c r="F8208" s="67" t="str">
        <f t="shared" si="12"/>
        <v>4 LeadGen Set Appointments</v>
      </c>
    </row>
    <row r="8209" hidden="1">
      <c r="A8209" s="6" t="s">
        <v>98</v>
      </c>
      <c r="B8209" s="13" t="s">
        <v>1467</v>
      </c>
      <c r="C8209" s="13" t="s">
        <v>1468</v>
      </c>
      <c r="D8209" s="15">
        <v>4.0</v>
      </c>
      <c r="E8209" s="67">
        <f t="shared" si="20"/>
        <v>1000</v>
      </c>
      <c r="F8209" s="67" t="str">
        <f t="shared" si="12"/>
        <v>4 LeadGen Set Appointments</v>
      </c>
    </row>
    <row r="8210" hidden="1">
      <c r="A8210" s="6" t="s">
        <v>98</v>
      </c>
      <c r="B8210" s="13" t="s">
        <v>1919</v>
      </c>
      <c r="C8210" s="13" t="s">
        <v>2816</v>
      </c>
      <c r="D8210" s="15">
        <v>4.0</v>
      </c>
      <c r="E8210" s="67">
        <f t="shared" si="20"/>
        <v>1000</v>
      </c>
      <c r="F8210" s="67" t="str">
        <f t="shared" si="12"/>
        <v>4 LeadGen Set Appointments</v>
      </c>
    </row>
    <row r="8211" hidden="1">
      <c r="A8211" s="6" t="s">
        <v>98</v>
      </c>
      <c r="B8211" s="13" t="s">
        <v>1334</v>
      </c>
      <c r="C8211" s="13" t="s">
        <v>553</v>
      </c>
      <c r="D8211" s="15">
        <v>4.0</v>
      </c>
      <c r="E8211" s="67">
        <f t="shared" si="20"/>
        <v>1000</v>
      </c>
      <c r="F8211" s="67" t="str">
        <f t="shared" si="12"/>
        <v>4 LeadGen Set Appointments</v>
      </c>
    </row>
    <row r="8212" hidden="1">
      <c r="A8212" s="6" t="s">
        <v>98</v>
      </c>
      <c r="B8212" s="13" t="s">
        <v>2636</v>
      </c>
      <c r="C8212" s="13" t="s">
        <v>2637</v>
      </c>
      <c r="D8212" s="15">
        <v>4.0</v>
      </c>
      <c r="E8212" s="67">
        <f t="shared" si="20"/>
        <v>1000</v>
      </c>
      <c r="F8212" s="67" t="str">
        <f t="shared" si="12"/>
        <v>4 LeadGen Set Appointments</v>
      </c>
    </row>
    <row r="8213" hidden="1">
      <c r="A8213" s="6" t="s">
        <v>98</v>
      </c>
      <c r="B8213" s="13" t="s">
        <v>2097</v>
      </c>
      <c r="C8213" s="13" t="s">
        <v>828</v>
      </c>
      <c r="D8213" s="15">
        <v>4.0</v>
      </c>
      <c r="E8213" s="67">
        <f t="shared" si="20"/>
        <v>1000</v>
      </c>
      <c r="F8213" s="67" t="str">
        <f t="shared" si="12"/>
        <v>4 LeadGen Set Appointments</v>
      </c>
    </row>
    <row r="8214" hidden="1">
      <c r="A8214" s="6" t="s">
        <v>98</v>
      </c>
      <c r="B8214" s="13" t="s">
        <v>1443</v>
      </c>
      <c r="C8214" s="13" t="s">
        <v>755</v>
      </c>
      <c r="D8214" s="15">
        <v>4.0</v>
      </c>
      <c r="E8214" s="67">
        <f t="shared" si="20"/>
        <v>1000</v>
      </c>
      <c r="F8214" s="67" t="str">
        <f t="shared" si="12"/>
        <v>4 LeadGen Set Appointments</v>
      </c>
    </row>
    <row r="8215" hidden="1">
      <c r="A8215" s="6" t="s">
        <v>98</v>
      </c>
      <c r="B8215" s="13" t="s">
        <v>2665</v>
      </c>
      <c r="C8215" s="13" t="s">
        <v>2666</v>
      </c>
      <c r="D8215" s="15">
        <v>4.0</v>
      </c>
      <c r="E8215" s="67">
        <f t="shared" si="20"/>
        <v>1000</v>
      </c>
      <c r="F8215" s="67" t="str">
        <f t="shared" si="12"/>
        <v>4 LeadGen Set Appointments</v>
      </c>
    </row>
    <row r="8216" hidden="1">
      <c r="A8216" s="6" t="s">
        <v>98</v>
      </c>
      <c r="B8216" s="13" t="s">
        <v>2100</v>
      </c>
      <c r="C8216" s="13" t="s">
        <v>2101</v>
      </c>
      <c r="D8216" s="15">
        <v>4.0</v>
      </c>
      <c r="E8216" s="67">
        <f t="shared" si="20"/>
        <v>1000</v>
      </c>
      <c r="F8216" s="67" t="str">
        <f t="shared" si="12"/>
        <v>4 LeadGen Set Appointments</v>
      </c>
    </row>
    <row r="8217" hidden="1">
      <c r="A8217" s="6" t="s">
        <v>98</v>
      </c>
      <c r="B8217" s="13" t="s">
        <v>626</v>
      </c>
      <c r="C8217" s="13" t="s">
        <v>627</v>
      </c>
      <c r="D8217" s="15">
        <v>4.0</v>
      </c>
      <c r="E8217" s="67">
        <f t="shared" si="20"/>
        <v>1000</v>
      </c>
      <c r="F8217" s="67" t="str">
        <f t="shared" si="12"/>
        <v>4 LeadGen Set Appointments</v>
      </c>
    </row>
    <row r="8218" hidden="1">
      <c r="A8218" s="6" t="s">
        <v>98</v>
      </c>
      <c r="B8218" s="13" t="s">
        <v>1657</v>
      </c>
      <c r="C8218" s="13" t="s">
        <v>1658</v>
      </c>
      <c r="D8218" s="15">
        <v>4.0</v>
      </c>
      <c r="E8218" s="67">
        <f t="shared" si="20"/>
        <v>1000</v>
      </c>
      <c r="F8218" s="67" t="str">
        <f t="shared" si="12"/>
        <v>4 LeadGen Set Appointments</v>
      </c>
    </row>
    <row r="8219" hidden="1">
      <c r="A8219" s="6" t="s">
        <v>98</v>
      </c>
      <c r="B8219" s="13" t="s">
        <v>1333</v>
      </c>
      <c r="C8219" s="13" t="s">
        <v>551</v>
      </c>
      <c r="D8219" s="15">
        <v>4.0</v>
      </c>
      <c r="E8219" s="67">
        <f t="shared" si="20"/>
        <v>1000</v>
      </c>
      <c r="F8219" s="67" t="str">
        <f t="shared" si="12"/>
        <v>4 LeadGen Set Appointments</v>
      </c>
    </row>
    <row r="8220" hidden="1">
      <c r="A8220" s="6" t="s">
        <v>98</v>
      </c>
      <c r="B8220" s="13" t="s">
        <v>656</v>
      </c>
      <c r="C8220" s="13" t="s">
        <v>657</v>
      </c>
      <c r="D8220" s="15">
        <v>4.0</v>
      </c>
      <c r="E8220" s="67">
        <f t="shared" si="20"/>
        <v>1000</v>
      </c>
      <c r="F8220" s="67" t="str">
        <f t="shared" si="12"/>
        <v>4 LeadGen Set Appointments</v>
      </c>
    </row>
    <row r="8221" hidden="1">
      <c r="A8221" s="6" t="s">
        <v>98</v>
      </c>
      <c r="B8221" s="13" t="s">
        <v>307</v>
      </c>
      <c r="C8221" s="13" t="s">
        <v>692</v>
      </c>
      <c r="D8221" s="15">
        <v>4.0</v>
      </c>
      <c r="E8221" s="67">
        <f t="shared" si="20"/>
        <v>1000</v>
      </c>
      <c r="F8221" s="67" t="str">
        <f t="shared" si="12"/>
        <v>4 LeadGen Set Appointments</v>
      </c>
    </row>
    <row r="8222" hidden="1">
      <c r="A8222" s="6" t="s">
        <v>98</v>
      </c>
      <c r="B8222" s="13" t="s">
        <v>2874</v>
      </c>
      <c r="C8222" s="13" t="s">
        <v>2875</v>
      </c>
      <c r="D8222" s="15">
        <v>4.0</v>
      </c>
      <c r="E8222" s="67">
        <f t="shared" si="20"/>
        <v>1000</v>
      </c>
      <c r="F8222" s="67" t="str">
        <f t="shared" si="12"/>
        <v>4 LeadGen Set Appointments</v>
      </c>
    </row>
    <row r="8223" hidden="1">
      <c r="A8223" s="6" t="s">
        <v>98</v>
      </c>
      <c r="B8223" s="13" t="s">
        <v>2576</v>
      </c>
      <c r="C8223" s="13" t="s">
        <v>2577</v>
      </c>
      <c r="D8223" s="15">
        <v>4.0</v>
      </c>
      <c r="E8223" s="67">
        <f t="shared" si="20"/>
        <v>1000</v>
      </c>
      <c r="F8223" s="67" t="str">
        <f t="shared" si="12"/>
        <v>4 LeadGen Set Appointments</v>
      </c>
    </row>
    <row r="8224" hidden="1">
      <c r="A8224" s="6" t="s">
        <v>98</v>
      </c>
      <c r="B8224" s="13" t="s">
        <v>862</v>
      </c>
      <c r="C8224" s="13" t="s">
        <v>863</v>
      </c>
      <c r="D8224" s="15">
        <v>4.0</v>
      </c>
      <c r="E8224" s="67">
        <f t="shared" si="20"/>
        <v>1000</v>
      </c>
      <c r="F8224" s="67" t="str">
        <f t="shared" si="12"/>
        <v>4 LeadGen Set Appointments</v>
      </c>
    </row>
    <row r="8225" hidden="1">
      <c r="A8225" s="6" t="s">
        <v>98</v>
      </c>
      <c r="B8225" s="13" t="s">
        <v>2903</v>
      </c>
      <c r="C8225" s="13" t="s">
        <v>2904</v>
      </c>
      <c r="D8225" s="15">
        <v>4.0</v>
      </c>
      <c r="E8225" s="67">
        <f t="shared" si="20"/>
        <v>1000</v>
      </c>
      <c r="F8225" s="67" t="str">
        <f t="shared" si="12"/>
        <v>4 LeadGen Set Appointments</v>
      </c>
    </row>
    <row r="8226" hidden="1">
      <c r="A8226" s="6" t="s">
        <v>98</v>
      </c>
      <c r="B8226" s="13" t="s">
        <v>445</v>
      </c>
      <c r="C8226" s="13" t="s">
        <v>446</v>
      </c>
      <c r="D8226" s="15">
        <v>4.0</v>
      </c>
      <c r="E8226" s="67">
        <f t="shared" si="20"/>
        <v>1000</v>
      </c>
      <c r="F8226" s="67" t="str">
        <f t="shared" si="12"/>
        <v>4 LeadGen Set Appointments</v>
      </c>
    </row>
    <row r="8227" hidden="1">
      <c r="A8227" s="6" t="s">
        <v>98</v>
      </c>
      <c r="B8227" s="13" t="s">
        <v>744</v>
      </c>
      <c r="C8227" s="13" t="s">
        <v>745</v>
      </c>
      <c r="D8227" s="15">
        <v>3.0</v>
      </c>
      <c r="E8227" s="67">
        <f t="shared" si="20"/>
        <v>750</v>
      </c>
      <c r="F8227" s="67" t="str">
        <f t="shared" si="12"/>
        <v>3 LeadGen Set Appointments</v>
      </c>
    </row>
    <row r="8228" hidden="1">
      <c r="A8228" s="6" t="s">
        <v>98</v>
      </c>
      <c r="B8228" s="13" t="s">
        <v>2724</v>
      </c>
      <c r="C8228" s="13" t="s">
        <v>2725</v>
      </c>
      <c r="D8228" s="15">
        <v>3.0</v>
      </c>
      <c r="E8228" s="67">
        <f t="shared" si="20"/>
        <v>750</v>
      </c>
      <c r="F8228" s="67" t="str">
        <f t="shared" si="12"/>
        <v>3 LeadGen Set Appointments</v>
      </c>
    </row>
    <row r="8229" hidden="1">
      <c r="A8229" s="6" t="s">
        <v>98</v>
      </c>
      <c r="B8229" s="13" t="s">
        <v>2905</v>
      </c>
      <c r="C8229" s="13" t="s">
        <v>2906</v>
      </c>
      <c r="D8229" s="15">
        <v>3.0</v>
      </c>
      <c r="E8229" s="67">
        <f t="shared" si="20"/>
        <v>750</v>
      </c>
      <c r="F8229" s="67" t="str">
        <f t="shared" si="12"/>
        <v>3 LeadGen Set Appointments</v>
      </c>
    </row>
    <row r="8230" hidden="1">
      <c r="A8230" s="6" t="s">
        <v>98</v>
      </c>
      <c r="B8230" s="13" t="s">
        <v>1025</v>
      </c>
      <c r="C8230" s="13" t="s">
        <v>1026</v>
      </c>
      <c r="D8230" s="15">
        <v>3.0</v>
      </c>
      <c r="E8230" s="67">
        <f t="shared" si="20"/>
        <v>750</v>
      </c>
      <c r="F8230" s="67" t="str">
        <f t="shared" si="12"/>
        <v>3 LeadGen Set Appointments</v>
      </c>
    </row>
    <row r="8231" hidden="1">
      <c r="A8231" s="6" t="s">
        <v>98</v>
      </c>
      <c r="B8231" s="13" t="s">
        <v>606</v>
      </c>
      <c r="C8231" s="13" t="s">
        <v>607</v>
      </c>
      <c r="D8231" s="15">
        <v>3.0</v>
      </c>
      <c r="E8231" s="67">
        <f t="shared" si="20"/>
        <v>750</v>
      </c>
      <c r="F8231" s="67" t="str">
        <f t="shared" si="12"/>
        <v>3 LeadGen Set Appointments</v>
      </c>
    </row>
    <row r="8232" hidden="1">
      <c r="A8232" s="6" t="s">
        <v>98</v>
      </c>
      <c r="B8232" s="13" t="s">
        <v>2850</v>
      </c>
      <c r="C8232" s="13" t="s">
        <v>2851</v>
      </c>
      <c r="D8232" s="15">
        <v>3.0</v>
      </c>
      <c r="E8232" s="67">
        <f t="shared" si="20"/>
        <v>750</v>
      </c>
      <c r="F8232" s="67" t="str">
        <f t="shared" si="12"/>
        <v>3 LeadGen Set Appointments</v>
      </c>
    </row>
    <row r="8233" hidden="1">
      <c r="A8233" s="6" t="s">
        <v>98</v>
      </c>
      <c r="B8233" s="13" t="s">
        <v>2766</v>
      </c>
      <c r="C8233" s="13" t="s">
        <v>2767</v>
      </c>
      <c r="D8233" s="15">
        <v>3.0</v>
      </c>
      <c r="E8233" s="67">
        <f t="shared" si="20"/>
        <v>750</v>
      </c>
      <c r="F8233" s="67" t="str">
        <f t="shared" si="12"/>
        <v>3 LeadGen Set Appointments</v>
      </c>
    </row>
    <row r="8234" hidden="1">
      <c r="A8234" s="6" t="s">
        <v>98</v>
      </c>
      <c r="B8234" s="13" t="s">
        <v>2892</v>
      </c>
      <c r="C8234" s="13" t="s">
        <v>2893</v>
      </c>
      <c r="D8234" s="15">
        <v>3.0</v>
      </c>
      <c r="E8234" s="67">
        <f t="shared" si="20"/>
        <v>750</v>
      </c>
      <c r="F8234" s="67" t="str">
        <f t="shared" si="12"/>
        <v>3 LeadGen Set Appointments</v>
      </c>
    </row>
    <row r="8235" hidden="1">
      <c r="A8235" s="6" t="s">
        <v>98</v>
      </c>
      <c r="B8235" s="13" t="s">
        <v>2885</v>
      </c>
      <c r="C8235" s="13" t="s">
        <v>2886</v>
      </c>
      <c r="D8235" s="15">
        <v>3.0</v>
      </c>
      <c r="E8235" s="67">
        <f t="shared" si="20"/>
        <v>750</v>
      </c>
      <c r="F8235" s="67" t="str">
        <f t="shared" si="12"/>
        <v>3 LeadGen Set Appointments</v>
      </c>
    </row>
    <row r="8236" hidden="1">
      <c r="A8236" s="6" t="s">
        <v>98</v>
      </c>
      <c r="B8236" s="13" t="s">
        <v>2473</v>
      </c>
      <c r="C8236" s="13" t="s">
        <v>2474</v>
      </c>
      <c r="D8236" s="15">
        <v>3.0</v>
      </c>
      <c r="E8236" s="67">
        <f t="shared" si="20"/>
        <v>750</v>
      </c>
      <c r="F8236" s="67" t="str">
        <f t="shared" si="12"/>
        <v>3 LeadGen Set Appointments</v>
      </c>
    </row>
    <row r="8237" hidden="1">
      <c r="A8237" s="6" t="s">
        <v>98</v>
      </c>
      <c r="B8237" s="13" t="s">
        <v>2841</v>
      </c>
      <c r="C8237" s="13" t="s">
        <v>2842</v>
      </c>
      <c r="D8237" s="15">
        <v>3.0</v>
      </c>
      <c r="E8237" s="67">
        <f t="shared" si="20"/>
        <v>750</v>
      </c>
      <c r="F8237" s="67" t="str">
        <f t="shared" si="12"/>
        <v>3 LeadGen Set Appointments</v>
      </c>
    </row>
    <row r="8238" hidden="1">
      <c r="A8238" s="6" t="s">
        <v>98</v>
      </c>
      <c r="B8238" s="13" t="s">
        <v>2619</v>
      </c>
      <c r="C8238" s="13" t="s">
        <v>2620</v>
      </c>
      <c r="D8238" s="15">
        <v>3.0</v>
      </c>
      <c r="E8238" s="67">
        <f t="shared" si="20"/>
        <v>750</v>
      </c>
      <c r="F8238" s="67" t="str">
        <f t="shared" si="12"/>
        <v>3 LeadGen Set Appointments</v>
      </c>
    </row>
    <row r="8239" hidden="1">
      <c r="A8239" s="6" t="s">
        <v>98</v>
      </c>
      <c r="B8239" s="13" t="s">
        <v>2360</v>
      </c>
      <c r="C8239" s="13" t="s">
        <v>2361</v>
      </c>
      <c r="D8239" s="15">
        <v>3.0</v>
      </c>
      <c r="E8239" s="67">
        <f t="shared" si="20"/>
        <v>750</v>
      </c>
      <c r="F8239" s="67" t="str">
        <f t="shared" si="12"/>
        <v>3 LeadGen Set Appointments</v>
      </c>
    </row>
    <row r="8240" hidden="1">
      <c r="A8240" s="6" t="s">
        <v>98</v>
      </c>
      <c r="B8240" s="13" t="s">
        <v>2907</v>
      </c>
      <c r="C8240" s="13" t="s">
        <v>2908</v>
      </c>
      <c r="D8240" s="15">
        <v>3.0</v>
      </c>
      <c r="E8240" s="67">
        <f t="shared" si="20"/>
        <v>750</v>
      </c>
      <c r="F8240" s="67" t="str">
        <f t="shared" si="12"/>
        <v>3 LeadGen Set Appointments</v>
      </c>
    </row>
    <row r="8241" hidden="1">
      <c r="A8241" s="6" t="s">
        <v>98</v>
      </c>
      <c r="B8241" s="13" t="s">
        <v>1442</v>
      </c>
      <c r="C8241" s="13" t="s">
        <v>749</v>
      </c>
      <c r="D8241" s="15">
        <v>3.0</v>
      </c>
      <c r="E8241" s="67">
        <f t="shared" si="20"/>
        <v>750</v>
      </c>
      <c r="F8241" s="67" t="str">
        <f t="shared" si="12"/>
        <v>3 LeadGen Set Appointments</v>
      </c>
    </row>
    <row r="8242" hidden="1">
      <c r="A8242" s="6" t="s">
        <v>98</v>
      </c>
      <c r="B8242" s="13" t="s">
        <v>2268</v>
      </c>
      <c r="C8242" s="13" t="s">
        <v>2269</v>
      </c>
      <c r="D8242" s="15">
        <v>3.0</v>
      </c>
      <c r="E8242" s="67">
        <f t="shared" si="20"/>
        <v>750</v>
      </c>
      <c r="F8242" s="67" t="str">
        <f t="shared" si="12"/>
        <v>3 LeadGen Set Appointments</v>
      </c>
    </row>
    <row r="8243" hidden="1">
      <c r="A8243" s="6" t="s">
        <v>98</v>
      </c>
      <c r="B8243" s="13" t="s">
        <v>604</v>
      </c>
      <c r="C8243" s="13" t="s">
        <v>605</v>
      </c>
      <c r="D8243" s="15">
        <v>3.0</v>
      </c>
      <c r="E8243" s="67">
        <f t="shared" si="20"/>
        <v>750</v>
      </c>
      <c r="F8243" s="67" t="str">
        <f t="shared" si="12"/>
        <v>3 LeadGen Set Appointments</v>
      </c>
    </row>
    <row r="8244" hidden="1">
      <c r="A8244" s="6" t="s">
        <v>98</v>
      </c>
      <c r="B8244" s="13" t="s">
        <v>2862</v>
      </c>
      <c r="C8244" s="13" t="s">
        <v>2863</v>
      </c>
      <c r="D8244" s="15">
        <v>3.0</v>
      </c>
      <c r="E8244" s="67">
        <f t="shared" si="20"/>
        <v>750</v>
      </c>
      <c r="F8244" s="67" t="str">
        <f t="shared" si="12"/>
        <v>3 LeadGen Set Appointments</v>
      </c>
    </row>
    <row r="8245" hidden="1">
      <c r="A8245" s="6" t="s">
        <v>98</v>
      </c>
      <c r="B8245" s="13" t="s">
        <v>2718</v>
      </c>
      <c r="C8245" s="13" t="s">
        <v>2719</v>
      </c>
      <c r="D8245" s="15">
        <v>3.0</v>
      </c>
      <c r="E8245" s="67">
        <f t="shared" si="20"/>
        <v>750</v>
      </c>
      <c r="F8245" s="67" t="str">
        <f t="shared" si="12"/>
        <v>3 LeadGen Set Appointments</v>
      </c>
    </row>
    <row r="8246" hidden="1">
      <c r="A8246" s="6" t="s">
        <v>98</v>
      </c>
      <c r="B8246" s="13" t="s">
        <v>566</v>
      </c>
      <c r="C8246" s="13" t="s">
        <v>567</v>
      </c>
      <c r="D8246" s="15">
        <v>3.0</v>
      </c>
      <c r="E8246" s="67">
        <f t="shared" si="20"/>
        <v>750</v>
      </c>
      <c r="F8246" s="67" t="str">
        <f t="shared" si="12"/>
        <v>3 LeadGen Set Appointments</v>
      </c>
    </row>
    <row r="8247" hidden="1">
      <c r="A8247" s="6" t="s">
        <v>98</v>
      </c>
      <c r="B8247" s="13" t="s">
        <v>1342</v>
      </c>
      <c r="C8247" s="13" t="s">
        <v>2751</v>
      </c>
      <c r="D8247" s="15">
        <v>3.0</v>
      </c>
      <c r="E8247" s="67">
        <f t="shared" si="20"/>
        <v>750</v>
      </c>
      <c r="F8247" s="67" t="str">
        <f t="shared" si="12"/>
        <v>3 LeadGen Set Appointments</v>
      </c>
    </row>
    <row r="8248" hidden="1">
      <c r="A8248" s="6" t="s">
        <v>98</v>
      </c>
      <c r="B8248" s="13" t="s">
        <v>1351</v>
      </c>
      <c r="C8248" s="13" t="s">
        <v>1352</v>
      </c>
      <c r="D8248" s="15">
        <v>3.0</v>
      </c>
      <c r="E8248" s="67">
        <f t="shared" si="20"/>
        <v>750</v>
      </c>
      <c r="F8248" s="67" t="str">
        <f t="shared" si="12"/>
        <v>3 LeadGen Set Appointments</v>
      </c>
    </row>
    <row r="8249" hidden="1">
      <c r="A8249" s="6" t="s">
        <v>98</v>
      </c>
      <c r="B8249" s="13" t="s">
        <v>2909</v>
      </c>
      <c r="C8249" s="13" t="s">
        <v>2910</v>
      </c>
      <c r="D8249" s="15">
        <v>3.0</v>
      </c>
      <c r="E8249" s="67">
        <f t="shared" si="20"/>
        <v>750</v>
      </c>
      <c r="F8249" s="67" t="str">
        <f t="shared" si="12"/>
        <v>3 LeadGen Set Appointments</v>
      </c>
    </row>
    <row r="8250" hidden="1">
      <c r="A8250" s="6" t="s">
        <v>98</v>
      </c>
      <c r="B8250" s="13" t="s">
        <v>2479</v>
      </c>
      <c r="C8250" s="13" t="s">
        <v>2480</v>
      </c>
      <c r="D8250" s="15">
        <v>3.0</v>
      </c>
      <c r="E8250" s="67">
        <f t="shared" si="20"/>
        <v>750</v>
      </c>
      <c r="F8250" s="67" t="str">
        <f t="shared" si="12"/>
        <v>3 LeadGen Set Appointments</v>
      </c>
    </row>
    <row r="8251" hidden="1">
      <c r="A8251" s="6" t="s">
        <v>98</v>
      </c>
      <c r="B8251" s="13" t="s">
        <v>2781</v>
      </c>
      <c r="C8251" s="13" t="s">
        <v>2782</v>
      </c>
      <c r="D8251" s="15">
        <v>2.0</v>
      </c>
      <c r="E8251" s="67">
        <f t="shared" si="20"/>
        <v>500</v>
      </c>
      <c r="F8251" s="67" t="str">
        <f t="shared" si="12"/>
        <v>2 LeadGen Set Appointments</v>
      </c>
    </row>
    <row r="8252" hidden="1">
      <c r="A8252" s="6" t="s">
        <v>98</v>
      </c>
      <c r="B8252" s="13" t="s">
        <v>1039</v>
      </c>
      <c r="C8252" s="13" t="s">
        <v>1040</v>
      </c>
      <c r="D8252" s="15">
        <v>2.0</v>
      </c>
      <c r="E8252" s="67">
        <f t="shared" si="20"/>
        <v>500</v>
      </c>
      <c r="F8252" s="67" t="str">
        <f t="shared" si="12"/>
        <v>2 LeadGen Set Appointments</v>
      </c>
    </row>
    <row r="8253" hidden="1">
      <c r="A8253" s="6" t="s">
        <v>98</v>
      </c>
      <c r="B8253" s="13" t="s">
        <v>2634</v>
      </c>
      <c r="C8253" s="13" t="s">
        <v>2635</v>
      </c>
      <c r="D8253" s="15">
        <v>2.0</v>
      </c>
      <c r="E8253" s="67">
        <f t="shared" si="20"/>
        <v>500</v>
      </c>
      <c r="F8253" s="67" t="str">
        <f t="shared" si="12"/>
        <v>2 LeadGen Set Appointments</v>
      </c>
    </row>
    <row r="8254" hidden="1">
      <c r="A8254" s="6" t="s">
        <v>98</v>
      </c>
      <c r="B8254" s="13" t="s">
        <v>1276</v>
      </c>
      <c r="C8254" s="13" t="s">
        <v>461</v>
      </c>
      <c r="D8254" s="15">
        <v>2.0</v>
      </c>
      <c r="E8254" s="67">
        <f t="shared" si="20"/>
        <v>500</v>
      </c>
      <c r="F8254" s="67" t="str">
        <f t="shared" si="12"/>
        <v>2 LeadGen Set Appointments</v>
      </c>
    </row>
    <row r="8255" hidden="1">
      <c r="A8255" s="6" t="s">
        <v>98</v>
      </c>
      <c r="B8255" s="13" t="s">
        <v>2911</v>
      </c>
      <c r="C8255" s="13" t="s">
        <v>2912</v>
      </c>
      <c r="D8255" s="15">
        <v>2.0</v>
      </c>
      <c r="E8255" s="67">
        <f t="shared" si="20"/>
        <v>500</v>
      </c>
      <c r="F8255" s="67" t="str">
        <f t="shared" si="12"/>
        <v>2 LeadGen Set Appointments</v>
      </c>
    </row>
    <row r="8256" hidden="1">
      <c r="A8256" s="6" t="s">
        <v>98</v>
      </c>
      <c r="B8256" s="13" t="s">
        <v>2828</v>
      </c>
      <c r="C8256" s="13" t="s">
        <v>2829</v>
      </c>
      <c r="D8256" s="15">
        <v>2.0</v>
      </c>
      <c r="E8256" s="67">
        <f t="shared" si="20"/>
        <v>500</v>
      </c>
      <c r="F8256" s="67" t="str">
        <f t="shared" si="12"/>
        <v>2 LeadGen Set Appointments</v>
      </c>
    </row>
    <row r="8257" hidden="1">
      <c r="A8257" s="6" t="s">
        <v>98</v>
      </c>
      <c r="B8257" s="13" t="s">
        <v>1583</v>
      </c>
      <c r="C8257" s="13" t="s">
        <v>1584</v>
      </c>
      <c r="D8257" s="15">
        <v>2.0</v>
      </c>
      <c r="E8257" s="67">
        <f t="shared" si="20"/>
        <v>500</v>
      </c>
      <c r="F8257" s="67" t="str">
        <f t="shared" si="12"/>
        <v>2 LeadGen Set Appointments</v>
      </c>
    </row>
    <row r="8258" hidden="1">
      <c r="A8258" s="6" t="s">
        <v>98</v>
      </c>
      <c r="B8258" s="13" t="s">
        <v>1286</v>
      </c>
      <c r="C8258" s="13" t="s">
        <v>408</v>
      </c>
      <c r="D8258" s="15">
        <v>2.0</v>
      </c>
      <c r="E8258" s="67">
        <f t="shared" si="20"/>
        <v>500</v>
      </c>
      <c r="F8258" s="67" t="str">
        <f t="shared" si="12"/>
        <v>2 LeadGen Set Appointments</v>
      </c>
    </row>
    <row r="8259" hidden="1">
      <c r="A8259" s="6" t="s">
        <v>98</v>
      </c>
      <c r="B8259" s="13" t="s">
        <v>2868</v>
      </c>
      <c r="C8259" s="13" t="s">
        <v>2869</v>
      </c>
      <c r="D8259" s="15">
        <v>2.0</v>
      </c>
      <c r="E8259" s="67">
        <f t="shared" si="20"/>
        <v>500</v>
      </c>
      <c r="F8259" s="67" t="str">
        <f t="shared" si="12"/>
        <v>2 LeadGen Set Appointments</v>
      </c>
    </row>
    <row r="8260" hidden="1">
      <c r="A8260" s="6" t="s">
        <v>98</v>
      </c>
      <c r="B8260" s="13" t="s">
        <v>2913</v>
      </c>
      <c r="C8260" s="13" t="s">
        <v>2914</v>
      </c>
      <c r="D8260" s="15">
        <v>2.0</v>
      </c>
      <c r="E8260" s="67">
        <f t="shared" si="20"/>
        <v>500</v>
      </c>
      <c r="F8260" s="67" t="str">
        <f t="shared" si="12"/>
        <v>2 LeadGen Set Appointments</v>
      </c>
    </row>
    <row r="8261" hidden="1">
      <c r="A8261" s="6" t="s">
        <v>98</v>
      </c>
      <c r="B8261" s="13" t="s">
        <v>1299</v>
      </c>
      <c r="C8261" s="13" t="s">
        <v>1300</v>
      </c>
      <c r="D8261" s="15">
        <v>2.0</v>
      </c>
      <c r="E8261" s="67">
        <f t="shared" si="20"/>
        <v>500</v>
      </c>
      <c r="F8261" s="67" t="str">
        <f t="shared" si="12"/>
        <v>2 LeadGen Set Appointments</v>
      </c>
    </row>
    <row r="8262" hidden="1">
      <c r="A8262" s="6" t="s">
        <v>98</v>
      </c>
      <c r="B8262" s="13" t="s">
        <v>1438</v>
      </c>
      <c r="C8262" s="13" t="s">
        <v>1439</v>
      </c>
      <c r="D8262" s="15">
        <v>2.0</v>
      </c>
      <c r="E8262" s="67">
        <f t="shared" si="20"/>
        <v>500</v>
      </c>
      <c r="F8262" s="67" t="str">
        <f t="shared" si="12"/>
        <v>2 LeadGen Set Appointments</v>
      </c>
    </row>
    <row r="8263" hidden="1">
      <c r="A8263" s="6" t="s">
        <v>98</v>
      </c>
      <c r="B8263" s="13" t="s">
        <v>672</v>
      </c>
      <c r="C8263" s="13" t="s">
        <v>673</v>
      </c>
      <c r="D8263" s="15">
        <v>2.0</v>
      </c>
      <c r="E8263" s="67">
        <f t="shared" si="20"/>
        <v>500</v>
      </c>
      <c r="F8263" s="67" t="str">
        <f t="shared" si="12"/>
        <v>2 LeadGen Set Appointments</v>
      </c>
    </row>
    <row r="8264" hidden="1">
      <c r="A8264" s="6" t="s">
        <v>98</v>
      </c>
      <c r="B8264" s="13" t="s">
        <v>2915</v>
      </c>
      <c r="C8264" s="13" t="s">
        <v>2916</v>
      </c>
      <c r="D8264" s="15">
        <v>2.0</v>
      </c>
      <c r="E8264" s="67">
        <f t="shared" si="20"/>
        <v>500</v>
      </c>
      <c r="F8264" s="67" t="str">
        <f t="shared" si="12"/>
        <v>2 LeadGen Set Appointments</v>
      </c>
    </row>
    <row r="8265" hidden="1">
      <c r="A8265" s="6" t="s">
        <v>98</v>
      </c>
      <c r="B8265" s="13" t="s">
        <v>2830</v>
      </c>
      <c r="C8265" s="13" t="s">
        <v>2831</v>
      </c>
      <c r="D8265" s="15">
        <v>2.0</v>
      </c>
      <c r="E8265" s="67">
        <f t="shared" si="20"/>
        <v>500</v>
      </c>
      <c r="F8265" s="67" t="str">
        <f t="shared" si="12"/>
        <v>2 LeadGen Set Appointments</v>
      </c>
    </row>
    <row r="8266" hidden="1">
      <c r="A8266" s="6" t="s">
        <v>98</v>
      </c>
      <c r="B8266" s="13" t="s">
        <v>2572</v>
      </c>
      <c r="C8266" s="13" t="s">
        <v>2573</v>
      </c>
      <c r="D8266" s="15">
        <v>2.0</v>
      </c>
      <c r="E8266" s="67">
        <f t="shared" si="20"/>
        <v>500</v>
      </c>
      <c r="F8266" s="67" t="str">
        <f t="shared" si="12"/>
        <v>2 LeadGen Set Appointments</v>
      </c>
    </row>
    <row r="8267" hidden="1">
      <c r="A8267" s="6" t="s">
        <v>98</v>
      </c>
      <c r="B8267" s="13" t="s">
        <v>2917</v>
      </c>
      <c r="C8267" s="13" t="s">
        <v>2918</v>
      </c>
      <c r="D8267" s="15">
        <v>2.0</v>
      </c>
      <c r="E8267" s="67">
        <f t="shared" si="20"/>
        <v>500</v>
      </c>
      <c r="F8267" s="67" t="str">
        <f t="shared" si="12"/>
        <v>2 LeadGen Set Appointments</v>
      </c>
    </row>
    <row r="8268" hidden="1">
      <c r="A8268" s="6" t="s">
        <v>98</v>
      </c>
      <c r="B8268" s="13" t="s">
        <v>2677</v>
      </c>
      <c r="C8268" s="13" t="s">
        <v>2678</v>
      </c>
      <c r="D8268" s="15">
        <v>2.0</v>
      </c>
      <c r="E8268" s="67">
        <f t="shared" si="20"/>
        <v>500</v>
      </c>
      <c r="F8268" s="67" t="str">
        <f t="shared" si="12"/>
        <v>2 LeadGen Set Appointments</v>
      </c>
    </row>
    <row r="8269" hidden="1">
      <c r="A8269" s="6" t="s">
        <v>98</v>
      </c>
      <c r="B8269" s="13" t="s">
        <v>2846</v>
      </c>
      <c r="C8269" s="13" t="s">
        <v>2847</v>
      </c>
      <c r="D8269" s="15">
        <v>2.0</v>
      </c>
      <c r="E8269" s="67">
        <f t="shared" si="20"/>
        <v>500</v>
      </c>
      <c r="F8269" s="67" t="str">
        <f t="shared" si="12"/>
        <v>2 LeadGen Set Appointments</v>
      </c>
    </row>
    <row r="8270" hidden="1">
      <c r="A8270" s="6" t="s">
        <v>98</v>
      </c>
      <c r="B8270" s="13" t="s">
        <v>2663</v>
      </c>
      <c r="C8270" s="13" t="s">
        <v>2664</v>
      </c>
      <c r="D8270" s="15">
        <v>2.0</v>
      </c>
      <c r="E8270" s="67">
        <f t="shared" si="20"/>
        <v>500</v>
      </c>
      <c r="F8270" s="67" t="str">
        <f t="shared" si="12"/>
        <v>2 LeadGen Set Appointments</v>
      </c>
    </row>
    <row r="8271" hidden="1">
      <c r="A8271" s="6" t="s">
        <v>98</v>
      </c>
      <c r="B8271" s="13" t="s">
        <v>1380</v>
      </c>
      <c r="C8271" s="13" t="s">
        <v>1381</v>
      </c>
      <c r="D8271" s="15">
        <v>1.0</v>
      </c>
      <c r="E8271" s="67">
        <f t="shared" si="20"/>
        <v>250</v>
      </c>
      <c r="F8271" s="67" t="str">
        <f t="shared" si="12"/>
        <v>1 LeadGen Set Appointments</v>
      </c>
    </row>
    <row r="8272" hidden="1">
      <c r="A8272" s="6" t="s">
        <v>98</v>
      </c>
      <c r="B8272" s="13" t="s">
        <v>2919</v>
      </c>
      <c r="C8272" s="13" t="s">
        <v>2920</v>
      </c>
      <c r="D8272" s="15">
        <v>1.0</v>
      </c>
      <c r="E8272" s="67">
        <f t="shared" si="20"/>
        <v>250</v>
      </c>
      <c r="F8272" s="67" t="str">
        <f t="shared" si="12"/>
        <v>1 LeadGen Set Appointments</v>
      </c>
    </row>
    <row r="8273" hidden="1">
      <c r="A8273" s="6" t="s">
        <v>98</v>
      </c>
      <c r="B8273" s="13" t="s">
        <v>451</v>
      </c>
      <c r="C8273" s="13" t="s">
        <v>452</v>
      </c>
      <c r="D8273" s="15">
        <v>1.0</v>
      </c>
      <c r="E8273" s="67">
        <f t="shared" si="20"/>
        <v>250</v>
      </c>
      <c r="F8273" s="67" t="str">
        <f t="shared" si="12"/>
        <v>1 LeadGen Set Appointments</v>
      </c>
    </row>
    <row r="8274" hidden="1">
      <c r="A8274" s="6" t="s">
        <v>98</v>
      </c>
      <c r="B8274" s="13" t="s">
        <v>1305</v>
      </c>
      <c r="C8274" s="13" t="s">
        <v>1306</v>
      </c>
      <c r="D8274" s="15">
        <v>1.0</v>
      </c>
      <c r="E8274" s="67">
        <f t="shared" si="20"/>
        <v>250</v>
      </c>
      <c r="F8274" s="67" t="str">
        <f t="shared" si="12"/>
        <v>1 LeadGen Set Appointments</v>
      </c>
    </row>
    <row r="8275" hidden="1">
      <c r="A8275" s="6" t="s">
        <v>98</v>
      </c>
      <c r="B8275" s="13" t="s">
        <v>1033</v>
      </c>
      <c r="C8275" s="13" t="s">
        <v>1034</v>
      </c>
      <c r="D8275" s="15">
        <v>1.0</v>
      </c>
      <c r="E8275" s="67">
        <f t="shared" si="20"/>
        <v>250</v>
      </c>
      <c r="F8275" s="67" t="str">
        <f t="shared" si="12"/>
        <v>1 LeadGen Set Appointments</v>
      </c>
    </row>
    <row r="8276" hidden="1">
      <c r="A8276" s="6" t="s">
        <v>98</v>
      </c>
      <c r="B8276" s="13" t="s">
        <v>1408</v>
      </c>
      <c r="C8276" s="13" t="s">
        <v>675</v>
      </c>
      <c r="D8276" s="15">
        <v>1.0</v>
      </c>
      <c r="E8276" s="67">
        <f t="shared" si="20"/>
        <v>250</v>
      </c>
      <c r="F8276" s="67" t="str">
        <f t="shared" si="12"/>
        <v>1 LeadGen Set Appointments</v>
      </c>
    </row>
    <row r="8277" hidden="1">
      <c r="A8277" s="6" t="s">
        <v>98</v>
      </c>
      <c r="B8277" s="13" t="s">
        <v>494</v>
      </c>
      <c r="C8277" s="13" t="s">
        <v>495</v>
      </c>
      <c r="D8277" s="15">
        <v>1.0</v>
      </c>
      <c r="E8277" s="67">
        <f t="shared" si="20"/>
        <v>250</v>
      </c>
      <c r="F8277" s="67" t="str">
        <f t="shared" si="12"/>
        <v>1 LeadGen Set Appointments</v>
      </c>
    </row>
    <row r="8278" hidden="1">
      <c r="A8278" s="6" t="s">
        <v>98</v>
      </c>
      <c r="B8278" s="13" t="s">
        <v>2837</v>
      </c>
      <c r="C8278" s="13" t="s">
        <v>2838</v>
      </c>
      <c r="D8278" s="15">
        <v>1.0</v>
      </c>
      <c r="E8278" s="67">
        <f t="shared" si="20"/>
        <v>250</v>
      </c>
      <c r="F8278" s="67" t="str">
        <f t="shared" si="12"/>
        <v>1 LeadGen Set Appointments</v>
      </c>
    </row>
    <row r="8279" hidden="1">
      <c r="A8279" s="6" t="s">
        <v>98</v>
      </c>
      <c r="B8279" s="13" t="s">
        <v>2844</v>
      </c>
      <c r="C8279" s="13" t="s">
        <v>2845</v>
      </c>
      <c r="D8279" s="15">
        <v>1.0</v>
      </c>
      <c r="E8279" s="67">
        <f t="shared" si="20"/>
        <v>250</v>
      </c>
      <c r="F8279" s="67" t="str">
        <f t="shared" si="12"/>
        <v>1 LeadGen Set Appointments</v>
      </c>
    </row>
    <row r="8280" hidden="1">
      <c r="A8280" s="6" t="s">
        <v>98</v>
      </c>
      <c r="B8280" s="13" t="s">
        <v>2921</v>
      </c>
      <c r="C8280" s="13" t="s">
        <v>2922</v>
      </c>
      <c r="D8280" s="15">
        <v>1.0</v>
      </c>
      <c r="E8280" s="67">
        <f t="shared" si="20"/>
        <v>250</v>
      </c>
      <c r="F8280" s="67" t="str">
        <f t="shared" si="12"/>
        <v>1 LeadGen Set Appointments</v>
      </c>
    </row>
    <row r="8281" hidden="1">
      <c r="A8281" s="6" t="s">
        <v>98</v>
      </c>
      <c r="B8281" s="13" t="s">
        <v>2923</v>
      </c>
      <c r="C8281" s="13" t="s">
        <v>2924</v>
      </c>
      <c r="D8281" s="15">
        <v>1.0</v>
      </c>
      <c r="E8281" s="67">
        <f t="shared" si="20"/>
        <v>250</v>
      </c>
      <c r="F8281" s="67" t="str">
        <f t="shared" si="12"/>
        <v>1 LeadGen Set Appointments</v>
      </c>
    </row>
    <row r="8282" hidden="1">
      <c r="A8282" s="6" t="s">
        <v>98</v>
      </c>
      <c r="B8282" s="13" t="s">
        <v>2925</v>
      </c>
      <c r="C8282" s="13" t="s">
        <v>2926</v>
      </c>
      <c r="D8282" s="15">
        <v>1.0</v>
      </c>
      <c r="E8282" s="67">
        <f t="shared" si="20"/>
        <v>250</v>
      </c>
      <c r="F8282" s="67" t="str">
        <f t="shared" si="12"/>
        <v>1 LeadGen Set Appointments</v>
      </c>
    </row>
    <row r="8283" hidden="1">
      <c r="A8283" s="6" t="s">
        <v>98</v>
      </c>
      <c r="B8283" s="13" t="s">
        <v>2887</v>
      </c>
      <c r="C8283" s="13" t="s">
        <v>1898</v>
      </c>
      <c r="D8283" s="15">
        <v>1.0</v>
      </c>
      <c r="E8283" s="67">
        <f t="shared" si="20"/>
        <v>250</v>
      </c>
      <c r="F8283" s="67" t="str">
        <f t="shared" si="12"/>
        <v>1 LeadGen Set Appointments</v>
      </c>
    </row>
    <row r="8284" hidden="1">
      <c r="A8284" s="6" t="s">
        <v>98</v>
      </c>
      <c r="B8284" s="13" t="s">
        <v>1897</v>
      </c>
      <c r="C8284" s="13" t="s">
        <v>2460</v>
      </c>
      <c r="D8284" s="15">
        <v>1.0</v>
      </c>
      <c r="E8284" s="67">
        <f t="shared" si="20"/>
        <v>250</v>
      </c>
      <c r="F8284" s="67" t="str">
        <f t="shared" si="12"/>
        <v>1 LeadGen Set Appointments</v>
      </c>
    </row>
    <row r="8285" hidden="1">
      <c r="A8285" s="6" t="s">
        <v>98</v>
      </c>
      <c r="B8285" s="13" t="s">
        <v>2927</v>
      </c>
      <c r="C8285" s="13" t="s">
        <v>2928</v>
      </c>
      <c r="D8285" s="15">
        <v>1.0</v>
      </c>
      <c r="E8285" s="67">
        <f t="shared" si="20"/>
        <v>250</v>
      </c>
      <c r="F8285" s="67" t="str">
        <f t="shared" si="12"/>
        <v>1 LeadGen Set Appointments</v>
      </c>
    </row>
    <row r="8286" hidden="1">
      <c r="A8286" s="6" t="s">
        <v>98</v>
      </c>
      <c r="B8286" s="13" t="s">
        <v>2929</v>
      </c>
      <c r="C8286" s="13" t="s">
        <v>2930</v>
      </c>
      <c r="D8286" s="15">
        <v>1.0</v>
      </c>
      <c r="E8286" s="67">
        <f t="shared" si="20"/>
        <v>250</v>
      </c>
      <c r="F8286" s="67" t="str">
        <f t="shared" si="12"/>
        <v>1 LeadGen Set Appointments</v>
      </c>
    </row>
    <row r="8287" hidden="1">
      <c r="A8287" s="6" t="s">
        <v>98</v>
      </c>
      <c r="B8287" s="13" t="s">
        <v>2931</v>
      </c>
      <c r="C8287" s="13" t="s">
        <v>2932</v>
      </c>
      <c r="D8287" s="15">
        <v>1.0</v>
      </c>
      <c r="E8287" s="67">
        <f t="shared" si="20"/>
        <v>250</v>
      </c>
      <c r="F8287" s="67" t="str">
        <f t="shared" si="12"/>
        <v>1 LeadGen Set Appointments</v>
      </c>
    </row>
    <row r="8288" hidden="1">
      <c r="A8288" s="6" t="s">
        <v>98</v>
      </c>
      <c r="B8288" s="13" t="s">
        <v>2933</v>
      </c>
      <c r="C8288" s="13" t="s">
        <v>2934</v>
      </c>
      <c r="D8288" s="15">
        <v>1.0</v>
      </c>
      <c r="E8288" s="67">
        <f t="shared" si="20"/>
        <v>250</v>
      </c>
      <c r="F8288" s="67" t="str">
        <f t="shared" si="12"/>
        <v>1 LeadGen Set Appointments</v>
      </c>
    </row>
    <row r="8289" hidden="1">
      <c r="A8289" s="6" t="s">
        <v>98</v>
      </c>
      <c r="B8289" s="13" t="s">
        <v>2935</v>
      </c>
      <c r="C8289" s="13" t="s">
        <v>2936</v>
      </c>
      <c r="D8289" s="15">
        <v>1.0</v>
      </c>
      <c r="E8289" s="67">
        <f t="shared" si="20"/>
        <v>250</v>
      </c>
      <c r="F8289" s="67" t="str">
        <f t="shared" si="12"/>
        <v>1 LeadGen Set Appointments</v>
      </c>
    </row>
    <row r="8290" hidden="1">
      <c r="A8290" s="6" t="s">
        <v>98</v>
      </c>
      <c r="B8290" s="13" t="s">
        <v>1127</v>
      </c>
      <c r="C8290" s="13" t="s">
        <v>1128</v>
      </c>
      <c r="D8290" s="15">
        <v>2.0</v>
      </c>
      <c r="E8290" s="67">
        <f t="shared" si="20"/>
        <v>500</v>
      </c>
      <c r="F8290" s="67" t="str">
        <f t="shared" si="12"/>
        <v>2 LeadGen Set Appointments</v>
      </c>
    </row>
    <row r="8291" hidden="1">
      <c r="A8291" s="6" t="s">
        <v>98</v>
      </c>
      <c r="B8291" s="13" t="s">
        <v>1506</v>
      </c>
      <c r="C8291" s="13" t="s">
        <v>1507</v>
      </c>
      <c r="D8291" s="15">
        <v>3.0</v>
      </c>
      <c r="E8291" s="67">
        <f t="shared" si="20"/>
        <v>750</v>
      </c>
      <c r="F8291" s="67" t="str">
        <f t="shared" si="12"/>
        <v>3 LeadGen Set Appointments</v>
      </c>
    </row>
    <row r="8292" hidden="1">
      <c r="A8292" s="6" t="s">
        <v>98</v>
      </c>
      <c r="B8292" s="13" t="s">
        <v>2937</v>
      </c>
      <c r="C8292" s="13" t="s">
        <v>2938</v>
      </c>
      <c r="D8292" s="15">
        <v>3.0</v>
      </c>
      <c r="E8292" s="67">
        <f t="shared" si="20"/>
        <v>750</v>
      </c>
      <c r="F8292" s="67" t="str">
        <f t="shared" si="12"/>
        <v>3 LeadGen Set Appointments</v>
      </c>
    </row>
    <row r="8293" hidden="1">
      <c r="A8293" s="6" t="s">
        <v>98</v>
      </c>
      <c r="B8293" s="13" t="s">
        <v>2939</v>
      </c>
      <c r="C8293" s="13" t="s">
        <v>2940</v>
      </c>
      <c r="D8293" s="15">
        <v>3.0</v>
      </c>
      <c r="E8293" s="67">
        <f t="shared" si="20"/>
        <v>750</v>
      </c>
      <c r="F8293" s="67" t="str">
        <f t="shared" si="12"/>
        <v>3 LeadGen Set Appointments</v>
      </c>
    </row>
    <row r="8294" hidden="1">
      <c r="A8294" s="6" t="s">
        <v>98</v>
      </c>
      <c r="B8294" s="13" t="s">
        <v>2941</v>
      </c>
      <c r="C8294" s="13" t="s">
        <v>2942</v>
      </c>
      <c r="D8294" s="15">
        <v>1.0</v>
      </c>
      <c r="E8294" s="67">
        <f t="shared" si="20"/>
        <v>250</v>
      </c>
      <c r="F8294" s="67" t="str">
        <f t="shared" si="12"/>
        <v>1 LeadGen Set Appointments</v>
      </c>
    </row>
    <row r="8295" hidden="1">
      <c r="A8295" s="6" t="s">
        <v>98</v>
      </c>
      <c r="B8295" s="13" t="s">
        <v>2943</v>
      </c>
      <c r="C8295" s="13" t="s">
        <v>2944</v>
      </c>
      <c r="D8295" s="15">
        <v>1.0</v>
      </c>
      <c r="E8295" s="67">
        <f t="shared" si="20"/>
        <v>250</v>
      </c>
      <c r="F8295" s="67" t="str">
        <f t="shared" si="12"/>
        <v>1 LeadGen Set Appointments</v>
      </c>
    </row>
    <row r="8296" hidden="1">
      <c r="A8296" s="6" t="s">
        <v>98</v>
      </c>
      <c r="B8296" s="13" t="s">
        <v>472</v>
      </c>
      <c r="C8296" s="13" t="s">
        <v>473</v>
      </c>
      <c r="D8296" s="15">
        <v>2.0</v>
      </c>
      <c r="E8296" s="67">
        <f t="shared" si="20"/>
        <v>500</v>
      </c>
      <c r="F8296" s="67" t="str">
        <f t="shared" si="12"/>
        <v>2 LeadGen Set Appointments</v>
      </c>
    </row>
    <row r="8297" hidden="1">
      <c r="A8297" s="6" t="s">
        <v>99</v>
      </c>
      <c r="B8297" s="13" t="s">
        <v>476</v>
      </c>
      <c r="C8297" s="13" t="s">
        <v>477</v>
      </c>
      <c r="D8297" s="15">
        <v>38.0</v>
      </c>
      <c r="E8297" s="67">
        <f t="shared" si="20"/>
        <v>19000</v>
      </c>
      <c r="F8297" s="67" t="str">
        <f t="shared" ref="F8297:F8710" si="21">D8297 &amp; " Lead Set Appointments"</f>
        <v>38 Lead Set Appointments</v>
      </c>
    </row>
    <row r="8298" hidden="1">
      <c r="A8298" s="6" t="s">
        <v>99</v>
      </c>
      <c r="B8298" s="13" t="s">
        <v>644</v>
      </c>
      <c r="C8298" s="13" t="s">
        <v>645</v>
      </c>
      <c r="D8298" s="15">
        <v>32.0</v>
      </c>
      <c r="E8298" s="67">
        <f t="shared" si="20"/>
        <v>16000</v>
      </c>
      <c r="F8298" s="67" t="str">
        <f t="shared" si="21"/>
        <v>32 Lead Set Appointments</v>
      </c>
    </row>
    <row r="8299" hidden="1">
      <c r="A8299" s="6" t="s">
        <v>99</v>
      </c>
      <c r="B8299" s="13" t="s">
        <v>540</v>
      </c>
      <c r="C8299" s="13" t="s">
        <v>541</v>
      </c>
      <c r="D8299" s="15">
        <v>27.0</v>
      </c>
      <c r="E8299" s="67">
        <f t="shared" si="20"/>
        <v>13500</v>
      </c>
      <c r="F8299" s="67" t="str">
        <f t="shared" si="21"/>
        <v>27 Lead Set Appointments</v>
      </c>
    </row>
    <row r="8300" hidden="1">
      <c r="A8300" s="6" t="s">
        <v>99</v>
      </c>
      <c r="B8300" s="13" t="s">
        <v>1865</v>
      </c>
      <c r="C8300" s="13" t="s">
        <v>1866</v>
      </c>
      <c r="D8300" s="15">
        <v>19.0</v>
      </c>
      <c r="E8300" s="67">
        <f t="shared" si="20"/>
        <v>9500</v>
      </c>
      <c r="F8300" s="67" t="str">
        <f t="shared" si="21"/>
        <v>19 Lead Set Appointments</v>
      </c>
    </row>
    <row r="8301" hidden="1">
      <c r="A8301" s="6" t="s">
        <v>99</v>
      </c>
      <c r="B8301" s="13" t="s">
        <v>736</v>
      </c>
      <c r="C8301" s="13" t="s">
        <v>737</v>
      </c>
      <c r="D8301" s="15">
        <v>18.0</v>
      </c>
      <c r="E8301" s="67">
        <f t="shared" si="20"/>
        <v>9000</v>
      </c>
      <c r="F8301" s="67" t="str">
        <f t="shared" si="21"/>
        <v>18 Lead Set Appointments</v>
      </c>
    </row>
    <row r="8302" hidden="1">
      <c r="A8302" s="6" t="s">
        <v>99</v>
      </c>
      <c r="B8302" s="13" t="s">
        <v>435</v>
      </c>
      <c r="C8302" s="13" t="s">
        <v>436</v>
      </c>
      <c r="D8302" s="15">
        <v>18.0</v>
      </c>
      <c r="E8302" s="67">
        <f t="shared" si="20"/>
        <v>9000</v>
      </c>
      <c r="F8302" s="67" t="str">
        <f t="shared" si="21"/>
        <v>18 Lead Set Appointments</v>
      </c>
    </row>
    <row r="8303" hidden="1">
      <c r="A8303" s="6" t="s">
        <v>99</v>
      </c>
      <c r="B8303" s="13" t="s">
        <v>640</v>
      </c>
      <c r="C8303" s="13" t="s">
        <v>641</v>
      </c>
      <c r="D8303" s="15">
        <v>16.0</v>
      </c>
      <c r="E8303" s="67">
        <f t="shared" si="20"/>
        <v>8000</v>
      </c>
      <c r="F8303" s="67" t="str">
        <f t="shared" si="21"/>
        <v>16 Lead Set Appointments</v>
      </c>
    </row>
    <row r="8304" hidden="1">
      <c r="A8304" s="6" t="s">
        <v>99</v>
      </c>
      <c r="B8304" s="13" t="s">
        <v>656</v>
      </c>
      <c r="C8304" s="13" t="s">
        <v>657</v>
      </c>
      <c r="D8304" s="15">
        <v>16.0</v>
      </c>
      <c r="E8304" s="67">
        <f t="shared" si="20"/>
        <v>8000</v>
      </c>
      <c r="F8304" s="67" t="str">
        <f t="shared" si="21"/>
        <v>16 Lead Set Appointments</v>
      </c>
    </row>
    <row r="8305" hidden="1">
      <c r="A8305" s="6" t="s">
        <v>99</v>
      </c>
      <c r="B8305" s="13" t="s">
        <v>2640</v>
      </c>
      <c r="C8305" s="13" t="s">
        <v>2641</v>
      </c>
      <c r="D8305" s="15">
        <v>15.0</v>
      </c>
      <c r="E8305" s="67">
        <f t="shared" si="20"/>
        <v>7500</v>
      </c>
      <c r="F8305" s="67" t="str">
        <f t="shared" si="21"/>
        <v>15 Lead Set Appointments</v>
      </c>
    </row>
    <row r="8306" hidden="1">
      <c r="A8306" s="6" t="s">
        <v>99</v>
      </c>
      <c r="B8306" s="13" t="s">
        <v>2945</v>
      </c>
      <c r="C8306" s="13" t="s">
        <v>2946</v>
      </c>
      <c r="D8306" s="15">
        <v>14.0</v>
      </c>
      <c r="E8306" s="67">
        <f t="shared" si="20"/>
        <v>7000</v>
      </c>
      <c r="F8306" s="67" t="str">
        <f t="shared" si="21"/>
        <v>14 Lead Set Appointments</v>
      </c>
    </row>
    <row r="8307" hidden="1">
      <c r="A8307" s="6" t="s">
        <v>99</v>
      </c>
      <c r="B8307" s="13" t="s">
        <v>723</v>
      </c>
      <c r="C8307" s="13" t="s">
        <v>724</v>
      </c>
      <c r="D8307" s="15">
        <v>14.0</v>
      </c>
      <c r="E8307" s="67">
        <f t="shared" si="20"/>
        <v>7000</v>
      </c>
      <c r="F8307" s="67" t="str">
        <f t="shared" si="21"/>
        <v>14 Lead Set Appointments</v>
      </c>
    </row>
    <row r="8308" hidden="1">
      <c r="A8308" s="6" t="s">
        <v>99</v>
      </c>
      <c r="B8308" s="13" t="s">
        <v>1426</v>
      </c>
      <c r="C8308" s="13" t="s">
        <v>1427</v>
      </c>
      <c r="D8308" s="15">
        <v>13.0</v>
      </c>
      <c r="E8308" s="67">
        <f t="shared" si="20"/>
        <v>6500</v>
      </c>
      <c r="F8308" s="67" t="str">
        <f t="shared" si="21"/>
        <v>13 Lead Set Appointments</v>
      </c>
    </row>
    <row r="8309" hidden="1">
      <c r="A8309" s="6" t="s">
        <v>99</v>
      </c>
      <c r="B8309" s="13" t="s">
        <v>486</v>
      </c>
      <c r="C8309" s="13" t="s">
        <v>487</v>
      </c>
      <c r="D8309" s="15">
        <v>13.0</v>
      </c>
      <c r="E8309" s="67">
        <f t="shared" si="20"/>
        <v>6500</v>
      </c>
      <c r="F8309" s="67" t="str">
        <f t="shared" si="21"/>
        <v>13 Lead Set Appointments</v>
      </c>
    </row>
    <row r="8310" hidden="1">
      <c r="A8310" s="6" t="s">
        <v>99</v>
      </c>
      <c r="B8310" s="13" t="s">
        <v>766</v>
      </c>
      <c r="C8310" s="13" t="s">
        <v>767</v>
      </c>
      <c r="D8310" s="15">
        <v>13.0</v>
      </c>
      <c r="E8310" s="67">
        <f t="shared" si="20"/>
        <v>6500</v>
      </c>
      <c r="F8310" s="67" t="str">
        <f t="shared" si="21"/>
        <v>13 Lead Set Appointments</v>
      </c>
    </row>
    <row r="8311" hidden="1">
      <c r="A8311" s="6" t="s">
        <v>99</v>
      </c>
      <c r="B8311" s="13" t="s">
        <v>1461</v>
      </c>
      <c r="C8311" s="13" t="s">
        <v>1462</v>
      </c>
      <c r="D8311" s="15">
        <v>12.0</v>
      </c>
      <c r="E8311" s="67">
        <f t="shared" si="20"/>
        <v>6000</v>
      </c>
      <c r="F8311" s="67" t="str">
        <f t="shared" si="21"/>
        <v>12 Lead Set Appointments</v>
      </c>
    </row>
    <row r="8312" hidden="1">
      <c r="A8312" s="6" t="s">
        <v>99</v>
      </c>
      <c r="B8312" s="13" t="s">
        <v>516</v>
      </c>
      <c r="C8312" s="13" t="s">
        <v>517</v>
      </c>
      <c r="D8312" s="15">
        <v>12.0</v>
      </c>
      <c r="E8312" s="67">
        <f t="shared" si="20"/>
        <v>6000</v>
      </c>
      <c r="F8312" s="67" t="str">
        <f t="shared" si="21"/>
        <v>12 Lead Set Appointments</v>
      </c>
    </row>
    <row r="8313" hidden="1">
      <c r="A8313" s="6" t="s">
        <v>99</v>
      </c>
      <c r="B8313" s="13" t="s">
        <v>1301</v>
      </c>
      <c r="C8313" s="13" t="s">
        <v>1302</v>
      </c>
      <c r="D8313" s="15">
        <v>11.0</v>
      </c>
      <c r="E8313" s="67">
        <f t="shared" si="20"/>
        <v>5500</v>
      </c>
      <c r="F8313" s="67" t="str">
        <f t="shared" si="21"/>
        <v>11 Lead Set Appointments</v>
      </c>
    </row>
    <row r="8314" hidden="1">
      <c r="A8314" s="6" t="s">
        <v>99</v>
      </c>
      <c r="B8314" s="13" t="s">
        <v>693</v>
      </c>
      <c r="C8314" s="13" t="s">
        <v>694</v>
      </c>
      <c r="D8314" s="15">
        <v>11.0</v>
      </c>
      <c r="E8314" s="67">
        <f t="shared" si="20"/>
        <v>5500</v>
      </c>
      <c r="F8314" s="67" t="str">
        <f t="shared" si="21"/>
        <v>11 Lead Set Appointments</v>
      </c>
    </row>
    <row r="8315" hidden="1">
      <c r="A8315" s="6" t="s">
        <v>99</v>
      </c>
      <c r="B8315" s="13" t="s">
        <v>411</v>
      </c>
      <c r="C8315" s="13" t="s">
        <v>412</v>
      </c>
      <c r="D8315" s="15">
        <v>11.0</v>
      </c>
      <c r="E8315" s="67">
        <f t="shared" si="20"/>
        <v>5500</v>
      </c>
      <c r="F8315" s="67" t="str">
        <f t="shared" si="21"/>
        <v>11 Lead Set Appointments</v>
      </c>
    </row>
    <row r="8316" hidden="1">
      <c r="A8316" s="6" t="s">
        <v>99</v>
      </c>
      <c r="B8316" s="13" t="s">
        <v>258</v>
      </c>
      <c r="C8316" s="13" t="s">
        <v>2386</v>
      </c>
      <c r="D8316" s="15">
        <v>11.0</v>
      </c>
      <c r="E8316" s="67">
        <f t="shared" si="20"/>
        <v>5500</v>
      </c>
      <c r="F8316" s="67" t="str">
        <f t="shared" si="21"/>
        <v>11 Lead Set Appointments</v>
      </c>
    </row>
    <row r="8317" hidden="1">
      <c r="A8317" s="6" t="s">
        <v>99</v>
      </c>
      <c r="B8317" s="13" t="s">
        <v>744</v>
      </c>
      <c r="C8317" s="13" t="s">
        <v>745</v>
      </c>
      <c r="D8317" s="15">
        <v>10.0</v>
      </c>
      <c r="E8317" s="67">
        <f t="shared" si="20"/>
        <v>5000</v>
      </c>
      <c r="F8317" s="67" t="str">
        <f t="shared" si="21"/>
        <v>10 Lead Set Appointments</v>
      </c>
    </row>
    <row r="8318" hidden="1">
      <c r="A8318" s="6" t="s">
        <v>99</v>
      </c>
      <c r="B8318" s="13" t="s">
        <v>1415</v>
      </c>
      <c r="C8318" s="13" t="s">
        <v>1416</v>
      </c>
      <c r="D8318" s="15">
        <v>10.0</v>
      </c>
      <c r="E8318" s="67">
        <f t="shared" si="20"/>
        <v>5000</v>
      </c>
      <c r="F8318" s="67" t="str">
        <f t="shared" si="21"/>
        <v>10 Lead Set Appointments</v>
      </c>
    </row>
    <row r="8319" hidden="1">
      <c r="A8319" s="6" t="s">
        <v>99</v>
      </c>
      <c r="B8319" s="13" t="s">
        <v>2947</v>
      </c>
      <c r="C8319" s="13" t="s">
        <v>2948</v>
      </c>
      <c r="D8319" s="15">
        <v>10.0</v>
      </c>
      <c r="E8319" s="67">
        <f t="shared" si="20"/>
        <v>5000</v>
      </c>
      <c r="F8319" s="67" t="str">
        <f t="shared" si="21"/>
        <v>10 Lead Set Appointments</v>
      </c>
    </row>
    <row r="8320" hidden="1">
      <c r="A8320" s="6" t="s">
        <v>99</v>
      </c>
      <c r="B8320" s="13" t="s">
        <v>443</v>
      </c>
      <c r="C8320" s="13" t="s">
        <v>444</v>
      </c>
      <c r="D8320" s="15">
        <v>10.0</v>
      </c>
      <c r="E8320" s="67">
        <f t="shared" si="20"/>
        <v>5000</v>
      </c>
      <c r="F8320" s="67" t="str">
        <f t="shared" si="21"/>
        <v>10 Lead Set Appointments</v>
      </c>
    </row>
    <row r="8321" hidden="1">
      <c r="A8321" s="6" t="s">
        <v>99</v>
      </c>
      <c r="B8321" s="13" t="s">
        <v>510</v>
      </c>
      <c r="C8321" s="13" t="s">
        <v>511</v>
      </c>
      <c r="D8321" s="15">
        <v>10.0</v>
      </c>
      <c r="E8321" s="67">
        <f t="shared" si="20"/>
        <v>5000</v>
      </c>
      <c r="F8321" s="67" t="str">
        <f t="shared" si="21"/>
        <v>10 Lead Set Appointments</v>
      </c>
    </row>
    <row r="8322" hidden="1">
      <c r="A8322" s="6" t="s">
        <v>99</v>
      </c>
      <c r="B8322" s="13" t="s">
        <v>1471</v>
      </c>
      <c r="C8322" s="13" t="s">
        <v>1472</v>
      </c>
      <c r="D8322" s="15">
        <v>10.0</v>
      </c>
      <c r="E8322" s="67">
        <f t="shared" si="20"/>
        <v>5000</v>
      </c>
      <c r="F8322" s="67" t="str">
        <f t="shared" si="21"/>
        <v>10 Lead Set Appointments</v>
      </c>
    </row>
    <row r="8323" hidden="1">
      <c r="A8323" s="6" t="s">
        <v>99</v>
      </c>
      <c r="B8323" s="13" t="s">
        <v>746</v>
      </c>
      <c r="C8323" s="13" t="s">
        <v>747</v>
      </c>
      <c r="D8323" s="15">
        <v>10.0</v>
      </c>
      <c r="E8323" s="67">
        <f t="shared" si="20"/>
        <v>5000</v>
      </c>
      <c r="F8323" s="67" t="str">
        <f t="shared" si="21"/>
        <v>10 Lead Set Appointments</v>
      </c>
    </row>
    <row r="8324" hidden="1">
      <c r="A8324" s="6" t="s">
        <v>99</v>
      </c>
      <c r="B8324" s="13" t="s">
        <v>413</v>
      </c>
      <c r="C8324" s="13" t="s">
        <v>414</v>
      </c>
      <c r="D8324" s="15">
        <v>10.0</v>
      </c>
      <c r="E8324" s="67">
        <f t="shared" si="20"/>
        <v>5000</v>
      </c>
      <c r="F8324" s="67" t="str">
        <f t="shared" si="21"/>
        <v>10 Lead Set Appointments</v>
      </c>
    </row>
    <row r="8325" hidden="1">
      <c r="A8325" s="6" t="s">
        <v>99</v>
      </c>
      <c r="B8325" s="13" t="s">
        <v>2935</v>
      </c>
      <c r="C8325" s="13" t="s">
        <v>2936</v>
      </c>
      <c r="D8325" s="15">
        <v>9.0</v>
      </c>
      <c r="E8325" s="67">
        <f t="shared" si="20"/>
        <v>2250</v>
      </c>
      <c r="F8325" s="67" t="str">
        <f t="shared" si="21"/>
        <v>9 Lead Set Appointments</v>
      </c>
    </row>
    <row r="8326" hidden="1">
      <c r="A8326" s="6" t="s">
        <v>99</v>
      </c>
      <c r="B8326" s="13" t="s">
        <v>1506</v>
      </c>
      <c r="C8326" s="13" t="s">
        <v>1507</v>
      </c>
      <c r="D8326" s="15">
        <v>9.0</v>
      </c>
      <c r="E8326" s="67">
        <f t="shared" si="20"/>
        <v>2250</v>
      </c>
      <c r="F8326" s="67" t="str">
        <f t="shared" si="21"/>
        <v>9 Lead Set Appointments</v>
      </c>
    </row>
    <row r="8327" hidden="1">
      <c r="A8327" s="6" t="s">
        <v>99</v>
      </c>
      <c r="B8327" s="13" t="s">
        <v>1442</v>
      </c>
      <c r="C8327" s="13" t="s">
        <v>749</v>
      </c>
      <c r="D8327" s="15">
        <v>9.0</v>
      </c>
      <c r="E8327" s="67">
        <f t="shared" si="20"/>
        <v>2250</v>
      </c>
      <c r="F8327" s="67" t="str">
        <f t="shared" si="21"/>
        <v>9 Lead Set Appointments</v>
      </c>
    </row>
    <row r="8328" hidden="1">
      <c r="A8328" s="6" t="s">
        <v>99</v>
      </c>
      <c r="B8328" s="13" t="s">
        <v>2913</v>
      </c>
      <c r="C8328" s="13" t="s">
        <v>2914</v>
      </c>
      <c r="D8328" s="15">
        <v>8.0</v>
      </c>
      <c r="E8328" s="67">
        <f t="shared" si="20"/>
        <v>2000</v>
      </c>
      <c r="F8328" s="67" t="str">
        <f t="shared" si="21"/>
        <v>8 Lead Set Appointments</v>
      </c>
    </row>
    <row r="8329" hidden="1">
      <c r="A8329" s="6" t="s">
        <v>99</v>
      </c>
      <c r="B8329" s="13" t="s">
        <v>502</v>
      </c>
      <c r="C8329" s="13" t="s">
        <v>503</v>
      </c>
      <c r="D8329" s="15">
        <v>8.0</v>
      </c>
      <c r="E8329" s="67">
        <f t="shared" si="20"/>
        <v>2000</v>
      </c>
      <c r="F8329" s="67" t="str">
        <f t="shared" si="21"/>
        <v>8 Lead Set Appointments</v>
      </c>
    </row>
    <row r="8330" hidden="1">
      <c r="A8330" s="6" t="s">
        <v>99</v>
      </c>
      <c r="B8330" s="13" t="s">
        <v>590</v>
      </c>
      <c r="C8330" s="13" t="s">
        <v>591</v>
      </c>
      <c r="D8330" s="15">
        <v>8.0</v>
      </c>
      <c r="E8330" s="67">
        <f t="shared" si="20"/>
        <v>2000</v>
      </c>
      <c r="F8330" s="67" t="str">
        <f t="shared" si="21"/>
        <v>8 Lead Set Appointments</v>
      </c>
    </row>
    <row r="8331" hidden="1">
      <c r="A8331" s="6" t="s">
        <v>99</v>
      </c>
      <c r="B8331" s="13" t="s">
        <v>315</v>
      </c>
      <c r="C8331" s="13" t="s">
        <v>2819</v>
      </c>
      <c r="D8331" s="15">
        <v>8.0</v>
      </c>
      <c r="E8331" s="67">
        <f t="shared" si="20"/>
        <v>2000</v>
      </c>
      <c r="F8331" s="67" t="str">
        <f t="shared" si="21"/>
        <v>8 Lead Set Appointments</v>
      </c>
    </row>
    <row r="8332" hidden="1">
      <c r="A8332" s="6" t="s">
        <v>99</v>
      </c>
      <c r="B8332" s="13" t="s">
        <v>1493</v>
      </c>
      <c r="C8332" s="13" t="s">
        <v>1494</v>
      </c>
      <c r="D8332" s="15">
        <v>8.0</v>
      </c>
      <c r="E8332" s="67">
        <f t="shared" si="20"/>
        <v>2000</v>
      </c>
      <c r="F8332" s="67" t="str">
        <f t="shared" si="21"/>
        <v>8 Lead Set Appointments</v>
      </c>
    </row>
    <row r="8333" hidden="1">
      <c r="A8333" s="6" t="s">
        <v>99</v>
      </c>
      <c r="B8333" s="13" t="s">
        <v>604</v>
      </c>
      <c r="C8333" s="13" t="s">
        <v>605</v>
      </c>
      <c r="D8333" s="15">
        <v>8.0</v>
      </c>
      <c r="E8333" s="67">
        <f t="shared" si="20"/>
        <v>2000</v>
      </c>
      <c r="F8333" s="67" t="str">
        <f t="shared" si="21"/>
        <v>8 Lead Set Appointments</v>
      </c>
    </row>
    <row r="8334" hidden="1">
      <c r="A8334" s="6" t="s">
        <v>99</v>
      </c>
      <c r="B8334" s="13" t="s">
        <v>624</v>
      </c>
      <c r="C8334" s="13" t="s">
        <v>625</v>
      </c>
      <c r="D8334" s="15">
        <v>8.0</v>
      </c>
      <c r="E8334" s="67">
        <f t="shared" si="20"/>
        <v>2000</v>
      </c>
      <c r="F8334" s="67" t="str">
        <f t="shared" si="21"/>
        <v>8 Lead Set Appointments</v>
      </c>
    </row>
    <row r="8335" hidden="1">
      <c r="A8335" s="6" t="s">
        <v>99</v>
      </c>
      <c r="B8335" s="13" t="s">
        <v>542</v>
      </c>
      <c r="C8335" s="13" t="s">
        <v>543</v>
      </c>
      <c r="D8335" s="15">
        <v>7.0</v>
      </c>
      <c r="E8335" s="67">
        <f t="shared" si="20"/>
        <v>1750</v>
      </c>
      <c r="F8335" s="67" t="str">
        <f t="shared" si="21"/>
        <v>7 Lead Set Appointments</v>
      </c>
    </row>
    <row r="8336" hidden="1">
      <c r="A8336" s="6" t="s">
        <v>99</v>
      </c>
      <c r="B8336" s="13" t="s">
        <v>500</v>
      </c>
      <c r="C8336" s="13" t="s">
        <v>501</v>
      </c>
      <c r="D8336" s="15">
        <v>7.0</v>
      </c>
      <c r="E8336" s="67">
        <f t="shared" si="20"/>
        <v>1750</v>
      </c>
      <c r="F8336" s="67" t="str">
        <f t="shared" si="21"/>
        <v>7 Lead Set Appointments</v>
      </c>
    </row>
    <row r="8337" hidden="1">
      <c r="A8337" s="6" t="s">
        <v>99</v>
      </c>
      <c r="B8337" s="13" t="s">
        <v>2939</v>
      </c>
      <c r="C8337" s="13" t="s">
        <v>2940</v>
      </c>
      <c r="D8337" s="15">
        <v>7.0</v>
      </c>
      <c r="E8337" s="67">
        <f t="shared" si="20"/>
        <v>1750</v>
      </c>
      <c r="F8337" s="67" t="str">
        <f t="shared" si="21"/>
        <v>7 Lead Set Appointments</v>
      </c>
    </row>
    <row r="8338" hidden="1">
      <c r="A8338" s="6" t="s">
        <v>99</v>
      </c>
      <c r="B8338" s="13" t="s">
        <v>288</v>
      </c>
      <c r="C8338" s="13" t="s">
        <v>2375</v>
      </c>
      <c r="D8338" s="15">
        <v>7.0</v>
      </c>
      <c r="E8338" s="67">
        <f t="shared" si="20"/>
        <v>1750</v>
      </c>
      <c r="F8338" s="67" t="str">
        <f t="shared" si="21"/>
        <v>7 Lead Set Appointments</v>
      </c>
    </row>
    <row r="8339" hidden="1">
      <c r="A8339" s="6" t="s">
        <v>99</v>
      </c>
      <c r="B8339" s="13" t="s">
        <v>1127</v>
      </c>
      <c r="C8339" s="13" t="s">
        <v>1128</v>
      </c>
      <c r="D8339" s="15">
        <v>7.0</v>
      </c>
      <c r="E8339" s="67">
        <f t="shared" si="20"/>
        <v>1750</v>
      </c>
      <c r="F8339" s="67" t="str">
        <f t="shared" si="21"/>
        <v>7 Lead Set Appointments</v>
      </c>
    </row>
    <row r="8340" hidden="1">
      <c r="A8340" s="6" t="s">
        <v>99</v>
      </c>
      <c r="B8340" s="13" t="s">
        <v>699</v>
      </c>
      <c r="C8340" s="13" t="s">
        <v>700</v>
      </c>
      <c r="D8340" s="15">
        <v>7.0</v>
      </c>
      <c r="E8340" s="67">
        <f t="shared" si="20"/>
        <v>1750</v>
      </c>
      <c r="F8340" s="67" t="str">
        <f t="shared" si="21"/>
        <v>7 Lead Set Appointments</v>
      </c>
    </row>
    <row r="8341" hidden="1">
      <c r="A8341" s="6" t="s">
        <v>99</v>
      </c>
      <c r="B8341" s="13" t="s">
        <v>532</v>
      </c>
      <c r="C8341" s="13" t="s">
        <v>533</v>
      </c>
      <c r="D8341" s="15">
        <v>7.0</v>
      </c>
      <c r="E8341" s="67">
        <f t="shared" si="20"/>
        <v>1750</v>
      </c>
      <c r="F8341" s="67" t="str">
        <f t="shared" si="21"/>
        <v>7 Lead Set Appointments</v>
      </c>
    </row>
    <row r="8342" hidden="1">
      <c r="A8342" s="6" t="s">
        <v>99</v>
      </c>
      <c r="B8342" s="13" t="s">
        <v>1923</v>
      </c>
      <c r="C8342" s="13" t="s">
        <v>1924</v>
      </c>
      <c r="D8342" s="15">
        <v>7.0</v>
      </c>
      <c r="E8342" s="67">
        <f t="shared" si="20"/>
        <v>1750</v>
      </c>
      <c r="F8342" s="67" t="str">
        <f t="shared" si="21"/>
        <v>7 Lead Set Appointments</v>
      </c>
    </row>
    <row r="8343" hidden="1">
      <c r="A8343" s="6" t="s">
        <v>99</v>
      </c>
      <c r="B8343" s="13" t="s">
        <v>2718</v>
      </c>
      <c r="C8343" s="13" t="s">
        <v>2719</v>
      </c>
      <c r="D8343" s="15">
        <v>7.0</v>
      </c>
      <c r="E8343" s="67">
        <f t="shared" si="20"/>
        <v>1750</v>
      </c>
      <c r="F8343" s="67" t="str">
        <f t="shared" si="21"/>
        <v>7 Lead Set Appointments</v>
      </c>
    </row>
    <row r="8344" hidden="1">
      <c r="A8344" s="6" t="s">
        <v>99</v>
      </c>
      <c r="B8344" s="13" t="s">
        <v>1351</v>
      </c>
      <c r="C8344" s="13" t="s">
        <v>1352</v>
      </c>
      <c r="D8344" s="15">
        <v>7.0</v>
      </c>
      <c r="E8344" s="67">
        <f t="shared" si="20"/>
        <v>1750</v>
      </c>
      <c r="F8344" s="67" t="str">
        <f t="shared" si="21"/>
        <v>7 Lead Set Appointments</v>
      </c>
    </row>
    <row r="8345" hidden="1">
      <c r="A8345" s="6" t="s">
        <v>99</v>
      </c>
      <c r="B8345" s="13" t="s">
        <v>2589</v>
      </c>
      <c r="C8345" s="13" t="s">
        <v>2590</v>
      </c>
      <c r="D8345" s="15">
        <v>7.0</v>
      </c>
      <c r="E8345" s="67">
        <f t="shared" si="20"/>
        <v>1750</v>
      </c>
      <c r="F8345" s="67" t="str">
        <f t="shared" si="21"/>
        <v>7 Lead Set Appointments</v>
      </c>
    </row>
    <row r="8346" hidden="1">
      <c r="A8346" s="6" t="s">
        <v>99</v>
      </c>
      <c r="B8346" s="13" t="s">
        <v>2004</v>
      </c>
      <c r="C8346" s="13" t="s">
        <v>2005</v>
      </c>
      <c r="D8346" s="15">
        <v>7.0</v>
      </c>
      <c r="E8346" s="67">
        <f t="shared" si="20"/>
        <v>1750</v>
      </c>
      <c r="F8346" s="67" t="str">
        <f t="shared" si="21"/>
        <v>7 Lead Set Appointments</v>
      </c>
    </row>
    <row r="8347" hidden="1">
      <c r="A8347" s="6" t="s">
        <v>99</v>
      </c>
      <c r="B8347" s="13" t="s">
        <v>2683</v>
      </c>
      <c r="C8347" s="13" t="s">
        <v>2684</v>
      </c>
      <c r="D8347" s="15">
        <v>6.0</v>
      </c>
      <c r="E8347" s="67">
        <f t="shared" si="20"/>
        <v>1500</v>
      </c>
      <c r="F8347" s="67" t="str">
        <f t="shared" si="21"/>
        <v>6 Lead Set Appointments</v>
      </c>
    </row>
    <row r="8348" hidden="1">
      <c r="A8348" s="6" t="s">
        <v>99</v>
      </c>
      <c r="B8348" s="13" t="s">
        <v>546</v>
      </c>
      <c r="C8348" s="13" t="s">
        <v>547</v>
      </c>
      <c r="D8348" s="15">
        <v>6.0</v>
      </c>
      <c r="E8348" s="67">
        <f t="shared" si="20"/>
        <v>1500</v>
      </c>
      <c r="F8348" s="67" t="str">
        <f t="shared" si="21"/>
        <v>6 Lead Set Appointments</v>
      </c>
    </row>
    <row r="8349" hidden="1">
      <c r="A8349" s="6" t="s">
        <v>99</v>
      </c>
      <c r="B8349" s="13" t="s">
        <v>2828</v>
      </c>
      <c r="C8349" s="13" t="s">
        <v>2829</v>
      </c>
      <c r="D8349" s="15">
        <v>6.0</v>
      </c>
      <c r="E8349" s="67">
        <f t="shared" si="20"/>
        <v>1500</v>
      </c>
      <c r="F8349" s="67" t="str">
        <f t="shared" si="21"/>
        <v>6 Lead Set Appointments</v>
      </c>
    </row>
    <row r="8350" hidden="1">
      <c r="A8350" s="6" t="s">
        <v>99</v>
      </c>
      <c r="B8350" s="13" t="s">
        <v>1692</v>
      </c>
      <c r="C8350" s="13" t="s">
        <v>1693</v>
      </c>
      <c r="D8350" s="15">
        <v>6.0</v>
      </c>
      <c r="E8350" s="67">
        <f t="shared" si="20"/>
        <v>1500</v>
      </c>
      <c r="F8350" s="67" t="str">
        <f t="shared" si="21"/>
        <v>6 Lead Set Appointments</v>
      </c>
    </row>
    <row r="8351" hidden="1">
      <c r="A8351" s="6" t="s">
        <v>99</v>
      </c>
      <c r="B8351" s="13" t="s">
        <v>494</v>
      </c>
      <c r="C8351" s="13" t="s">
        <v>495</v>
      </c>
      <c r="D8351" s="15">
        <v>6.0</v>
      </c>
      <c r="E8351" s="67">
        <f t="shared" si="20"/>
        <v>1500</v>
      </c>
      <c r="F8351" s="67" t="str">
        <f t="shared" si="21"/>
        <v>6 Lead Set Appointments</v>
      </c>
    </row>
    <row r="8352" hidden="1">
      <c r="A8352" s="6" t="s">
        <v>99</v>
      </c>
      <c r="B8352" s="13" t="s">
        <v>2841</v>
      </c>
      <c r="C8352" s="13" t="s">
        <v>2842</v>
      </c>
      <c r="D8352" s="15">
        <v>6.0</v>
      </c>
      <c r="E8352" s="67">
        <f t="shared" si="20"/>
        <v>1500</v>
      </c>
      <c r="F8352" s="67" t="str">
        <f t="shared" si="21"/>
        <v>6 Lead Set Appointments</v>
      </c>
    </row>
    <row r="8353" hidden="1">
      <c r="A8353" s="6" t="s">
        <v>99</v>
      </c>
      <c r="B8353" s="13" t="s">
        <v>1333</v>
      </c>
      <c r="C8353" s="13" t="s">
        <v>551</v>
      </c>
      <c r="D8353" s="15">
        <v>6.0</v>
      </c>
      <c r="E8353" s="67">
        <f t="shared" si="20"/>
        <v>1500</v>
      </c>
      <c r="F8353" s="67" t="str">
        <f t="shared" si="21"/>
        <v>6 Lead Set Appointments</v>
      </c>
    </row>
    <row r="8354" hidden="1">
      <c r="A8354" s="6" t="s">
        <v>99</v>
      </c>
      <c r="B8354" s="13" t="s">
        <v>524</v>
      </c>
      <c r="C8354" s="13" t="s">
        <v>525</v>
      </c>
      <c r="D8354" s="15">
        <v>6.0</v>
      </c>
      <c r="E8354" s="67">
        <f t="shared" si="20"/>
        <v>1500</v>
      </c>
      <c r="F8354" s="67" t="str">
        <f t="shared" si="21"/>
        <v>6 Lead Set Appointments</v>
      </c>
    </row>
    <row r="8355" hidden="1">
      <c r="A8355" s="6" t="s">
        <v>99</v>
      </c>
      <c r="B8355" s="13" t="s">
        <v>862</v>
      </c>
      <c r="C8355" s="13" t="s">
        <v>863</v>
      </c>
      <c r="D8355" s="15">
        <v>6.0</v>
      </c>
      <c r="E8355" s="67">
        <f t="shared" si="20"/>
        <v>1500</v>
      </c>
      <c r="F8355" s="67" t="str">
        <f t="shared" si="21"/>
        <v>6 Lead Set Appointments</v>
      </c>
    </row>
    <row r="8356" hidden="1">
      <c r="A8356" s="6" t="s">
        <v>99</v>
      </c>
      <c r="B8356" s="13" t="s">
        <v>445</v>
      </c>
      <c r="C8356" s="13" t="s">
        <v>446</v>
      </c>
      <c r="D8356" s="15">
        <v>6.0</v>
      </c>
      <c r="E8356" s="67">
        <f t="shared" si="20"/>
        <v>1500</v>
      </c>
      <c r="F8356" s="67" t="str">
        <f t="shared" si="21"/>
        <v>6 Lead Set Appointments</v>
      </c>
    </row>
    <row r="8357" hidden="1">
      <c r="A8357" s="6" t="s">
        <v>99</v>
      </c>
      <c r="B8357" s="13" t="s">
        <v>311</v>
      </c>
      <c r="C8357" s="13" t="s">
        <v>312</v>
      </c>
      <c r="D8357" s="15">
        <v>6.0</v>
      </c>
      <c r="E8357" s="67">
        <f t="shared" si="20"/>
        <v>1500</v>
      </c>
      <c r="F8357" s="67" t="str">
        <f t="shared" si="21"/>
        <v>6 Lead Set Appointments</v>
      </c>
    </row>
    <row r="8358" hidden="1">
      <c r="A8358" s="6" t="s">
        <v>99</v>
      </c>
      <c r="B8358" s="13" t="s">
        <v>628</v>
      </c>
      <c r="C8358" s="13" t="s">
        <v>629</v>
      </c>
      <c r="D8358" s="15">
        <v>5.0</v>
      </c>
      <c r="E8358" s="67">
        <f t="shared" si="20"/>
        <v>1250</v>
      </c>
      <c r="F8358" s="67" t="str">
        <f t="shared" si="21"/>
        <v>5 Lead Set Appointments</v>
      </c>
    </row>
    <row r="8359" hidden="1">
      <c r="A8359" s="6" t="s">
        <v>99</v>
      </c>
      <c r="B8359" s="13" t="s">
        <v>560</v>
      </c>
      <c r="C8359" s="13" t="s">
        <v>561</v>
      </c>
      <c r="D8359" s="15">
        <v>5.0</v>
      </c>
      <c r="E8359" s="67">
        <f t="shared" si="20"/>
        <v>1250</v>
      </c>
      <c r="F8359" s="67" t="str">
        <f t="shared" si="21"/>
        <v>5 Lead Set Appointments</v>
      </c>
    </row>
    <row r="8360" hidden="1">
      <c r="A8360" s="6" t="s">
        <v>99</v>
      </c>
      <c r="B8360" s="13" t="s">
        <v>1408</v>
      </c>
      <c r="C8360" s="13" t="s">
        <v>675</v>
      </c>
      <c r="D8360" s="15">
        <v>5.0</v>
      </c>
      <c r="E8360" s="67">
        <f t="shared" si="20"/>
        <v>1250</v>
      </c>
      <c r="F8360" s="67" t="str">
        <f t="shared" si="21"/>
        <v>5 Lead Set Appointments</v>
      </c>
    </row>
    <row r="8361" hidden="1">
      <c r="A8361" s="6" t="s">
        <v>99</v>
      </c>
      <c r="B8361" s="13" t="s">
        <v>1334</v>
      </c>
      <c r="C8361" s="13" t="s">
        <v>553</v>
      </c>
      <c r="D8361" s="15">
        <v>5.0</v>
      </c>
      <c r="E8361" s="67">
        <f t="shared" si="20"/>
        <v>1250</v>
      </c>
      <c r="F8361" s="67" t="str">
        <f t="shared" si="21"/>
        <v>5 Lead Set Appointments</v>
      </c>
    </row>
    <row r="8362" hidden="1">
      <c r="A8362" s="6" t="s">
        <v>99</v>
      </c>
      <c r="B8362" s="13" t="s">
        <v>2179</v>
      </c>
      <c r="C8362" s="13" t="s">
        <v>2180</v>
      </c>
      <c r="D8362" s="15">
        <v>5.0</v>
      </c>
      <c r="E8362" s="67">
        <f t="shared" si="20"/>
        <v>1250</v>
      </c>
      <c r="F8362" s="67" t="str">
        <f t="shared" si="21"/>
        <v>5 Lead Set Appointments</v>
      </c>
    </row>
    <row r="8363" hidden="1">
      <c r="A8363" s="6" t="s">
        <v>99</v>
      </c>
      <c r="B8363" s="13" t="s">
        <v>2097</v>
      </c>
      <c r="C8363" s="13" t="s">
        <v>828</v>
      </c>
      <c r="D8363" s="15">
        <v>5.0</v>
      </c>
      <c r="E8363" s="67">
        <f t="shared" si="20"/>
        <v>1250</v>
      </c>
      <c r="F8363" s="67" t="str">
        <f t="shared" si="21"/>
        <v>5 Lead Set Appointments</v>
      </c>
    </row>
    <row r="8364" hidden="1">
      <c r="A8364" s="6" t="s">
        <v>99</v>
      </c>
      <c r="B8364" s="13" t="s">
        <v>2707</v>
      </c>
      <c r="C8364" s="13" t="s">
        <v>2708</v>
      </c>
      <c r="D8364" s="15">
        <v>5.0</v>
      </c>
      <c r="E8364" s="67">
        <f t="shared" si="20"/>
        <v>1250</v>
      </c>
      <c r="F8364" s="67" t="str">
        <f t="shared" si="21"/>
        <v>5 Lead Set Appointments</v>
      </c>
    </row>
    <row r="8365" hidden="1">
      <c r="A8365" s="6" t="s">
        <v>99</v>
      </c>
      <c r="B8365" s="13" t="s">
        <v>582</v>
      </c>
      <c r="C8365" s="13" t="s">
        <v>583</v>
      </c>
      <c r="D8365" s="15">
        <v>5.0</v>
      </c>
      <c r="E8365" s="67">
        <f t="shared" si="20"/>
        <v>1250</v>
      </c>
      <c r="F8365" s="67" t="str">
        <f t="shared" si="21"/>
        <v>5 Lead Set Appointments</v>
      </c>
    </row>
    <row r="8366" hidden="1">
      <c r="A8366" s="6" t="s">
        <v>99</v>
      </c>
      <c r="B8366" s="13" t="s">
        <v>803</v>
      </c>
      <c r="C8366" s="13" t="s">
        <v>804</v>
      </c>
      <c r="D8366" s="15">
        <v>5.0</v>
      </c>
      <c r="E8366" s="67">
        <f t="shared" si="20"/>
        <v>1250</v>
      </c>
      <c r="F8366" s="67" t="str">
        <f t="shared" si="21"/>
        <v>5 Lead Set Appointments</v>
      </c>
    </row>
    <row r="8367" hidden="1">
      <c r="A8367" s="6" t="s">
        <v>99</v>
      </c>
      <c r="B8367" s="13" t="s">
        <v>2749</v>
      </c>
      <c r="C8367" s="13" t="s">
        <v>2750</v>
      </c>
      <c r="D8367" s="15">
        <v>5.0</v>
      </c>
      <c r="E8367" s="67">
        <f t="shared" si="20"/>
        <v>1250</v>
      </c>
      <c r="F8367" s="67" t="str">
        <f t="shared" si="21"/>
        <v>5 Lead Set Appointments</v>
      </c>
    </row>
    <row r="8368" hidden="1">
      <c r="A8368" s="6" t="s">
        <v>99</v>
      </c>
      <c r="B8368" s="13" t="s">
        <v>307</v>
      </c>
      <c r="C8368" s="13" t="s">
        <v>692</v>
      </c>
      <c r="D8368" s="15">
        <v>5.0</v>
      </c>
      <c r="E8368" s="67">
        <f t="shared" si="20"/>
        <v>1250</v>
      </c>
      <c r="F8368" s="67" t="str">
        <f t="shared" si="21"/>
        <v>5 Lead Set Appointments</v>
      </c>
    </row>
    <row r="8369" hidden="1">
      <c r="A8369" s="6" t="s">
        <v>99</v>
      </c>
      <c r="B8369" s="13" t="s">
        <v>1736</v>
      </c>
      <c r="C8369" s="13" t="s">
        <v>1737</v>
      </c>
      <c r="D8369" s="15">
        <v>5.0</v>
      </c>
      <c r="E8369" s="67">
        <f t="shared" si="20"/>
        <v>1250</v>
      </c>
      <c r="F8369" s="67" t="str">
        <f t="shared" si="21"/>
        <v>5 Lead Set Appointments</v>
      </c>
    </row>
    <row r="8370" hidden="1">
      <c r="A8370" s="6" t="s">
        <v>99</v>
      </c>
      <c r="B8370" s="13" t="s">
        <v>701</v>
      </c>
      <c r="C8370" s="13" t="s">
        <v>702</v>
      </c>
      <c r="D8370" s="15">
        <v>5.0</v>
      </c>
      <c r="E8370" s="67">
        <f t="shared" si="20"/>
        <v>1250</v>
      </c>
      <c r="F8370" s="67" t="str">
        <f t="shared" si="21"/>
        <v>5 Lead Set Appointments</v>
      </c>
    </row>
    <row r="8371" hidden="1">
      <c r="A8371" s="6" t="s">
        <v>99</v>
      </c>
      <c r="B8371" s="13" t="s">
        <v>622</v>
      </c>
      <c r="C8371" s="13" t="s">
        <v>623</v>
      </c>
      <c r="D8371" s="15">
        <v>5.0</v>
      </c>
      <c r="E8371" s="67">
        <f t="shared" si="20"/>
        <v>1250</v>
      </c>
      <c r="F8371" s="67" t="str">
        <f t="shared" si="21"/>
        <v>5 Lead Set Appointments</v>
      </c>
    </row>
    <row r="8372" hidden="1">
      <c r="A8372" s="6" t="s">
        <v>99</v>
      </c>
      <c r="B8372" s="13" t="s">
        <v>566</v>
      </c>
      <c r="C8372" s="13" t="s">
        <v>567</v>
      </c>
      <c r="D8372" s="15">
        <v>5.0</v>
      </c>
      <c r="E8372" s="67">
        <f t="shared" si="20"/>
        <v>1250</v>
      </c>
      <c r="F8372" s="67" t="str">
        <f t="shared" si="21"/>
        <v>5 Lead Set Appointments</v>
      </c>
    </row>
    <row r="8373" hidden="1">
      <c r="A8373" s="6" t="s">
        <v>99</v>
      </c>
      <c r="B8373" s="13" t="s">
        <v>1380</v>
      </c>
      <c r="C8373" s="13" t="s">
        <v>1381</v>
      </c>
      <c r="D8373" s="15">
        <v>4.0</v>
      </c>
      <c r="E8373" s="67">
        <f t="shared" si="20"/>
        <v>1000</v>
      </c>
      <c r="F8373" s="67" t="str">
        <f t="shared" si="21"/>
        <v>4 Lead Set Appointments</v>
      </c>
    </row>
    <row r="8374" hidden="1">
      <c r="A8374" s="6" t="s">
        <v>99</v>
      </c>
      <c r="B8374" s="13" t="s">
        <v>2299</v>
      </c>
      <c r="C8374" s="13" t="s">
        <v>2300</v>
      </c>
      <c r="D8374" s="15">
        <v>4.0</v>
      </c>
      <c r="E8374" s="67">
        <f t="shared" si="20"/>
        <v>1000</v>
      </c>
      <c r="F8374" s="67" t="str">
        <f t="shared" si="21"/>
        <v>4 Lead Set Appointments</v>
      </c>
    </row>
    <row r="8375" hidden="1">
      <c r="A8375" s="6" t="s">
        <v>99</v>
      </c>
      <c r="B8375" s="13" t="s">
        <v>684</v>
      </c>
      <c r="C8375" s="13" t="s">
        <v>685</v>
      </c>
      <c r="D8375" s="15">
        <v>4.0</v>
      </c>
      <c r="E8375" s="67">
        <f t="shared" si="20"/>
        <v>1000</v>
      </c>
      <c r="F8375" s="67" t="str">
        <f t="shared" si="21"/>
        <v>4 Lead Set Appointments</v>
      </c>
    </row>
    <row r="8376" hidden="1">
      <c r="A8376" s="6" t="s">
        <v>99</v>
      </c>
      <c r="B8376" s="13" t="s">
        <v>1919</v>
      </c>
      <c r="C8376" s="13" t="s">
        <v>2816</v>
      </c>
      <c r="D8376" s="15">
        <v>4.0</v>
      </c>
      <c r="E8376" s="67">
        <f t="shared" si="20"/>
        <v>1000</v>
      </c>
      <c r="F8376" s="67" t="str">
        <f t="shared" si="21"/>
        <v>4 Lead Set Appointments</v>
      </c>
    </row>
    <row r="8377" hidden="1">
      <c r="A8377" s="6" t="s">
        <v>99</v>
      </c>
      <c r="B8377" s="13" t="s">
        <v>2636</v>
      </c>
      <c r="C8377" s="13" t="s">
        <v>2637</v>
      </c>
      <c r="D8377" s="15">
        <v>4.0</v>
      </c>
      <c r="E8377" s="67">
        <f t="shared" si="20"/>
        <v>1000</v>
      </c>
      <c r="F8377" s="67" t="str">
        <f t="shared" si="21"/>
        <v>4 Lead Set Appointments</v>
      </c>
    </row>
    <row r="8378" hidden="1">
      <c r="A8378" s="6" t="s">
        <v>99</v>
      </c>
      <c r="B8378" s="13" t="s">
        <v>1438</v>
      </c>
      <c r="C8378" s="13" t="s">
        <v>1439</v>
      </c>
      <c r="D8378" s="15">
        <v>4.0</v>
      </c>
      <c r="E8378" s="67">
        <f t="shared" si="20"/>
        <v>1000</v>
      </c>
      <c r="F8378" s="67" t="str">
        <f t="shared" si="21"/>
        <v>4 Lead Set Appointments</v>
      </c>
    </row>
    <row r="8379" hidden="1">
      <c r="A8379" s="6" t="s">
        <v>99</v>
      </c>
      <c r="B8379" s="13" t="s">
        <v>1279</v>
      </c>
      <c r="C8379" s="13" t="s">
        <v>739</v>
      </c>
      <c r="D8379" s="15">
        <v>4.0</v>
      </c>
      <c r="E8379" s="67">
        <f t="shared" si="20"/>
        <v>1000</v>
      </c>
      <c r="F8379" s="67" t="str">
        <f t="shared" si="21"/>
        <v>4 Lead Set Appointments</v>
      </c>
    </row>
    <row r="8380" hidden="1">
      <c r="A8380" s="6" t="s">
        <v>99</v>
      </c>
      <c r="B8380" s="13" t="s">
        <v>2837</v>
      </c>
      <c r="C8380" s="13" t="s">
        <v>2838</v>
      </c>
      <c r="D8380" s="15">
        <v>4.0</v>
      </c>
      <c r="E8380" s="67">
        <f t="shared" si="20"/>
        <v>1000</v>
      </c>
      <c r="F8380" s="67" t="str">
        <f t="shared" si="21"/>
        <v>4 Lead Set Appointments</v>
      </c>
    </row>
    <row r="8381" hidden="1">
      <c r="A8381" s="6" t="s">
        <v>99</v>
      </c>
      <c r="B8381" s="13" t="s">
        <v>672</v>
      </c>
      <c r="C8381" s="13" t="s">
        <v>673</v>
      </c>
      <c r="D8381" s="15">
        <v>4.0</v>
      </c>
      <c r="E8381" s="67">
        <f t="shared" si="20"/>
        <v>1000</v>
      </c>
      <c r="F8381" s="67" t="str">
        <f t="shared" si="21"/>
        <v>4 Lead Set Appointments</v>
      </c>
    </row>
    <row r="8382" hidden="1">
      <c r="A8382" s="6" t="s">
        <v>99</v>
      </c>
      <c r="B8382" s="13" t="s">
        <v>1393</v>
      </c>
      <c r="C8382" s="13" t="s">
        <v>1394</v>
      </c>
      <c r="D8382" s="15">
        <v>4.0</v>
      </c>
      <c r="E8382" s="67">
        <f t="shared" si="20"/>
        <v>1000</v>
      </c>
      <c r="F8382" s="67" t="str">
        <f t="shared" si="21"/>
        <v>4 Lead Set Appointments</v>
      </c>
    </row>
    <row r="8383" hidden="1">
      <c r="A8383" s="6" t="s">
        <v>99</v>
      </c>
      <c r="B8383" s="13" t="s">
        <v>1421</v>
      </c>
      <c r="C8383" s="13" t="s">
        <v>712</v>
      </c>
      <c r="D8383" s="15">
        <v>4.0</v>
      </c>
      <c r="E8383" s="67">
        <f t="shared" si="20"/>
        <v>1000</v>
      </c>
      <c r="F8383" s="67" t="str">
        <f t="shared" si="21"/>
        <v>4 Lead Set Appointments</v>
      </c>
    </row>
    <row r="8384" hidden="1">
      <c r="A8384" s="6" t="s">
        <v>99</v>
      </c>
      <c r="B8384" s="13" t="s">
        <v>572</v>
      </c>
      <c r="C8384" s="13" t="s">
        <v>573</v>
      </c>
      <c r="D8384" s="15">
        <v>4.0</v>
      </c>
      <c r="E8384" s="67">
        <f t="shared" si="20"/>
        <v>1000</v>
      </c>
      <c r="F8384" s="67" t="str">
        <f t="shared" si="21"/>
        <v>4 Lead Set Appointments</v>
      </c>
    </row>
    <row r="8385" hidden="1">
      <c r="A8385" s="6" t="s">
        <v>99</v>
      </c>
      <c r="B8385" s="13" t="s">
        <v>725</v>
      </c>
      <c r="C8385" s="13" t="s">
        <v>726</v>
      </c>
      <c r="D8385" s="15">
        <v>4.0</v>
      </c>
      <c r="E8385" s="67">
        <f t="shared" si="20"/>
        <v>1000</v>
      </c>
      <c r="F8385" s="67" t="str">
        <f t="shared" si="21"/>
        <v>4 Lead Set Appointments</v>
      </c>
    </row>
    <row r="8386" hidden="1">
      <c r="A8386" s="6" t="s">
        <v>99</v>
      </c>
      <c r="B8386" s="13" t="s">
        <v>626</v>
      </c>
      <c r="C8386" s="13" t="s">
        <v>627</v>
      </c>
      <c r="D8386" s="15">
        <v>4.0</v>
      </c>
      <c r="E8386" s="67">
        <f t="shared" si="20"/>
        <v>1000</v>
      </c>
      <c r="F8386" s="67" t="str">
        <f t="shared" si="21"/>
        <v>4 Lead Set Appointments</v>
      </c>
    </row>
    <row r="8387" hidden="1">
      <c r="A8387" s="6" t="s">
        <v>99</v>
      </c>
      <c r="B8387" s="13" t="s">
        <v>2288</v>
      </c>
      <c r="C8387" s="13" t="s">
        <v>2289</v>
      </c>
      <c r="D8387" s="15">
        <v>4.0</v>
      </c>
      <c r="E8387" s="67">
        <f t="shared" si="20"/>
        <v>1000</v>
      </c>
      <c r="F8387" s="67" t="str">
        <f t="shared" si="21"/>
        <v>4 Lead Set Appointments</v>
      </c>
    </row>
    <row r="8388" hidden="1">
      <c r="A8388" s="6" t="s">
        <v>99</v>
      </c>
      <c r="B8388" s="13" t="s">
        <v>1712</v>
      </c>
      <c r="C8388" s="13" t="s">
        <v>2900</v>
      </c>
      <c r="D8388" s="15">
        <v>4.0</v>
      </c>
      <c r="E8388" s="67">
        <f t="shared" si="20"/>
        <v>1000</v>
      </c>
      <c r="F8388" s="67" t="str">
        <f t="shared" si="21"/>
        <v>4 Lead Set Appointments</v>
      </c>
    </row>
    <row r="8389" hidden="1">
      <c r="A8389" s="6" t="s">
        <v>99</v>
      </c>
      <c r="B8389" s="13" t="s">
        <v>2907</v>
      </c>
      <c r="C8389" s="13" t="s">
        <v>2908</v>
      </c>
      <c r="D8389" s="15">
        <v>4.0</v>
      </c>
      <c r="E8389" s="67">
        <f t="shared" si="20"/>
        <v>1000</v>
      </c>
      <c r="F8389" s="67" t="str">
        <f t="shared" si="21"/>
        <v>4 Lead Set Appointments</v>
      </c>
    </row>
    <row r="8390" hidden="1">
      <c r="A8390" s="6" t="s">
        <v>99</v>
      </c>
      <c r="B8390" s="13" t="s">
        <v>2846</v>
      </c>
      <c r="C8390" s="13" t="s">
        <v>2847</v>
      </c>
      <c r="D8390" s="15">
        <v>4.0</v>
      </c>
      <c r="E8390" s="67">
        <f t="shared" si="20"/>
        <v>1000</v>
      </c>
      <c r="F8390" s="67" t="str">
        <f t="shared" si="21"/>
        <v>4 Lead Set Appointments</v>
      </c>
    </row>
    <row r="8391" hidden="1">
      <c r="A8391" s="6" t="s">
        <v>99</v>
      </c>
      <c r="B8391" s="13" t="s">
        <v>1897</v>
      </c>
      <c r="C8391" s="13" t="s">
        <v>2460</v>
      </c>
      <c r="D8391" s="15">
        <v>4.0</v>
      </c>
      <c r="E8391" s="67">
        <f t="shared" si="20"/>
        <v>1000</v>
      </c>
      <c r="F8391" s="67" t="str">
        <f t="shared" si="21"/>
        <v>4 Lead Set Appointments</v>
      </c>
    </row>
    <row r="8392" hidden="1">
      <c r="A8392" s="6" t="s">
        <v>99</v>
      </c>
      <c r="B8392" s="13" t="s">
        <v>2903</v>
      </c>
      <c r="C8392" s="13" t="s">
        <v>2904</v>
      </c>
      <c r="D8392" s="15">
        <v>4.0</v>
      </c>
      <c r="E8392" s="67">
        <f t="shared" si="20"/>
        <v>1000</v>
      </c>
      <c r="F8392" s="67" t="str">
        <f t="shared" si="21"/>
        <v>4 Lead Set Appointments</v>
      </c>
    </row>
    <row r="8393" hidden="1">
      <c r="A8393" s="6" t="s">
        <v>99</v>
      </c>
      <c r="B8393" s="13" t="s">
        <v>447</v>
      </c>
      <c r="C8393" s="13" t="s">
        <v>448</v>
      </c>
      <c r="D8393" s="15">
        <v>3.0</v>
      </c>
      <c r="E8393" s="67">
        <f t="shared" si="20"/>
        <v>750</v>
      </c>
      <c r="F8393" s="67" t="str">
        <f t="shared" si="21"/>
        <v>3 Lead Set Appointments</v>
      </c>
    </row>
    <row r="8394" hidden="1">
      <c r="A8394" s="6" t="s">
        <v>99</v>
      </c>
      <c r="B8394" s="13" t="s">
        <v>2724</v>
      </c>
      <c r="C8394" s="13" t="s">
        <v>2725</v>
      </c>
      <c r="D8394" s="15">
        <v>3.0</v>
      </c>
      <c r="E8394" s="67">
        <f t="shared" si="20"/>
        <v>750</v>
      </c>
      <c r="F8394" s="67" t="str">
        <f t="shared" si="21"/>
        <v>3 Lead Set Appointments</v>
      </c>
    </row>
    <row r="8395" hidden="1">
      <c r="A8395" s="6" t="s">
        <v>99</v>
      </c>
      <c r="B8395" s="13" t="s">
        <v>1025</v>
      </c>
      <c r="C8395" s="13" t="s">
        <v>1026</v>
      </c>
      <c r="D8395" s="15">
        <v>3.0</v>
      </c>
      <c r="E8395" s="67">
        <f t="shared" si="20"/>
        <v>750</v>
      </c>
      <c r="F8395" s="67" t="str">
        <f t="shared" si="21"/>
        <v>3 Lead Set Appointments</v>
      </c>
    </row>
    <row r="8396" hidden="1">
      <c r="A8396" s="6" t="s">
        <v>99</v>
      </c>
      <c r="B8396" s="13" t="s">
        <v>1276</v>
      </c>
      <c r="C8396" s="13" t="s">
        <v>461</v>
      </c>
      <c r="D8396" s="15">
        <v>3.0</v>
      </c>
      <c r="E8396" s="67">
        <f t="shared" si="20"/>
        <v>750</v>
      </c>
      <c r="F8396" s="67" t="str">
        <f t="shared" si="21"/>
        <v>3 Lead Set Appointments</v>
      </c>
    </row>
    <row r="8397" hidden="1">
      <c r="A8397" s="6" t="s">
        <v>99</v>
      </c>
      <c r="B8397" s="13" t="s">
        <v>2548</v>
      </c>
      <c r="C8397" s="13" t="s">
        <v>2549</v>
      </c>
      <c r="D8397" s="15">
        <v>3.0</v>
      </c>
      <c r="E8397" s="67">
        <f t="shared" si="20"/>
        <v>750</v>
      </c>
      <c r="F8397" s="67" t="str">
        <f t="shared" si="21"/>
        <v>3 Lead Set Appointments</v>
      </c>
    </row>
    <row r="8398" hidden="1">
      <c r="A8398" s="6" t="s">
        <v>99</v>
      </c>
      <c r="B8398" s="13" t="s">
        <v>2820</v>
      </c>
      <c r="C8398" s="13" t="s">
        <v>2821</v>
      </c>
      <c r="D8398" s="15">
        <v>3.0</v>
      </c>
      <c r="E8398" s="67">
        <f t="shared" si="20"/>
        <v>750</v>
      </c>
      <c r="F8398" s="67" t="str">
        <f t="shared" si="21"/>
        <v>3 Lead Set Appointments</v>
      </c>
    </row>
    <row r="8399" hidden="1">
      <c r="A8399" s="6" t="s">
        <v>99</v>
      </c>
      <c r="B8399" s="13" t="s">
        <v>680</v>
      </c>
      <c r="C8399" s="13" t="s">
        <v>681</v>
      </c>
      <c r="D8399" s="15">
        <v>3.0</v>
      </c>
      <c r="E8399" s="67">
        <f t="shared" si="20"/>
        <v>750</v>
      </c>
      <c r="F8399" s="67" t="str">
        <f t="shared" si="21"/>
        <v>3 Lead Set Appointments</v>
      </c>
    </row>
    <row r="8400" hidden="1">
      <c r="A8400" s="6" t="s">
        <v>99</v>
      </c>
      <c r="B8400" s="13" t="s">
        <v>2473</v>
      </c>
      <c r="C8400" s="13" t="s">
        <v>2474</v>
      </c>
      <c r="D8400" s="15">
        <v>3.0</v>
      </c>
      <c r="E8400" s="67">
        <f t="shared" si="20"/>
        <v>750</v>
      </c>
      <c r="F8400" s="67" t="str">
        <f t="shared" si="21"/>
        <v>3 Lead Set Appointments</v>
      </c>
    </row>
    <row r="8401" hidden="1">
      <c r="A8401" s="6" t="s">
        <v>99</v>
      </c>
      <c r="B8401" s="13" t="s">
        <v>2609</v>
      </c>
      <c r="C8401" s="13" t="s">
        <v>2610</v>
      </c>
      <c r="D8401" s="15">
        <v>3.0</v>
      </c>
      <c r="E8401" s="67">
        <f t="shared" si="20"/>
        <v>750</v>
      </c>
      <c r="F8401" s="67" t="str">
        <f t="shared" si="21"/>
        <v>3 Lead Set Appointments</v>
      </c>
    </row>
    <row r="8402" hidden="1">
      <c r="A8402" s="6" t="s">
        <v>99</v>
      </c>
      <c r="B8402" s="13" t="s">
        <v>1299</v>
      </c>
      <c r="C8402" s="13" t="s">
        <v>1300</v>
      </c>
      <c r="D8402" s="15">
        <v>3.0</v>
      </c>
      <c r="E8402" s="67">
        <f t="shared" si="20"/>
        <v>750</v>
      </c>
      <c r="F8402" s="67" t="str">
        <f t="shared" si="21"/>
        <v>3 Lead Set Appointments</v>
      </c>
    </row>
    <row r="8403" hidden="1">
      <c r="A8403" s="6" t="s">
        <v>99</v>
      </c>
      <c r="B8403" s="13" t="s">
        <v>682</v>
      </c>
      <c r="C8403" s="13" t="s">
        <v>683</v>
      </c>
      <c r="D8403" s="15">
        <v>3.0</v>
      </c>
      <c r="E8403" s="67">
        <f t="shared" si="20"/>
        <v>750</v>
      </c>
      <c r="F8403" s="67" t="str">
        <f t="shared" si="21"/>
        <v>3 Lead Set Appointments</v>
      </c>
    </row>
    <row r="8404" hidden="1">
      <c r="A8404" s="6" t="s">
        <v>99</v>
      </c>
      <c r="B8404" s="13" t="s">
        <v>1375</v>
      </c>
      <c r="C8404" s="13" t="s">
        <v>647</v>
      </c>
      <c r="D8404" s="15">
        <v>3.0</v>
      </c>
      <c r="E8404" s="67">
        <f t="shared" si="20"/>
        <v>750</v>
      </c>
      <c r="F8404" s="67" t="str">
        <f t="shared" si="21"/>
        <v>3 Lead Set Appointments</v>
      </c>
    </row>
    <row r="8405" hidden="1">
      <c r="A8405" s="6" t="s">
        <v>99</v>
      </c>
      <c r="B8405" s="13" t="s">
        <v>2844</v>
      </c>
      <c r="C8405" s="13" t="s">
        <v>2845</v>
      </c>
      <c r="D8405" s="15">
        <v>3.0</v>
      </c>
      <c r="E8405" s="67">
        <f t="shared" si="20"/>
        <v>750</v>
      </c>
      <c r="F8405" s="67" t="str">
        <f t="shared" si="21"/>
        <v>3 Lead Set Appointments</v>
      </c>
    </row>
    <row r="8406" hidden="1">
      <c r="A8406" s="6" t="s">
        <v>99</v>
      </c>
      <c r="B8406" s="13" t="s">
        <v>1325</v>
      </c>
      <c r="C8406" s="13" t="s">
        <v>1326</v>
      </c>
      <c r="D8406" s="15">
        <v>3.0</v>
      </c>
      <c r="E8406" s="67">
        <f t="shared" si="20"/>
        <v>750</v>
      </c>
      <c r="F8406" s="67" t="str">
        <f t="shared" si="21"/>
        <v>3 Lead Set Appointments</v>
      </c>
    </row>
    <row r="8407" hidden="1">
      <c r="A8407" s="6" t="s">
        <v>99</v>
      </c>
      <c r="B8407" s="13" t="s">
        <v>2100</v>
      </c>
      <c r="C8407" s="13" t="s">
        <v>2101</v>
      </c>
      <c r="D8407" s="15">
        <v>3.0</v>
      </c>
      <c r="E8407" s="67">
        <f t="shared" si="20"/>
        <v>750</v>
      </c>
      <c r="F8407" s="67" t="str">
        <f t="shared" si="21"/>
        <v>3 Lead Set Appointments</v>
      </c>
    </row>
    <row r="8408" hidden="1">
      <c r="A8408" s="6" t="s">
        <v>99</v>
      </c>
      <c r="B8408" s="13" t="s">
        <v>2830</v>
      </c>
      <c r="C8408" s="13" t="s">
        <v>2831</v>
      </c>
      <c r="D8408" s="15">
        <v>3.0</v>
      </c>
      <c r="E8408" s="67">
        <f t="shared" si="20"/>
        <v>750</v>
      </c>
      <c r="F8408" s="67" t="str">
        <f t="shared" si="21"/>
        <v>3 Lead Set Appointments</v>
      </c>
    </row>
    <row r="8409" hidden="1">
      <c r="A8409" s="6" t="s">
        <v>99</v>
      </c>
      <c r="B8409" s="13" t="s">
        <v>2894</v>
      </c>
      <c r="C8409" s="13" t="s">
        <v>2895</v>
      </c>
      <c r="D8409" s="15">
        <v>3.0</v>
      </c>
      <c r="E8409" s="67">
        <f t="shared" si="20"/>
        <v>750</v>
      </c>
      <c r="F8409" s="67" t="str">
        <f t="shared" si="21"/>
        <v>3 Lead Set Appointments</v>
      </c>
    </row>
    <row r="8410" hidden="1">
      <c r="A8410" s="6" t="s">
        <v>99</v>
      </c>
      <c r="B8410" s="13" t="s">
        <v>518</v>
      </c>
      <c r="C8410" s="13" t="s">
        <v>519</v>
      </c>
      <c r="D8410" s="15">
        <v>3.0</v>
      </c>
      <c r="E8410" s="67">
        <f t="shared" si="20"/>
        <v>750</v>
      </c>
      <c r="F8410" s="67" t="str">
        <f t="shared" si="21"/>
        <v>3 Lead Set Appointments</v>
      </c>
    </row>
    <row r="8411" hidden="1">
      <c r="A8411" s="6" t="s">
        <v>99</v>
      </c>
      <c r="B8411" s="13" t="s">
        <v>2677</v>
      </c>
      <c r="C8411" s="13" t="s">
        <v>2678</v>
      </c>
      <c r="D8411" s="15">
        <v>3.0</v>
      </c>
      <c r="E8411" s="67">
        <f t="shared" si="20"/>
        <v>750</v>
      </c>
      <c r="F8411" s="67" t="str">
        <f t="shared" si="21"/>
        <v>3 Lead Set Appointments</v>
      </c>
    </row>
    <row r="8412" hidden="1">
      <c r="A8412" s="6" t="s">
        <v>99</v>
      </c>
      <c r="B8412" s="13" t="s">
        <v>2887</v>
      </c>
      <c r="C8412" s="13" t="s">
        <v>1898</v>
      </c>
      <c r="D8412" s="15">
        <v>3.0</v>
      </c>
      <c r="E8412" s="67">
        <f t="shared" si="20"/>
        <v>750</v>
      </c>
      <c r="F8412" s="67" t="str">
        <f t="shared" si="21"/>
        <v>3 Lead Set Appointments</v>
      </c>
    </row>
    <row r="8413" hidden="1">
      <c r="A8413" s="6" t="s">
        <v>99</v>
      </c>
      <c r="B8413" s="13" t="s">
        <v>2927</v>
      </c>
      <c r="C8413" s="13" t="s">
        <v>2928</v>
      </c>
      <c r="D8413" s="15">
        <v>3.0</v>
      </c>
      <c r="E8413" s="67">
        <f t="shared" si="20"/>
        <v>750</v>
      </c>
      <c r="F8413" s="67" t="str">
        <f t="shared" si="21"/>
        <v>3 Lead Set Appointments</v>
      </c>
    </row>
    <row r="8414" hidden="1">
      <c r="A8414" s="6" t="s">
        <v>99</v>
      </c>
      <c r="B8414" s="13" t="s">
        <v>2576</v>
      </c>
      <c r="C8414" s="13" t="s">
        <v>2577</v>
      </c>
      <c r="D8414" s="15">
        <v>3.0</v>
      </c>
      <c r="E8414" s="67">
        <f t="shared" si="20"/>
        <v>750</v>
      </c>
      <c r="F8414" s="67" t="str">
        <f t="shared" si="21"/>
        <v>3 Lead Set Appointments</v>
      </c>
    </row>
    <row r="8415" hidden="1">
      <c r="A8415" s="6" t="s">
        <v>99</v>
      </c>
      <c r="B8415" s="13" t="s">
        <v>2808</v>
      </c>
      <c r="C8415" s="13" t="s">
        <v>2809</v>
      </c>
      <c r="D8415" s="15">
        <v>3.0</v>
      </c>
      <c r="E8415" s="67">
        <f t="shared" si="20"/>
        <v>750</v>
      </c>
      <c r="F8415" s="67" t="str">
        <f t="shared" si="21"/>
        <v>3 Lead Set Appointments</v>
      </c>
    </row>
    <row r="8416" hidden="1">
      <c r="A8416" s="6" t="s">
        <v>99</v>
      </c>
      <c r="B8416" s="13" t="s">
        <v>1033</v>
      </c>
      <c r="C8416" s="13" t="s">
        <v>1034</v>
      </c>
      <c r="D8416" s="15">
        <v>2.0</v>
      </c>
      <c r="E8416" s="67">
        <f t="shared" si="20"/>
        <v>500</v>
      </c>
      <c r="F8416" s="67" t="str">
        <f t="shared" si="21"/>
        <v>2 Lead Set Appointments</v>
      </c>
    </row>
    <row r="8417" hidden="1">
      <c r="A8417" s="6" t="s">
        <v>99</v>
      </c>
      <c r="B8417" s="13" t="s">
        <v>922</v>
      </c>
      <c r="C8417" s="13" t="s">
        <v>923</v>
      </c>
      <c r="D8417" s="15">
        <v>2.0</v>
      </c>
      <c r="E8417" s="67">
        <f t="shared" si="20"/>
        <v>500</v>
      </c>
      <c r="F8417" s="67" t="str">
        <f t="shared" si="21"/>
        <v>2 Lead Set Appointments</v>
      </c>
    </row>
    <row r="8418" hidden="1">
      <c r="A8418" s="6" t="s">
        <v>99</v>
      </c>
      <c r="B8418" s="13" t="s">
        <v>2919</v>
      </c>
      <c r="C8418" s="13" t="s">
        <v>2920</v>
      </c>
      <c r="D8418" s="15">
        <v>2.0</v>
      </c>
      <c r="E8418" s="67">
        <f t="shared" si="20"/>
        <v>500</v>
      </c>
      <c r="F8418" s="67" t="str">
        <f t="shared" si="21"/>
        <v>2 Lead Set Appointments</v>
      </c>
    </row>
    <row r="8419" hidden="1">
      <c r="A8419" s="6" t="s">
        <v>99</v>
      </c>
      <c r="B8419" s="13" t="s">
        <v>462</v>
      </c>
      <c r="C8419" s="13" t="s">
        <v>463</v>
      </c>
      <c r="D8419" s="15">
        <v>2.0</v>
      </c>
      <c r="E8419" s="67">
        <f t="shared" si="20"/>
        <v>500</v>
      </c>
      <c r="F8419" s="67" t="str">
        <f t="shared" si="21"/>
        <v>2 Lead Set Appointments</v>
      </c>
    </row>
    <row r="8420" hidden="1">
      <c r="A8420" s="6" t="s">
        <v>99</v>
      </c>
      <c r="B8420" s="13" t="s">
        <v>2634</v>
      </c>
      <c r="C8420" s="13" t="s">
        <v>2635</v>
      </c>
      <c r="D8420" s="15">
        <v>2.0</v>
      </c>
      <c r="E8420" s="67">
        <f t="shared" si="20"/>
        <v>500</v>
      </c>
      <c r="F8420" s="67" t="str">
        <f t="shared" si="21"/>
        <v>2 Lead Set Appointments</v>
      </c>
    </row>
    <row r="8421" hidden="1">
      <c r="A8421" s="6" t="s">
        <v>99</v>
      </c>
      <c r="B8421" s="13" t="s">
        <v>2693</v>
      </c>
      <c r="C8421" s="13" t="s">
        <v>2694</v>
      </c>
      <c r="D8421" s="15">
        <v>2.0</v>
      </c>
      <c r="E8421" s="67">
        <f t="shared" si="20"/>
        <v>500</v>
      </c>
      <c r="F8421" s="67" t="str">
        <f t="shared" si="21"/>
        <v>2 Lead Set Appointments</v>
      </c>
    </row>
    <row r="8422" hidden="1">
      <c r="A8422" s="6" t="s">
        <v>99</v>
      </c>
      <c r="B8422" s="13" t="s">
        <v>472</v>
      </c>
      <c r="C8422" s="13" t="s">
        <v>473</v>
      </c>
      <c r="D8422" s="15">
        <v>2.0</v>
      </c>
      <c r="E8422" s="67">
        <f t="shared" si="20"/>
        <v>500</v>
      </c>
      <c r="F8422" s="67" t="str">
        <f t="shared" si="21"/>
        <v>2 Lead Set Appointments</v>
      </c>
    </row>
    <row r="8423" hidden="1">
      <c r="A8423" s="6" t="s">
        <v>99</v>
      </c>
      <c r="B8423" s="13" t="s">
        <v>752</v>
      </c>
      <c r="C8423" s="13" t="s">
        <v>753</v>
      </c>
      <c r="D8423" s="15">
        <v>2.0</v>
      </c>
      <c r="E8423" s="67">
        <f t="shared" si="20"/>
        <v>500</v>
      </c>
      <c r="F8423" s="67" t="str">
        <f t="shared" si="21"/>
        <v>2 Lead Set Appointments</v>
      </c>
    </row>
    <row r="8424" hidden="1">
      <c r="A8424" s="6" t="s">
        <v>99</v>
      </c>
      <c r="B8424" s="13" t="s">
        <v>1286</v>
      </c>
      <c r="C8424" s="13" t="s">
        <v>408</v>
      </c>
      <c r="D8424" s="15">
        <v>2.0</v>
      </c>
      <c r="E8424" s="67">
        <f t="shared" si="20"/>
        <v>500</v>
      </c>
      <c r="F8424" s="67" t="str">
        <f t="shared" si="21"/>
        <v>2 Lead Set Appointments</v>
      </c>
    </row>
    <row r="8425" hidden="1">
      <c r="A8425" s="6" t="s">
        <v>99</v>
      </c>
      <c r="B8425" s="13" t="s">
        <v>1443</v>
      </c>
      <c r="C8425" s="13" t="s">
        <v>755</v>
      </c>
      <c r="D8425" s="15">
        <v>2.0</v>
      </c>
      <c r="E8425" s="67">
        <f t="shared" si="20"/>
        <v>500</v>
      </c>
      <c r="F8425" s="67" t="str">
        <f t="shared" si="21"/>
        <v>2 Lead Set Appointments</v>
      </c>
    </row>
    <row r="8426" hidden="1">
      <c r="A8426" s="6" t="s">
        <v>99</v>
      </c>
      <c r="B8426" s="13" t="s">
        <v>262</v>
      </c>
      <c r="C8426" s="13" t="s">
        <v>290</v>
      </c>
      <c r="D8426" s="15">
        <v>2.0</v>
      </c>
      <c r="E8426" s="67">
        <f t="shared" si="20"/>
        <v>500</v>
      </c>
      <c r="F8426" s="67" t="str">
        <f t="shared" si="21"/>
        <v>2 Lead Set Appointments</v>
      </c>
    </row>
    <row r="8427" hidden="1">
      <c r="A8427" s="6" t="s">
        <v>99</v>
      </c>
      <c r="B8427" s="13" t="s">
        <v>2949</v>
      </c>
      <c r="C8427" s="13" t="s">
        <v>2950</v>
      </c>
      <c r="D8427" s="15">
        <v>2.0</v>
      </c>
      <c r="E8427" s="67">
        <f t="shared" si="20"/>
        <v>500</v>
      </c>
      <c r="F8427" s="67" t="str">
        <f t="shared" si="21"/>
        <v>2 Lead Set Appointments</v>
      </c>
    </row>
    <row r="8428" hidden="1">
      <c r="A8428" s="6" t="s">
        <v>99</v>
      </c>
      <c r="B8428" s="13" t="s">
        <v>2951</v>
      </c>
      <c r="C8428" s="13" t="s">
        <v>2952</v>
      </c>
      <c r="D8428" s="15">
        <v>2.0</v>
      </c>
      <c r="E8428" s="67">
        <f t="shared" si="20"/>
        <v>500</v>
      </c>
      <c r="F8428" s="67" t="str">
        <f t="shared" si="21"/>
        <v>2 Lead Set Appointments</v>
      </c>
    </row>
    <row r="8429" hidden="1">
      <c r="A8429" s="6" t="s">
        <v>99</v>
      </c>
      <c r="B8429" s="13" t="s">
        <v>2953</v>
      </c>
      <c r="C8429" s="13" t="s">
        <v>2954</v>
      </c>
      <c r="D8429" s="15">
        <v>2.0</v>
      </c>
      <c r="E8429" s="67">
        <f t="shared" si="20"/>
        <v>500</v>
      </c>
      <c r="F8429" s="67" t="str">
        <f t="shared" si="21"/>
        <v>2 Lead Set Appointments</v>
      </c>
    </row>
    <row r="8430" hidden="1">
      <c r="A8430" s="6" t="s">
        <v>99</v>
      </c>
      <c r="B8430" s="13" t="s">
        <v>2923</v>
      </c>
      <c r="C8430" s="13" t="s">
        <v>2924</v>
      </c>
      <c r="D8430" s="15">
        <v>2.0</v>
      </c>
      <c r="E8430" s="67">
        <f t="shared" si="20"/>
        <v>500</v>
      </c>
      <c r="F8430" s="67" t="str">
        <f t="shared" si="21"/>
        <v>2 Lead Set Appointments</v>
      </c>
    </row>
    <row r="8431" hidden="1">
      <c r="A8431" s="6" t="s">
        <v>99</v>
      </c>
      <c r="B8431" s="13" t="s">
        <v>2917</v>
      </c>
      <c r="C8431" s="13" t="s">
        <v>2918</v>
      </c>
      <c r="D8431" s="15">
        <v>2.0</v>
      </c>
      <c r="E8431" s="67">
        <f t="shared" si="20"/>
        <v>500</v>
      </c>
      <c r="F8431" s="67" t="str">
        <f t="shared" si="21"/>
        <v>2 Lead Set Appointments</v>
      </c>
    </row>
    <row r="8432" hidden="1">
      <c r="A8432" s="6" t="s">
        <v>99</v>
      </c>
      <c r="B8432" s="13" t="s">
        <v>2713</v>
      </c>
      <c r="C8432" s="13" t="s">
        <v>61</v>
      </c>
      <c r="D8432" s="15">
        <v>2.0</v>
      </c>
      <c r="E8432" s="67">
        <f t="shared" si="20"/>
        <v>500</v>
      </c>
      <c r="F8432" s="67" t="str">
        <f t="shared" si="21"/>
        <v>2 Lead Set Appointments</v>
      </c>
    </row>
    <row r="8433" hidden="1">
      <c r="A8433" s="6" t="s">
        <v>99</v>
      </c>
      <c r="B8433" s="13" t="s">
        <v>2955</v>
      </c>
      <c r="C8433" s="13" t="s">
        <v>2956</v>
      </c>
      <c r="D8433" s="15">
        <v>2.0</v>
      </c>
      <c r="E8433" s="67">
        <f t="shared" si="20"/>
        <v>500</v>
      </c>
      <c r="F8433" s="67" t="str">
        <f t="shared" si="21"/>
        <v>2 Lead Set Appointments</v>
      </c>
    </row>
    <row r="8434" hidden="1">
      <c r="A8434" s="6" t="s">
        <v>99</v>
      </c>
      <c r="B8434" s="13" t="s">
        <v>302</v>
      </c>
      <c r="C8434" s="13" t="s">
        <v>2110</v>
      </c>
      <c r="D8434" s="15">
        <v>2.0</v>
      </c>
      <c r="E8434" s="67">
        <f t="shared" si="20"/>
        <v>500</v>
      </c>
      <c r="F8434" s="67" t="str">
        <f t="shared" si="21"/>
        <v>2 Lead Set Appointments</v>
      </c>
    </row>
    <row r="8435" hidden="1">
      <c r="A8435" s="6" t="s">
        <v>99</v>
      </c>
      <c r="B8435" s="13" t="s">
        <v>2268</v>
      </c>
      <c r="C8435" s="13" t="s">
        <v>2269</v>
      </c>
      <c r="D8435" s="15">
        <v>2.0</v>
      </c>
      <c r="E8435" s="67">
        <f t="shared" si="20"/>
        <v>500</v>
      </c>
      <c r="F8435" s="67" t="str">
        <f t="shared" si="21"/>
        <v>2 Lead Set Appointments</v>
      </c>
    </row>
    <row r="8436" hidden="1">
      <c r="A8436" s="6" t="s">
        <v>99</v>
      </c>
      <c r="B8436" s="13" t="s">
        <v>2925</v>
      </c>
      <c r="C8436" s="13" t="s">
        <v>2926</v>
      </c>
      <c r="D8436" s="15">
        <v>2.0</v>
      </c>
      <c r="E8436" s="67">
        <f t="shared" si="20"/>
        <v>500</v>
      </c>
      <c r="F8436" s="67" t="str">
        <f t="shared" si="21"/>
        <v>2 Lead Set Appointments</v>
      </c>
    </row>
    <row r="8437" hidden="1">
      <c r="A8437" s="6" t="s">
        <v>99</v>
      </c>
      <c r="B8437" s="13" t="s">
        <v>2957</v>
      </c>
      <c r="C8437" s="13" t="s">
        <v>2958</v>
      </c>
      <c r="D8437" s="15">
        <v>1.0</v>
      </c>
      <c r="E8437" s="67">
        <f t="shared" si="20"/>
        <v>250</v>
      </c>
      <c r="F8437" s="67" t="str">
        <f t="shared" si="21"/>
        <v>1 Lead Set Appointments</v>
      </c>
    </row>
    <row r="8438" hidden="1">
      <c r="A8438" s="6" t="s">
        <v>99</v>
      </c>
      <c r="B8438" s="13" t="s">
        <v>576</v>
      </c>
      <c r="C8438" s="13" t="s">
        <v>577</v>
      </c>
      <c r="D8438" s="15">
        <v>1.0</v>
      </c>
      <c r="E8438" s="67">
        <f t="shared" si="20"/>
        <v>250</v>
      </c>
      <c r="F8438" s="67" t="str">
        <f t="shared" si="21"/>
        <v>1 Lead Set Appointments</v>
      </c>
    </row>
    <row r="8439" hidden="1">
      <c r="A8439" s="6" t="s">
        <v>99</v>
      </c>
      <c r="B8439" s="13" t="s">
        <v>1435</v>
      </c>
      <c r="C8439" s="13" t="s">
        <v>741</v>
      </c>
      <c r="D8439" s="15">
        <v>1.0</v>
      </c>
      <c r="E8439" s="67">
        <f t="shared" si="20"/>
        <v>250</v>
      </c>
      <c r="F8439" s="67" t="str">
        <f t="shared" si="21"/>
        <v>1 Lead Set Appointments</v>
      </c>
    </row>
    <row r="8440" hidden="1">
      <c r="A8440" s="6" t="s">
        <v>99</v>
      </c>
      <c r="B8440" s="13" t="s">
        <v>596</v>
      </c>
      <c r="C8440" s="13" t="s">
        <v>597</v>
      </c>
      <c r="D8440" s="15">
        <v>1.0</v>
      </c>
      <c r="E8440" s="67">
        <f t="shared" si="20"/>
        <v>250</v>
      </c>
      <c r="F8440" s="67" t="str">
        <f t="shared" si="21"/>
        <v>1 Lead Set Appointments</v>
      </c>
    </row>
    <row r="8441" hidden="1">
      <c r="A8441" s="6" t="s">
        <v>99</v>
      </c>
      <c r="B8441" s="13" t="s">
        <v>1037</v>
      </c>
      <c r="C8441" s="13" t="s">
        <v>1038</v>
      </c>
      <c r="D8441" s="15">
        <v>1.0</v>
      </c>
      <c r="E8441" s="67">
        <f t="shared" si="20"/>
        <v>250</v>
      </c>
      <c r="F8441" s="67" t="str">
        <f t="shared" si="21"/>
        <v>1 Lead Set Appointments</v>
      </c>
    </row>
    <row r="8442" hidden="1">
      <c r="A8442" s="6" t="s">
        <v>99</v>
      </c>
      <c r="B8442" s="13" t="s">
        <v>451</v>
      </c>
      <c r="C8442" s="13" t="s">
        <v>452</v>
      </c>
      <c r="D8442" s="15">
        <v>1.0</v>
      </c>
      <c r="E8442" s="67">
        <f t="shared" si="20"/>
        <v>250</v>
      </c>
      <c r="F8442" s="67" t="str">
        <f t="shared" si="21"/>
        <v>1 Lead Set Appointments</v>
      </c>
    </row>
    <row r="8443" hidden="1">
      <c r="A8443" s="6" t="s">
        <v>99</v>
      </c>
      <c r="B8443" s="13" t="s">
        <v>2905</v>
      </c>
      <c r="C8443" s="13" t="s">
        <v>2906</v>
      </c>
      <c r="D8443" s="15">
        <v>1.0</v>
      </c>
      <c r="E8443" s="67">
        <f t="shared" si="20"/>
        <v>250</v>
      </c>
      <c r="F8443" s="67" t="str">
        <f t="shared" si="21"/>
        <v>1 Lead Set Appointments</v>
      </c>
    </row>
    <row r="8444" hidden="1">
      <c r="A8444" s="6" t="s">
        <v>99</v>
      </c>
      <c r="B8444" s="13" t="s">
        <v>1039</v>
      </c>
      <c r="C8444" s="13" t="s">
        <v>1040</v>
      </c>
      <c r="D8444" s="15">
        <v>1.0</v>
      </c>
      <c r="E8444" s="67">
        <f t="shared" si="20"/>
        <v>250</v>
      </c>
      <c r="F8444" s="67" t="str">
        <f t="shared" si="21"/>
        <v>1 Lead Set Appointments</v>
      </c>
    </row>
    <row r="8445" hidden="1">
      <c r="A8445" s="6" t="s">
        <v>99</v>
      </c>
      <c r="B8445" s="13" t="s">
        <v>234</v>
      </c>
      <c r="C8445" s="13" t="s">
        <v>2770</v>
      </c>
      <c r="D8445" s="15">
        <v>1.0</v>
      </c>
      <c r="E8445" s="67">
        <f t="shared" si="20"/>
        <v>250</v>
      </c>
      <c r="F8445" s="67" t="str">
        <f t="shared" si="21"/>
        <v>1 Lead Set Appointments</v>
      </c>
    </row>
    <row r="8446" hidden="1">
      <c r="A8446" s="6" t="s">
        <v>99</v>
      </c>
      <c r="B8446" s="13" t="s">
        <v>2911</v>
      </c>
      <c r="C8446" s="13" t="s">
        <v>2912</v>
      </c>
      <c r="D8446" s="15">
        <v>1.0</v>
      </c>
      <c r="E8446" s="67">
        <f t="shared" si="20"/>
        <v>250</v>
      </c>
      <c r="F8446" s="67" t="str">
        <f t="shared" si="21"/>
        <v>1 Lead Set Appointments</v>
      </c>
    </row>
    <row r="8447" hidden="1">
      <c r="A8447" s="6" t="s">
        <v>99</v>
      </c>
      <c r="B8447" s="13" t="s">
        <v>1418</v>
      </c>
      <c r="C8447" s="13" t="s">
        <v>708</v>
      </c>
      <c r="D8447" s="15">
        <v>1.0</v>
      </c>
      <c r="E8447" s="67">
        <f t="shared" si="20"/>
        <v>250</v>
      </c>
      <c r="F8447" s="67" t="str">
        <f t="shared" si="21"/>
        <v>1 Lead Set Appointments</v>
      </c>
    </row>
    <row r="8448" hidden="1">
      <c r="A8448" s="6" t="s">
        <v>99</v>
      </c>
      <c r="B8448" s="13" t="s">
        <v>1448</v>
      </c>
      <c r="C8448" s="13" t="s">
        <v>1449</v>
      </c>
      <c r="D8448" s="15">
        <v>1.0</v>
      </c>
      <c r="E8448" s="67">
        <f t="shared" si="20"/>
        <v>250</v>
      </c>
      <c r="F8448" s="67" t="str">
        <f t="shared" si="21"/>
        <v>1 Lead Set Appointments</v>
      </c>
    </row>
    <row r="8449" hidden="1">
      <c r="A8449" s="6" t="s">
        <v>99</v>
      </c>
      <c r="B8449" s="13" t="s">
        <v>1344</v>
      </c>
      <c r="C8449" s="13" t="s">
        <v>569</v>
      </c>
      <c r="D8449" s="15">
        <v>1.0</v>
      </c>
      <c r="E8449" s="67">
        <f t="shared" si="20"/>
        <v>250</v>
      </c>
      <c r="F8449" s="67" t="str">
        <f t="shared" si="21"/>
        <v>1 Lead Set Appointments</v>
      </c>
    </row>
    <row r="8450" hidden="1">
      <c r="A8450" s="6" t="s">
        <v>99</v>
      </c>
      <c r="B8450" s="13" t="s">
        <v>431</v>
      </c>
      <c r="C8450" s="13" t="s">
        <v>432</v>
      </c>
      <c r="D8450" s="15">
        <v>1.0</v>
      </c>
      <c r="E8450" s="67">
        <f t="shared" si="20"/>
        <v>250</v>
      </c>
      <c r="F8450" s="67" t="str">
        <f t="shared" si="21"/>
        <v>1 Lead Set Appointments</v>
      </c>
    </row>
    <row r="8451" hidden="1">
      <c r="A8451" s="6" t="s">
        <v>99</v>
      </c>
      <c r="B8451" s="13" t="s">
        <v>2959</v>
      </c>
      <c r="C8451" s="13" t="s">
        <v>2960</v>
      </c>
      <c r="D8451" s="15">
        <v>1.0</v>
      </c>
      <c r="E8451" s="67">
        <f t="shared" si="20"/>
        <v>250</v>
      </c>
      <c r="F8451" s="67" t="str">
        <f t="shared" si="21"/>
        <v>1 Lead Set Appointments</v>
      </c>
    </row>
    <row r="8452" hidden="1">
      <c r="A8452" s="6" t="s">
        <v>99</v>
      </c>
      <c r="B8452" s="13" t="s">
        <v>1583</v>
      </c>
      <c r="C8452" s="13" t="s">
        <v>1584</v>
      </c>
      <c r="D8452" s="15">
        <v>1.0</v>
      </c>
      <c r="E8452" s="67">
        <f t="shared" si="20"/>
        <v>250</v>
      </c>
      <c r="F8452" s="67" t="str">
        <f t="shared" si="21"/>
        <v>1 Lead Set Appointments</v>
      </c>
    </row>
    <row r="8453" hidden="1">
      <c r="A8453" s="6" t="s">
        <v>99</v>
      </c>
      <c r="B8453" s="13" t="s">
        <v>2892</v>
      </c>
      <c r="C8453" s="13" t="s">
        <v>2893</v>
      </c>
      <c r="D8453" s="15">
        <v>1.0</v>
      </c>
      <c r="E8453" s="67">
        <f t="shared" si="20"/>
        <v>250</v>
      </c>
      <c r="F8453" s="67" t="str">
        <f t="shared" si="21"/>
        <v>1 Lead Set Appointments</v>
      </c>
    </row>
    <row r="8454" hidden="1">
      <c r="A8454" s="6" t="s">
        <v>99</v>
      </c>
      <c r="B8454" s="13" t="s">
        <v>2961</v>
      </c>
      <c r="C8454" s="13" t="s">
        <v>2962</v>
      </c>
      <c r="D8454" s="15">
        <v>1.0</v>
      </c>
      <c r="E8454" s="67">
        <f t="shared" si="20"/>
        <v>250</v>
      </c>
      <c r="F8454" s="67" t="str">
        <f t="shared" si="21"/>
        <v>1 Lead Set Appointments</v>
      </c>
    </row>
    <row r="8455" hidden="1">
      <c r="A8455" s="6" t="s">
        <v>99</v>
      </c>
      <c r="B8455" s="13" t="s">
        <v>449</v>
      </c>
      <c r="C8455" s="13" t="s">
        <v>450</v>
      </c>
      <c r="D8455" s="15">
        <v>1.0</v>
      </c>
      <c r="E8455" s="67">
        <f t="shared" si="20"/>
        <v>250</v>
      </c>
      <c r="F8455" s="67" t="str">
        <f t="shared" si="21"/>
        <v>1 Lead Set Appointments</v>
      </c>
    </row>
    <row r="8456" hidden="1">
      <c r="A8456" s="6" t="s">
        <v>99</v>
      </c>
      <c r="B8456" s="13" t="s">
        <v>2937</v>
      </c>
      <c r="C8456" s="13" t="s">
        <v>2938</v>
      </c>
      <c r="D8456" s="15">
        <v>1.0</v>
      </c>
      <c r="E8456" s="67">
        <f t="shared" si="20"/>
        <v>250</v>
      </c>
      <c r="F8456" s="67" t="str">
        <f t="shared" si="21"/>
        <v>1 Lead Set Appointments</v>
      </c>
    </row>
    <row r="8457" hidden="1">
      <c r="A8457" s="6" t="s">
        <v>99</v>
      </c>
      <c r="B8457" s="13" t="s">
        <v>2360</v>
      </c>
      <c r="C8457" s="13" t="s">
        <v>2361</v>
      </c>
      <c r="D8457" s="15">
        <v>1.0</v>
      </c>
      <c r="E8457" s="67">
        <f t="shared" si="20"/>
        <v>250</v>
      </c>
      <c r="F8457" s="67" t="str">
        <f t="shared" si="21"/>
        <v>1 Lead Set Appointments</v>
      </c>
    </row>
    <row r="8458" hidden="1">
      <c r="A8458" s="6" t="s">
        <v>99</v>
      </c>
      <c r="B8458" s="13" t="s">
        <v>1410</v>
      </c>
      <c r="C8458" s="13" t="s">
        <v>1411</v>
      </c>
      <c r="D8458" s="15">
        <v>1.0</v>
      </c>
      <c r="E8458" s="67">
        <f t="shared" si="20"/>
        <v>250</v>
      </c>
      <c r="F8458" s="67" t="str">
        <f t="shared" si="21"/>
        <v>1 Lead Set Appointments</v>
      </c>
    </row>
    <row r="8459" hidden="1">
      <c r="A8459" s="6" t="s">
        <v>99</v>
      </c>
      <c r="B8459" s="13" t="s">
        <v>1825</v>
      </c>
      <c r="C8459" s="13" t="s">
        <v>2963</v>
      </c>
      <c r="D8459" s="15">
        <v>1.0</v>
      </c>
      <c r="E8459" s="67">
        <f t="shared" si="20"/>
        <v>250</v>
      </c>
      <c r="F8459" s="67" t="str">
        <f t="shared" si="21"/>
        <v>1 Lead Set Appointments</v>
      </c>
    </row>
    <row r="8460" hidden="1">
      <c r="A8460" s="6" t="s">
        <v>99</v>
      </c>
      <c r="B8460" s="13" t="s">
        <v>999</v>
      </c>
      <c r="C8460" s="13" t="s">
        <v>2964</v>
      </c>
      <c r="D8460" s="15">
        <v>1.0</v>
      </c>
      <c r="E8460" s="67">
        <f t="shared" si="20"/>
        <v>250</v>
      </c>
      <c r="F8460" s="67" t="str">
        <f t="shared" si="21"/>
        <v>1 Lead Set Appointments</v>
      </c>
    </row>
    <row r="8461" hidden="1">
      <c r="A8461" s="6" t="s">
        <v>99</v>
      </c>
      <c r="B8461" s="13" t="s">
        <v>2814</v>
      </c>
      <c r="C8461" s="13" t="s">
        <v>2815</v>
      </c>
      <c r="D8461" s="15">
        <v>1.0</v>
      </c>
      <c r="E8461" s="67">
        <f t="shared" si="20"/>
        <v>250</v>
      </c>
      <c r="F8461" s="67" t="str">
        <f t="shared" si="21"/>
        <v>1 Lead Set Appointments</v>
      </c>
    </row>
    <row r="8462" hidden="1">
      <c r="A8462" s="6" t="s">
        <v>99</v>
      </c>
      <c r="B8462" s="13" t="s">
        <v>2785</v>
      </c>
      <c r="C8462" s="13" t="s">
        <v>2786</v>
      </c>
      <c r="D8462" s="15">
        <v>1.0</v>
      </c>
      <c r="E8462" s="67">
        <f t="shared" si="20"/>
        <v>250</v>
      </c>
      <c r="F8462" s="67" t="str">
        <f t="shared" si="21"/>
        <v>1 Lead Set Appointments</v>
      </c>
    </row>
    <row r="8463" hidden="1">
      <c r="A8463" s="6" t="s">
        <v>99</v>
      </c>
      <c r="B8463" s="13" t="s">
        <v>2965</v>
      </c>
      <c r="C8463" s="13" t="s">
        <v>2966</v>
      </c>
      <c r="D8463" s="15">
        <v>1.0</v>
      </c>
      <c r="E8463" s="67">
        <f t="shared" si="20"/>
        <v>250</v>
      </c>
      <c r="F8463" s="67" t="str">
        <f t="shared" si="21"/>
        <v>1 Lead Set Appointments</v>
      </c>
    </row>
    <row r="8464" hidden="1">
      <c r="A8464" s="6" t="s">
        <v>99</v>
      </c>
      <c r="B8464" s="13" t="s">
        <v>2874</v>
      </c>
      <c r="C8464" s="13" t="s">
        <v>2875</v>
      </c>
      <c r="D8464" s="15">
        <v>1.0</v>
      </c>
      <c r="E8464" s="67">
        <f t="shared" si="20"/>
        <v>250</v>
      </c>
      <c r="F8464" s="67" t="str">
        <f t="shared" si="21"/>
        <v>1 Lead Set Appointments</v>
      </c>
    </row>
    <row r="8465" hidden="1">
      <c r="A8465" s="6" t="s">
        <v>99</v>
      </c>
      <c r="B8465" s="13" t="s">
        <v>2929</v>
      </c>
      <c r="C8465" s="13" t="s">
        <v>2930</v>
      </c>
      <c r="D8465" s="15">
        <v>1.0</v>
      </c>
      <c r="E8465" s="67">
        <f t="shared" si="20"/>
        <v>250</v>
      </c>
      <c r="F8465" s="67" t="str">
        <f t="shared" si="21"/>
        <v>1 Lead Set Appointments</v>
      </c>
    </row>
    <row r="8466" hidden="1">
      <c r="A8466" s="6" t="s">
        <v>99</v>
      </c>
      <c r="B8466" s="13" t="s">
        <v>2931</v>
      </c>
      <c r="C8466" s="13" t="s">
        <v>2932</v>
      </c>
      <c r="D8466" s="15">
        <v>1.0</v>
      </c>
      <c r="E8466" s="67">
        <f t="shared" si="20"/>
        <v>250</v>
      </c>
      <c r="F8466" s="67" t="str">
        <f t="shared" si="21"/>
        <v>1 Lead Set Appointments</v>
      </c>
    </row>
    <row r="8467" hidden="1">
      <c r="A8467" s="6" t="s">
        <v>99</v>
      </c>
      <c r="B8467" s="13" t="s">
        <v>2933</v>
      </c>
      <c r="C8467" s="13" t="s">
        <v>2934</v>
      </c>
      <c r="D8467" s="15">
        <v>1.0</v>
      </c>
      <c r="E8467" s="67">
        <f t="shared" si="20"/>
        <v>250</v>
      </c>
      <c r="F8467" s="67" t="str">
        <f t="shared" si="21"/>
        <v>1 Lead Set Appointments</v>
      </c>
    </row>
    <row r="8468" hidden="1">
      <c r="A8468" s="6" t="s">
        <v>99</v>
      </c>
      <c r="B8468" s="13" t="s">
        <v>2967</v>
      </c>
      <c r="C8468" s="13" t="s">
        <v>2968</v>
      </c>
      <c r="D8468" s="15">
        <v>1.0</v>
      </c>
      <c r="E8468" s="67">
        <f t="shared" si="20"/>
        <v>250</v>
      </c>
      <c r="F8468" s="67" t="str">
        <f t="shared" si="21"/>
        <v>1 Lead Set Appointments</v>
      </c>
    </row>
    <row r="8469" hidden="1">
      <c r="A8469" s="6" t="s">
        <v>99</v>
      </c>
      <c r="B8469" s="13" t="s">
        <v>1409</v>
      </c>
      <c r="C8469" s="13" t="s">
        <v>677</v>
      </c>
      <c r="D8469" s="15">
        <v>1.0</v>
      </c>
      <c r="E8469" s="67">
        <f t="shared" si="20"/>
        <v>250</v>
      </c>
      <c r="F8469" s="67" t="str">
        <f t="shared" si="21"/>
        <v>1 Lead Set Appointments</v>
      </c>
    </row>
    <row r="8470" hidden="1">
      <c r="A8470" s="6" t="s">
        <v>99</v>
      </c>
      <c r="B8470" s="13" t="s">
        <v>2663</v>
      </c>
      <c r="C8470" s="13" t="s">
        <v>2664</v>
      </c>
      <c r="D8470" s="15">
        <v>1.0</v>
      </c>
      <c r="E8470" s="67">
        <f t="shared" si="20"/>
        <v>250</v>
      </c>
      <c r="F8470" s="67" t="str">
        <f t="shared" si="21"/>
        <v>1 Lead Set Appointments</v>
      </c>
    </row>
    <row r="8471" hidden="1">
      <c r="A8471" s="6" t="s">
        <v>99</v>
      </c>
      <c r="B8471" s="13" t="s">
        <v>2969</v>
      </c>
      <c r="C8471" s="13" t="s">
        <v>2970</v>
      </c>
      <c r="D8471" s="15">
        <v>0.0</v>
      </c>
      <c r="E8471" s="67">
        <f t="shared" si="20"/>
        <v>0</v>
      </c>
      <c r="F8471" s="67" t="str">
        <f t="shared" si="21"/>
        <v>0 Lead Set Appointments</v>
      </c>
    </row>
    <row r="8472" hidden="1">
      <c r="A8472" s="6" t="s">
        <v>99</v>
      </c>
      <c r="B8472" s="13" t="s">
        <v>2034</v>
      </c>
      <c r="C8472" s="13" t="s">
        <v>416</v>
      </c>
      <c r="D8472" s="15">
        <v>0.0</v>
      </c>
      <c r="E8472" s="67">
        <f t="shared" si="20"/>
        <v>0</v>
      </c>
      <c r="F8472" s="67" t="str">
        <f t="shared" si="21"/>
        <v>0 Lead Set Appointments</v>
      </c>
    </row>
    <row r="8473" hidden="1">
      <c r="A8473" s="6" t="s">
        <v>99</v>
      </c>
      <c r="B8473" s="13" t="s">
        <v>2971</v>
      </c>
      <c r="C8473" s="13" t="s">
        <v>2972</v>
      </c>
      <c r="D8473" s="15">
        <v>0.0</v>
      </c>
      <c r="E8473" s="67">
        <f t="shared" si="20"/>
        <v>0</v>
      </c>
      <c r="F8473" s="67" t="str">
        <f t="shared" si="21"/>
        <v>0 Lead Set Appointments</v>
      </c>
    </row>
    <row r="8474" hidden="1">
      <c r="A8474" s="6" t="s">
        <v>99</v>
      </c>
      <c r="B8474" s="13" t="s">
        <v>2973</v>
      </c>
      <c r="C8474" s="13" t="s">
        <v>2974</v>
      </c>
      <c r="D8474" s="15">
        <v>0.0</v>
      </c>
      <c r="E8474" s="67">
        <f t="shared" si="20"/>
        <v>0</v>
      </c>
      <c r="F8474" s="67" t="str">
        <f t="shared" si="21"/>
        <v>0 Lead Set Appointments</v>
      </c>
    </row>
    <row r="8475" hidden="1">
      <c r="A8475" s="6" t="s">
        <v>99</v>
      </c>
      <c r="B8475" s="13" t="s">
        <v>2885</v>
      </c>
      <c r="C8475" s="13" t="s">
        <v>2886</v>
      </c>
      <c r="D8475" s="15">
        <v>0.0</v>
      </c>
      <c r="E8475" s="67">
        <f t="shared" si="20"/>
        <v>0</v>
      </c>
      <c r="F8475" s="67" t="str">
        <f t="shared" si="21"/>
        <v>0 Lead Set Appointments</v>
      </c>
    </row>
    <row r="8476" hidden="1">
      <c r="A8476" s="6" t="s">
        <v>99</v>
      </c>
      <c r="B8476" s="13" t="s">
        <v>2975</v>
      </c>
      <c r="C8476" s="13" t="s">
        <v>2976</v>
      </c>
      <c r="D8476" s="15">
        <v>0.0</v>
      </c>
      <c r="E8476" s="67">
        <f t="shared" si="20"/>
        <v>0</v>
      </c>
      <c r="F8476" s="67" t="str">
        <f t="shared" si="21"/>
        <v>0 Lead Set Appointments</v>
      </c>
    </row>
    <row r="8477" hidden="1">
      <c r="A8477" s="6" t="s">
        <v>99</v>
      </c>
      <c r="B8477" s="13" t="s">
        <v>2977</v>
      </c>
      <c r="C8477" s="13" t="s">
        <v>2978</v>
      </c>
      <c r="D8477" s="15">
        <v>0.0</v>
      </c>
      <c r="E8477" s="67">
        <f t="shared" si="20"/>
        <v>0</v>
      </c>
      <c r="F8477" s="67" t="str">
        <f t="shared" si="21"/>
        <v>0 Lead Set Appointments</v>
      </c>
    </row>
    <row r="8478" hidden="1">
      <c r="A8478" s="6" t="s">
        <v>99</v>
      </c>
      <c r="B8478" s="13" t="s">
        <v>2979</v>
      </c>
      <c r="C8478" s="13" t="s">
        <v>2980</v>
      </c>
      <c r="D8478" s="15">
        <v>0.0</v>
      </c>
      <c r="E8478" s="67">
        <f t="shared" si="20"/>
        <v>0</v>
      </c>
      <c r="F8478" s="67" t="str">
        <f t="shared" si="21"/>
        <v>0 Lead Set Appointments</v>
      </c>
    </row>
    <row r="8479" hidden="1">
      <c r="A8479" s="6" t="s">
        <v>99</v>
      </c>
      <c r="B8479" s="13" t="s">
        <v>2981</v>
      </c>
      <c r="C8479" s="13" t="s">
        <v>2982</v>
      </c>
      <c r="D8479" s="15">
        <v>0.0</v>
      </c>
      <c r="E8479" s="67">
        <f t="shared" si="20"/>
        <v>0</v>
      </c>
      <c r="F8479" s="67" t="str">
        <f t="shared" si="21"/>
        <v>0 Lead Set Appointments</v>
      </c>
    </row>
    <row r="8480" hidden="1">
      <c r="A8480" s="6" t="s">
        <v>99</v>
      </c>
      <c r="B8480" s="13" t="s">
        <v>2983</v>
      </c>
      <c r="C8480" s="13" t="s">
        <v>2984</v>
      </c>
      <c r="D8480" s="15">
        <v>0.0</v>
      </c>
      <c r="E8480" s="67">
        <f t="shared" si="20"/>
        <v>0</v>
      </c>
      <c r="F8480" s="67" t="str">
        <f t="shared" si="21"/>
        <v>0 Lead Set Appointments</v>
      </c>
    </row>
    <row r="8481" hidden="1">
      <c r="A8481" s="6" t="s">
        <v>99</v>
      </c>
      <c r="B8481" s="13" t="s">
        <v>2878</v>
      </c>
      <c r="C8481" s="13" t="s">
        <v>2879</v>
      </c>
      <c r="D8481" s="15">
        <v>0.0</v>
      </c>
      <c r="E8481" s="67">
        <f t="shared" si="20"/>
        <v>0</v>
      </c>
      <c r="F8481" s="67" t="str">
        <f t="shared" si="21"/>
        <v>0 Lead Set Appointments</v>
      </c>
    </row>
    <row r="8482" hidden="1">
      <c r="A8482" s="6" t="s">
        <v>99</v>
      </c>
      <c r="B8482" s="13" t="s">
        <v>1419</v>
      </c>
      <c r="C8482" s="13" t="s">
        <v>1420</v>
      </c>
      <c r="D8482" s="15">
        <v>0.0</v>
      </c>
      <c r="E8482" s="67">
        <f t="shared" si="20"/>
        <v>0</v>
      </c>
      <c r="F8482" s="67" t="str">
        <f t="shared" si="21"/>
        <v>0 Lead Set Appointments</v>
      </c>
    </row>
    <row r="8483" hidden="1">
      <c r="A8483" s="6" t="s">
        <v>99</v>
      </c>
      <c r="B8483" s="13" t="s">
        <v>1283</v>
      </c>
      <c r="C8483" s="13" t="s">
        <v>404</v>
      </c>
      <c r="D8483" s="15">
        <v>0.0</v>
      </c>
      <c r="E8483" s="67">
        <f t="shared" si="20"/>
        <v>0</v>
      </c>
      <c r="F8483" s="67" t="str">
        <f t="shared" si="21"/>
        <v>0 Lead Set Appointments</v>
      </c>
    </row>
    <row r="8484" hidden="1">
      <c r="A8484" s="6" t="s">
        <v>99</v>
      </c>
      <c r="B8484" s="13" t="s">
        <v>2985</v>
      </c>
      <c r="C8484" s="13" t="s">
        <v>2986</v>
      </c>
      <c r="D8484" s="15">
        <v>0.0</v>
      </c>
      <c r="E8484" s="67">
        <f t="shared" si="20"/>
        <v>0</v>
      </c>
      <c r="F8484" s="67" t="str">
        <f t="shared" si="21"/>
        <v>0 Lead Set Appointments</v>
      </c>
    </row>
    <row r="8485" hidden="1">
      <c r="A8485" s="6" t="s">
        <v>99</v>
      </c>
      <c r="B8485" s="13" t="s">
        <v>2002</v>
      </c>
      <c r="C8485" s="13" t="s">
        <v>2003</v>
      </c>
      <c r="D8485" s="15">
        <v>3.0</v>
      </c>
      <c r="E8485" s="67">
        <f t="shared" si="20"/>
        <v>750</v>
      </c>
      <c r="F8485" s="67" t="str">
        <f t="shared" si="21"/>
        <v>3 Lead Set Appointments</v>
      </c>
    </row>
    <row r="8486" hidden="1">
      <c r="A8486" s="6" t="s">
        <v>99</v>
      </c>
      <c r="B8486" s="13" t="s">
        <v>2987</v>
      </c>
      <c r="C8486" s="13" t="s">
        <v>2988</v>
      </c>
      <c r="D8486" s="15">
        <v>1.0</v>
      </c>
      <c r="E8486" s="67">
        <f t="shared" si="20"/>
        <v>250</v>
      </c>
      <c r="F8486" s="67" t="str">
        <f t="shared" si="21"/>
        <v>1 Lead Set Appointments</v>
      </c>
    </row>
    <row r="8487" hidden="1">
      <c r="A8487" s="6" t="s">
        <v>99</v>
      </c>
      <c r="B8487" s="13" t="s">
        <v>2989</v>
      </c>
      <c r="C8487" s="13" t="s">
        <v>2990</v>
      </c>
      <c r="D8487" s="15">
        <v>1.0</v>
      </c>
      <c r="E8487" s="67">
        <f t="shared" si="20"/>
        <v>250</v>
      </c>
      <c r="F8487" s="67" t="str">
        <f t="shared" si="21"/>
        <v>1 Lead Set Appointments</v>
      </c>
    </row>
    <row r="8488" hidden="1">
      <c r="A8488" s="6" t="s">
        <v>99</v>
      </c>
      <c r="B8488" s="13" t="s">
        <v>2991</v>
      </c>
      <c r="C8488" s="13" t="s">
        <v>2992</v>
      </c>
      <c r="D8488" s="15">
        <v>3.0</v>
      </c>
      <c r="E8488" s="67">
        <f t="shared" si="20"/>
        <v>750</v>
      </c>
      <c r="F8488" s="67" t="str">
        <f t="shared" si="21"/>
        <v>3 Lead Set Appointments</v>
      </c>
    </row>
    <row r="8489" hidden="1">
      <c r="A8489" s="6" t="s">
        <v>99</v>
      </c>
      <c r="B8489" s="13" t="s">
        <v>1981</v>
      </c>
      <c r="C8489" s="13" t="s">
        <v>1982</v>
      </c>
      <c r="D8489" s="15">
        <v>2.0</v>
      </c>
      <c r="E8489" s="67">
        <f t="shared" si="20"/>
        <v>500</v>
      </c>
      <c r="F8489" s="67" t="str">
        <f t="shared" si="21"/>
        <v>2 Lead Set Appointments</v>
      </c>
    </row>
    <row r="8490" hidden="1">
      <c r="A8490" s="6" t="s">
        <v>99</v>
      </c>
      <c r="B8490" s="13" t="s">
        <v>1686</v>
      </c>
      <c r="C8490" s="13" t="s">
        <v>1687</v>
      </c>
      <c r="D8490" s="15">
        <v>1.0</v>
      </c>
      <c r="E8490" s="67">
        <f t="shared" si="20"/>
        <v>250</v>
      </c>
      <c r="F8490" s="67" t="str">
        <f t="shared" si="21"/>
        <v>1 Lead Set Appointments</v>
      </c>
    </row>
    <row r="8491" hidden="1">
      <c r="A8491" s="6" t="s">
        <v>99</v>
      </c>
      <c r="B8491" s="13" t="s">
        <v>2993</v>
      </c>
      <c r="C8491" s="13" t="s">
        <v>2994</v>
      </c>
      <c r="D8491" s="15">
        <v>1.0</v>
      </c>
      <c r="E8491" s="67">
        <f t="shared" si="20"/>
        <v>250</v>
      </c>
      <c r="F8491" s="67" t="str">
        <f t="shared" si="21"/>
        <v>1 Lead Set Appointments</v>
      </c>
    </row>
    <row r="8492" hidden="1">
      <c r="A8492" s="6" t="s">
        <v>100</v>
      </c>
      <c r="B8492" s="13" t="s">
        <v>644</v>
      </c>
      <c r="C8492" s="13" t="s">
        <v>645</v>
      </c>
      <c r="D8492" s="15">
        <v>59.0</v>
      </c>
      <c r="E8492" s="67">
        <f t="shared" si="20"/>
        <v>29500</v>
      </c>
      <c r="F8492" s="67" t="str">
        <f t="shared" si="21"/>
        <v>59 Lead Set Appointments</v>
      </c>
    </row>
    <row r="8493" hidden="1">
      <c r="A8493" s="6" t="s">
        <v>100</v>
      </c>
      <c r="B8493" s="13" t="s">
        <v>476</v>
      </c>
      <c r="C8493" s="13" t="s">
        <v>477</v>
      </c>
      <c r="D8493" s="15">
        <v>46.0</v>
      </c>
      <c r="E8493" s="67">
        <f t="shared" si="20"/>
        <v>23000</v>
      </c>
      <c r="F8493" s="67" t="str">
        <f t="shared" si="21"/>
        <v>46 Lead Set Appointments</v>
      </c>
    </row>
    <row r="8494" hidden="1">
      <c r="A8494" s="6" t="s">
        <v>100</v>
      </c>
      <c r="B8494" s="13" t="s">
        <v>540</v>
      </c>
      <c r="C8494" s="13" t="s">
        <v>541</v>
      </c>
      <c r="D8494" s="15">
        <v>31.0</v>
      </c>
      <c r="E8494" s="67">
        <f t="shared" si="20"/>
        <v>15500</v>
      </c>
      <c r="F8494" s="67" t="str">
        <f t="shared" si="21"/>
        <v>31 Lead Set Appointments</v>
      </c>
    </row>
    <row r="8495" hidden="1">
      <c r="A8495" s="6" t="s">
        <v>100</v>
      </c>
      <c r="B8495" s="13" t="s">
        <v>723</v>
      </c>
      <c r="C8495" s="13" t="s">
        <v>724</v>
      </c>
      <c r="D8495" s="15">
        <v>28.0</v>
      </c>
      <c r="E8495" s="67">
        <f t="shared" si="20"/>
        <v>14000</v>
      </c>
      <c r="F8495" s="67" t="str">
        <f t="shared" si="21"/>
        <v>28 Lead Set Appointments</v>
      </c>
    </row>
    <row r="8496" hidden="1">
      <c r="A8496" s="6" t="s">
        <v>100</v>
      </c>
      <c r="B8496" s="13" t="s">
        <v>411</v>
      </c>
      <c r="C8496" s="13" t="s">
        <v>412</v>
      </c>
      <c r="D8496" s="15">
        <v>25.0</v>
      </c>
      <c r="E8496" s="67">
        <f t="shared" si="20"/>
        <v>12500</v>
      </c>
      <c r="F8496" s="67" t="str">
        <f t="shared" si="21"/>
        <v>25 Lead Set Appointments</v>
      </c>
    </row>
    <row r="8497" hidden="1">
      <c r="A8497" s="6" t="s">
        <v>100</v>
      </c>
      <c r="B8497" s="13" t="s">
        <v>1426</v>
      </c>
      <c r="C8497" s="13" t="s">
        <v>1427</v>
      </c>
      <c r="D8497" s="15">
        <v>17.0</v>
      </c>
      <c r="E8497" s="67">
        <f t="shared" si="20"/>
        <v>8500</v>
      </c>
      <c r="F8497" s="67" t="str">
        <f t="shared" si="21"/>
        <v>17 Lead Set Appointments</v>
      </c>
    </row>
    <row r="8498" hidden="1">
      <c r="A8498" s="6" t="s">
        <v>100</v>
      </c>
      <c r="B8498" s="13" t="s">
        <v>413</v>
      </c>
      <c r="C8498" s="13" t="s">
        <v>414</v>
      </c>
      <c r="D8498" s="15">
        <v>16.0</v>
      </c>
      <c r="E8498" s="67">
        <f t="shared" si="20"/>
        <v>8000</v>
      </c>
      <c r="F8498" s="67" t="str">
        <f t="shared" si="21"/>
        <v>16 Lead Set Appointments</v>
      </c>
    </row>
    <row r="8499" hidden="1">
      <c r="A8499" s="6" t="s">
        <v>100</v>
      </c>
      <c r="B8499" s="13" t="s">
        <v>640</v>
      </c>
      <c r="C8499" s="13" t="s">
        <v>641</v>
      </c>
      <c r="D8499" s="15">
        <v>15.0</v>
      </c>
      <c r="E8499" s="67">
        <f t="shared" si="20"/>
        <v>7500</v>
      </c>
      <c r="F8499" s="67" t="str">
        <f t="shared" si="21"/>
        <v>15 Lead Set Appointments</v>
      </c>
    </row>
    <row r="8500" hidden="1">
      <c r="A8500" s="6" t="s">
        <v>100</v>
      </c>
      <c r="B8500" s="13" t="s">
        <v>524</v>
      </c>
      <c r="C8500" s="13" t="s">
        <v>525</v>
      </c>
      <c r="D8500" s="15">
        <v>15.0</v>
      </c>
      <c r="E8500" s="67">
        <f t="shared" si="20"/>
        <v>7500</v>
      </c>
      <c r="F8500" s="67" t="str">
        <f t="shared" si="21"/>
        <v>15 Lead Set Appointments</v>
      </c>
    </row>
    <row r="8501" hidden="1">
      <c r="A8501" s="6" t="s">
        <v>100</v>
      </c>
      <c r="B8501" s="13" t="s">
        <v>542</v>
      </c>
      <c r="C8501" s="13" t="s">
        <v>543</v>
      </c>
      <c r="D8501" s="15">
        <v>13.0</v>
      </c>
      <c r="E8501" s="67">
        <f t="shared" si="20"/>
        <v>6500</v>
      </c>
      <c r="F8501" s="67" t="str">
        <f t="shared" si="21"/>
        <v>13 Lead Set Appointments</v>
      </c>
    </row>
    <row r="8502" hidden="1">
      <c r="A8502" s="6" t="s">
        <v>100</v>
      </c>
      <c r="B8502" s="13" t="s">
        <v>736</v>
      </c>
      <c r="C8502" s="13" t="s">
        <v>737</v>
      </c>
      <c r="D8502" s="15">
        <v>13.0</v>
      </c>
      <c r="E8502" s="67">
        <f t="shared" si="20"/>
        <v>6500</v>
      </c>
      <c r="F8502" s="67" t="str">
        <f t="shared" si="21"/>
        <v>13 Lead Set Appointments</v>
      </c>
    </row>
    <row r="8503" hidden="1">
      <c r="A8503" s="6" t="s">
        <v>100</v>
      </c>
      <c r="B8503" s="13" t="s">
        <v>560</v>
      </c>
      <c r="C8503" s="13" t="s">
        <v>561</v>
      </c>
      <c r="D8503" s="15">
        <v>13.0</v>
      </c>
      <c r="E8503" s="67">
        <f t="shared" si="20"/>
        <v>6500</v>
      </c>
      <c r="F8503" s="67" t="str">
        <f t="shared" si="21"/>
        <v>13 Lead Set Appointments</v>
      </c>
    </row>
    <row r="8504" hidden="1">
      <c r="A8504" s="6" t="s">
        <v>100</v>
      </c>
      <c r="B8504" s="13" t="s">
        <v>1461</v>
      </c>
      <c r="C8504" s="13" t="s">
        <v>1462</v>
      </c>
      <c r="D8504" s="15">
        <v>13.0</v>
      </c>
      <c r="E8504" s="67">
        <f t="shared" si="20"/>
        <v>6500</v>
      </c>
      <c r="F8504" s="67" t="str">
        <f t="shared" si="21"/>
        <v>13 Lead Set Appointments</v>
      </c>
    </row>
    <row r="8505" hidden="1">
      <c r="A8505" s="6" t="s">
        <v>100</v>
      </c>
      <c r="B8505" s="13" t="s">
        <v>1415</v>
      </c>
      <c r="C8505" s="13" t="s">
        <v>1416</v>
      </c>
      <c r="D8505" s="15">
        <v>13.0</v>
      </c>
      <c r="E8505" s="67">
        <f t="shared" si="20"/>
        <v>6500</v>
      </c>
      <c r="F8505" s="67" t="str">
        <f t="shared" si="21"/>
        <v>13 Lead Set Appointments</v>
      </c>
    </row>
    <row r="8506" hidden="1">
      <c r="A8506" s="6" t="s">
        <v>100</v>
      </c>
      <c r="B8506" s="13" t="s">
        <v>486</v>
      </c>
      <c r="C8506" s="13" t="s">
        <v>487</v>
      </c>
      <c r="D8506" s="15">
        <v>13.0</v>
      </c>
      <c r="E8506" s="67">
        <f t="shared" si="20"/>
        <v>6500</v>
      </c>
      <c r="F8506" s="67" t="str">
        <f t="shared" si="21"/>
        <v>13 Lead Set Appointments</v>
      </c>
    </row>
    <row r="8507" hidden="1">
      <c r="A8507" s="6" t="s">
        <v>100</v>
      </c>
      <c r="B8507" s="13" t="s">
        <v>510</v>
      </c>
      <c r="C8507" s="13" t="s">
        <v>511</v>
      </c>
      <c r="D8507" s="15">
        <v>13.0</v>
      </c>
      <c r="E8507" s="67">
        <f t="shared" si="20"/>
        <v>6500</v>
      </c>
      <c r="F8507" s="67" t="str">
        <f t="shared" si="21"/>
        <v>13 Lead Set Appointments</v>
      </c>
    </row>
    <row r="8508" hidden="1">
      <c r="A8508" s="6" t="s">
        <v>100</v>
      </c>
      <c r="B8508" s="13" t="s">
        <v>1865</v>
      </c>
      <c r="C8508" s="13" t="s">
        <v>1866</v>
      </c>
      <c r="D8508" s="15">
        <v>13.0</v>
      </c>
      <c r="E8508" s="67">
        <f t="shared" si="20"/>
        <v>6500</v>
      </c>
      <c r="F8508" s="67" t="str">
        <f t="shared" si="21"/>
        <v>13 Lead Set Appointments</v>
      </c>
    </row>
    <row r="8509" hidden="1">
      <c r="A8509" s="6" t="s">
        <v>100</v>
      </c>
      <c r="B8509" s="13" t="s">
        <v>435</v>
      </c>
      <c r="C8509" s="13" t="s">
        <v>436</v>
      </c>
      <c r="D8509" s="15">
        <v>13.0</v>
      </c>
      <c r="E8509" s="67">
        <f t="shared" si="20"/>
        <v>6500</v>
      </c>
      <c r="F8509" s="67" t="str">
        <f t="shared" si="21"/>
        <v>13 Lead Set Appointments</v>
      </c>
    </row>
    <row r="8510" hidden="1">
      <c r="A8510" s="6" t="s">
        <v>100</v>
      </c>
      <c r="B8510" s="13" t="s">
        <v>1471</v>
      </c>
      <c r="C8510" s="13" t="s">
        <v>1472</v>
      </c>
      <c r="D8510" s="15">
        <v>13.0</v>
      </c>
      <c r="E8510" s="67">
        <f t="shared" si="20"/>
        <v>6500</v>
      </c>
      <c r="F8510" s="67" t="str">
        <f t="shared" si="21"/>
        <v>13 Lead Set Appointments</v>
      </c>
    </row>
    <row r="8511" hidden="1">
      <c r="A8511" s="6" t="s">
        <v>100</v>
      </c>
      <c r="B8511" s="13" t="s">
        <v>746</v>
      </c>
      <c r="C8511" s="13" t="s">
        <v>747</v>
      </c>
      <c r="D8511" s="15">
        <v>13.0</v>
      </c>
      <c r="E8511" s="67">
        <f t="shared" si="20"/>
        <v>6500</v>
      </c>
      <c r="F8511" s="67" t="str">
        <f t="shared" si="21"/>
        <v>13 Lead Set Appointments</v>
      </c>
    </row>
    <row r="8512" hidden="1">
      <c r="A8512" s="6" t="s">
        <v>100</v>
      </c>
      <c r="B8512" s="13" t="s">
        <v>693</v>
      </c>
      <c r="C8512" s="13" t="s">
        <v>694</v>
      </c>
      <c r="D8512" s="15">
        <v>12.0</v>
      </c>
      <c r="E8512" s="67">
        <f t="shared" si="20"/>
        <v>6000</v>
      </c>
      <c r="F8512" s="67" t="str">
        <f t="shared" si="21"/>
        <v>12 Lead Set Appointments</v>
      </c>
    </row>
    <row r="8513" hidden="1">
      <c r="A8513" s="6" t="s">
        <v>100</v>
      </c>
      <c r="B8513" s="13" t="s">
        <v>439</v>
      </c>
      <c r="C8513" s="13" t="s">
        <v>440</v>
      </c>
      <c r="D8513" s="15">
        <v>12.0</v>
      </c>
      <c r="E8513" s="67">
        <f t="shared" si="20"/>
        <v>6000</v>
      </c>
      <c r="F8513" s="67" t="str">
        <f t="shared" si="21"/>
        <v>12 Lead Set Appointments</v>
      </c>
    </row>
    <row r="8514" hidden="1">
      <c r="A8514" s="6" t="s">
        <v>100</v>
      </c>
      <c r="B8514" s="13" t="s">
        <v>2640</v>
      </c>
      <c r="C8514" s="13" t="s">
        <v>2641</v>
      </c>
      <c r="D8514" s="15">
        <v>12.0</v>
      </c>
      <c r="E8514" s="67">
        <f t="shared" si="20"/>
        <v>6000</v>
      </c>
      <c r="F8514" s="67" t="str">
        <f t="shared" si="21"/>
        <v>12 Lead Set Appointments</v>
      </c>
    </row>
    <row r="8515" hidden="1">
      <c r="A8515" s="6" t="s">
        <v>100</v>
      </c>
      <c r="B8515" s="13" t="s">
        <v>590</v>
      </c>
      <c r="C8515" s="13" t="s">
        <v>591</v>
      </c>
      <c r="D8515" s="15">
        <v>12.0</v>
      </c>
      <c r="E8515" s="67">
        <f t="shared" si="20"/>
        <v>6000</v>
      </c>
      <c r="F8515" s="67" t="str">
        <f t="shared" si="21"/>
        <v>12 Lead Set Appointments</v>
      </c>
    </row>
    <row r="8516" hidden="1">
      <c r="A8516" s="6" t="s">
        <v>100</v>
      </c>
      <c r="B8516" s="13" t="s">
        <v>725</v>
      </c>
      <c r="C8516" s="13" t="s">
        <v>726</v>
      </c>
      <c r="D8516" s="15">
        <v>12.0</v>
      </c>
      <c r="E8516" s="67">
        <f t="shared" si="20"/>
        <v>6000</v>
      </c>
      <c r="F8516" s="67" t="str">
        <f t="shared" si="21"/>
        <v>12 Lead Set Appointments</v>
      </c>
    </row>
    <row r="8517" hidden="1">
      <c r="A8517" s="6" t="s">
        <v>100</v>
      </c>
      <c r="B8517" s="13" t="s">
        <v>443</v>
      </c>
      <c r="C8517" s="13" t="s">
        <v>444</v>
      </c>
      <c r="D8517" s="15">
        <v>12.0</v>
      </c>
      <c r="E8517" s="67">
        <f t="shared" si="20"/>
        <v>6000</v>
      </c>
      <c r="F8517" s="67" t="str">
        <f t="shared" si="21"/>
        <v>12 Lead Set Appointments</v>
      </c>
    </row>
    <row r="8518" hidden="1">
      <c r="A8518" s="6" t="s">
        <v>100</v>
      </c>
      <c r="B8518" s="13" t="s">
        <v>682</v>
      </c>
      <c r="C8518" s="13" t="s">
        <v>683</v>
      </c>
      <c r="D8518" s="15">
        <v>11.0</v>
      </c>
      <c r="E8518" s="67">
        <f t="shared" si="20"/>
        <v>5500</v>
      </c>
      <c r="F8518" s="67" t="str">
        <f t="shared" si="21"/>
        <v>11 Lead Set Appointments</v>
      </c>
    </row>
    <row r="8519" hidden="1">
      <c r="A8519" s="6" t="s">
        <v>100</v>
      </c>
      <c r="B8519" s="13" t="s">
        <v>2067</v>
      </c>
      <c r="C8519" s="13" t="s">
        <v>2068</v>
      </c>
      <c r="D8519" s="15">
        <v>11.0</v>
      </c>
      <c r="E8519" s="67">
        <f t="shared" si="20"/>
        <v>5500</v>
      </c>
      <c r="F8519" s="67" t="str">
        <f t="shared" si="21"/>
        <v>11 Lead Set Appointments</v>
      </c>
    </row>
    <row r="8520" hidden="1">
      <c r="A8520" s="6" t="s">
        <v>100</v>
      </c>
      <c r="B8520" s="13" t="s">
        <v>656</v>
      </c>
      <c r="C8520" s="13" t="s">
        <v>657</v>
      </c>
      <c r="D8520" s="15">
        <v>11.0</v>
      </c>
      <c r="E8520" s="67">
        <f t="shared" si="20"/>
        <v>5500</v>
      </c>
      <c r="F8520" s="67" t="str">
        <f t="shared" si="21"/>
        <v>11 Lead Set Appointments</v>
      </c>
    </row>
    <row r="8521" hidden="1">
      <c r="A8521" s="6" t="s">
        <v>100</v>
      </c>
      <c r="B8521" s="13" t="s">
        <v>2995</v>
      </c>
      <c r="C8521" s="13" t="s">
        <v>2996</v>
      </c>
      <c r="D8521" s="15">
        <v>11.0</v>
      </c>
      <c r="E8521" s="67">
        <f t="shared" si="20"/>
        <v>5500</v>
      </c>
      <c r="F8521" s="67" t="str">
        <f t="shared" si="21"/>
        <v>11 Lead Set Appointments</v>
      </c>
    </row>
    <row r="8522" hidden="1">
      <c r="A8522" s="6" t="s">
        <v>100</v>
      </c>
      <c r="B8522" s="13" t="s">
        <v>766</v>
      </c>
      <c r="C8522" s="13" t="s">
        <v>767</v>
      </c>
      <c r="D8522" s="15">
        <v>11.0</v>
      </c>
      <c r="E8522" s="67">
        <f t="shared" si="20"/>
        <v>5500</v>
      </c>
      <c r="F8522" s="67" t="str">
        <f t="shared" si="21"/>
        <v>11 Lead Set Appointments</v>
      </c>
    </row>
    <row r="8523" hidden="1">
      <c r="A8523" s="6" t="s">
        <v>100</v>
      </c>
      <c r="B8523" s="13" t="s">
        <v>680</v>
      </c>
      <c r="C8523" s="13" t="s">
        <v>681</v>
      </c>
      <c r="D8523" s="15">
        <v>10.0</v>
      </c>
      <c r="E8523" s="67">
        <f t="shared" si="20"/>
        <v>5000</v>
      </c>
      <c r="F8523" s="67" t="str">
        <f t="shared" si="21"/>
        <v>10 Lead Set Appointments</v>
      </c>
    </row>
    <row r="8524" hidden="1">
      <c r="A8524" s="6" t="s">
        <v>100</v>
      </c>
      <c r="B8524" s="13" t="s">
        <v>1493</v>
      </c>
      <c r="C8524" s="13" t="s">
        <v>1494</v>
      </c>
      <c r="D8524" s="15">
        <v>10.0</v>
      </c>
      <c r="E8524" s="67">
        <f t="shared" si="20"/>
        <v>5000</v>
      </c>
      <c r="F8524" s="67" t="str">
        <f t="shared" si="21"/>
        <v>10 Lead Set Appointments</v>
      </c>
    </row>
    <row r="8525" hidden="1">
      <c r="A8525" s="6" t="s">
        <v>100</v>
      </c>
      <c r="B8525" s="13" t="s">
        <v>516</v>
      </c>
      <c r="C8525" s="13" t="s">
        <v>517</v>
      </c>
      <c r="D8525" s="15">
        <v>9.0</v>
      </c>
      <c r="E8525" s="67">
        <f t="shared" si="20"/>
        <v>2250</v>
      </c>
      <c r="F8525" s="67" t="str">
        <f t="shared" si="21"/>
        <v>9 Lead Set Appointments</v>
      </c>
    </row>
    <row r="8526" hidden="1">
      <c r="A8526" s="6" t="s">
        <v>100</v>
      </c>
      <c r="B8526" s="13" t="s">
        <v>624</v>
      </c>
      <c r="C8526" s="13" t="s">
        <v>625</v>
      </c>
      <c r="D8526" s="15">
        <v>9.0</v>
      </c>
      <c r="E8526" s="67">
        <f t="shared" si="20"/>
        <v>2250</v>
      </c>
      <c r="F8526" s="67" t="str">
        <f t="shared" si="21"/>
        <v>9 Lead Set Appointments</v>
      </c>
    </row>
    <row r="8527" hidden="1">
      <c r="A8527" s="6" t="s">
        <v>100</v>
      </c>
      <c r="B8527" s="13" t="s">
        <v>2012</v>
      </c>
      <c r="C8527" s="13" t="s">
        <v>2013</v>
      </c>
      <c r="D8527" s="15">
        <v>9.0</v>
      </c>
      <c r="E8527" s="67">
        <f t="shared" si="20"/>
        <v>2250</v>
      </c>
      <c r="F8527" s="67" t="str">
        <f t="shared" si="21"/>
        <v>9 Lead Set Appointments</v>
      </c>
    </row>
    <row r="8528" hidden="1">
      <c r="A8528" s="6" t="s">
        <v>100</v>
      </c>
      <c r="B8528" s="13" t="s">
        <v>546</v>
      </c>
      <c r="C8528" s="13" t="s">
        <v>547</v>
      </c>
      <c r="D8528" s="15">
        <v>8.0</v>
      </c>
      <c r="E8528" s="67">
        <f t="shared" si="20"/>
        <v>2000</v>
      </c>
      <c r="F8528" s="67" t="str">
        <f t="shared" si="21"/>
        <v>8 Lead Set Appointments</v>
      </c>
    </row>
    <row r="8529" hidden="1">
      <c r="A8529" s="6" t="s">
        <v>100</v>
      </c>
      <c r="B8529" s="13" t="s">
        <v>752</v>
      </c>
      <c r="C8529" s="13" t="s">
        <v>753</v>
      </c>
      <c r="D8529" s="15">
        <v>8.0</v>
      </c>
      <c r="E8529" s="67">
        <f t="shared" si="20"/>
        <v>2000</v>
      </c>
      <c r="F8529" s="67" t="str">
        <f t="shared" si="21"/>
        <v>8 Lead Set Appointments</v>
      </c>
    </row>
    <row r="8530" hidden="1">
      <c r="A8530" s="6" t="s">
        <v>100</v>
      </c>
      <c r="B8530" s="13" t="s">
        <v>1025</v>
      </c>
      <c r="C8530" s="13" t="s">
        <v>1026</v>
      </c>
      <c r="D8530" s="15">
        <v>8.0</v>
      </c>
      <c r="E8530" s="67">
        <f t="shared" si="20"/>
        <v>2000</v>
      </c>
      <c r="F8530" s="67" t="str">
        <f t="shared" si="21"/>
        <v>8 Lead Set Appointments</v>
      </c>
    </row>
    <row r="8531" hidden="1">
      <c r="A8531" s="6" t="s">
        <v>100</v>
      </c>
      <c r="B8531" s="13" t="s">
        <v>2179</v>
      </c>
      <c r="C8531" s="13" t="s">
        <v>2180</v>
      </c>
      <c r="D8531" s="15">
        <v>8.0</v>
      </c>
      <c r="E8531" s="67">
        <f t="shared" si="20"/>
        <v>2000</v>
      </c>
      <c r="F8531" s="67" t="str">
        <f t="shared" si="21"/>
        <v>8 Lead Set Appointments</v>
      </c>
    </row>
    <row r="8532" hidden="1">
      <c r="A8532" s="6" t="s">
        <v>100</v>
      </c>
      <c r="B8532" s="13" t="s">
        <v>1299</v>
      </c>
      <c r="C8532" s="13" t="s">
        <v>1300</v>
      </c>
      <c r="D8532" s="15">
        <v>8.0</v>
      </c>
      <c r="E8532" s="67">
        <f t="shared" si="20"/>
        <v>2000</v>
      </c>
      <c r="F8532" s="67" t="str">
        <f t="shared" si="21"/>
        <v>8 Lead Set Appointments</v>
      </c>
    </row>
    <row r="8533" hidden="1">
      <c r="A8533" s="6" t="s">
        <v>100</v>
      </c>
      <c r="B8533" s="13" t="s">
        <v>258</v>
      </c>
      <c r="C8533" s="13" t="s">
        <v>2386</v>
      </c>
      <c r="D8533" s="15">
        <v>8.0</v>
      </c>
      <c r="E8533" s="67">
        <f t="shared" si="20"/>
        <v>2000</v>
      </c>
      <c r="F8533" s="67" t="str">
        <f t="shared" si="21"/>
        <v>8 Lead Set Appointments</v>
      </c>
    </row>
    <row r="8534" hidden="1">
      <c r="A8534" s="6" t="s">
        <v>100</v>
      </c>
      <c r="B8534" s="13" t="s">
        <v>701</v>
      </c>
      <c r="C8534" s="13" t="s">
        <v>702</v>
      </c>
      <c r="D8534" s="15">
        <v>8.0</v>
      </c>
      <c r="E8534" s="67">
        <f t="shared" si="20"/>
        <v>2000</v>
      </c>
      <c r="F8534" s="67" t="str">
        <f t="shared" si="21"/>
        <v>8 Lead Set Appointments</v>
      </c>
    </row>
    <row r="8535" hidden="1">
      <c r="A8535" s="6" t="s">
        <v>100</v>
      </c>
      <c r="B8535" s="13" t="s">
        <v>1301</v>
      </c>
      <c r="C8535" s="13" t="s">
        <v>1302</v>
      </c>
      <c r="D8535" s="15">
        <v>7.0</v>
      </c>
      <c r="E8535" s="67">
        <f t="shared" si="20"/>
        <v>1750</v>
      </c>
      <c r="F8535" s="67" t="str">
        <f t="shared" si="21"/>
        <v>7 Lead Set Appointments</v>
      </c>
    </row>
    <row r="8536" hidden="1">
      <c r="A8536" s="6" t="s">
        <v>100</v>
      </c>
      <c r="B8536" s="13" t="s">
        <v>2018</v>
      </c>
      <c r="C8536" s="13" t="s">
        <v>2997</v>
      </c>
      <c r="D8536" s="15">
        <v>7.0</v>
      </c>
      <c r="E8536" s="67">
        <f t="shared" si="20"/>
        <v>1750</v>
      </c>
      <c r="F8536" s="67" t="str">
        <f t="shared" si="21"/>
        <v>7 Lead Set Appointments</v>
      </c>
    </row>
    <row r="8537" hidden="1">
      <c r="A8537" s="6" t="s">
        <v>100</v>
      </c>
      <c r="B8537" s="13" t="s">
        <v>2892</v>
      </c>
      <c r="C8537" s="13" t="s">
        <v>2893</v>
      </c>
      <c r="D8537" s="15">
        <v>7.0</v>
      </c>
      <c r="E8537" s="67">
        <f t="shared" si="20"/>
        <v>1750</v>
      </c>
      <c r="F8537" s="67" t="str">
        <f t="shared" si="21"/>
        <v>7 Lead Set Appointments</v>
      </c>
    </row>
    <row r="8538" hidden="1">
      <c r="A8538" s="6" t="s">
        <v>100</v>
      </c>
      <c r="B8538" s="13" t="s">
        <v>2947</v>
      </c>
      <c r="C8538" s="13" t="s">
        <v>2948</v>
      </c>
      <c r="D8538" s="15">
        <v>7.0</v>
      </c>
      <c r="E8538" s="67">
        <f t="shared" si="20"/>
        <v>1750</v>
      </c>
      <c r="F8538" s="67" t="str">
        <f t="shared" si="21"/>
        <v>7 Lead Set Appointments</v>
      </c>
    </row>
    <row r="8539" hidden="1">
      <c r="A8539" s="6" t="s">
        <v>100</v>
      </c>
      <c r="B8539" s="13" t="s">
        <v>626</v>
      </c>
      <c r="C8539" s="13" t="s">
        <v>627</v>
      </c>
      <c r="D8539" s="15">
        <v>7.0</v>
      </c>
      <c r="E8539" s="67">
        <f t="shared" si="20"/>
        <v>1750</v>
      </c>
      <c r="F8539" s="67" t="str">
        <f t="shared" si="21"/>
        <v>7 Lead Set Appointments</v>
      </c>
    </row>
    <row r="8540" hidden="1">
      <c r="A8540" s="6" t="s">
        <v>100</v>
      </c>
      <c r="B8540" s="13" t="s">
        <v>1712</v>
      </c>
      <c r="C8540" s="13" t="s">
        <v>2900</v>
      </c>
      <c r="D8540" s="15">
        <v>7.0</v>
      </c>
      <c r="E8540" s="67">
        <f t="shared" si="20"/>
        <v>1750</v>
      </c>
      <c r="F8540" s="67" t="str">
        <f t="shared" si="21"/>
        <v>7 Lead Set Appointments</v>
      </c>
    </row>
    <row r="8541" hidden="1">
      <c r="A8541" s="6" t="s">
        <v>100</v>
      </c>
      <c r="B8541" s="13" t="s">
        <v>532</v>
      </c>
      <c r="C8541" s="13" t="s">
        <v>533</v>
      </c>
      <c r="D8541" s="15">
        <v>7.0</v>
      </c>
      <c r="E8541" s="67">
        <f t="shared" si="20"/>
        <v>1750</v>
      </c>
      <c r="F8541" s="67" t="str">
        <f t="shared" si="21"/>
        <v>7 Lead Set Appointments</v>
      </c>
    </row>
    <row r="8542" hidden="1">
      <c r="A8542" s="6" t="s">
        <v>100</v>
      </c>
      <c r="B8542" s="13" t="s">
        <v>2998</v>
      </c>
      <c r="C8542" s="13" t="s">
        <v>2999</v>
      </c>
      <c r="D8542" s="15">
        <v>7.0</v>
      </c>
      <c r="E8542" s="67">
        <f t="shared" si="20"/>
        <v>1750</v>
      </c>
      <c r="F8542" s="67" t="str">
        <f t="shared" si="21"/>
        <v>7 Lead Set Appointments</v>
      </c>
    </row>
    <row r="8543" hidden="1">
      <c r="A8543" s="6" t="s">
        <v>100</v>
      </c>
      <c r="B8543" s="13" t="s">
        <v>3000</v>
      </c>
      <c r="C8543" s="13" t="s">
        <v>3001</v>
      </c>
      <c r="D8543" s="15">
        <v>7.0</v>
      </c>
      <c r="E8543" s="67">
        <f t="shared" si="20"/>
        <v>1750</v>
      </c>
      <c r="F8543" s="67" t="str">
        <f t="shared" si="21"/>
        <v>7 Lead Set Appointments</v>
      </c>
    </row>
    <row r="8544" hidden="1">
      <c r="A8544" s="6" t="s">
        <v>100</v>
      </c>
      <c r="B8544" s="13" t="s">
        <v>1037</v>
      </c>
      <c r="C8544" s="13" t="s">
        <v>1038</v>
      </c>
      <c r="D8544" s="15">
        <v>6.0</v>
      </c>
      <c r="E8544" s="67">
        <f t="shared" si="20"/>
        <v>1500</v>
      </c>
      <c r="F8544" s="67" t="str">
        <f t="shared" si="21"/>
        <v>6 Lead Set Appointments</v>
      </c>
    </row>
    <row r="8545" hidden="1">
      <c r="A8545" s="6" t="s">
        <v>100</v>
      </c>
      <c r="B8545" s="13" t="s">
        <v>451</v>
      </c>
      <c r="C8545" s="13" t="s">
        <v>452</v>
      </c>
      <c r="D8545" s="15">
        <v>6.0</v>
      </c>
      <c r="E8545" s="67">
        <f t="shared" si="20"/>
        <v>1500</v>
      </c>
      <c r="F8545" s="67" t="str">
        <f t="shared" si="21"/>
        <v>6 Lead Set Appointments</v>
      </c>
    </row>
    <row r="8546" hidden="1">
      <c r="A8546" s="6" t="s">
        <v>100</v>
      </c>
      <c r="B8546" s="13" t="s">
        <v>1438</v>
      </c>
      <c r="C8546" s="13" t="s">
        <v>1439</v>
      </c>
      <c r="D8546" s="15">
        <v>6.0</v>
      </c>
      <c r="E8546" s="67">
        <f t="shared" si="20"/>
        <v>1500</v>
      </c>
      <c r="F8546" s="67" t="str">
        <f t="shared" si="21"/>
        <v>6 Lead Set Appointments</v>
      </c>
    </row>
    <row r="8547" hidden="1">
      <c r="A8547" s="6" t="s">
        <v>100</v>
      </c>
      <c r="B8547" s="13" t="s">
        <v>2749</v>
      </c>
      <c r="C8547" s="13" t="s">
        <v>2750</v>
      </c>
      <c r="D8547" s="15">
        <v>6.0</v>
      </c>
      <c r="E8547" s="67">
        <f t="shared" si="20"/>
        <v>1500</v>
      </c>
      <c r="F8547" s="67" t="str">
        <f t="shared" si="21"/>
        <v>6 Lead Set Appointments</v>
      </c>
    </row>
    <row r="8548" hidden="1">
      <c r="A8548" s="6" t="s">
        <v>100</v>
      </c>
      <c r="B8548" s="13" t="s">
        <v>2907</v>
      </c>
      <c r="C8548" s="13" t="s">
        <v>2908</v>
      </c>
      <c r="D8548" s="15">
        <v>6.0</v>
      </c>
      <c r="E8548" s="67">
        <f t="shared" si="20"/>
        <v>1500</v>
      </c>
      <c r="F8548" s="67" t="str">
        <f t="shared" si="21"/>
        <v>6 Lead Set Appointments</v>
      </c>
    </row>
    <row r="8549" hidden="1">
      <c r="A8549" s="6" t="s">
        <v>100</v>
      </c>
      <c r="B8549" s="13" t="s">
        <v>2808</v>
      </c>
      <c r="C8549" s="13" t="s">
        <v>2809</v>
      </c>
      <c r="D8549" s="15">
        <v>6.0</v>
      </c>
      <c r="E8549" s="67">
        <f t="shared" si="20"/>
        <v>1500</v>
      </c>
      <c r="F8549" s="67" t="str">
        <f t="shared" si="21"/>
        <v>6 Lead Set Appointments</v>
      </c>
    </row>
    <row r="8550" hidden="1">
      <c r="A8550" s="6" t="s">
        <v>100</v>
      </c>
      <c r="B8550" s="13" t="s">
        <v>1351</v>
      </c>
      <c r="C8550" s="13" t="s">
        <v>1352</v>
      </c>
      <c r="D8550" s="15">
        <v>6.0</v>
      </c>
      <c r="E8550" s="67">
        <f t="shared" si="20"/>
        <v>1500</v>
      </c>
      <c r="F8550" s="67" t="str">
        <f t="shared" si="21"/>
        <v>6 Lead Set Appointments</v>
      </c>
    </row>
    <row r="8551" hidden="1">
      <c r="A8551" s="6" t="s">
        <v>100</v>
      </c>
      <c r="B8551" s="13" t="s">
        <v>2683</v>
      </c>
      <c r="C8551" s="13" t="s">
        <v>2684</v>
      </c>
      <c r="D8551" s="15">
        <v>5.0</v>
      </c>
      <c r="E8551" s="67">
        <f t="shared" si="20"/>
        <v>1250</v>
      </c>
      <c r="F8551" s="67" t="str">
        <f t="shared" si="21"/>
        <v>5 Lead Set Appointments</v>
      </c>
    </row>
    <row r="8552" hidden="1">
      <c r="A8552" s="6" t="s">
        <v>100</v>
      </c>
      <c r="B8552" s="13" t="s">
        <v>1276</v>
      </c>
      <c r="C8552" s="13" t="s">
        <v>461</v>
      </c>
      <c r="D8552" s="15">
        <v>5.0</v>
      </c>
      <c r="E8552" s="67">
        <f t="shared" si="20"/>
        <v>1250</v>
      </c>
      <c r="F8552" s="67" t="str">
        <f t="shared" si="21"/>
        <v>5 Lead Set Appointments</v>
      </c>
    </row>
    <row r="8553" hidden="1">
      <c r="A8553" s="6" t="s">
        <v>100</v>
      </c>
      <c r="B8553" s="13" t="s">
        <v>2911</v>
      </c>
      <c r="C8553" s="13" t="s">
        <v>2912</v>
      </c>
      <c r="D8553" s="15">
        <v>5.0</v>
      </c>
      <c r="E8553" s="67">
        <f t="shared" si="20"/>
        <v>1250</v>
      </c>
      <c r="F8553" s="67" t="str">
        <f t="shared" si="21"/>
        <v>5 Lead Set Appointments</v>
      </c>
    </row>
    <row r="8554" hidden="1">
      <c r="A8554" s="6" t="s">
        <v>100</v>
      </c>
      <c r="B8554" s="13" t="s">
        <v>2034</v>
      </c>
      <c r="C8554" s="13" t="s">
        <v>416</v>
      </c>
      <c r="D8554" s="15">
        <v>5.0</v>
      </c>
      <c r="E8554" s="67">
        <f t="shared" si="20"/>
        <v>1250</v>
      </c>
      <c r="F8554" s="67" t="str">
        <f t="shared" si="21"/>
        <v>5 Lead Set Appointments</v>
      </c>
    </row>
    <row r="8555" hidden="1">
      <c r="A8555" s="6" t="s">
        <v>100</v>
      </c>
      <c r="B8555" s="13" t="s">
        <v>3002</v>
      </c>
      <c r="C8555" s="13" t="s">
        <v>3003</v>
      </c>
      <c r="D8555" s="15">
        <v>5.0</v>
      </c>
      <c r="E8555" s="67">
        <f t="shared" si="20"/>
        <v>1250</v>
      </c>
      <c r="F8555" s="67" t="str">
        <f t="shared" si="21"/>
        <v>5 Lead Set Appointments</v>
      </c>
    </row>
    <row r="8556" hidden="1">
      <c r="A8556" s="6" t="s">
        <v>100</v>
      </c>
      <c r="B8556" s="13" t="s">
        <v>684</v>
      </c>
      <c r="C8556" s="13" t="s">
        <v>685</v>
      </c>
      <c r="D8556" s="15">
        <v>5.0</v>
      </c>
      <c r="E8556" s="67">
        <f t="shared" si="20"/>
        <v>1250</v>
      </c>
      <c r="F8556" s="67" t="str">
        <f t="shared" si="21"/>
        <v>5 Lead Set Appointments</v>
      </c>
    </row>
    <row r="8557" hidden="1">
      <c r="A8557" s="6" t="s">
        <v>100</v>
      </c>
      <c r="B8557" s="13" t="s">
        <v>431</v>
      </c>
      <c r="C8557" s="13" t="s">
        <v>432</v>
      </c>
      <c r="D8557" s="15">
        <v>5.0</v>
      </c>
      <c r="E8557" s="67">
        <f t="shared" si="20"/>
        <v>1250</v>
      </c>
      <c r="F8557" s="67" t="str">
        <f t="shared" si="21"/>
        <v>5 Lead Set Appointments</v>
      </c>
    </row>
    <row r="8558" hidden="1">
      <c r="A8558" s="6" t="s">
        <v>100</v>
      </c>
      <c r="B8558" s="13" t="s">
        <v>1919</v>
      </c>
      <c r="C8558" s="13" t="s">
        <v>2816</v>
      </c>
      <c r="D8558" s="15">
        <v>5.0</v>
      </c>
      <c r="E8558" s="67">
        <f t="shared" si="20"/>
        <v>1250</v>
      </c>
      <c r="F8558" s="67" t="str">
        <f t="shared" si="21"/>
        <v>5 Lead Set Appointments</v>
      </c>
    </row>
    <row r="8559" hidden="1">
      <c r="A8559" s="6" t="s">
        <v>100</v>
      </c>
      <c r="B8559" s="13" t="s">
        <v>288</v>
      </c>
      <c r="C8559" s="13" t="s">
        <v>2375</v>
      </c>
      <c r="D8559" s="15">
        <v>5.0</v>
      </c>
      <c r="E8559" s="67">
        <f t="shared" si="20"/>
        <v>1250</v>
      </c>
      <c r="F8559" s="67" t="str">
        <f t="shared" si="21"/>
        <v>5 Lead Set Appointments</v>
      </c>
    </row>
    <row r="8560" hidden="1">
      <c r="A8560" s="6" t="s">
        <v>100</v>
      </c>
      <c r="B8560" s="13" t="s">
        <v>1039</v>
      </c>
      <c r="C8560" s="13" t="s">
        <v>1040</v>
      </c>
      <c r="D8560" s="15">
        <v>5.0</v>
      </c>
      <c r="E8560" s="67">
        <f t="shared" si="20"/>
        <v>1250</v>
      </c>
      <c r="F8560" s="67" t="str">
        <f t="shared" si="21"/>
        <v>5 Lead Set Appointments</v>
      </c>
    </row>
    <row r="8561" hidden="1">
      <c r="A8561" s="6" t="s">
        <v>100</v>
      </c>
      <c r="B8561" s="13" t="s">
        <v>1692</v>
      </c>
      <c r="C8561" s="13" t="s">
        <v>1693</v>
      </c>
      <c r="D8561" s="15">
        <v>5.0</v>
      </c>
      <c r="E8561" s="67">
        <f t="shared" si="20"/>
        <v>1250</v>
      </c>
      <c r="F8561" s="67" t="str">
        <f t="shared" si="21"/>
        <v>5 Lead Set Appointments</v>
      </c>
    </row>
    <row r="8562" hidden="1">
      <c r="A8562" s="6" t="s">
        <v>100</v>
      </c>
      <c r="B8562" s="13" t="s">
        <v>494</v>
      </c>
      <c r="C8562" s="13" t="s">
        <v>495</v>
      </c>
      <c r="D8562" s="15">
        <v>5.0</v>
      </c>
      <c r="E8562" s="67">
        <f t="shared" si="20"/>
        <v>1250</v>
      </c>
      <c r="F8562" s="67" t="str">
        <f t="shared" si="21"/>
        <v>5 Lead Set Appointments</v>
      </c>
    </row>
    <row r="8563" hidden="1">
      <c r="A8563" s="6" t="s">
        <v>100</v>
      </c>
      <c r="B8563" s="13" t="s">
        <v>2609</v>
      </c>
      <c r="C8563" s="13" t="s">
        <v>2610</v>
      </c>
      <c r="D8563" s="15">
        <v>5.0</v>
      </c>
      <c r="E8563" s="67">
        <f t="shared" si="20"/>
        <v>1250</v>
      </c>
      <c r="F8563" s="67" t="str">
        <f t="shared" si="21"/>
        <v>5 Lead Set Appointments</v>
      </c>
    </row>
    <row r="8564" hidden="1">
      <c r="A8564" s="6" t="s">
        <v>100</v>
      </c>
      <c r="B8564" s="13" t="s">
        <v>2097</v>
      </c>
      <c r="C8564" s="13" t="s">
        <v>828</v>
      </c>
      <c r="D8564" s="15">
        <v>5.0</v>
      </c>
      <c r="E8564" s="67">
        <f t="shared" si="20"/>
        <v>1250</v>
      </c>
      <c r="F8564" s="67" t="str">
        <f t="shared" si="21"/>
        <v>5 Lead Set Appointments</v>
      </c>
    </row>
    <row r="8565" hidden="1">
      <c r="A8565" s="6" t="s">
        <v>100</v>
      </c>
      <c r="B8565" s="13" t="s">
        <v>1443</v>
      </c>
      <c r="C8565" s="13" t="s">
        <v>755</v>
      </c>
      <c r="D8565" s="15">
        <v>5.0</v>
      </c>
      <c r="E8565" s="67">
        <f t="shared" si="20"/>
        <v>1250</v>
      </c>
      <c r="F8565" s="67" t="str">
        <f t="shared" si="21"/>
        <v>5 Lead Set Appointments</v>
      </c>
    </row>
    <row r="8566" hidden="1">
      <c r="A8566" s="6" t="s">
        <v>100</v>
      </c>
      <c r="B8566" s="13" t="s">
        <v>582</v>
      </c>
      <c r="C8566" s="13" t="s">
        <v>583</v>
      </c>
      <c r="D8566" s="15">
        <v>5.0</v>
      </c>
      <c r="E8566" s="67">
        <f t="shared" si="20"/>
        <v>1250</v>
      </c>
      <c r="F8566" s="67" t="str">
        <f t="shared" si="21"/>
        <v>5 Lead Set Appointments</v>
      </c>
    </row>
    <row r="8567" hidden="1">
      <c r="A8567" s="6" t="s">
        <v>100</v>
      </c>
      <c r="B8567" s="13" t="s">
        <v>2844</v>
      </c>
      <c r="C8567" s="13" t="s">
        <v>2845</v>
      </c>
      <c r="D8567" s="15">
        <v>5.0</v>
      </c>
      <c r="E8567" s="67">
        <f t="shared" si="20"/>
        <v>1250</v>
      </c>
      <c r="F8567" s="67" t="str">
        <f t="shared" si="21"/>
        <v>5 Lead Set Appointments</v>
      </c>
    </row>
    <row r="8568" hidden="1">
      <c r="A8568" s="6" t="s">
        <v>100</v>
      </c>
      <c r="B8568" s="13" t="s">
        <v>1421</v>
      </c>
      <c r="C8568" s="13" t="s">
        <v>712</v>
      </c>
      <c r="D8568" s="15">
        <v>5.0</v>
      </c>
      <c r="E8568" s="67">
        <f t="shared" si="20"/>
        <v>1250</v>
      </c>
      <c r="F8568" s="67" t="str">
        <f t="shared" si="21"/>
        <v>5 Lead Set Appointments</v>
      </c>
    </row>
    <row r="8569" hidden="1">
      <c r="A8569" s="6" t="s">
        <v>100</v>
      </c>
      <c r="B8569" s="13" t="s">
        <v>2002</v>
      </c>
      <c r="C8569" s="13" t="s">
        <v>2003</v>
      </c>
      <c r="D8569" s="15">
        <v>5.0</v>
      </c>
      <c r="E8569" s="67">
        <f t="shared" si="20"/>
        <v>1250</v>
      </c>
      <c r="F8569" s="67" t="str">
        <f t="shared" si="21"/>
        <v>5 Lead Set Appointments</v>
      </c>
    </row>
    <row r="8570" hidden="1">
      <c r="A8570" s="6" t="s">
        <v>100</v>
      </c>
      <c r="B8570" s="13" t="s">
        <v>2949</v>
      </c>
      <c r="C8570" s="13" t="s">
        <v>2950</v>
      </c>
      <c r="D8570" s="15">
        <v>5.0</v>
      </c>
      <c r="E8570" s="67">
        <f t="shared" si="20"/>
        <v>1250</v>
      </c>
      <c r="F8570" s="67" t="str">
        <f t="shared" si="21"/>
        <v>5 Lead Set Appointments</v>
      </c>
    </row>
    <row r="8571" hidden="1">
      <c r="A8571" s="6" t="s">
        <v>100</v>
      </c>
      <c r="B8571" s="13" t="s">
        <v>2288</v>
      </c>
      <c r="C8571" s="13" t="s">
        <v>2289</v>
      </c>
      <c r="D8571" s="15">
        <v>5.0</v>
      </c>
      <c r="E8571" s="67">
        <f t="shared" si="20"/>
        <v>1250</v>
      </c>
      <c r="F8571" s="67" t="str">
        <f t="shared" si="21"/>
        <v>5 Lead Set Appointments</v>
      </c>
    </row>
    <row r="8572" hidden="1">
      <c r="A8572" s="6" t="s">
        <v>100</v>
      </c>
      <c r="B8572" s="13" t="s">
        <v>2894</v>
      </c>
      <c r="C8572" s="13" t="s">
        <v>2895</v>
      </c>
      <c r="D8572" s="15">
        <v>5.0</v>
      </c>
      <c r="E8572" s="67">
        <f t="shared" si="20"/>
        <v>1250</v>
      </c>
      <c r="F8572" s="67" t="str">
        <f t="shared" si="21"/>
        <v>5 Lead Set Appointments</v>
      </c>
    </row>
    <row r="8573" hidden="1">
      <c r="A8573" s="6" t="s">
        <v>100</v>
      </c>
      <c r="B8573" s="13" t="s">
        <v>2937</v>
      </c>
      <c r="C8573" s="13" t="s">
        <v>2938</v>
      </c>
      <c r="D8573" s="15">
        <v>5.0</v>
      </c>
      <c r="E8573" s="67">
        <f t="shared" si="20"/>
        <v>1250</v>
      </c>
      <c r="F8573" s="67" t="str">
        <f t="shared" si="21"/>
        <v>5 Lead Set Appointments</v>
      </c>
    </row>
    <row r="8574" hidden="1">
      <c r="A8574" s="6" t="s">
        <v>100</v>
      </c>
      <c r="B8574" s="13" t="s">
        <v>518</v>
      </c>
      <c r="C8574" s="13" t="s">
        <v>519</v>
      </c>
      <c r="D8574" s="15">
        <v>5.0</v>
      </c>
      <c r="E8574" s="67">
        <f t="shared" si="20"/>
        <v>1250</v>
      </c>
      <c r="F8574" s="67" t="str">
        <f t="shared" si="21"/>
        <v>5 Lead Set Appointments</v>
      </c>
    </row>
    <row r="8575" hidden="1">
      <c r="A8575" s="6" t="s">
        <v>100</v>
      </c>
      <c r="B8575" s="13" t="s">
        <v>1442</v>
      </c>
      <c r="C8575" s="13" t="s">
        <v>749</v>
      </c>
      <c r="D8575" s="15">
        <v>5.0</v>
      </c>
      <c r="E8575" s="67">
        <f t="shared" si="20"/>
        <v>1250</v>
      </c>
      <c r="F8575" s="67" t="str">
        <f t="shared" si="21"/>
        <v>5 Lead Set Appointments</v>
      </c>
    </row>
    <row r="8576" hidden="1">
      <c r="A8576" s="6" t="s">
        <v>100</v>
      </c>
      <c r="B8576" s="13" t="s">
        <v>1825</v>
      </c>
      <c r="C8576" s="13" t="s">
        <v>2963</v>
      </c>
      <c r="D8576" s="15">
        <v>5.0</v>
      </c>
      <c r="E8576" s="67">
        <f t="shared" si="20"/>
        <v>1250</v>
      </c>
      <c r="F8576" s="67" t="str">
        <f t="shared" si="21"/>
        <v>5 Lead Set Appointments</v>
      </c>
    </row>
    <row r="8577" hidden="1">
      <c r="A8577" s="6" t="s">
        <v>100</v>
      </c>
      <c r="B8577" s="13" t="s">
        <v>2677</v>
      </c>
      <c r="C8577" s="13" t="s">
        <v>2678</v>
      </c>
      <c r="D8577" s="15">
        <v>5.0</v>
      </c>
      <c r="E8577" s="67">
        <f t="shared" si="20"/>
        <v>1250</v>
      </c>
      <c r="F8577" s="67" t="str">
        <f t="shared" si="21"/>
        <v>5 Lead Set Appointments</v>
      </c>
    </row>
    <row r="8578" hidden="1">
      <c r="A8578" s="6" t="s">
        <v>100</v>
      </c>
      <c r="B8578" s="13" t="s">
        <v>604</v>
      </c>
      <c r="C8578" s="13" t="s">
        <v>605</v>
      </c>
      <c r="D8578" s="15">
        <v>5.0</v>
      </c>
      <c r="E8578" s="67">
        <f t="shared" si="20"/>
        <v>1250</v>
      </c>
      <c r="F8578" s="67" t="str">
        <f t="shared" si="21"/>
        <v>5 Lead Set Appointments</v>
      </c>
    </row>
    <row r="8579" hidden="1">
      <c r="A8579" s="6" t="s">
        <v>100</v>
      </c>
      <c r="B8579" s="13" t="s">
        <v>1283</v>
      </c>
      <c r="C8579" s="13" t="s">
        <v>404</v>
      </c>
      <c r="D8579" s="15">
        <v>5.0</v>
      </c>
      <c r="E8579" s="67">
        <f t="shared" si="20"/>
        <v>1250</v>
      </c>
      <c r="F8579" s="67" t="str">
        <f t="shared" si="21"/>
        <v>5 Lead Set Appointments</v>
      </c>
    </row>
    <row r="8580" hidden="1">
      <c r="A8580" s="6" t="s">
        <v>100</v>
      </c>
      <c r="B8580" s="13" t="s">
        <v>447</v>
      </c>
      <c r="C8580" s="13" t="s">
        <v>448</v>
      </c>
      <c r="D8580" s="15">
        <v>4.0</v>
      </c>
      <c r="E8580" s="67">
        <f t="shared" si="20"/>
        <v>1000</v>
      </c>
      <c r="F8580" s="67" t="str">
        <f t="shared" si="21"/>
        <v>4 Lead Set Appointments</v>
      </c>
    </row>
    <row r="8581" hidden="1">
      <c r="A8581" s="6" t="s">
        <v>100</v>
      </c>
      <c r="B8581" s="13" t="s">
        <v>2024</v>
      </c>
      <c r="C8581" s="13" t="s">
        <v>2025</v>
      </c>
      <c r="D8581" s="15">
        <v>4.0</v>
      </c>
      <c r="E8581" s="67">
        <f t="shared" si="20"/>
        <v>1000</v>
      </c>
      <c r="F8581" s="67" t="str">
        <f t="shared" si="21"/>
        <v>4 Lead Set Appointments</v>
      </c>
    </row>
    <row r="8582" hidden="1">
      <c r="A8582" s="6" t="s">
        <v>100</v>
      </c>
      <c r="B8582" s="13" t="s">
        <v>744</v>
      </c>
      <c r="C8582" s="13" t="s">
        <v>745</v>
      </c>
      <c r="D8582" s="15">
        <v>4.0</v>
      </c>
      <c r="E8582" s="67">
        <f t="shared" si="20"/>
        <v>1000</v>
      </c>
      <c r="F8582" s="67" t="str">
        <f t="shared" si="21"/>
        <v>4 Lead Set Appointments</v>
      </c>
    </row>
    <row r="8583" hidden="1">
      <c r="A8583" s="6" t="s">
        <v>100</v>
      </c>
      <c r="B8583" s="13" t="s">
        <v>1380</v>
      </c>
      <c r="C8583" s="13" t="s">
        <v>1381</v>
      </c>
      <c r="D8583" s="15">
        <v>4.0</v>
      </c>
      <c r="E8583" s="67">
        <f t="shared" si="20"/>
        <v>1000</v>
      </c>
      <c r="F8583" s="67" t="str">
        <f t="shared" si="21"/>
        <v>4 Lead Set Appointments</v>
      </c>
    </row>
    <row r="8584" hidden="1">
      <c r="A8584" s="6" t="s">
        <v>100</v>
      </c>
      <c r="B8584" s="13" t="s">
        <v>2634</v>
      </c>
      <c r="C8584" s="13" t="s">
        <v>2635</v>
      </c>
      <c r="D8584" s="15">
        <v>4.0</v>
      </c>
      <c r="E8584" s="67">
        <f t="shared" si="20"/>
        <v>1000</v>
      </c>
      <c r="F8584" s="67" t="str">
        <f t="shared" si="21"/>
        <v>4 Lead Set Appointments</v>
      </c>
    </row>
    <row r="8585" hidden="1">
      <c r="A8585" s="6" t="s">
        <v>100</v>
      </c>
      <c r="B8585" s="13" t="s">
        <v>2299</v>
      </c>
      <c r="C8585" s="13" t="s">
        <v>2300</v>
      </c>
      <c r="D8585" s="15">
        <v>4.0</v>
      </c>
      <c r="E8585" s="67">
        <f t="shared" si="20"/>
        <v>1000</v>
      </c>
      <c r="F8585" s="67" t="str">
        <f t="shared" si="21"/>
        <v>4 Lead Set Appointments</v>
      </c>
    </row>
    <row r="8586" hidden="1">
      <c r="A8586" s="6" t="s">
        <v>100</v>
      </c>
      <c r="B8586" s="13" t="s">
        <v>234</v>
      </c>
      <c r="C8586" s="13" t="s">
        <v>2770</v>
      </c>
      <c r="D8586" s="15">
        <v>4.0</v>
      </c>
      <c r="E8586" s="67">
        <f t="shared" si="20"/>
        <v>1000</v>
      </c>
      <c r="F8586" s="67" t="str">
        <f t="shared" si="21"/>
        <v>4 Lead Set Appointments</v>
      </c>
    </row>
    <row r="8587" hidden="1">
      <c r="A8587" s="6" t="s">
        <v>100</v>
      </c>
      <c r="B8587" s="13" t="s">
        <v>2762</v>
      </c>
      <c r="C8587" s="13" t="s">
        <v>2763</v>
      </c>
      <c r="D8587" s="15">
        <v>4.0</v>
      </c>
      <c r="E8587" s="67">
        <f t="shared" si="20"/>
        <v>1000</v>
      </c>
      <c r="F8587" s="67" t="str">
        <f t="shared" si="21"/>
        <v>4 Lead Set Appointments</v>
      </c>
    </row>
    <row r="8588" hidden="1">
      <c r="A8588" s="6" t="s">
        <v>100</v>
      </c>
      <c r="B8588" s="13" t="s">
        <v>1408</v>
      </c>
      <c r="C8588" s="13" t="s">
        <v>675</v>
      </c>
      <c r="D8588" s="15">
        <v>4.0</v>
      </c>
      <c r="E8588" s="67">
        <f t="shared" si="20"/>
        <v>1000</v>
      </c>
      <c r="F8588" s="67" t="str">
        <f t="shared" si="21"/>
        <v>4 Lead Set Appointments</v>
      </c>
    </row>
    <row r="8589" hidden="1">
      <c r="A8589" s="6" t="s">
        <v>100</v>
      </c>
      <c r="B8589" s="13" t="s">
        <v>2636</v>
      </c>
      <c r="C8589" s="13" t="s">
        <v>2637</v>
      </c>
      <c r="D8589" s="15">
        <v>4.0</v>
      </c>
      <c r="E8589" s="67">
        <f t="shared" si="20"/>
        <v>1000</v>
      </c>
      <c r="F8589" s="67" t="str">
        <f t="shared" si="21"/>
        <v>4 Lead Set Appointments</v>
      </c>
    </row>
    <row r="8590" hidden="1">
      <c r="A8590" s="6" t="s">
        <v>100</v>
      </c>
      <c r="B8590" s="13" t="s">
        <v>2913</v>
      </c>
      <c r="C8590" s="13" t="s">
        <v>2914</v>
      </c>
      <c r="D8590" s="15">
        <v>4.0</v>
      </c>
      <c r="E8590" s="67">
        <f t="shared" si="20"/>
        <v>1000</v>
      </c>
      <c r="F8590" s="67" t="str">
        <f t="shared" si="21"/>
        <v>4 Lead Set Appointments</v>
      </c>
    </row>
    <row r="8591" hidden="1">
      <c r="A8591" s="6" t="s">
        <v>100</v>
      </c>
      <c r="B8591" s="13" t="s">
        <v>2707</v>
      </c>
      <c r="C8591" s="13" t="s">
        <v>2708</v>
      </c>
      <c r="D8591" s="15">
        <v>4.0</v>
      </c>
      <c r="E8591" s="67">
        <f t="shared" si="20"/>
        <v>1000</v>
      </c>
      <c r="F8591" s="67" t="str">
        <f t="shared" si="21"/>
        <v>4 Lead Set Appointments</v>
      </c>
    </row>
    <row r="8592" hidden="1">
      <c r="A8592" s="6" t="s">
        <v>100</v>
      </c>
      <c r="B8592" s="13" t="s">
        <v>1279</v>
      </c>
      <c r="C8592" s="13" t="s">
        <v>739</v>
      </c>
      <c r="D8592" s="15">
        <v>4.0</v>
      </c>
      <c r="E8592" s="67">
        <f t="shared" si="20"/>
        <v>1000</v>
      </c>
      <c r="F8592" s="67" t="str">
        <f t="shared" si="21"/>
        <v>4 Lead Set Appointments</v>
      </c>
    </row>
    <row r="8593" hidden="1">
      <c r="A8593" s="6" t="s">
        <v>100</v>
      </c>
      <c r="B8593" s="13" t="s">
        <v>262</v>
      </c>
      <c r="C8593" s="13" t="s">
        <v>290</v>
      </c>
      <c r="D8593" s="15">
        <v>4.0</v>
      </c>
      <c r="E8593" s="67">
        <f t="shared" si="20"/>
        <v>1000</v>
      </c>
      <c r="F8593" s="67" t="str">
        <f t="shared" si="21"/>
        <v>4 Lead Set Appointments</v>
      </c>
    </row>
    <row r="8594" hidden="1">
      <c r="A8594" s="6" t="s">
        <v>100</v>
      </c>
      <c r="B8594" s="13" t="s">
        <v>1325</v>
      </c>
      <c r="C8594" s="13" t="s">
        <v>1326</v>
      </c>
      <c r="D8594" s="15">
        <v>4.0</v>
      </c>
      <c r="E8594" s="67">
        <f t="shared" si="20"/>
        <v>1000</v>
      </c>
      <c r="F8594" s="67" t="str">
        <f t="shared" si="21"/>
        <v>4 Lead Set Appointments</v>
      </c>
    </row>
    <row r="8595" hidden="1">
      <c r="A8595" s="6" t="s">
        <v>100</v>
      </c>
      <c r="B8595" s="13" t="s">
        <v>1333</v>
      </c>
      <c r="C8595" s="13" t="s">
        <v>551</v>
      </c>
      <c r="D8595" s="15">
        <v>4.0</v>
      </c>
      <c r="E8595" s="67">
        <f t="shared" si="20"/>
        <v>1000</v>
      </c>
      <c r="F8595" s="67" t="str">
        <f t="shared" si="21"/>
        <v>4 Lead Set Appointments</v>
      </c>
    </row>
    <row r="8596" hidden="1">
      <c r="A8596" s="6" t="s">
        <v>100</v>
      </c>
      <c r="B8596" s="13" t="s">
        <v>2360</v>
      </c>
      <c r="C8596" s="13" t="s">
        <v>2361</v>
      </c>
      <c r="D8596" s="15">
        <v>4.0</v>
      </c>
      <c r="E8596" s="67">
        <f t="shared" si="20"/>
        <v>1000</v>
      </c>
      <c r="F8596" s="67" t="str">
        <f t="shared" si="21"/>
        <v>4 Lead Set Appointments</v>
      </c>
    </row>
    <row r="8597" hidden="1">
      <c r="A8597" s="6" t="s">
        <v>100</v>
      </c>
      <c r="B8597" s="13" t="s">
        <v>1686</v>
      </c>
      <c r="C8597" s="13" t="s">
        <v>1687</v>
      </c>
      <c r="D8597" s="15">
        <v>4.0</v>
      </c>
      <c r="E8597" s="67">
        <f t="shared" si="20"/>
        <v>1000</v>
      </c>
      <c r="F8597" s="67" t="str">
        <f t="shared" si="21"/>
        <v>4 Lead Set Appointments</v>
      </c>
    </row>
    <row r="8598" hidden="1">
      <c r="A8598" s="6" t="s">
        <v>100</v>
      </c>
      <c r="B8598" s="13" t="s">
        <v>2785</v>
      </c>
      <c r="C8598" s="13" t="s">
        <v>2786</v>
      </c>
      <c r="D8598" s="15">
        <v>4.0</v>
      </c>
      <c r="E8598" s="67">
        <f t="shared" si="20"/>
        <v>1000</v>
      </c>
      <c r="F8598" s="67" t="str">
        <f t="shared" si="21"/>
        <v>4 Lead Set Appointments</v>
      </c>
    </row>
    <row r="8599" hidden="1">
      <c r="A8599" s="6" t="s">
        <v>100</v>
      </c>
      <c r="B8599" s="13" t="s">
        <v>1897</v>
      </c>
      <c r="C8599" s="13" t="s">
        <v>2460</v>
      </c>
      <c r="D8599" s="15">
        <v>4.0</v>
      </c>
      <c r="E8599" s="67">
        <f t="shared" si="20"/>
        <v>1000</v>
      </c>
      <c r="F8599" s="67" t="str">
        <f t="shared" si="21"/>
        <v>4 Lead Set Appointments</v>
      </c>
    </row>
    <row r="8600" hidden="1">
      <c r="A8600" s="6" t="s">
        <v>100</v>
      </c>
      <c r="B8600" s="13" t="s">
        <v>2878</v>
      </c>
      <c r="C8600" s="13" t="s">
        <v>2879</v>
      </c>
      <c r="D8600" s="15">
        <v>4.0</v>
      </c>
      <c r="E8600" s="67">
        <f t="shared" si="20"/>
        <v>1000</v>
      </c>
      <c r="F8600" s="67" t="str">
        <f t="shared" si="21"/>
        <v>4 Lead Set Appointments</v>
      </c>
    </row>
    <row r="8601" hidden="1">
      <c r="A8601" s="6" t="s">
        <v>100</v>
      </c>
      <c r="B8601" s="13" t="s">
        <v>566</v>
      </c>
      <c r="C8601" s="13" t="s">
        <v>567</v>
      </c>
      <c r="D8601" s="15">
        <v>4.0</v>
      </c>
      <c r="E8601" s="67">
        <f t="shared" si="20"/>
        <v>1000</v>
      </c>
      <c r="F8601" s="67" t="str">
        <f t="shared" si="21"/>
        <v>4 Lead Set Appointments</v>
      </c>
    </row>
    <row r="8602" hidden="1">
      <c r="A8602" s="6" t="s">
        <v>100</v>
      </c>
      <c r="B8602" s="13" t="s">
        <v>2576</v>
      </c>
      <c r="C8602" s="13" t="s">
        <v>2577</v>
      </c>
      <c r="D8602" s="15">
        <v>4.0</v>
      </c>
      <c r="E8602" s="67">
        <f t="shared" si="20"/>
        <v>1000</v>
      </c>
      <c r="F8602" s="67" t="str">
        <f t="shared" si="21"/>
        <v>4 Lead Set Appointments</v>
      </c>
    </row>
    <row r="8603" hidden="1">
      <c r="A8603" s="6" t="s">
        <v>100</v>
      </c>
      <c r="B8603" s="13" t="s">
        <v>862</v>
      </c>
      <c r="C8603" s="13" t="s">
        <v>863</v>
      </c>
      <c r="D8603" s="15">
        <v>4.0</v>
      </c>
      <c r="E8603" s="67">
        <f t="shared" si="20"/>
        <v>1000</v>
      </c>
      <c r="F8603" s="67" t="str">
        <f t="shared" si="21"/>
        <v>4 Lead Set Appointments</v>
      </c>
    </row>
    <row r="8604" hidden="1">
      <c r="A8604" s="6" t="s">
        <v>100</v>
      </c>
      <c r="B8604" s="13" t="s">
        <v>2004</v>
      </c>
      <c r="C8604" s="13" t="s">
        <v>2005</v>
      </c>
      <c r="D8604" s="15">
        <v>4.0</v>
      </c>
      <c r="E8604" s="67">
        <f t="shared" si="20"/>
        <v>1000</v>
      </c>
      <c r="F8604" s="67" t="str">
        <f t="shared" si="21"/>
        <v>4 Lead Set Appointments</v>
      </c>
    </row>
    <row r="8605" hidden="1">
      <c r="A8605" s="6" t="s">
        <v>100</v>
      </c>
      <c r="B8605" s="13" t="s">
        <v>576</v>
      </c>
      <c r="C8605" s="13" t="s">
        <v>577</v>
      </c>
      <c r="D8605" s="15">
        <v>3.0</v>
      </c>
      <c r="E8605" s="67">
        <f t="shared" si="20"/>
        <v>750</v>
      </c>
      <c r="F8605" s="67" t="str">
        <f t="shared" si="21"/>
        <v>3 Lead Set Appointments</v>
      </c>
    </row>
    <row r="8606" hidden="1">
      <c r="A8606" s="6" t="s">
        <v>100</v>
      </c>
      <c r="B8606" s="13" t="s">
        <v>462</v>
      </c>
      <c r="C8606" s="13" t="s">
        <v>463</v>
      </c>
      <c r="D8606" s="15">
        <v>3.0</v>
      </c>
      <c r="E8606" s="67">
        <f t="shared" si="20"/>
        <v>750</v>
      </c>
      <c r="F8606" s="67" t="str">
        <f t="shared" si="21"/>
        <v>3 Lead Set Appointments</v>
      </c>
    </row>
    <row r="8607" hidden="1">
      <c r="A8607" s="6" t="s">
        <v>100</v>
      </c>
      <c r="B8607" s="13" t="s">
        <v>500</v>
      </c>
      <c r="C8607" s="13" t="s">
        <v>501</v>
      </c>
      <c r="D8607" s="15">
        <v>3.0</v>
      </c>
      <c r="E8607" s="67">
        <f t="shared" si="20"/>
        <v>750</v>
      </c>
      <c r="F8607" s="67" t="str">
        <f t="shared" si="21"/>
        <v>3 Lead Set Appointments</v>
      </c>
    </row>
    <row r="8608" hidden="1">
      <c r="A8608" s="6" t="s">
        <v>100</v>
      </c>
      <c r="B8608" s="13" t="s">
        <v>628</v>
      </c>
      <c r="C8608" s="13" t="s">
        <v>629</v>
      </c>
      <c r="D8608" s="15">
        <v>3.0</v>
      </c>
      <c r="E8608" s="67">
        <f t="shared" si="20"/>
        <v>750</v>
      </c>
      <c r="F8608" s="67" t="str">
        <f t="shared" si="21"/>
        <v>3 Lead Set Appointments</v>
      </c>
    </row>
    <row r="8609" hidden="1">
      <c r="A8609" s="6" t="s">
        <v>100</v>
      </c>
      <c r="B8609" s="13" t="s">
        <v>1418</v>
      </c>
      <c r="C8609" s="13" t="s">
        <v>708</v>
      </c>
      <c r="D8609" s="15">
        <v>3.0</v>
      </c>
      <c r="E8609" s="67">
        <f t="shared" si="20"/>
        <v>750</v>
      </c>
      <c r="F8609" s="67" t="str">
        <f t="shared" si="21"/>
        <v>3 Lead Set Appointments</v>
      </c>
    </row>
    <row r="8610" hidden="1">
      <c r="A8610" s="6" t="s">
        <v>100</v>
      </c>
      <c r="B8610" s="13" t="s">
        <v>2828</v>
      </c>
      <c r="C8610" s="13" t="s">
        <v>2829</v>
      </c>
      <c r="D8610" s="15">
        <v>3.0</v>
      </c>
      <c r="E8610" s="67">
        <f t="shared" si="20"/>
        <v>750</v>
      </c>
      <c r="F8610" s="67" t="str">
        <f t="shared" si="21"/>
        <v>3 Lead Set Appointments</v>
      </c>
    </row>
    <row r="8611" hidden="1">
      <c r="A8611" s="6" t="s">
        <v>100</v>
      </c>
      <c r="B8611" s="13" t="s">
        <v>472</v>
      </c>
      <c r="C8611" s="13" t="s">
        <v>473</v>
      </c>
      <c r="D8611" s="15">
        <v>3.0</v>
      </c>
      <c r="E8611" s="67">
        <f t="shared" si="20"/>
        <v>750</v>
      </c>
      <c r="F8611" s="67" t="str">
        <f t="shared" si="21"/>
        <v>3 Lead Set Appointments</v>
      </c>
    </row>
    <row r="8612" hidden="1">
      <c r="A8612" s="6" t="s">
        <v>100</v>
      </c>
      <c r="B8612" s="13" t="s">
        <v>2973</v>
      </c>
      <c r="C8612" s="13" t="s">
        <v>2974</v>
      </c>
      <c r="D8612" s="15">
        <v>3.0</v>
      </c>
      <c r="E8612" s="67">
        <f t="shared" si="20"/>
        <v>750</v>
      </c>
      <c r="F8612" s="67" t="str">
        <f t="shared" si="21"/>
        <v>3 Lead Set Appointments</v>
      </c>
    </row>
    <row r="8613" hidden="1">
      <c r="A8613" s="6" t="s">
        <v>100</v>
      </c>
      <c r="B8613" s="13" t="s">
        <v>1981</v>
      </c>
      <c r="C8613" s="13" t="s">
        <v>1982</v>
      </c>
      <c r="D8613" s="15">
        <v>3.0</v>
      </c>
      <c r="E8613" s="67">
        <f t="shared" si="20"/>
        <v>750</v>
      </c>
      <c r="F8613" s="67" t="str">
        <f t="shared" si="21"/>
        <v>3 Lead Set Appointments</v>
      </c>
    </row>
    <row r="8614" hidden="1">
      <c r="A8614" s="6" t="s">
        <v>100</v>
      </c>
      <c r="B8614" s="13" t="s">
        <v>1286</v>
      </c>
      <c r="C8614" s="13" t="s">
        <v>408</v>
      </c>
      <c r="D8614" s="15">
        <v>3.0</v>
      </c>
      <c r="E8614" s="67">
        <f t="shared" si="20"/>
        <v>750</v>
      </c>
      <c r="F8614" s="67" t="str">
        <f t="shared" si="21"/>
        <v>3 Lead Set Appointments</v>
      </c>
    </row>
    <row r="8615" hidden="1">
      <c r="A8615" s="6" t="s">
        <v>100</v>
      </c>
      <c r="B8615" s="13" t="s">
        <v>2367</v>
      </c>
      <c r="C8615" s="13" t="s">
        <v>2368</v>
      </c>
      <c r="D8615" s="15">
        <v>3.0</v>
      </c>
      <c r="E8615" s="67">
        <f t="shared" si="20"/>
        <v>750</v>
      </c>
      <c r="F8615" s="67" t="str">
        <f t="shared" si="21"/>
        <v>3 Lead Set Appointments</v>
      </c>
    </row>
    <row r="8616" hidden="1">
      <c r="A8616" s="6" t="s">
        <v>100</v>
      </c>
      <c r="B8616" s="13" t="s">
        <v>1295</v>
      </c>
      <c r="C8616" s="13" t="s">
        <v>1296</v>
      </c>
      <c r="D8616" s="15">
        <v>3.0</v>
      </c>
      <c r="E8616" s="67">
        <f t="shared" si="20"/>
        <v>750</v>
      </c>
      <c r="F8616" s="67" t="str">
        <f t="shared" si="21"/>
        <v>3 Lead Set Appointments</v>
      </c>
    </row>
    <row r="8617" hidden="1">
      <c r="A8617" s="6" t="s">
        <v>100</v>
      </c>
      <c r="B8617" s="13" t="s">
        <v>1506</v>
      </c>
      <c r="C8617" s="13" t="s">
        <v>1507</v>
      </c>
      <c r="D8617" s="15">
        <v>3.0</v>
      </c>
      <c r="E8617" s="67">
        <f t="shared" si="20"/>
        <v>750</v>
      </c>
      <c r="F8617" s="67" t="str">
        <f t="shared" si="21"/>
        <v>3 Lead Set Appointments</v>
      </c>
    </row>
    <row r="8618" hidden="1">
      <c r="A8618" s="6" t="s">
        <v>100</v>
      </c>
      <c r="B8618" s="13" t="s">
        <v>2841</v>
      </c>
      <c r="C8618" s="13" t="s">
        <v>2842</v>
      </c>
      <c r="D8618" s="15">
        <v>3.0</v>
      </c>
      <c r="E8618" s="67">
        <f t="shared" si="20"/>
        <v>750</v>
      </c>
      <c r="F8618" s="67" t="str">
        <f t="shared" si="21"/>
        <v>3 Lead Set Appointments</v>
      </c>
    </row>
    <row r="8619" hidden="1">
      <c r="A8619" s="6" t="s">
        <v>100</v>
      </c>
      <c r="B8619" s="13" t="s">
        <v>572</v>
      </c>
      <c r="C8619" s="13" t="s">
        <v>573</v>
      </c>
      <c r="D8619" s="15">
        <v>3.0</v>
      </c>
      <c r="E8619" s="67">
        <f t="shared" si="20"/>
        <v>750</v>
      </c>
      <c r="F8619" s="67" t="str">
        <f t="shared" si="21"/>
        <v>3 Lead Set Appointments</v>
      </c>
    </row>
    <row r="8620" hidden="1">
      <c r="A8620" s="6" t="s">
        <v>100</v>
      </c>
      <c r="B8620" s="13" t="s">
        <v>449</v>
      </c>
      <c r="C8620" s="13" t="s">
        <v>450</v>
      </c>
      <c r="D8620" s="15">
        <v>3.0</v>
      </c>
      <c r="E8620" s="67">
        <f t="shared" si="20"/>
        <v>750</v>
      </c>
      <c r="F8620" s="67" t="str">
        <f t="shared" si="21"/>
        <v>3 Lead Set Appointments</v>
      </c>
    </row>
    <row r="8621" hidden="1">
      <c r="A8621" s="6" t="s">
        <v>100</v>
      </c>
      <c r="B8621" s="13" t="s">
        <v>315</v>
      </c>
      <c r="C8621" s="13" t="s">
        <v>2819</v>
      </c>
      <c r="D8621" s="15">
        <v>3.0</v>
      </c>
      <c r="E8621" s="67">
        <f t="shared" si="20"/>
        <v>750</v>
      </c>
      <c r="F8621" s="67" t="str">
        <f t="shared" si="21"/>
        <v>3 Lead Set Appointments</v>
      </c>
    </row>
    <row r="8622" hidden="1">
      <c r="A8622" s="6" t="s">
        <v>100</v>
      </c>
      <c r="B8622" s="13" t="s">
        <v>2951</v>
      </c>
      <c r="C8622" s="13" t="s">
        <v>2952</v>
      </c>
      <c r="D8622" s="15">
        <v>3.0</v>
      </c>
      <c r="E8622" s="67">
        <f t="shared" si="20"/>
        <v>750</v>
      </c>
      <c r="F8622" s="67" t="str">
        <f t="shared" si="21"/>
        <v>3 Lead Set Appointments</v>
      </c>
    </row>
    <row r="8623" hidden="1">
      <c r="A8623" s="6" t="s">
        <v>100</v>
      </c>
      <c r="B8623" s="13" t="s">
        <v>2923</v>
      </c>
      <c r="C8623" s="13" t="s">
        <v>2924</v>
      </c>
      <c r="D8623" s="15">
        <v>3.0</v>
      </c>
      <c r="E8623" s="67">
        <f t="shared" si="20"/>
        <v>750</v>
      </c>
      <c r="F8623" s="67" t="str">
        <f t="shared" si="21"/>
        <v>3 Lead Set Appointments</v>
      </c>
    </row>
    <row r="8624" hidden="1">
      <c r="A8624" s="6" t="s">
        <v>100</v>
      </c>
      <c r="B8624" s="13" t="s">
        <v>1736</v>
      </c>
      <c r="C8624" s="13" t="s">
        <v>1737</v>
      </c>
      <c r="D8624" s="15">
        <v>3.0</v>
      </c>
      <c r="E8624" s="67">
        <f t="shared" si="20"/>
        <v>750</v>
      </c>
      <c r="F8624" s="67" t="str">
        <f t="shared" si="21"/>
        <v>3 Lead Set Appointments</v>
      </c>
    </row>
    <row r="8625" hidden="1">
      <c r="A8625" s="6" t="s">
        <v>100</v>
      </c>
      <c r="B8625" s="13" t="s">
        <v>2846</v>
      </c>
      <c r="C8625" s="13" t="s">
        <v>2847</v>
      </c>
      <c r="D8625" s="15">
        <v>3.0</v>
      </c>
      <c r="E8625" s="67">
        <f t="shared" si="20"/>
        <v>750</v>
      </c>
      <c r="F8625" s="67" t="str">
        <f t="shared" si="21"/>
        <v>3 Lead Set Appointments</v>
      </c>
    </row>
    <row r="8626" hidden="1">
      <c r="A8626" s="6" t="s">
        <v>100</v>
      </c>
      <c r="B8626" s="13" t="s">
        <v>302</v>
      </c>
      <c r="C8626" s="13" t="s">
        <v>2110</v>
      </c>
      <c r="D8626" s="15">
        <v>3.0</v>
      </c>
      <c r="E8626" s="67">
        <f t="shared" si="20"/>
        <v>750</v>
      </c>
      <c r="F8626" s="67" t="str">
        <f t="shared" si="21"/>
        <v>3 Lead Set Appointments</v>
      </c>
    </row>
    <row r="8627" hidden="1">
      <c r="A8627" s="6" t="s">
        <v>100</v>
      </c>
      <c r="B8627" s="13" t="s">
        <v>2268</v>
      </c>
      <c r="C8627" s="13" t="s">
        <v>2269</v>
      </c>
      <c r="D8627" s="15">
        <v>3.0</v>
      </c>
      <c r="E8627" s="67">
        <f t="shared" si="20"/>
        <v>750</v>
      </c>
      <c r="F8627" s="67" t="str">
        <f t="shared" si="21"/>
        <v>3 Lead Set Appointments</v>
      </c>
    </row>
    <row r="8628" hidden="1">
      <c r="A8628" s="6" t="s">
        <v>100</v>
      </c>
      <c r="B8628" s="13" t="s">
        <v>2983</v>
      </c>
      <c r="C8628" s="13" t="s">
        <v>2984</v>
      </c>
      <c r="D8628" s="15">
        <v>3.0</v>
      </c>
      <c r="E8628" s="67">
        <f t="shared" si="20"/>
        <v>750</v>
      </c>
      <c r="F8628" s="67" t="str">
        <f t="shared" si="21"/>
        <v>3 Lead Set Appointments</v>
      </c>
    </row>
    <row r="8629" hidden="1">
      <c r="A8629" s="6" t="s">
        <v>100</v>
      </c>
      <c r="B8629" s="13" t="s">
        <v>1923</v>
      </c>
      <c r="C8629" s="13" t="s">
        <v>1924</v>
      </c>
      <c r="D8629" s="15">
        <v>3.0</v>
      </c>
      <c r="E8629" s="67">
        <f t="shared" si="20"/>
        <v>750</v>
      </c>
      <c r="F8629" s="67" t="str">
        <f t="shared" si="21"/>
        <v>3 Lead Set Appointments</v>
      </c>
    </row>
    <row r="8630" hidden="1">
      <c r="A8630" s="6" t="s">
        <v>100</v>
      </c>
      <c r="B8630" s="13" t="s">
        <v>2965</v>
      </c>
      <c r="C8630" s="13" t="s">
        <v>2966</v>
      </c>
      <c r="D8630" s="15">
        <v>3.0</v>
      </c>
      <c r="E8630" s="67">
        <f t="shared" si="20"/>
        <v>750</v>
      </c>
      <c r="F8630" s="67" t="str">
        <f t="shared" si="21"/>
        <v>3 Lead Set Appointments</v>
      </c>
    </row>
    <row r="8631" hidden="1">
      <c r="A8631" s="6" t="s">
        <v>100</v>
      </c>
      <c r="B8631" s="13" t="s">
        <v>2927</v>
      </c>
      <c r="C8631" s="13" t="s">
        <v>2928</v>
      </c>
      <c r="D8631" s="15">
        <v>3.0</v>
      </c>
      <c r="E8631" s="67">
        <f t="shared" si="20"/>
        <v>750</v>
      </c>
      <c r="F8631" s="67" t="str">
        <f t="shared" si="21"/>
        <v>3 Lead Set Appointments</v>
      </c>
    </row>
    <row r="8632" hidden="1">
      <c r="A8632" s="6" t="s">
        <v>100</v>
      </c>
      <c r="B8632" s="13" t="s">
        <v>622</v>
      </c>
      <c r="C8632" s="13" t="s">
        <v>623</v>
      </c>
      <c r="D8632" s="15">
        <v>3.0</v>
      </c>
      <c r="E8632" s="67">
        <f t="shared" si="20"/>
        <v>750</v>
      </c>
      <c r="F8632" s="67" t="str">
        <f t="shared" si="21"/>
        <v>3 Lead Set Appointments</v>
      </c>
    </row>
    <row r="8633" hidden="1">
      <c r="A8633" s="6" t="s">
        <v>100</v>
      </c>
      <c r="B8633" s="13" t="s">
        <v>2589</v>
      </c>
      <c r="C8633" s="13" t="s">
        <v>2590</v>
      </c>
      <c r="D8633" s="15">
        <v>3.0</v>
      </c>
      <c r="E8633" s="67">
        <f t="shared" si="20"/>
        <v>750</v>
      </c>
      <c r="F8633" s="67" t="str">
        <f t="shared" si="21"/>
        <v>3 Lead Set Appointments</v>
      </c>
    </row>
    <row r="8634" hidden="1">
      <c r="A8634" s="6" t="s">
        <v>100</v>
      </c>
      <c r="B8634" s="13" t="s">
        <v>1409</v>
      </c>
      <c r="C8634" s="13" t="s">
        <v>677</v>
      </c>
      <c r="D8634" s="15">
        <v>3.0</v>
      </c>
      <c r="E8634" s="67">
        <f t="shared" si="20"/>
        <v>750</v>
      </c>
      <c r="F8634" s="67" t="str">
        <f t="shared" si="21"/>
        <v>3 Lead Set Appointments</v>
      </c>
    </row>
    <row r="8635" hidden="1">
      <c r="A8635" s="6" t="s">
        <v>100</v>
      </c>
      <c r="B8635" s="13" t="s">
        <v>3004</v>
      </c>
      <c r="C8635" s="13" t="s">
        <v>3005</v>
      </c>
      <c r="D8635" s="15">
        <v>2.0</v>
      </c>
      <c r="E8635" s="67">
        <f t="shared" si="20"/>
        <v>500</v>
      </c>
      <c r="F8635" s="67" t="str">
        <f t="shared" si="21"/>
        <v>2 Lead Set Appointments</v>
      </c>
    </row>
    <row r="8636" hidden="1">
      <c r="A8636" s="6" t="s">
        <v>100</v>
      </c>
      <c r="B8636" s="13" t="s">
        <v>2957</v>
      </c>
      <c r="C8636" s="13" t="s">
        <v>2958</v>
      </c>
      <c r="D8636" s="15">
        <v>2.0</v>
      </c>
      <c r="E8636" s="67">
        <f t="shared" si="20"/>
        <v>500</v>
      </c>
      <c r="F8636" s="67" t="str">
        <f t="shared" si="21"/>
        <v>2 Lead Set Appointments</v>
      </c>
    </row>
    <row r="8637" hidden="1">
      <c r="A8637" s="6" t="s">
        <v>100</v>
      </c>
      <c r="B8637" s="13" t="s">
        <v>1303</v>
      </c>
      <c r="C8637" s="13" t="s">
        <v>467</v>
      </c>
      <c r="D8637" s="15">
        <v>2.0</v>
      </c>
      <c r="E8637" s="67">
        <f t="shared" si="20"/>
        <v>500</v>
      </c>
      <c r="F8637" s="67" t="str">
        <f t="shared" si="21"/>
        <v>2 Lead Set Appointments</v>
      </c>
    </row>
    <row r="8638" hidden="1">
      <c r="A8638" s="6" t="s">
        <v>100</v>
      </c>
      <c r="B8638" s="13" t="s">
        <v>2905</v>
      </c>
      <c r="C8638" s="13" t="s">
        <v>2906</v>
      </c>
      <c r="D8638" s="15">
        <v>2.0</v>
      </c>
      <c r="E8638" s="67">
        <f t="shared" si="20"/>
        <v>500</v>
      </c>
      <c r="F8638" s="67" t="str">
        <f t="shared" si="21"/>
        <v>2 Lead Set Appointments</v>
      </c>
    </row>
    <row r="8639" hidden="1">
      <c r="A8639" s="6" t="s">
        <v>100</v>
      </c>
      <c r="B8639" s="13" t="s">
        <v>1344</v>
      </c>
      <c r="C8639" s="13" t="s">
        <v>569</v>
      </c>
      <c r="D8639" s="15">
        <v>2.0</v>
      </c>
      <c r="E8639" s="67">
        <f t="shared" si="20"/>
        <v>500</v>
      </c>
      <c r="F8639" s="67" t="str">
        <f t="shared" si="21"/>
        <v>2 Lead Set Appointments</v>
      </c>
    </row>
    <row r="8640" hidden="1">
      <c r="A8640" s="6" t="s">
        <v>100</v>
      </c>
      <c r="B8640" s="13" t="s">
        <v>1305</v>
      </c>
      <c r="C8640" s="13" t="s">
        <v>1306</v>
      </c>
      <c r="D8640" s="15">
        <v>2.0</v>
      </c>
      <c r="E8640" s="67">
        <f t="shared" si="20"/>
        <v>500</v>
      </c>
      <c r="F8640" s="67" t="str">
        <f t="shared" si="21"/>
        <v>2 Lead Set Appointments</v>
      </c>
    </row>
    <row r="8641" hidden="1">
      <c r="A8641" s="6" t="s">
        <v>100</v>
      </c>
      <c r="B8641" s="13" t="s">
        <v>1356</v>
      </c>
      <c r="C8641" s="13" t="s">
        <v>581</v>
      </c>
      <c r="D8641" s="15">
        <v>2.0</v>
      </c>
      <c r="E8641" s="67">
        <f t="shared" si="20"/>
        <v>500</v>
      </c>
      <c r="F8641" s="67" t="str">
        <f t="shared" si="21"/>
        <v>2 Lead Set Appointments</v>
      </c>
    </row>
    <row r="8642" hidden="1">
      <c r="A8642" s="6" t="s">
        <v>100</v>
      </c>
      <c r="B8642" s="13" t="s">
        <v>2885</v>
      </c>
      <c r="C8642" s="13" t="s">
        <v>2886</v>
      </c>
      <c r="D8642" s="15">
        <v>2.0</v>
      </c>
      <c r="E8642" s="67">
        <f t="shared" si="20"/>
        <v>500</v>
      </c>
      <c r="F8642" s="67" t="str">
        <f t="shared" si="21"/>
        <v>2 Lead Set Appointments</v>
      </c>
    </row>
    <row r="8643" hidden="1">
      <c r="A8643" s="6" t="s">
        <v>100</v>
      </c>
      <c r="B8643" s="13" t="s">
        <v>1334</v>
      </c>
      <c r="C8643" s="13" t="s">
        <v>553</v>
      </c>
      <c r="D8643" s="15">
        <v>2.0</v>
      </c>
      <c r="E8643" s="67">
        <f t="shared" si="20"/>
        <v>500</v>
      </c>
      <c r="F8643" s="67" t="str">
        <f t="shared" si="21"/>
        <v>2 Lead Set Appointments</v>
      </c>
    </row>
    <row r="8644" hidden="1">
      <c r="A8644" s="6" t="s">
        <v>100</v>
      </c>
      <c r="B8644" s="13" t="s">
        <v>3006</v>
      </c>
      <c r="C8644" s="13" t="s">
        <v>3007</v>
      </c>
      <c r="D8644" s="15">
        <v>2.0</v>
      </c>
      <c r="E8644" s="67">
        <f t="shared" si="20"/>
        <v>500</v>
      </c>
      <c r="F8644" s="67" t="str">
        <f t="shared" si="21"/>
        <v>2 Lead Set Appointments</v>
      </c>
    </row>
    <row r="8645" hidden="1">
      <c r="A8645" s="6" t="s">
        <v>100</v>
      </c>
      <c r="B8645" s="13" t="s">
        <v>3008</v>
      </c>
      <c r="C8645" s="13" t="s">
        <v>3009</v>
      </c>
      <c r="D8645" s="15">
        <v>2.0</v>
      </c>
      <c r="E8645" s="67">
        <f t="shared" si="20"/>
        <v>500</v>
      </c>
      <c r="F8645" s="67" t="str">
        <f t="shared" si="21"/>
        <v>2 Lead Set Appointments</v>
      </c>
    </row>
    <row r="8646" hidden="1">
      <c r="A8646" s="6" t="s">
        <v>100</v>
      </c>
      <c r="B8646" s="13" t="s">
        <v>502</v>
      </c>
      <c r="C8646" s="13" t="s">
        <v>503</v>
      </c>
      <c r="D8646" s="15">
        <v>2.0</v>
      </c>
      <c r="E8646" s="67">
        <f t="shared" si="20"/>
        <v>500</v>
      </c>
      <c r="F8646" s="67" t="str">
        <f t="shared" si="21"/>
        <v>2 Lead Set Appointments</v>
      </c>
    </row>
    <row r="8647" hidden="1">
      <c r="A8647" s="6" t="s">
        <v>100</v>
      </c>
      <c r="B8647" s="13" t="s">
        <v>1375</v>
      </c>
      <c r="C8647" s="13" t="s">
        <v>647</v>
      </c>
      <c r="D8647" s="15">
        <v>2.0</v>
      </c>
      <c r="E8647" s="67">
        <f t="shared" si="20"/>
        <v>500</v>
      </c>
      <c r="F8647" s="67" t="str">
        <f t="shared" si="21"/>
        <v>2 Lead Set Appointments</v>
      </c>
    </row>
    <row r="8648" hidden="1">
      <c r="A8648" s="6" t="s">
        <v>100</v>
      </c>
      <c r="B8648" s="13" t="s">
        <v>672</v>
      </c>
      <c r="C8648" s="13" t="s">
        <v>673</v>
      </c>
      <c r="D8648" s="15">
        <v>2.0</v>
      </c>
      <c r="E8648" s="67">
        <f t="shared" si="20"/>
        <v>500</v>
      </c>
      <c r="F8648" s="67" t="str">
        <f t="shared" si="21"/>
        <v>2 Lead Set Appointments</v>
      </c>
    </row>
    <row r="8649" hidden="1">
      <c r="A8649" s="6" t="s">
        <v>100</v>
      </c>
      <c r="B8649" s="13" t="s">
        <v>1393</v>
      </c>
      <c r="C8649" s="13" t="s">
        <v>1394</v>
      </c>
      <c r="D8649" s="15">
        <v>2.0</v>
      </c>
      <c r="E8649" s="67">
        <f t="shared" si="20"/>
        <v>500</v>
      </c>
      <c r="F8649" s="67" t="str">
        <f t="shared" si="21"/>
        <v>2 Lead Set Appointments</v>
      </c>
    </row>
    <row r="8650" hidden="1">
      <c r="A8650" s="6" t="s">
        <v>100</v>
      </c>
      <c r="B8650" s="13" t="s">
        <v>2989</v>
      </c>
      <c r="C8650" s="13" t="s">
        <v>2990</v>
      </c>
      <c r="D8650" s="15">
        <v>2.0</v>
      </c>
      <c r="E8650" s="67">
        <f t="shared" si="20"/>
        <v>500</v>
      </c>
      <c r="F8650" s="67" t="str">
        <f t="shared" si="21"/>
        <v>2 Lead Set Appointments</v>
      </c>
    </row>
    <row r="8651" hidden="1">
      <c r="A8651" s="6" t="s">
        <v>100</v>
      </c>
      <c r="B8651" s="13" t="s">
        <v>2987</v>
      </c>
      <c r="C8651" s="13" t="s">
        <v>2988</v>
      </c>
      <c r="D8651" s="15">
        <v>2.0</v>
      </c>
      <c r="E8651" s="67">
        <f t="shared" si="20"/>
        <v>500</v>
      </c>
      <c r="F8651" s="67" t="str">
        <f t="shared" si="21"/>
        <v>2 Lead Set Appointments</v>
      </c>
    </row>
    <row r="8652" hidden="1">
      <c r="A8652" s="6" t="s">
        <v>100</v>
      </c>
      <c r="B8652" s="13" t="s">
        <v>2953</v>
      </c>
      <c r="C8652" s="13" t="s">
        <v>2954</v>
      </c>
      <c r="D8652" s="15">
        <v>2.0</v>
      </c>
      <c r="E8652" s="67">
        <f t="shared" si="20"/>
        <v>500</v>
      </c>
      <c r="F8652" s="67" t="str">
        <f t="shared" si="21"/>
        <v>2 Lead Set Appointments</v>
      </c>
    </row>
    <row r="8653" hidden="1">
      <c r="A8653" s="6" t="s">
        <v>100</v>
      </c>
      <c r="B8653" s="13" t="s">
        <v>1410</v>
      </c>
      <c r="C8653" s="13" t="s">
        <v>1411</v>
      </c>
      <c r="D8653" s="15">
        <v>2.0</v>
      </c>
      <c r="E8653" s="67">
        <f t="shared" si="20"/>
        <v>500</v>
      </c>
      <c r="F8653" s="67" t="str">
        <f t="shared" si="21"/>
        <v>2 Lead Set Appointments</v>
      </c>
    </row>
    <row r="8654" hidden="1">
      <c r="A8654" s="6" t="s">
        <v>100</v>
      </c>
      <c r="B8654" s="13" t="s">
        <v>699</v>
      </c>
      <c r="C8654" s="13" t="s">
        <v>700</v>
      </c>
      <c r="D8654" s="15">
        <v>2.0</v>
      </c>
      <c r="E8654" s="67">
        <f t="shared" si="20"/>
        <v>500</v>
      </c>
      <c r="F8654" s="67" t="str">
        <f t="shared" si="21"/>
        <v>2 Lead Set Appointments</v>
      </c>
    </row>
    <row r="8655" hidden="1">
      <c r="A8655" s="6" t="s">
        <v>100</v>
      </c>
      <c r="B8655" s="13" t="s">
        <v>2955</v>
      </c>
      <c r="C8655" s="13" t="s">
        <v>2956</v>
      </c>
      <c r="D8655" s="15">
        <v>2.0</v>
      </c>
      <c r="E8655" s="67">
        <f t="shared" si="20"/>
        <v>500</v>
      </c>
      <c r="F8655" s="67" t="str">
        <f t="shared" si="21"/>
        <v>2 Lead Set Appointments</v>
      </c>
    </row>
    <row r="8656" hidden="1">
      <c r="A8656" s="6" t="s">
        <v>100</v>
      </c>
      <c r="B8656" s="13" t="s">
        <v>2991</v>
      </c>
      <c r="C8656" s="13" t="s">
        <v>2992</v>
      </c>
      <c r="D8656" s="15">
        <v>2.0</v>
      </c>
      <c r="E8656" s="67">
        <f t="shared" si="20"/>
        <v>500</v>
      </c>
      <c r="F8656" s="67" t="str">
        <f t="shared" si="21"/>
        <v>2 Lead Set Appointments</v>
      </c>
    </row>
    <row r="8657" hidden="1">
      <c r="A8657" s="6" t="s">
        <v>100</v>
      </c>
      <c r="B8657" s="13" t="s">
        <v>2718</v>
      </c>
      <c r="C8657" s="13" t="s">
        <v>2719</v>
      </c>
      <c r="D8657" s="15">
        <v>2.0</v>
      </c>
      <c r="E8657" s="67">
        <f t="shared" si="20"/>
        <v>500</v>
      </c>
      <c r="F8657" s="67" t="str">
        <f t="shared" si="21"/>
        <v>2 Lead Set Appointments</v>
      </c>
    </row>
    <row r="8658" hidden="1">
      <c r="A8658" s="6" t="s">
        <v>100</v>
      </c>
      <c r="B8658" s="13" t="s">
        <v>2967</v>
      </c>
      <c r="C8658" s="13" t="s">
        <v>2968</v>
      </c>
      <c r="D8658" s="15">
        <v>2.0</v>
      </c>
      <c r="E8658" s="67">
        <f t="shared" si="20"/>
        <v>500</v>
      </c>
      <c r="F8658" s="67" t="str">
        <f t="shared" si="21"/>
        <v>2 Lead Set Appointments</v>
      </c>
    </row>
    <row r="8659" hidden="1">
      <c r="A8659" s="6" t="s">
        <v>100</v>
      </c>
      <c r="B8659" s="13" t="s">
        <v>1382</v>
      </c>
      <c r="C8659" s="13" t="s">
        <v>1383</v>
      </c>
      <c r="D8659" s="15">
        <v>2.0</v>
      </c>
      <c r="E8659" s="67">
        <f t="shared" si="20"/>
        <v>500</v>
      </c>
      <c r="F8659" s="67" t="str">
        <f t="shared" si="21"/>
        <v>2 Lead Set Appointments</v>
      </c>
    </row>
    <row r="8660" hidden="1">
      <c r="A8660" s="6" t="s">
        <v>100</v>
      </c>
      <c r="B8660" s="13" t="s">
        <v>2903</v>
      </c>
      <c r="C8660" s="13" t="s">
        <v>2904</v>
      </c>
      <c r="D8660" s="15">
        <v>2.0</v>
      </c>
      <c r="E8660" s="67">
        <f t="shared" si="20"/>
        <v>500</v>
      </c>
      <c r="F8660" s="67" t="str">
        <f t="shared" si="21"/>
        <v>2 Lead Set Appointments</v>
      </c>
    </row>
    <row r="8661" hidden="1">
      <c r="A8661" s="6" t="s">
        <v>100</v>
      </c>
      <c r="B8661" s="13" t="s">
        <v>3010</v>
      </c>
      <c r="C8661" s="13" t="s">
        <v>3011</v>
      </c>
      <c r="D8661" s="15">
        <v>2.0</v>
      </c>
      <c r="E8661" s="67">
        <f t="shared" si="20"/>
        <v>500</v>
      </c>
      <c r="F8661" s="67" t="str">
        <f t="shared" si="21"/>
        <v>2 Lead Set Appointments</v>
      </c>
    </row>
    <row r="8662" hidden="1">
      <c r="A8662" s="6" t="s">
        <v>100</v>
      </c>
      <c r="B8662" s="13" t="s">
        <v>311</v>
      </c>
      <c r="C8662" s="13" t="s">
        <v>312</v>
      </c>
      <c r="D8662" s="15">
        <v>2.0</v>
      </c>
      <c r="E8662" s="67">
        <f t="shared" si="20"/>
        <v>500</v>
      </c>
      <c r="F8662" s="67" t="str">
        <f t="shared" si="21"/>
        <v>2 Lead Set Appointments</v>
      </c>
    </row>
    <row r="8663" hidden="1">
      <c r="A8663" s="6" t="s">
        <v>100</v>
      </c>
      <c r="B8663" s="13" t="s">
        <v>1435</v>
      </c>
      <c r="C8663" s="13" t="s">
        <v>741</v>
      </c>
      <c r="D8663" s="15">
        <v>1.0</v>
      </c>
      <c r="E8663" s="67">
        <f t="shared" si="20"/>
        <v>250</v>
      </c>
      <c r="F8663" s="67" t="str">
        <f t="shared" si="21"/>
        <v>1 Lead Set Appointments</v>
      </c>
    </row>
    <row r="8664" hidden="1">
      <c r="A8664" s="6" t="s">
        <v>100</v>
      </c>
      <c r="B8664" s="13" t="s">
        <v>433</v>
      </c>
      <c r="C8664" s="13" t="s">
        <v>434</v>
      </c>
      <c r="D8664" s="15">
        <v>1.0</v>
      </c>
      <c r="E8664" s="67">
        <f t="shared" si="20"/>
        <v>250</v>
      </c>
      <c r="F8664" s="67" t="str">
        <f t="shared" si="21"/>
        <v>1 Lead Set Appointments</v>
      </c>
    </row>
    <row r="8665" hidden="1">
      <c r="A8665" s="6" t="s">
        <v>100</v>
      </c>
      <c r="B8665" s="13" t="s">
        <v>606</v>
      </c>
      <c r="C8665" s="13" t="s">
        <v>607</v>
      </c>
      <c r="D8665" s="15">
        <v>1.0</v>
      </c>
      <c r="E8665" s="67">
        <f t="shared" si="20"/>
        <v>250</v>
      </c>
      <c r="F8665" s="67" t="str">
        <f t="shared" si="21"/>
        <v>1 Lead Set Appointments</v>
      </c>
    </row>
    <row r="8666" hidden="1">
      <c r="A8666" s="6" t="s">
        <v>100</v>
      </c>
      <c r="B8666" s="13" t="s">
        <v>596</v>
      </c>
      <c r="C8666" s="13" t="s">
        <v>597</v>
      </c>
      <c r="D8666" s="15">
        <v>1.0</v>
      </c>
      <c r="E8666" s="67">
        <f t="shared" si="20"/>
        <v>250</v>
      </c>
      <c r="F8666" s="67" t="str">
        <f t="shared" si="21"/>
        <v>1 Lead Set Appointments</v>
      </c>
    </row>
    <row r="8667" hidden="1">
      <c r="A8667" s="6" t="s">
        <v>100</v>
      </c>
      <c r="B8667" s="13" t="s">
        <v>900</v>
      </c>
      <c r="C8667" s="13" t="s">
        <v>901</v>
      </c>
      <c r="D8667" s="15">
        <v>1.0</v>
      </c>
      <c r="E8667" s="67">
        <f t="shared" si="20"/>
        <v>250</v>
      </c>
      <c r="F8667" s="67" t="str">
        <f t="shared" si="21"/>
        <v>1 Lead Set Appointments</v>
      </c>
    </row>
    <row r="8668" hidden="1">
      <c r="A8668" s="6" t="s">
        <v>100</v>
      </c>
      <c r="B8668" s="13" t="s">
        <v>922</v>
      </c>
      <c r="C8668" s="13" t="s">
        <v>923</v>
      </c>
      <c r="D8668" s="15">
        <v>1.0</v>
      </c>
      <c r="E8668" s="67">
        <f t="shared" si="20"/>
        <v>250</v>
      </c>
      <c r="F8668" s="67" t="str">
        <f t="shared" si="21"/>
        <v>1 Lead Set Appointments</v>
      </c>
    </row>
    <row r="8669" hidden="1">
      <c r="A8669" s="6" t="s">
        <v>100</v>
      </c>
      <c r="B8669" s="13" t="s">
        <v>2939</v>
      </c>
      <c r="C8669" s="13" t="s">
        <v>2940</v>
      </c>
      <c r="D8669" s="15">
        <v>1.0</v>
      </c>
      <c r="E8669" s="67">
        <f t="shared" si="20"/>
        <v>250</v>
      </c>
      <c r="F8669" s="67" t="str">
        <f t="shared" si="21"/>
        <v>1 Lead Set Appointments</v>
      </c>
    </row>
    <row r="8670" hidden="1">
      <c r="A8670" s="6" t="s">
        <v>100</v>
      </c>
      <c r="B8670" s="13" t="s">
        <v>1448</v>
      </c>
      <c r="C8670" s="13" t="s">
        <v>1449</v>
      </c>
      <c r="D8670" s="15">
        <v>1.0</v>
      </c>
      <c r="E8670" s="67">
        <f t="shared" si="20"/>
        <v>250</v>
      </c>
      <c r="F8670" s="67" t="str">
        <f t="shared" si="21"/>
        <v>1 Lead Set Appointments</v>
      </c>
    </row>
    <row r="8671" hidden="1">
      <c r="A8671" s="6" t="s">
        <v>100</v>
      </c>
      <c r="B8671" s="13" t="s">
        <v>3012</v>
      </c>
      <c r="C8671" s="13" t="s">
        <v>820</v>
      </c>
      <c r="D8671" s="15">
        <v>1.0</v>
      </c>
      <c r="E8671" s="67">
        <f t="shared" si="20"/>
        <v>250</v>
      </c>
      <c r="F8671" s="67" t="str">
        <f t="shared" si="21"/>
        <v>1 Lead Set Appointments</v>
      </c>
    </row>
    <row r="8672" hidden="1">
      <c r="A8672" s="6" t="s">
        <v>100</v>
      </c>
      <c r="B8672" s="13" t="s">
        <v>2959</v>
      </c>
      <c r="C8672" s="13" t="s">
        <v>2960</v>
      </c>
      <c r="D8672" s="15">
        <v>1.0</v>
      </c>
      <c r="E8672" s="67">
        <f t="shared" si="20"/>
        <v>250</v>
      </c>
      <c r="F8672" s="67" t="str">
        <f t="shared" si="21"/>
        <v>1 Lead Set Appointments</v>
      </c>
    </row>
    <row r="8673" hidden="1">
      <c r="A8673" s="6" t="s">
        <v>100</v>
      </c>
      <c r="B8673" s="13" t="s">
        <v>1278</v>
      </c>
      <c r="C8673" s="13" t="s">
        <v>549</v>
      </c>
      <c r="D8673" s="15">
        <v>1.0</v>
      </c>
      <c r="E8673" s="67">
        <f t="shared" si="20"/>
        <v>250</v>
      </c>
      <c r="F8673" s="67" t="str">
        <f t="shared" si="21"/>
        <v>1 Lead Set Appointments</v>
      </c>
    </row>
    <row r="8674" hidden="1">
      <c r="A8674" s="6" t="s">
        <v>100</v>
      </c>
      <c r="B8674" s="13" t="s">
        <v>2473</v>
      </c>
      <c r="C8674" s="13" t="s">
        <v>2474</v>
      </c>
      <c r="D8674" s="15">
        <v>1.0</v>
      </c>
      <c r="E8674" s="67">
        <f t="shared" si="20"/>
        <v>250</v>
      </c>
      <c r="F8674" s="67" t="str">
        <f t="shared" si="21"/>
        <v>1 Lead Set Appointments</v>
      </c>
    </row>
    <row r="8675" hidden="1">
      <c r="A8675" s="6" t="s">
        <v>100</v>
      </c>
      <c r="B8675" s="13" t="s">
        <v>2961</v>
      </c>
      <c r="C8675" s="13" t="s">
        <v>2962</v>
      </c>
      <c r="D8675" s="15">
        <v>1.0</v>
      </c>
      <c r="E8675" s="67">
        <f t="shared" si="20"/>
        <v>250</v>
      </c>
      <c r="F8675" s="67" t="str">
        <f t="shared" si="21"/>
        <v>1 Lead Set Appointments</v>
      </c>
    </row>
    <row r="8676" hidden="1">
      <c r="A8676" s="6" t="s">
        <v>100</v>
      </c>
      <c r="B8676" s="13" t="s">
        <v>2977</v>
      </c>
      <c r="C8676" s="13" t="s">
        <v>2978</v>
      </c>
      <c r="D8676" s="15">
        <v>1.0</v>
      </c>
      <c r="E8676" s="67">
        <f t="shared" si="20"/>
        <v>250</v>
      </c>
      <c r="F8676" s="67" t="str">
        <f t="shared" si="21"/>
        <v>1 Lead Set Appointments</v>
      </c>
    </row>
    <row r="8677" hidden="1">
      <c r="A8677" s="6" t="s">
        <v>100</v>
      </c>
      <c r="B8677" s="13" t="s">
        <v>2837</v>
      </c>
      <c r="C8677" s="13" t="s">
        <v>2838</v>
      </c>
      <c r="D8677" s="15">
        <v>1.0</v>
      </c>
      <c r="E8677" s="67">
        <f t="shared" si="20"/>
        <v>250</v>
      </c>
      <c r="F8677" s="67" t="str">
        <f t="shared" si="21"/>
        <v>1 Lead Set Appointments</v>
      </c>
    </row>
    <row r="8678" hidden="1">
      <c r="A8678" s="6" t="s">
        <v>100</v>
      </c>
      <c r="B8678" s="13" t="s">
        <v>803</v>
      </c>
      <c r="C8678" s="13" t="s">
        <v>804</v>
      </c>
      <c r="D8678" s="15">
        <v>1.0</v>
      </c>
      <c r="E8678" s="67">
        <f t="shared" si="20"/>
        <v>250</v>
      </c>
      <c r="F8678" s="67" t="str">
        <f t="shared" si="21"/>
        <v>1 Lead Set Appointments</v>
      </c>
    </row>
    <row r="8679" hidden="1">
      <c r="A8679" s="6" t="s">
        <v>100</v>
      </c>
      <c r="B8679" s="13" t="s">
        <v>3013</v>
      </c>
      <c r="C8679" s="13" t="s">
        <v>3014</v>
      </c>
      <c r="D8679" s="15">
        <v>1.0</v>
      </c>
      <c r="E8679" s="67">
        <f t="shared" si="20"/>
        <v>250</v>
      </c>
      <c r="F8679" s="67" t="str">
        <f t="shared" si="21"/>
        <v>1 Lead Set Appointments</v>
      </c>
    </row>
    <row r="8680" hidden="1">
      <c r="A8680" s="6" t="s">
        <v>100</v>
      </c>
      <c r="B8680" s="13" t="s">
        <v>307</v>
      </c>
      <c r="C8680" s="13" t="s">
        <v>692</v>
      </c>
      <c r="D8680" s="15">
        <v>1.0</v>
      </c>
      <c r="E8680" s="67">
        <f t="shared" si="20"/>
        <v>250</v>
      </c>
      <c r="F8680" s="67" t="str">
        <f t="shared" si="21"/>
        <v>1 Lead Set Appointments</v>
      </c>
    </row>
    <row r="8681" hidden="1">
      <c r="A8681" s="6" t="s">
        <v>100</v>
      </c>
      <c r="B8681" s="13" t="s">
        <v>999</v>
      </c>
      <c r="C8681" s="13" t="s">
        <v>2964</v>
      </c>
      <c r="D8681" s="15">
        <v>1.0</v>
      </c>
      <c r="E8681" s="67">
        <f t="shared" si="20"/>
        <v>250</v>
      </c>
      <c r="F8681" s="67" t="str">
        <f t="shared" si="21"/>
        <v>1 Lead Set Appointments</v>
      </c>
    </row>
    <row r="8682" hidden="1">
      <c r="A8682" s="6" t="s">
        <v>100</v>
      </c>
      <c r="B8682" s="13" t="s">
        <v>2380</v>
      </c>
      <c r="C8682" s="13" t="s">
        <v>3015</v>
      </c>
      <c r="D8682" s="15">
        <v>1.0</v>
      </c>
      <c r="E8682" s="67">
        <f t="shared" si="20"/>
        <v>250</v>
      </c>
      <c r="F8682" s="67" t="str">
        <f t="shared" si="21"/>
        <v>1 Lead Set Appointments</v>
      </c>
    </row>
    <row r="8683" hidden="1">
      <c r="A8683" s="6" t="s">
        <v>100</v>
      </c>
      <c r="B8683" s="13" t="s">
        <v>1419</v>
      </c>
      <c r="C8683" s="13" t="s">
        <v>1420</v>
      </c>
      <c r="D8683" s="15">
        <v>1.0</v>
      </c>
      <c r="E8683" s="67">
        <f t="shared" si="20"/>
        <v>250</v>
      </c>
      <c r="F8683" s="67" t="str">
        <f t="shared" si="21"/>
        <v>1 Lead Set Appointments</v>
      </c>
    </row>
    <row r="8684" hidden="1">
      <c r="A8684" s="6" t="s">
        <v>100</v>
      </c>
      <c r="B8684" s="13" t="s">
        <v>3016</v>
      </c>
      <c r="C8684" s="13" t="s">
        <v>3017</v>
      </c>
      <c r="D8684" s="15">
        <v>1.0</v>
      </c>
      <c r="E8684" s="67">
        <f t="shared" si="20"/>
        <v>250</v>
      </c>
      <c r="F8684" s="67" t="str">
        <f t="shared" si="21"/>
        <v>1 Lead Set Appointments</v>
      </c>
    </row>
    <row r="8685" hidden="1">
      <c r="A8685" s="6" t="s">
        <v>100</v>
      </c>
      <c r="B8685" s="13" t="s">
        <v>2985</v>
      </c>
      <c r="C8685" s="13" t="s">
        <v>2986</v>
      </c>
      <c r="D8685" s="15">
        <v>1.0</v>
      </c>
      <c r="E8685" s="67">
        <f t="shared" si="20"/>
        <v>250</v>
      </c>
      <c r="F8685" s="67" t="str">
        <f t="shared" si="21"/>
        <v>1 Lead Set Appointments</v>
      </c>
    </row>
    <row r="8686" hidden="1">
      <c r="A8686" s="6" t="s">
        <v>100</v>
      </c>
      <c r="B8686" s="13" t="s">
        <v>445</v>
      </c>
      <c r="C8686" s="13" t="s">
        <v>446</v>
      </c>
      <c r="D8686" s="15">
        <v>1.0</v>
      </c>
      <c r="E8686" s="67">
        <f t="shared" si="20"/>
        <v>250</v>
      </c>
      <c r="F8686" s="67" t="str">
        <f t="shared" si="21"/>
        <v>1 Lead Set Appointments</v>
      </c>
    </row>
    <row r="8687" hidden="1">
      <c r="A8687" s="6" t="s">
        <v>100</v>
      </c>
      <c r="B8687" s="13" t="s">
        <v>1359</v>
      </c>
      <c r="C8687" s="13" t="s">
        <v>1360</v>
      </c>
      <c r="D8687" s="15">
        <v>0.0</v>
      </c>
      <c r="E8687" s="67">
        <f t="shared" si="20"/>
        <v>0</v>
      </c>
      <c r="F8687" s="67" t="str">
        <f t="shared" si="21"/>
        <v>0 Lead Set Appointments</v>
      </c>
    </row>
    <row r="8688" hidden="1">
      <c r="A8688" s="6" t="s">
        <v>100</v>
      </c>
      <c r="B8688" s="13" t="s">
        <v>2919</v>
      </c>
      <c r="C8688" s="13" t="s">
        <v>2920</v>
      </c>
      <c r="D8688" s="15">
        <v>0.0</v>
      </c>
      <c r="E8688" s="67">
        <f t="shared" si="20"/>
        <v>0</v>
      </c>
      <c r="F8688" s="67" t="str">
        <f t="shared" si="21"/>
        <v>0 Lead Set Appointments</v>
      </c>
    </row>
    <row r="8689" hidden="1">
      <c r="A8689" s="6" t="s">
        <v>100</v>
      </c>
      <c r="B8689" s="13" t="s">
        <v>2971</v>
      </c>
      <c r="C8689" s="13" t="s">
        <v>2972</v>
      </c>
      <c r="D8689" s="15">
        <v>0.0</v>
      </c>
      <c r="E8689" s="67">
        <f t="shared" si="20"/>
        <v>0</v>
      </c>
      <c r="F8689" s="67" t="str">
        <f t="shared" si="21"/>
        <v>0 Lead Set Appointments</v>
      </c>
    </row>
    <row r="8690" hidden="1">
      <c r="A8690" s="6" t="s">
        <v>100</v>
      </c>
      <c r="B8690" s="13" t="s">
        <v>3018</v>
      </c>
      <c r="C8690" s="13" t="s">
        <v>3019</v>
      </c>
      <c r="D8690" s="15">
        <v>0.0</v>
      </c>
      <c r="E8690" s="67">
        <f t="shared" si="20"/>
        <v>0</v>
      </c>
      <c r="F8690" s="67" t="str">
        <f t="shared" si="21"/>
        <v>0 Lead Set Appointments</v>
      </c>
    </row>
    <row r="8691" hidden="1">
      <c r="A8691" s="6" t="s">
        <v>100</v>
      </c>
      <c r="B8691" s="13" t="s">
        <v>2127</v>
      </c>
      <c r="C8691" s="13" t="s">
        <v>3020</v>
      </c>
      <c r="D8691" s="15">
        <v>0.0</v>
      </c>
      <c r="E8691" s="67">
        <f t="shared" si="20"/>
        <v>0</v>
      </c>
      <c r="F8691" s="67" t="str">
        <f t="shared" si="21"/>
        <v>0 Lead Set Appointments</v>
      </c>
    </row>
    <row r="8692" hidden="1">
      <c r="A8692" s="6" t="s">
        <v>100</v>
      </c>
      <c r="B8692" s="13" t="s">
        <v>3021</v>
      </c>
      <c r="C8692" s="13" t="s">
        <v>3022</v>
      </c>
      <c r="D8692" s="15">
        <v>0.0</v>
      </c>
      <c r="E8692" s="67">
        <f t="shared" si="20"/>
        <v>0</v>
      </c>
      <c r="F8692" s="67" t="str">
        <f t="shared" si="21"/>
        <v>0 Lead Set Appointments</v>
      </c>
    </row>
    <row r="8693" hidden="1">
      <c r="A8693" s="6" t="s">
        <v>100</v>
      </c>
      <c r="B8693" s="13" t="s">
        <v>3023</v>
      </c>
      <c r="C8693" s="13" t="s">
        <v>3024</v>
      </c>
      <c r="D8693" s="15">
        <v>0.0</v>
      </c>
      <c r="E8693" s="67">
        <f t="shared" si="20"/>
        <v>0</v>
      </c>
      <c r="F8693" s="67" t="str">
        <f t="shared" si="21"/>
        <v>0 Lead Set Appointments</v>
      </c>
    </row>
    <row r="8694" hidden="1">
      <c r="A8694" s="6" t="s">
        <v>100</v>
      </c>
      <c r="B8694" s="13" t="s">
        <v>2979</v>
      </c>
      <c r="C8694" s="13" t="s">
        <v>2980</v>
      </c>
      <c r="D8694" s="15">
        <v>0.0</v>
      </c>
      <c r="E8694" s="67">
        <f t="shared" si="20"/>
        <v>0</v>
      </c>
      <c r="F8694" s="67" t="str">
        <f t="shared" si="21"/>
        <v>0 Lead Set Appointments</v>
      </c>
    </row>
    <row r="8695" hidden="1">
      <c r="A8695" s="6" t="s">
        <v>100</v>
      </c>
      <c r="B8695" s="13" t="s">
        <v>3025</v>
      </c>
      <c r="C8695" s="13" t="s">
        <v>3026</v>
      </c>
      <c r="D8695" s="15">
        <v>0.0</v>
      </c>
      <c r="E8695" s="67">
        <f t="shared" si="20"/>
        <v>0</v>
      </c>
      <c r="F8695" s="67" t="str">
        <f t="shared" si="21"/>
        <v>0 Lead Set Appointments</v>
      </c>
    </row>
    <row r="8696" hidden="1">
      <c r="A8696" s="6" t="s">
        <v>100</v>
      </c>
      <c r="B8696" s="13" t="s">
        <v>3027</v>
      </c>
      <c r="C8696" s="13" t="s">
        <v>3028</v>
      </c>
      <c r="D8696" s="15">
        <v>0.0</v>
      </c>
      <c r="E8696" s="67">
        <f t="shared" si="20"/>
        <v>0</v>
      </c>
      <c r="F8696" s="67" t="str">
        <f t="shared" si="21"/>
        <v>0 Lead Set Appointments</v>
      </c>
    </row>
    <row r="8697" hidden="1">
      <c r="A8697" s="6" t="s">
        <v>100</v>
      </c>
      <c r="B8697" s="13" t="s">
        <v>3029</v>
      </c>
      <c r="C8697" s="13" t="s">
        <v>3030</v>
      </c>
      <c r="D8697" s="15">
        <v>0.0</v>
      </c>
      <c r="E8697" s="67">
        <f t="shared" si="20"/>
        <v>0</v>
      </c>
      <c r="F8697" s="67" t="str">
        <f t="shared" si="21"/>
        <v>0 Lead Set Appointments</v>
      </c>
    </row>
    <row r="8698" hidden="1">
      <c r="A8698" s="6" t="s">
        <v>100</v>
      </c>
      <c r="B8698" s="13" t="s">
        <v>1373</v>
      </c>
      <c r="C8698" s="13" t="s">
        <v>1374</v>
      </c>
      <c r="D8698" s="15">
        <v>0.0</v>
      </c>
      <c r="E8698" s="67">
        <f t="shared" si="20"/>
        <v>0</v>
      </c>
      <c r="F8698" s="67" t="str">
        <f t="shared" si="21"/>
        <v>0 Lead Set Appointments</v>
      </c>
    </row>
    <row r="8699" hidden="1">
      <c r="A8699" s="6" t="s">
        <v>100</v>
      </c>
      <c r="B8699" s="13" t="s">
        <v>1369</v>
      </c>
      <c r="C8699" s="13" t="s">
        <v>1370</v>
      </c>
      <c r="D8699" s="15">
        <v>0.0</v>
      </c>
      <c r="E8699" s="67">
        <f t="shared" si="20"/>
        <v>0</v>
      </c>
      <c r="F8699" s="67" t="str">
        <f t="shared" si="21"/>
        <v>0 Lead Set Appointments</v>
      </c>
    </row>
    <row r="8700" hidden="1">
      <c r="A8700" s="6" t="s">
        <v>100</v>
      </c>
      <c r="B8700" s="13" t="s">
        <v>2747</v>
      </c>
      <c r="C8700" s="13" t="s">
        <v>2748</v>
      </c>
      <c r="D8700" s="15">
        <v>0.0</v>
      </c>
      <c r="E8700" s="67">
        <f t="shared" si="20"/>
        <v>0</v>
      </c>
      <c r="F8700" s="67" t="str">
        <f t="shared" si="21"/>
        <v>0 Lead Set Appointments</v>
      </c>
    </row>
    <row r="8701" hidden="1">
      <c r="A8701" s="6" t="s">
        <v>100</v>
      </c>
      <c r="B8701" s="13" t="s">
        <v>3031</v>
      </c>
      <c r="C8701" s="13" t="s">
        <v>3032</v>
      </c>
      <c r="D8701" s="15">
        <v>0.0</v>
      </c>
      <c r="E8701" s="67">
        <f t="shared" si="20"/>
        <v>0</v>
      </c>
      <c r="F8701" s="67" t="str">
        <f t="shared" si="21"/>
        <v>0 Lead Set Appointments</v>
      </c>
    </row>
    <row r="8702" hidden="1">
      <c r="A8702" s="6" t="s">
        <v>100</v>
      </c>
      <c r="B8702" s="13" t="s">
        <v>3033</v>
      </c>
      <c r="C8702" s="13" t="s">
        <v>3034</v>
      </c>
      <c r="D8702" s="15">
        <v>2.0</v>
      </c>
      <c r="E8702" s="67">
        <f t="shared" si="20"/>
        <v>500</v>
      </c>
      <c r="F8702" s="67" t="str">
        <f t="shared" si="21"/>
        <v>2 Lead Set Appointments</v>
      </c>
    </row>
    <row r="8703" hidden="1">
      <c r="A8703" s="6" t="s">
        <v>100</v>
      </c>
      <c r="B8703" s="13" t="s">
        <v>3035</v>
      </c>
      <c r="C8703" s="13" t="s">
        <v>3036</v>
      </c>
      <c r="D8703" s="15">
        <v>1.0</v>
      </c>
      <c r="E8703" s="67">
        <f t="shared" si="20"/>
        <v>250</v>
      </c>
      <c r="F8703" s="67" t="str">
        <f t="shared" si="21"/>
        <v>1 Lead Set Appointments</v>
      </c>
    </row>
    <row r="8704" hidden="1">
      <c r="A8704" s="6" t="s">
        <v>100</v>
      </c>
      <c r="B8704" s="13" t="s">
        <v>3037</v>
      </c>
      <c r="C8704" s="13" t="s">
        <v>3038</v>
      </c>
      <c r="D8704" s="15">
        <v>1.0</v>
      </c>
      <c r="E8704" s="67">
        <f t="shared" si="20"/>
        <v>250</v>
      </c>
      <c r="F8704" s="67" t="str">
        <f t="shared" si="21"/>
        <v>1 Lead Set Appointments</v>
      </c>
    </row>
    <row r="8705" hidden="1">
      <c r="A8705" s="6" t="s">
        <v>100</v>
      </c>
      <c r="B8705" s="13" t="s">
        <v>3039</v>
      </c>
      <c r="C8705" s="13" t="s">
        <v>3040</v>
      </c>
      <c r="D8705" s="15">
        <v>2.0</v>
      </c>
      <c r="E8705" s="67">
        <f t="shared" si="20"/>
        <v>500</v>
      </c>
      <c r="F8705" s="67" t="str">
        <f t="shared" si="21"/>
        <v>2 Lead Set Appointments</v>
      </c>
    </row>
    <row r="8706" hidden="1">
      <c r="A8706" s="6" t="s">
        <v>100</v>
      </c>
      <c r="B8706" s="13" t="s">
        <v>1998</v>
      </c>
      <c r="C8706" s="13" t="s">
        <v>1999</v>
      </c>
      <c r="D8706" s="15">
        <v>3.0</v>
      </c>
      <c r="E8706" s="67">
        <f t="shared" si="20"/>
        <v>750</v>
      </c>
      <c r="F8706" s="67" t="str">
        <f t="shared" si="21"/>
        <v>3 Lead Set Appointments</v>
      </c>
    </row>
    <row r="8707" hidden="1">
      <c r="A8707" s="6" t="s">
        <v>100</v>
      </c>
      <c r="B8707" s="13" t="s">
        <v>3041</v>
      </c>
      <c r="C8707" s="13" t="s">
        <v>3042</v>
      </c>
      <c r="D8707" s="15">
        <v>1.0</v>
      </c>
      <c r="E8707" s="67">
        <f t="shared" si="20"/>
        <v>250</v>
      </c>
      <c r="F8707" s="67" t="str">
        <f t="shared" si="21"/>
        <v>1 Lead Set Appointments</v>
      </c>
    </row>
    <row r="8708" hidden="1">
      <c r="A8708" s="6" t="s">
        <v>100</v>
      </c>
      <c r="B8708" s="13" t="s">
        <v>3043</v>
      </c>
      <c r="C8708" s="13" t="s">
        <v>3044</v>
      </c>
      <c r="D8708" s="15">
        <v>1.0</v>
      </c>
      <c r="E8708" s="67">
        <f t="shared" si="20"/>
        <v>250</v>
      </c>
      <c r="F8708" s="67" t="str">
        <f t="shared" si="21"/>
        <v>1 Lead Set Appointments</v>
      </c>
    </row>
    <row r="8709" hidden="1">
      <c r="A8709" s="6" t="s">
        <v>100</v>
      </c>
      <c r="B8709" s="13" t="s">
        <v>3045</v>
      </c>
      <c r="C8709" s="13" t="s">
        <v>3046</v>
      </c>
      <c r="D8709" s="15">
        <v>3.0</v>
      </c>
      <c r="E8709" s="67">
        <f t="shared" si="20"/>
        <v>750</v>
      </c>
      <c r="F8709" s="67" t="str">
        <f t="shared" si="21"/>
        <v>3 Lead Set Appointments</v>
      </c>
    </row>
    <row r="8710" hidden="1">
      <c r="A8710" s="6" t="s">
        <v>100</v>
      </c>
      <c r="B8710" s="13" t="s">
        <v>823</v>
      </c>
      <c r="C8710" s="13" t="s">
        <v>824</v>
      </c>
      <c r="D8710" s="15">
        <v>2.0</v>
      </c>
      <c r="E8710" s="67">
        <f t="shared" si="20"/>
        <v>500</v>
      </c>
      <c r="F8710" s="67" t="str">
        <f t="shared" si="21"/>
        <v>2 Lead Set Appointments</v>
      </c>
    </row>
    <row r="8711" hidden="1">
      <c r="A8711" s="6" t="s">
        <v>102</v>
      </c>
      <c r="B8711" s="13" t="s">
        <v>476</v>
      </c>
      <c r="C8711" s="13" t="s">
        <v>477</v>
      </c>
      <c r="D8711" s="15">
        <v>43.0</v>
      </c>
      <c r="E8711" s="67">
        <f t="shared" si="20"/>
        <v>21500</v>
      </c>
      <c r="F8711" s="67" t="s">
        <v>3047</v>
      </c>
    </row>
    <row r="8712" hidden="1">
      <c r="A8712" s="6" t="s">
        <v>102</v>
      </c>
      <c r="B8712" s="13" t="s">
        <v>644</v>
      </c>
      <c r="C8712" s="13" t="s">
        <v>645</v>
      </c>
      <c r="D8712" s="15">
        <v>38.0</v>
      </c>
      <c r="E8712" s="67">
        <f t="shared" si="20"/>
        <v>19000</v>
      </c>
      <c r="F8712" s="67" t="s">
        <v>3048</v>
      </c>
    </row>
    <row r="8713" hidden="1">
      <c r="A8713" s="6" t="s">
        <v>102</v>
      </c>
      <c r="B8713" s="13" t="s">
        <v>540</v>
      </c>
      <c r="C8713" s="13" t="s">
        <v>541</v>
      </c>
      <c r="D8713" s="15">
        <v>24.0</v>
      </c>
      <c r="E8713" s="67">
        <f t="shared" si="20"/>
        <v>12000</v>
      </c>
      <c r="F8713" s="67" t="s">
        <v>3049</v>
      </c>
    </row>
    <row r="8714" hidden="1">
      <c r="A8714" s="6" t="s">
        <v>102</v>
      </c>
      <c r="B8714" s="13" t="s">
        <v>640</v>
      </c>
      <c r="C8714" s="13" t="s">
        <v>641</v>
      </c>
      <c r="D8714" s="15">
        <v>18.0</v>
      </c>
      <c r="E8714" s="67">
        <f t="shared" si="20"/>
        <v>9000</v>
      </c>
      <c r="F8714" s="67" t="s">
        <v>3050</v>
      </c>
    </row>
    <row r="8715" hidden="1">
      <c r="A8715" s="6" t="s">
        <v>102</v>
      </c>
      <c r="B8715" s="13" t="s">
        <v>435</v>
      </c>
      <c r="C8715" s="13" t="s">
        <v>436</v>
      </c>
      <c r="D8715" s="15">
        <v>17.0</v>
      </c>
      <c r="E8715" s="67">
        <f t="shared" si="20"/>
        <v>8500</v>
      </c>
      <c r="F8715" s="67" t="s">
        <v>3051</v>
      </c>
    </row>
    <row r="8716" hidden="1">
      <c r="A8716" s="6" t="s">
        <v>102</v>
      </c>
      <c r="B8716" s="13" t="s">
        <v>746</v>
      </c>
      <c r="C8716" s="13" t="s">
        <v>747</v>
      </c>
      <c r="D8716" s="15">
        <v>17.0</v>
      </c>
      <c r="E8716" s="67">
        <f t="shared" si="20"/>
        <v>8500</v>
      </c>
      <c r="F8716" s="67" t="s">
        <v>3051</v>
      </c>
    </row>
    <row r="8717" hidden="1">
      <c r="A8717" s="6" t="s">
        <v>102</v>
      </c>
      <c r="B8717" s="13" t="s">
        <v>411</v>
      </c>
      <c r="C8717" s="13" t="s">
        <v>412</v>
      </c>
      <c r="D8717" s="15">
        <v>15.0</v>
      </c>
      <c r="E8717" s="67">
        <f t="shared" si="20"/>
        <v>7500</v>
      </c>
      <c r="F8717" s="67" t="s">
        <v>3052</v>
      </c>
    </row>
    <row r="8718" hidden="1">
      <c r="A8718" s="6" t="s">
        <v>102</v>
      </c>
      <c r="B8718" s="13" t="s">
        <v>1493</v>
      </c>
      <c r="C8718" s="13" t="s">
        <v>1494</v>
      </c>
      <c r="D8718" s="15">
        <v>15.0</v>
      </c>
      <c r="E8718" s="67">
        <f t="shared" si="20"/>
        <v>7500</v>
      </c>
      <c r="F8718" s="67" t="s">
        <v>3052</v>
      </c>
    </row>
    <row r="8719" hidden="1">
      <c r="A8719" s="6" t="s">
        <v>102</v>
      </c>
      <c r="B8719" s="13" t="s">
        <v>766</v>
      </c>
      <c r="C8719" s="13" t="s">
        <v>767</v>
      </c>
      <c r="D8719" s="15">
        <v>15.0</v>
      </c>
      <c r="E8719" s="67">
        <f t="shared" si="20"/>
        <v>7500</v>
      </c>
      <c r="F8719" s="67" t="s">
        <v>3052</v>
      </c>
    </row>
    <row r="8720" hidden="1">
      <c r="A8720" s="6" t="s">
        <v>102</v>
      </c>
      <c r="B8720" s="13" t="s">
        <v>542</v>
      </c>
      <c r="C8720" s="13" t="s">
        <v>543</v>
      </c>
      <c r="D8720" s="15">
        <v>14.0</v>
      </c>
      <c r="E8720" s="67">
        <f t="shared" si="20"/>
        <v>7000</v>
      </c>
      <c r="F8720" s="67" t="s">
        <v>3053</v>
      </c>
    </row>
    <row r="8721" hidden="1">
      <c r="A8721" s="6" t="s">
        <v>102</v>
      </c>
      <c r="B8721" s="13" t="s">
        <v>1421</v>
      </c>
      <c r="C8721" s="13" t="s">
        <v>712</v>
      </c>
      <c r="D8721" s="15">
        <v>14.0</v>
      </c>
      <c r="E8721" s="67">
        <f t="shared" si="20"/>
        <v>7000</v>
      </c>
      <c r="F8721" s="67" t="s">
        <v>3053</v>
      </c>
    </row>
    <row r="8722" hidden="1">
      <c r="A8722" s="6" t="s">
        <v>102</v>
      </c>
      <c r="B8722" s="13" t="s">
        <v>723</v>
      </c>
      <c r="C8722" s="13" t="s">
        <v>724</v>
      </c>
      <c r="D8722" s="15">
        <v>14.0</v>
      </c>
      <c r="E8722" s="67">
        <f t="shared" si="20"/>
        <v>7000</v>
      </c>
      <c r="F8722" s="67" t="s">
        <v>3053</v>
      </c>
    </row>
    <row r="8723" hidden="1">
      <c r="A8723" s="6" t="s">
        <v>102</v>
      </c>
      <c r="B8723" s="13" t="s">
        <v>736</v>
      </c>
      <c r="C8723" s="13" t="s">
        <v>737</v>
      </c>
      <c r="D8723" s="15">
        <v>13.0</v>
      </c>
      <c r="E8723" s="67">
        <f t="shared" si="20"/>
        <v>6500</v>
      </c>
      <c r="F8723" s="67" t="s">
        <v>3054</v>
      </c>
    </row>
    <row r="8724" hidden="1">
      <c r="A8724" s="6" t="s">
        <v>102</v>
      </c>
      <c r="B8724" s="13" t="s">
        <v>516</v>
      </c>
      <c r="C8724" s="13" t="s">
        <v>517</v>
      </c>
      <c r="D8724" s="15">
        <v>13.0</v>
      </c>
      <c r="E8724" s="67">
        <f t="shared" si="20"/>
        <v>6500</v>
      </c>
      <c r="F8724" s="67" t="s">
        <v>3054</v>
      </c>
    </row>
    <row r="8725" hidden="1">
      <c r="A8725" s="6" t="s">
        <v>102</v>
      </c>
      <c r="B8725" s="13" t="s">
        <v>1865</v>
      </c>
      <c r="C8725" s="13" t="s">
        <v>1866</v>
      </c>
      <c r="D8725" s="15">
        <v>13.0</v>
      </c>
      <c r="E8725" s="67">
        <f t="shared" si="20"/>
        <v>6500</v>
      </c>
      <c r="F8725" s="67" t="s">
        <v>3054</v>
      </c>
    </row>
    <row r="8726" hidden="1">
      <c r="A8726" s="6" t="s">
        <v>102</v>
      </c>
      <c r="B8726" s="13" t="s">
        <v>1415</v>
      </c>
      <c r="C8726" s="13" t="s">
        <v>1416</v>
      </c>
      <c r="D8726" s="15">
        <v>12.0</v>
      </c>
      <c r="E8726" s="67">
        <f t="shared" si="20"/>
        <v>6000</v>
      </c>
      <c r="F8726" s="67" t="s">
        <v>3055</v>
      </c>
    </row>
    <row r="8727" hidden="1">
      <c r="A8727" s="6" t="s">
        <v>102</v>
      </c>
      <c r="B8727" s="13" t="s">
        <v>3039</v>
      </c>
      <c r="C8727" s="13" t="s">
        <v>3040</v>
      </c>
      <c r="D8727" s="15">
        <v>12.0</v>
      </c>
      <c r="E8727" s="67">
        <f t="shared" si="20"/>
        <v>6000</v>
      </c>
      <c r="F8727" s="67" t="s">
        <v>3055</v>
      </c>
    </row>
    <row r="8728" hidden="1">
      <c r="A8728" s="6" t="s">
        <v>102</v>
      </c>
      <c r="B8728" s="13" t="s">
        <v>1939</v>
      </c>
      <c r="C8728" s="13" t="s">
        <v>1940</v>
      </c>
      <c r="D8728" s="15">
        <v>12.0</v>
      </c>
      <c r="E8728" s="67">
        <f t="shared" si="20"/>
        <v>6000</v>
      </c>
      <c r="F8728" s="67" t="s">
        <v>3055</v>
      </c>
    </row>
    <row r="8729" hidden="1">
      <c r="A8729" s="6" t="s">
        <v>102</v>
      </c>
      <c r="B8729" s="13" t="s">
        <v>2998</v>
      </c>
      <c r="C8729" s="13" t="s">
        <v>2999</v>
      </c>
      <c r="D8729" s="15">
        <v>12.0</v>
      </c>
      <c r="E8729" s="67">
        <f t="shared" si="20"/>
        <v>6000</v>
      </c>
      <c r="F8729" s="67" t="s">
        <v>3055</v>
      </c>
    </row>
    <row r="8730" hidden="1">
      <c r="A8730" s="6" t="s">
        <v>102</v>
      </c>
      <c r="B8730" s="13" t="s">
        <v>1025</v>
      </c>
      <c r="C8730" s="13" t="s">
        <v>1026</v>
      </c>
      <c r="D8730" s="15">
        <v>11.0</v>
      </c>
      <c r="E8730" s="67">
        <f t="shared" si="20"/>
        <v>5500</v>
      </c>
      <c r="F8730" s="67" t="s">
        <v>3056</v>
      </c>
    </row>
    <row r="8731" hidden="1">
      <c r="A8731" s="6" t="s">
        <v>102</v>
      </c>
      <c r="B8731" s="13" t="s">
        <v>500</v>
      </c>
      <c r="C8731" s="13" t="s">
        <v>501</v>
      </c>
      <c r="D8731" s="15">
        <v>11.0</v>
      </c>
      <c r="E8731" s="67">
        <f t="shared" si="20"/>
        <v>5500</v>
      </c>
      <c r="F8731" s="67" t="s">
        <v>3056</v>
      </c>
    </row>
    <row r="8732" hidden="1">
      <c r="A8732" s="6" t="s">
        <v>102</v>
      </c>
      <c r="B8732" s="13" t="s">
        <v>546</v>
      </c>
      <c r="C8732" s="13" t="s">
        <v>547</v>
      </c>
      <c r="D8732" s="15">
        <v>11.0</v>
      </c>
      <c r="E8732" s="67">
        <f t="shared" si="20"/>
        <v>5500</v>
      </c>
      <c r="F8732" s="67" t="s">
        <v>3056</v>
      </c>
    </row>
    <row r="8733" hidden="1">
      <c r="A8733" s="6" t="s">
        <v>102</v>
      </c>
      <c r="B8733" s="13" t="s">
        <v>1426</v>
      </c>
      <c r="C8733" s="13" t="s">
        <v>1427</v>
      </c>
      <c r="D8733" s="15">
        <v>11.0</v>
      </c>
      <c r="E8733" s="67">
        <f t="shared" si="20"/>
        <v>5500</v>
      </c>
      <c r="F8733" s="67" t="s">
        <v>3056</v>
      </c>
    </row>
    <row r="8734" hidden="1">
      <c r="A8734" s="6" t="s">
        <v>102</v>
      </c>
      <c r="B8734" s="13" t="s">
        <v>439</v>
      </c>
      <c r="C8734" s="13" t="s">
        <v>440</v>
      </c>
      <c r="D8734" s="15">
        <v>11.0</v>
      </c>
      <c r="E8734" s="67">
        <f t="shared" si="20"/>
        <v>5500</v>
      </c>
      <c r="F8734" s="67" t="s">
        <v>3056</v>
      </c>
    </row>
    <row r="8735" hidden="1">
      <c r="A8735" s="6" t="s">
        <v>102</v>
      </c>
      <c r="B8735" s="13" t="s">
        <v>699</v>
      </c>
      <c r="C8735" s="13" t="s">
        <v>700</v>
      </c>
      <c r="D8735" s="15">
        <v>11.0</v>
      </c>
      <c r="E8735" s="67">
        <f t="shared" si="20"/>
        <v>5500</v>
      </c>
      <c r="F8735" s="67" t="s">
        <v>3056</v>
      </c>
    </row>
    <row r="8736" hidden="1">
      <c r="A8736" s="6" t="s">
        <v>102</v>
      </c>
      <c r="B8736" s="13" t="s">
        <v>1471</v>
      </c>
      <c r="C8736" s="13" t="s">
        <v>1472</v>
      </c>
      <c r="D8736" s="15">
        <v>11.0</v>
      </c>
      <c r="E8736" s="67">
        <f t="shared" si="20"/>
        <v>5500</v>
      </c>
      <c r="F8736" s="67" t="s">
        <v>3056</v>
      </c>
    </row>
    <row r="8737" hidden="1">
      <c r="A8737" s="6" t="s">
        <v>102</v>
      </c>
      <c r="B8737" s="13" t="s">
        <v>684</v>
      </c>
      <c r="C8737" s="13" t="s">
        <v>685</v>
      </c>
      <c r="D8737" s="15">
        <v>10.0</v>
      </c>
      <c r="E8737" s="67">
        <f t="shared" si="20"/>
        <v>5000</v>
      </c>
      <c r="F8737" s="67" t="s">
        <v>3057</v>
      </c>
    </row>
    <row r="8738" hidden="1">
      <c r="A8738" s="6" t="s">
        <v>102</v>
      </c>
      <c r="B8738" s="13" t="s">
        <v>680</v>
      </c>
      <c r="C8738" s="13" t="s">
        <v>681</v>
      </c>
      <c r="D8738" s="15">
        <v>10.0</v>
      </c>
      <c r="E8738" s="67">
        <f t="shared" si="20"/>
        <v>5000</v>
      </c>
      <c r="F8738" s="67" t="s">
        <v>3057</v>
      </c>
    </row>
    <row r="8739" hidden="1">
      <c r="A8739" s="6" t="s">
        <v>102</v>
      </c>
      <c r="B8739" s="13" t="s">
        <v>2097</v>
      </c>
      <c r="C8739" s="13" t="s">
        <v>828</v>
      </c>
      <c r="D8739" s="15">
        <v>10.0</v>
      </c>
      <c r="E8739" s="67">
        <f t="shared" si="20"/>
        <v>5000</v>
      </c>
      <c r="F8739" s="67" t="s">
        <v>3057</v>
      </c>
    </row>
    <row r="8740" hidden="1">
      <c r="A8740" s="6" t="s">
        <v>102</v>
      </c>
      <c r="B8740" s="13" t="s">
        <v>693</v>
      </c>
      <c r="C8740" s="13" t="s">
        <v>694</v>
      </c>
      <c r="D8740" s="15">
        <v>10.0</v>
      </c>
      <c r="E8740" s="67">
        <f t="shared" si="20"/>
        <v>5000</v>
      </c>
      <c r="F8740" s="67" t="s">
        <v>3057</v>
      </c>
    </row>
    <row r="8741" hidden="1">
      <c r="A8741" s="6" t="s">
        <v>102</v>
      </c>
      <c r="B8741" s="13" t="s">
        <v>2640</v>
      </c>
      <c r="C8741" s="13" t="s">
        <v>2641</v>
      </c>
      <c r="D8741" s="15">
        <v>10.0</v>
      </c>
      <c r="E8741" s="67">
        <f t="shared" si="20"/>
        <v>5000</v>
      </c>
      <c r="F8741" s="67" t="s">
        <v>3057</v>
      </c>
    </row>
    <row r="8742" hidden="1">
      <c r="A8742" s="6" t="s">
        <v>102</v>
      </c>
      <c r="B8742" s="13" t="s">
        <v>2002</v>
      </c>
      <c r="C8742" s="13" t="s">
        <v>2003</v>
      </c>
      <c r="D8742" s="15">
        <v>10.0</v>
      </c>
      <c r="E8742" s="67">
        <f t="shared" si="20"/>
        <v>5000</v>
      </c>
      <c r="F8742" s="67" t="s">
        <v>3057</v>
      </c>
    </row>
    <row r="8743" hidden="1">
      <c r="A8743" s="6" t="s">
        <v>102</v>
      </c>
      <c r="B8743" s="13" t="s">
        <v>626</v>
      </c>
      <c r="C8743" s="13" t="s">
        <v>627</v>
      </c>
      <c r="D8743" s="15">
        <v>10.0</v>
      </c>
      <c r="E8743" s="67">
        <f t="shared" si="20"/>
        <v>5000</v>
      </c>
      <c r="F8743" s="67" t="s">
        <v>3057</v>
      </c>
    </row>
    <row r="8744" hidden="1">
      <c r="A8744" s="6" t="s">
        <v>102</v>
      </c>
      <c r="B8744" s="13" t="s">
        <v>604</v>
      </c>
      <c r="C8744" s="13" t="s">
        <v>605</v>
      </c>
      <c r="D8744" s="15">
        <v>10.0</v>
      </c>
      <c r="E8744" s="67">
        <f t="shared" si="20"/>
        <v>5000</v>
      </c>
      <c r="F8744" s="67" t="s">
        <v>3057</v>
      </c>
    </row>
    <row r="8745" hidden="1">
      <c r="A8745" s="6" t="s">
        <v>102</v>
      </c>
      <c r="B8745" s="13" t="s">
        <v>3000</v>
      </c>
      <c r="C8745" s="13" t="s">
        <v>3001</v>
      </c>
      <c r="D8745" s="15">
        <v>10.0</v>
      </c>
      <c r="E8745" s="67">
        <f t="shared" si="20"/>
        <v>5000</v>
      </c>
      <c r="F8745" s="67" t="s">
        <v>3057</v>
      </c>
    </row>
    <row r="8746" hidden="1">
      <c r="A8746" s="6" t="s">
        <v>102</v>
      </c>
      <c r="B8746" s="13" t="s">
        <v>413</v>
      </c>
      <c r="C8746" s="13" t="s">
        <v>414</v>
      </c>
      <c r="D8746" s="15">
        <v>10.0</v>
      </c>
      <c r="E8746" s="67">
        <f t="shared" si="20"/>
        <v>5000</v>
      </c>
      <c r="F8746" s="67" t="s">
        <v>3057</v>
      </c>
    </row>
    <row r="8747" hidden="1">
      <c r="A8747" s="6" t="s">
        <v>102</v>
      </c>
      <c r="B8747" s="13" t="s">
        <v>2905</v>
      </c>
      <c r="C8747" s="13" t="s">
        <v>2906</v>
      </c>
      <c r="D8747" s="15">
        <v>9.0</v>
      </c>
      <c r="E8747" s="67">
        <f t="shared" si="20"/>
        <v>2250</v>
      </c>
      <c r="F8747" s="67" t="s">
        <v>3058</v>
      </c>
    </row>
    <row r="8748" hidden="1">
      <c r="A8748" s="6" t="s">
        <v>102</v>
      </c>
      <c r="B8748" s="13" t="s">
        <v>518</v>
      </c>
      <c r="C8748" s="13" t="s">
        <v>519</v>
      </c>
      <c r="D8748" s="15">
        <v>9.0</v>
      </c>
      <c r="E8748" s="67">
        <f t="shared" si="20"/>
        <v>2250</v>
      </c>
      <c r="F8748" s="67" t="s">
        <v>3058</v>
      </c>
    </row>
    <row r="8749" hidden="1">
      <c r="A8749" s="6" t="s">
        <v>102</v>
      </c>
      <c r="B8749" s="13" t="s">
        <v>510</v>
      </c>
      <c r="C8749" s="13" t="s">
        <v>511</v>
      </c>
      <c r="D8749" s="15">
        <v>9.0</v>
      </c>
      <c r="E8749" s="67">
        <f t="shared" si="20"/>
        <v>2250</v>
      </c>
      <c r="F8749" s="67" t="s">
        <v>3058</v>
      </c>
    </row>
    <row r="8750" hidden="1">
      <c r="A8750" s="6" t="s">
        <v>102</v>
      </c>
      <c r="B8750" s="13" t="s">
        <v>2939</v>
      </c>
      <c r="C8750" s="13" t="s">
        <v>2940</v>
      </c>
      <c r="D8750" s="15">
        <v>8.0</v>
      </c>
      <c r="E8750" s="67">
        <f t="shared" si="20"/>
        <v>2000</v>
      </c>
      <c r="F8750" s="67" t="s">
        <v>3059</v>
      </c>
    </row>
    <row r="8751" hidden="1">
      <c r="A8751" s="6" t="s">
        <v>102</v>
      </c>
      <c r="B8751" s="13" t="s">
        <v>3012</v>
      </c>
      <c r="C8751" s="13" t="s">
        <v>820</v>
      </c>
      <c r="D8751" s="15">
        <v>8.0</v>
      </c>
      <c r="E8751" s="67">
        <f t="shared" si="20"/>
        <v>2000</v>
      </c>
      <c r="F8751" s="67" t="s">
        <v>3059</v>
      </c>
    </row>
    <row r="8752" hidden="1">
      <c r="A8752" s="6" t="s">
        <v>102</v>
      </c>
      <c r="B8752" s="13" t="s">
        <v>560</v>
      </c>
      <c r="C8752" s="13" t="s">
        <v>561</v>
      </c>
      <c r="D8752" s="15">
        <v>8.0</v>
      </c>
      <c r="E8752" s="67">
        <f t="shared" si="20"/>
        <v>2000</v>
      </c>
      <c r="F8752" s="67" t="s">
        <v>3059</v>
      </c>
    </row>
    <row r="8753" hidden="1">
      <c r="A8753" s="6" t="s">
        <v>102</v>
      </c>
      <c r="B8753" s="13" t="s">
        <v>486</v>
      </c>
      <c r="C8753" s="13" t="s">
        <v>487</v>
      </c>
      <c r="D8753" s="15">
        <v>8.0</v>
      </c>
      <c r="E8753" s="67">
        <f t="shared" si="20"/>
        <v>2000</v>
      </c>
      <c r="F8753" s="67" t="s">
        <v>3059</v>
      </c>
    </row>
    <row r="8754" hidden="1">
      <c r="A8754" s="6" t="s">
        <v>102</v>
      </c>
      <c r="B8754" s="13" t="s">
        <v>443</v>
      </c>
      <c r="C8754" s="13" t="s">
        <v>444</v>
      </c>
      <c r="D8754" s="15">
        <v>8.0</v>
      </c>
      <c r="E8754" s="67">
        <f t="shared" si="20"/>
        <v>2000</v>
      </c>
      <c r="F8754" s="67" t="s">
        <v>3059</v>
      </c>
    </row>
    <row r="8755" hidden="1">
      <c r="A8755" s="6" t="s">
        <v>102</v>
      </c>
      <c r="B8755" s="13" t="s">
        <v>1442</v>
      </c>
      <c r="C8755" s="13" t="s">
        <v>749</v>
      </c>
      <c r="D8755" s="15">
        <v>8.0</v>
      </c>
      <c r="E8755" s="67">
        <f t="shared" si="20"/>
        <v>2000</v>
      </c>
      <c r="F8755" s="67" t="s">
        <v>3059</v>
      </c>
    </row>
    <row r="8756" hidden="1">
      <c r="A8756" s="6" t="s">
        <v>102</v>
      </c>
      <c r="B8756" s="13" t="s">
        <v>2677</v>
      </c>
      <c r="C8756" s="13" t="s">
        <v>2678</v>
      </c>
      <c r="D8756" s="15">
        <v>8.0</v>
      </c>
      <c r="E8756" s="67">
        <f t="shared" si="20"/>
        <v>2000</v>
      </c>
      <c r="F8756" s="67" t="s">
        <v>3059</v>
      </c>
    </row>
    <row r="8757" hidden="1">
      <c r="A8757" s="6" t="s">
        <v>102</v>
      </c>
      <c r="B8757" s="13" t="s">
        <v>1295</v>
      </c>
      <c r="C8757" s="13" t="s">
        <v>1296</v>
      </c>
      <c r="D8757" s="15">
        <v>8.0</v>
      </c>
      <c r="E8757" s="67">
        <f t="shared" si="20"/>
        <v>2000</v>
      </c>
      <c r="F8757" s="67" t="s">
        <v>3059</v>
      </c>
    </row>
    <row r="8758" hidden="1">
      <c r="A8758" s="6" t="s">
        <v>102</v>
      </c>
      <c r="B8758" s="13" t="s">
        <v>311</v>
      </c>
      <c r="C8758" s="13" t="s">
        <v>312</v>
      </c>
      <c r="D8758" s="15">
        <v>8.0</v>
      </c>
      <c r="E8758" s="67">
        <f t="shared" si="20"/>
        <v>2000</v>
      </c>
      <c r="F8758" s="67" t="s">
        <v>3059</v>
      </c>
    </row>
    <row r="8759" hidden="1">
      <c r="A8759" s="6" t="s">
        <v>102</v>
      </c>
      <c r="B8759" s="13" t="s">
        <v>3060</v>
      </c>
      <c r="C8759" s="13" t="s">
        <v>3061</v>
      </c>
      <c r="D8759" s="15">
        <v>7.0</v>
      </c>
      <c r="E8759" s="67">
        <f t="shared" si="20"/>
        <v>1750</v>
      </c>
      <c r="F8759" s="67" t="s">
        <v>3062</v>
      </c>
    </row>
    <row r="8760" hidden="1">
      <c r="A8760" s="6" t="s">
        <v>102</v>
      </c>
      <c r="B8760" s="13" t="s">
        <v>2762</v>
      </c>
      <c r="C8760" s="13" t="s">
        <v>2763</v>
      </c>
      <c r="D8760" s="15">
        <v>7.0</v>
      </c>
      <c r="E8760" s="67">
        <f t="shared" si="20"/>
        <v>1750</v>
      </c>
      <c r="F8760" s="67" t="s">
        <v>3062</v>
      </c>
    </row>
    <row r="8761" hidden="1">
      <c r="A8761" s="6" t="s">
        <v>102</v>
      </c>
      <c r="B8761" s="13" t="s">
        <v>1039</v>
      </c>
      <c r="C8761" s="13" t="s">
        <v>1040</v>
      </c>
      <c r="D8761" s="15">
        <v>7.0</v>
      </c>
      <c r="E8761" s="67">
        <f t="shared" si="20"/>
        <v>1750</v>
      </c>
      <c r="F8761" s="67" t="s">
        <v>3062</v>
      </c>
    </row>
    <row r="8762" hidden="1">
      <c r="A8762" s="6" t="s">
        <v>102</v>
      </c>
      <c r="B8762" s="13" t="s">
        <v>1998</v>
      </c>
      <c r="C8762" s="13" t="s">
        <v>1999</v>
      </c>
      <c r="D8762" s="15">
        <v>7.0</v>
      </c>
      <c r="E8762" s="67">
        <f t="shared" si="20"/>
        <v>1750</v>
      </c>
      <c r="F8762" s="67" t="s">
        <v>3062</v>
      </c>
    </row>
    <row r="8763" hidden="1">
      <c r="A8763" s="6" t="s">
        <v>102</v>
      </c>
      <c r="B8763" s="13" t="s">
        <v>1276</v>
      </c>
      <c r="C8763" s="13" t="s">
        <v>461</v>
      </c>
      <c r="D8763" s="15">
        <v>7.0</v>
      </c>
      <c r="E8763" s="67">
        <f t="shared" si="20"/>
        <v>1750</v>
      </c>
      <c r="F8763" s="67" t="s">
        <v>3062</v>
      </c>
    </row>
    <row r="8764" hidden="1">
      <c r="A8764" s="6" t="s">
        <v>102</v>
      </c>
      <c r="B8764" s="13" t="s">
        <v>628</v>
      </c>
      <c r="C8764" s="13" t="s">
        <v>629</v>
      </c>
      <c r="D8764" s="15">
        <v>7.0</v>
      </c>
      <c r="E8764" s="67">
        <f t="shared" si="20"/>
        <v>1750</v>
      </c>
      <c r="F8764" s="67" t="s">
        <v>3062</v>
      </c>
    </row>
    <row r="8765" hidden="1">
      <c r="A8765" s="6" t="s">
        <v>102</v>
      </c>
      <c r="B8765" s="13" t="s">
        <v>1448</v>
      </c>
      <c r="C8765" s="13" t="s">
        <v>1449</v>
      </c>
      <c r="D8765" s="15">
        <v>7.0</v>
      </c>
      <c r="E8765" s="67">
        <f t="shared" si="20"/>
        <v>1750</v>
      </c>
      <c r="F8765" s="67" t="s">
        <v>3062</v>
      </c>
    </row>
    <row r="8766" hidden="1">
      <c r="A8766" s="6" t="s">
        <v>102</v>
      </c>
      <c r="B8766" s="13" t="s">
        <v>2034</v>
      </c>
      <c r="C8766" s="13" t="s">
        <v>416</v>
      </c>
      <c r="D8766" s="15">
        <v>7.0</v>
      </c>
      <c r="E8766" s="67">
        <f t="shared" si="20"/>
        <v>1750</v>
      </c>
      <c r="F8766" s="67" t="s">
        <v>3062</v>
      </c>
    </row>
    <row r="8767" hidden="1">
      <c r="A8767" s="6" t="s">
        <v>102</v>
      </c>
      <c r="B8767" s="13" t="s">
        <v>494</v>
      </c>
      <c r="C8767" s="13" t="s">
        <v>495</v>
      </c>
      <c r="D8767" s="15">
        <v>7.0</v>
      </c>
      <c r="E8767" s="67">
        <f t="shared" si="20"/>
        <v>1750</v>
      </c>
      <c r="F8767" s="67" t="s">
        <v>3062</v>
      </c>
    </row>
    <row r="8768" hidden="1">
      <c r="A8768" s="6" t="s">
        <v>102</v>
      </c>
      <c r="B8768" s="13" t="s">
        <v>2947</v>
      </c>
      <c r="C8768" s="13" t="s">
        <v>2948</v>
      </c>
      <c r="D8768" s="15">
        <v>7.0</v>
      </c>
      <c r="E8768" s="67">
        <f t="shared" si="20"/>
        <v>1750</v>
      </c>
      <c r="F8768" s="67" t="s">
        <v>3062</v>
      </c>
    </row>
    <row r="8769" hidden="1">
      <c r="A8769" s="6" t="s">
        <v>102</v>
      </c>
      <c r="B8769" s="13" t="s">
        <v>803</v>
      </c>
      <c r="C8769" s="13" t="s">
        <v>804</v>
      </c>
      <c r="D8769" s="15">
        <v>7.0</v>
      </c>
      <c r="E8769" s="67">
        <f t="shared" si="20"/>
        <v>1750</v>
      </c>
      <c r="F8769" s="67" t="s">
        <v>3062</v>
      </c>
    </row>
    <row r="8770" hidden="1">
      <c r="A8770" s="6" t="s">
        <v>102</v>
      </c>
      <c r="B8770" s="13" t="s">
        <v>590</v>
      </c>
      <c r="C8770" s="13" t="s">
        <v>591</v>
      </c>
      <c r="D8770" s="15">
        <v>7.0</v>
      </c>
      <c r="E8770" s="67">
        <f t="shared" si="20"/>
        <v>1750</v>
      </c>
      <c r="F8770" s="67" t="s">
        <v>3062</v>
      </c>
    </row>
    <row r="8771" hidden="1">
      <c r="A8771" s="6" t="s">
        <v>102</v>
      </c>
      <c r="B8771" s="13" t="s">
        <v>1333</v>
      </c>
      <c r="C8771" s="13" t="s">
        <v>551</v>
      </c>
      <c r="D8771" s="15">
        <v>7.0</v>
      </c>
      <c r="E8771" s="67">
        <f t="shared" si="20"/>
        <v>1750</v>
      </c>
      <c r="F8771" s="67" t="s">
        <v>3062</v>
      </c>
    </row>
    <row r="8772" hidden="1">
      <c r="A8772" s="6" t="s">
        <v>102</v>
      </c>
      <c r="B8772" s="13" t="s">
        <v>2268</v>
      </c>
      <c r="C8772" s="13" t="s">
        <v>2269</v>
      </c>
      <c r="D8772" s="15">
        <v>7.0</v>
      </c>
      <c r="E8772" s="67">
        <f t="shared" si="20"/>
        <v>1750</v>
      </c>
      <c r="F8772" s="67" t="s">
        <v>3062</v>
      </c>
    </row>
    <row r="8773" hidden="1">
      <c r="A8773" s="6" t="s">
        <v>102</v>
      </c>
      <c r="B8773" s="13" t="s">
        <v>624</v>
      </c>
      <c r="C8773" s="13" t="s">
        <v>625</v>
      </c>
      <c r="D8773" s="15">
        <v>7.0</v>
      </c>
      <c r="E8773" s="67">
        <f t="shared" si="20"/>
        <v>1750</v>
      </c>
      <c r="F8773" s="67" t="s">
        <v>3062</v>
      </c>
    </row>
    <row r="8774" hidden="1">
      <c r="A8774" s="6" t="s">
        <v>102</v>
      </c>
      <c r="B8774" s="13" t="s">
        <v>258</v>
      </c>
      <c r="C8774" s="13" t="s">
        <v>2386</v>
      </c>
      <c r="D8774" s="15">
        <v>7.0</v>
      </c>
      <c r="E8774" s="67">
        <f t="shared" si="20"/>
        <v>1750</v>
      </c>
      <c r="F8774" s="67" t="s">
        <v>3062</v>
      </c>
    </row>
    <row r="8775" hidden="1">
      <c r="A8775" s="6" t="s">
        <v>102</v>
      </c>
      <c r="B8775" s="13" t="s">
        <v>2589</v>
      </c>
      <c r="C8775" s="13" t="s">
        <v>2590</v>
      </c>
      <c r="D8775" s="15">
        <v>7.0</v>
      </c>
      <c r="E8775" s="67">
        <f t="shared" si="20"/>
        <v>1750</v>
      </c>
      <c r="F8775" s="67" t="s">
        <v>3062</v>
      </c>
    </row>
    <row r="8776" hidden="1">
      <c r="A8776" s="6" t="s">
        <v>102</v>
      </c>
      <c r="B8776" s="13" t="s">
        <v>576</v>
      </c>
      <c r="C8776" s="13" t="s">
        <v>577</v>
      </c>
      <c r="D8776" s="15">
        <v>6.0</v>
      </c>
      <c r="E8776" s="67">
        <f t="shared" si="20"/>
        <v>1500</v>
      </c>
      <c r="F8776" s="67" t="s">
        <v>3063</v>
      </c>
    </row>
    <row r="8777" hidden="1">
      <c r="A8777" s="6" t="s">
        <v>102</v>
      </c>
      <c r="B8777" s="13" t="s">
        <v>3064</v>
      </c>
      <c r="C8777" s="13" t="s">
        <v>3065</v>
      </c>
      <c r="D8777" s="15">
        <v>6.0</v>
      </c>
      <c r="E8777" s="67">
        <f t="shared" si="20"/>
        <v>1500</v>
      </c>
      <c r="F8777" s="67" t="s">
        <v>3063</v>
      </c>
    </row>
    <row r="8778" hidden="1">
      <c r="A8778" s="6" t="s">
        <v>102</v>
      </c>
      <c r="B8778" s="13" t="s">
        <v>1291</v>
      </c>
      <c r="C8778" s="13" t="s">
        <v>422</v>
      </c>
      <c r="D8778" s="15">
        <v>6.0</v>
      </c>
      <c r="E8778" s="67">
        <f t="shared" si="20"/>
        <v>1500</v>
      </c>
      <c r="F8778" s="67" t="s">
        <v>3063</v>
      </c>
    </row>
    <row r="8779" hidden="1">
      <c r="A8779" s="6" t="s">
        <v>102</v>
      </c>
      <c r="B8779" s="13" t="s">
        <v>1301</v>
      </c>
      <c r="C8779" s="13" t="s">
        <v>1302</v>
      </c>
      <c r="D8779" s="15">
        <v>6.0</v>
      </c>
      <c r="E8779" s="67">
        <f t="shared" si="20"/>
        <v>1500</v>
      </c>
      <c r="F8779" s="67" t="s">
        <v>3063</v>
      </c>
    </row>
    <row r="8780" hidden="1">
      <c r="A8780" s="6" t="s">
        <v>102</v>
      </c>
      <c r="B8780" s="13" t="s">
        <v>1461</v>
      </c>
      <c r="C8780" s="13" t="s">
        <v>1462</v>
      </c>
      <c r="D8780" s="15">
        <v>6.0</v>
      </c>
      <c r="E8780" s="67">
        <f t="shared" si="20"/>
        <v>1500</v>
      </c>
      <c r="F8780" s="67" t="s">
        <v>3063</v>
      </c>
    </row>
    <row r="8781" hidden="1">
      <c r="A8781" s="6" t="s">
        <v>102</v>
      </c>
      <c r="B8781" s="13" t="s">
        <v>2473</v>
      </c>
      <c r="C8781" s="13" t="s">
        <v>2474</v>
      </c>
      <c r="D8781" s="15">
        <v>6.0</v>
      </c>
      <c r="E8781" s="67">
        <f t="shared" si="20"/>
        <v>1500</v>
      </c>
      <c r="F8781" s="67" t="s">
        <v>3063</v>
      </c>
    </row>
    <row r="8782" hidden="1">
      <c r="A8782" s="6" t="s">
        <v>102</v>
      </c>
      <c r="B8782" s="13" t="s">
        <v>1299</v>
      </c>
      <c r="C8782" s="13" t="s">
        <v>1300</v>
      </c>
      <c r="D8782" s="15">
        <v>6.0</v>
      </c>
      <c r="E8782" s="67">
        <f t="shared" si="20"/>
        <v>1500</v>
      </c>
      <c r="F8782" s="67" t="s">
        <v>3063</v>
      </c>
    </row>
    <row r="8783" hidden="1">
      <c r="A8783" s="6" t="s">
        <v>102</v>
      </c>
      <c r="B8783" s="13" t="s">
        <v>682</v>
      </c>
      <c r="C8783" s="13" t="s">
        <v>683</v>
      </c>
      <c r="D8783" s="15">
        <v>6.0</v>
      </c>
      <c r="E8783" s="67">
        <f t="shared" si="20"/>
        <v>1500</v>
      </c>
      <c r="F8783" s="67" t="s">
        <v>3063</v>
      </c>
    </row>
    <row r="8784" hidden="1">
      <c r="A8784" s="6" t="s">
        <v>102</v>
      </c>
      <c r="B8784" s="13" t="s">
        <v>502</v>
      </c>
      <c r="C8784" s="13" t="s">
        <v>503</v>
      </c>
      <c r="D8784" s="15">
        <v>6.0</v>
      </c>
      <c r="E8784" s="67">
        <f t="shared" si="20"/>
        <v>1500</v>
      </c>
      <c r="F8784" s="67" t="s">
        <v>3063</v>
      </c>
    </row>
    <row r="8785" hidden="1">
      <c r="A8785" s="6" t="s">
        <v>102</v>
      </c>
      <c r="B8785" s="13" t="s">
        <v>2749</v>
      </c>
      <c r="C8785" s="13" t="s">
        <v>2750</v>
      </c>
      <c r="D8785" s="15">
        <v>6.0</v>
      </c>
      <c r="E8785" s="67">
        <f t="shared" si="20"/>
        <v>1500</v>
      </c>
      <c r="F8785" s="67" t="s">
        <v>3063</v>
      </c>
    </row>
    <row r="8786" hidden="1">
      <c r="A8786" s="6" t="s">
        <v>102</v>
      </c>
      <c r="B8786" s="13" t="s">
        <v>234</v>
      </c>
      <c r="C8786" s="13" t="s">
        <v>2770</v>
      </c>
      <c r="D8786" s="15">
        <v>6.0</v>
      </c>
      <c r="E8786" s="67">
        <f t="shared" si="20"/>
        <v>1500</v>
      </c>
      <c r="F8786" s="67" t="s">
        <v>3063</v>
      </c>
    </row>
    <row r="8787" hidden="1">
      <c r="A8787" s="6" t="s">
        <v>102</v>
      </c>
      <c r="B8787" s="13" t="s">
        <v>524</v>
      </c>
      <c r="C8787" s="13" t="s">
        <v>525</v>
      </c>
      <c r="D8787" s="15">
        <v>6.0</v>
      </c>
      <c r="E8787" s="67">
        <f t="shared" si="20"/>
        <v>1500</v>
      </c>
      <c r="F8787" s="67" t="s">
        <v>3063</v>
      </c>
    </row>
    <row r="8788" hidden="1">
      <c r="A8788" s="6" t="s">
        <v>102</v>
      </c>
      <c r="B8788" s="13" t="s">
        <v>1373</v>
      </c>
      <c r="C8788" s="13" t="s">
        <v>1374</v>
      </c>
      <c r="D8788" s="15">
        <v>6.0</v>
      </c>
      <c r="E8788" s="67">
        <f t="shared" si="20"/>
        <v>1500</v>
      </c>
      <c r="F8788" s="67" t="s">
        <v>3063</v>
      </c>
    </row>
    <row r="8789" hidden="1">
      <c r="A8789" s="6" t="s">
        <v>102</v>
      </c>
      <c r="B8789" s="13" t="s">
        <v>2785</v>
      </c>
      <c r="C8789" s="13" t="s">
        <v>2786</v>
      </c>
      <c r="D8789" s="15">
        <v>6.0</v>
      </c>
      <c r="E8789" s="67">
        <f t="shared" si="20"/>
        <v>1500</v>
      </c>
      <c r="F8789" s="67" t="s">
        <v>3063</v>
      </c>
    </row>
    <row r="8790" hidden="1">
      <c r="A8790" s="6" t="s">
        <v>102</v>
      </c>
      <c r="B8790" s="13" t="s">
        <v>2012</v>
      </c>
      <c r="C8790" s="13" t="s">
        <v>2013</v>
      </c>
      <c r="D8790" s="15">
        <v>6.0</v>
      </c>
      <c r="E8790" s="67">
        <f t="shared" si="20"/>
        <v>1500</v>
      </c>
      <c r="F8790" s="67" t="s">
        <v>3063</v>
      </c>
    </row>
    <row r="8791" hidden="1">
      <c r="A8791" s="6" t="s">
        <v>102</v>
      </c>
      <c r="B8791" s="13" t="s">
        <v>1351</v>
      </c>
      <c r="C8791" s="13" t="s">
        <v>1352</v>
      </c>
      <c r="D8791" s="15">
        <v>6.0</v>
      </c>
      <c r="E8791" s="67">
        <f t="shared" si="20"/>
        <v>1500</v>
      </c>
      <c r="F8791" s="67" t="s">
        <v>3063</v>
      </c>
    </row>
    <row r="8792" hidden="1">
      <c r="A8792" s="6" t="s">
        <v>102</v>
      </c>
      <c r="B8792" s="13" t="s">
        <v>1037</v>
      </c>
      <c r="C8792" s="13" t="s">
        <v>1038</v>
      </c>
      <c r="D8792" s="15">
        <v>5.0</v>
      </c>
      <c r="E8792" s="67">
        <f t="shared" si="20"/>
        <v>1250</v>
      </c>
      <c r="F8792" s="67" t="s">
        <v>3066</v>
      </c>
    </row>
    <row r="8793" hidden="1">
      <c r="A8793" s="6" t="s">
        <v>102</v>
      </c>
      <c r="B8793" s="13" t="s">
        <v>3045</v>
      </c>
      <c r="C8793" s="13" t="s">
        <v>3046</v>
      </c>
      <c r="D8793" s="15">
        <v>5.0</v>
      </c>
      <c r="E8793" s="67">
        <f t="shared" si="20"/>
        <v>1250</v>
      </c>
      <c r="F8793" s="67" t="s">
        <v>3066</v>
      </c>
    </row>
    <row r="8794" hidden="1">
      <c r="A8794" s="6" t="s">
        <v>102</v>
      </c>
      <c r="B8794" s="13" t="s">
        <v>2299</v>
      </c>
      <c r="C8794" s="13" t="s">
        <v>2300</v>
      </c>
      <c r="D8794" s="15">
        <v>5.0</v>
      </c>
      <c r="E8794" s="67">
        <f t="shared" si="20"/>
        <v>1250</v>
      </c>
      <c r="F8794" s="67" t="s">
        <v>3066</v>
      </c>
    </row>
    <row r="8795" hidden="1">
      <c r="A8795" s="6" t="s">
        <v>102</v>
      </c>
      <c r="B8795" s="13" t="s">
        <v>1919</v>
      </c>
      <c r="C8795" s="13" t="s">
        <v>2816</v>
      </c>
      <c r="D8795" s="15">
        <v>5.0</v>
      </c>
      <c r="E8795" s="67">
        <f t="shared" si="20"/>
        <v>1250</v>
      </c>
      <c r="F8795" s="67" t="s">
        <v>3066</v>
      </c>
    </row>
    <row r="8796" hidden="1">
      <c r="A8796" s="6" t="s">
        <v>102</v>
      </c>
      <c r="B8796" s="13" t="s">
        <v>1408</v>
      </c>
      <c r="C8796" s="13" t="s">
        <v>675</v>
      </c>
      <c r="D8796" s="15">
        <v>5.0</v>
      </c>
      <c r="E8796" s="67">
        <f t="shared" si="20"/>
        <v>1250</v>
      </c>
      <c r="F8796" s="67" t="s">
        <v>3066</v>
      </c>
    </row>
    <row r="8797" hidden="1">
      <c r="A8797" s="6" t="s">
        <v>102</v>
      </c>
      <c r="B8797" s="13" t="s">
        <v>582</v>
      </c>
      <c r="C8797" s="13" t="s">
        <v>583</v>
      </c>
      <c r="D8797" s="15">
        <v>5.0</v>
      </c>
      <c r="E8797" s="67">
        <f t="shared" si="20"/>
        <v>1250</v>
      </c>
      <c r="F8797" s="67" t="s">
        <v>3066</v>
      </c>
    </row>
    <row r="8798" hidden="1">
      <c r="A8798" s="6" t="s">
        <v>102</v>
      </c>
      <c r="B8798" s="13" t="s">
        <v>3035</v>
      </c>
      <c r="C8798" s="13" t="s">
        <v>3036</v>
      </c>
      <c r="D8798" s="15">
        <v>5.0</v>
      </c>
      <c r="E8798" s="67">
        <f t="shared" si="20"/>
        <v>1250</v>
      </c>
      <c r="F8798" s="67" t="s">
        <v>3066</v>
      </c>
    </row>
    <row r="8799" hidden="1">
      <c r="A8799" s="6" t="s">
        <v>102</v>
      </c>
      <c r="B8799" s="13" t="s">
        <v>656</v>
      </c>
      <c r="C8799" s="13" t="s">
        <v>657</v>
      </c>
      <c r="D8799" s="15">
        <v>5.0</v>
      </c>
      <c r="E8799" s="67">
        <f t="shared" si="20"/>
        <v>1250</v>
      </c>
      <c r="F8799" s="67" t="s">
        <v>3066</v>
      </c>
    </row>
    <row r="8800" hidden="1">
      <c r="A8800" s="6" t="s">
        <v>102</v>
      </c>
      <c r="B8800" s="13" t="s">
        <v>2987</v>
      </c>
      <c r="C8800" s="13" t="s">
        <v>2988</v>
      </c>
      <c r="D8800" s="15">
        <v>5.0</v>
      </c>
      <c r="E8800" s="67">
        <f t="shared" si="20"/>
        <v>1250</v>
      </c>
      <c r="F8800" s="67" t="s">
        <v>3066</v>
      </c>
    </row>
    <row r="8801" hidden="1">
      <c r="A8801" s="6" t="s">
        <v>102</v>
      </c>
      <c r="B8801" s="13" t="s">
        <v>1712</v>
      </c>
      <c r="C8801" s="13" t="s">
        <v>2900</v>
      </c>
      <c r="D8801" s="15">
        <v>5.0</v>
      </c>
      <c r="E8801" s="67">
        <f t="shared" si="20"/>
        <v>1250</v>
      </c>
      <c r="F8801" s="67" t="s">
        <v>3066</v>
      </c>
    </row>
    <row r="8802" hidden="1">
      <c r="A8802" s="6" t="s">
        <v>102</v>
      </c>
      <c r="B8802" s="13" t="s">
        <v>1897</v>
      </c>
      <c r="C8802" s="13" t="s">
        <v>2460</v>
      </c>
      <c r="D8802" s="15">
        <v>5.0</v>
      </c>
      <c r="E8802" s="67">
        <f t="shared" si="20"/>
        <v>1250</v>
      </c>
      <c r="F8802" s="67" t="s">
        <v>3066</v>
      </c>
    </row>
    <row r="8803" hidden="1">
      <c r="A8803" s="6" t="s">
        <v>102</v>
      </c>
      <c r="B8803" s="13" t="s">
        <v>2927</v>
      </c>
      <c r="C8803" s="13" t="s">
        <v>2928</v>
      </c>
      <c r="D8803" s="15">
        <v>5.0</v>
      </c>
      <c r="E8803" s="67">
        <f t="shared" si="20"/>
        <v>1250</v>
      </c>
      <c r="F8803" s="67" t="s">
        <v>3066</v>
      </c>
    </row>
    <row r="8804" hidden="1">
      <c r="A8804" s="6" t="s">
        <v>102</v>
      </c>
      <c r="B8804" s="13" t="s">
        <v>2747</v>
      </c>
      <c r="C8804" s="13" t="s">
        <v>2748</v>
      </c>
      <c r="D8804" s="15">
        <v>5.0</v>
      </c>
      <c r="E8804" s="67">
        <f t="shared" si="20"/>
        <v>1250</v>
      </c>
      <c r="F8804" s="67" t="s">
        <v>3066</v>
      </c>
    </row>
    <row r="8805" hidden="1">
      <c r="A8805" s="6" t="s">
        <v>102</v>
      </c>
      <c r="B8805" s="13" t="s">
        <v>445</v>
      </c>
      <c r="C8805" s="13" t="s">
        <v>446</v>
      </c>
      <c r="D8805" s="15">
        <v>5.0</v>
      </c>
      <c r="E8805" s="67">
        <f t="shared" si="20"/>
        <v>1250</v>
      </c>
      <c r="F8805" s="67" t="s">
        <v>3066</v>
      </c>
    </row>
    <row r="8806" hidden="1">
      <c r="A8806" s="6" t="s">
        <v>102</v>
      </c>
      <c r="B8806" s="13" t="s">
        <v>2683</v>
      </c>
      <c r="C8806" s="13" t="s">
        <v>2684</v>
      </c>
      <c r="D8806" s="15">
        <v>4.0</v>
      </c>
      <c r="E8806" s="67">
        <f t="shared" si="20"/>
        <v>1000</v>
      </c>
      <c r="F8806" s="67" t="s">
        <v>3067</v>
      </c>
    </row>
    <row r="8807" hidden="1">
      <c r="A8807" s="6" t="s">
        <v>102</v>
      </c>
      <c r="B8807" s="13" t="s">
        <v>922</v>
      </c>
      <c r="C8807" s="13" t="s">
        <v>923</v>
      </c>
      <c r="D8807" s="15">
        <v>4.0</v>
      </c>
      <c r="E8807" s="67">
        <f t="shared" si="20"/>
        <v>1000</v>
      </c>
      <c r="F8807" s="67" t="s">
        <v>3067</v>
      </c>
    </row>
    <row r="8808" hidden="1">
      <c r="A8808" s="6" t="s">
        <v>102</v>
      </c>
      <c r="B8808" s="13" t="s">
        <v>1380</v>
      </c>
      <c r="C8808" s="13" t="s">
        <v>1381</v>
      </c>
      <c r="D8808" s="15">
        <v>4.0</v>
      </c>
      <c r="E8808" s="67">
        <f t="shared" si="20"/>
        <v>1000</v>
      </c>
      <c r="F8808" s="67" t="s">
        <v>3067</v>
      </c>
    </row>
    <row r="8809" hidden="1">
      <c r="A8809" s="6" t="s">
        <v>102</v>
      </c>
      <c r="B8809" s="13" t="s">
        <v>1356</v>
      </c>
      <c r="C8809" s="13" t="s">
        <v>581</v>
      </c>
      <c r="D8809" s="15">
        <v>4.0</v>
      </c>
      <c r="E8809" s="67">
        <f t="shared" si="20"/>
        <v>1000</v>
      </c>
      <c r="F8809" s="67" t="s">
        <v>3067</v>
      </c>
    </row>
    <row r="8810" hidden="1">
      <c r="A8810" s="6" t="s">
        <v>102</v>
      </c>
      <c r="B8810" s="13" t="s">
        <v>2919</v>
      </c>
      <c r="C8810" s="13" t="s">
        <v>2920</v>
      </c>
      <c r="D8810" s="15">
        <v>4.0</v>
      </c>
      <c r="E8810" s="67">
        <f t="shared" si="20"/>
        <v>1000</v>
      </c>
      <c r="F8810" s="67" t="s">
        <v>3067</v>
      </c>
    </row>
    <row r="8811" hidden="1">
      <c r="A8811" s="6" t="s">
        <v>102</v>
      </c>
      <c r="B8811" s="13" t="s">
        <v>2828</v>
      </c>
      <c r="C8811" s="13" t="s">
        <v>2829</v>
      </c>
      <c r="D8811" s="15">
        <v>4.0</v>
      </c>
      <c r="E8811" s="67">
        <f t="shared" si="20"/>
        <v>1000</v>
      </c>
      <c r="F8811" s="67" t="s">
        <v>3067</v>
      </c>
    </row>
    <row r="8812" hidden="1">
      <c r="A8812" s="6" t="s">
        <v>102</v>
      </c>
      <c r="B8812" s="13" t="s">
        <v>2885</v>
      </c>
      <c r="C8812" s="13" t="s">
        <v>2886</v>
      </c>
      <c r="D8812" s="15">
        <v>4.0</v>
      </c>
      <c r="E8812" s="67">
        <f t="shared" si="20"/>
        <v>1000</v>
      </c>
      <c r="F8812" s="67" t="s">
        <v>3067</v>
      </c>
    </row>
    <row r="8813" hidden="1">
      <c r="A8813" s="6" t="s">
        <v>102</v>
      </c>
      <c r="B8813" s="13" t="s">
        <v>2913</v>
      </c>
      <c r="C8813" s="13" t="s">
        <v>2914</v>
      </c>
      <c r="D8813" s="15">
        <v>4.0</v>
      </c>
      <c r="E8813" s="67">
        <f t="shared" si="20"/>
        <v>1000</v>
      </c>
      <c r="F8813" s="67" t="s">
        <v>3067</v>
      </c>
    </row>
    <row r="8814" hidden="1">
      <c r="A8814" s="6" t="s">
        <v>102</v>
      </c>
      <c r="B8814" s="13" t="s">
        <v>1375</v>
      </c>
      <c r="C8814" s="13" t="s">
        <v>647</v>
      </c>
      <c r="D8814" s="15">
        <v>4.0</v>
      </c>
      <c r="E8814" s="67">
        <f t="shared" si="20"/>
        <v>1000</v>
      </c>
      <c r="F8814" s="67" t="s">
        <v>3067</v>
      </c>
    </row>
    <row r="8815" hidden="1">
      <c r="A8815" s="6" t="s">
        <v>102</v>
      </c>
      <c r="B8815" s="13" t="s">
        <v>1393</v>
      </c>
      <c r="C8815" s="13" t="s">
        <v>1394</v>
      </c>
      <c r="D8815" s="15">
        <v>4.0</v>
      </c>
      <c r="E8815" s="67">
        <f t="shared" si="20"/>
        <v>1000</v>
      </c>
      <c r="F8815" s="67" t="s">
        <v>3067</v>
      </c>
    </row>
    <row r="8816" hidden="1">
      <c r="A8816" s="6" t="s">
        <v>102</v>
      </c>
      <c r="B8816" s="13" t="s">
        <v>572</v>
      </c>
      <c r="C8816" s="13" t="s">
        <v>573</v>
      </c>
      <c r="D8816" s="15">
        <v>4.0</v>
      </c>
      <c r="E8816" s="67">
        <f t="shared" si="20"/>
        <v>1000</v>
      </c>
      <c r="F8816" s="67" t="s">
        <v>3067</v>
      </c>
    </row>
    <row r="8817" hidden="1">
      <c r="A8817" s="6" t="s">
        <v>102</v>
      </c>
      <c r="B8817" s="13" t="s">
        <v>725</v>
      </c>
      <c r="C8817" s="13" t="s">
        <v>726</v>
      </c>
      <c r="D8817" s="15">
        <v>4.0</v>
      </c>
      <c r="E8817" s="67">
        <f t="shared" si="20"/>
        <v>1000</v>
      </c>
      <c r="F8817" s="67" t="s">
        <v>3067</v>
      </c>
    </row>
    <row r="8818" hidden="1">
      <c r="A8818" s="6" t="s">
        <v>102</v>
      </c>
      <c r="B8818" s="13" t="s">
        <v>315</v>
      </c>
      <c r="C8818" s="13" t="s">
        <v>2819</v>
      </c>
      <c r="D8818" s="15">
        <v>4.0</v>
      </c>
      <c r="E8818" s="67">
        <f t="shared" si="20"/>
        <v>1000</v>
      </c>
      <c r="F8818" s="67" t="s">
        <v>3067</v>
      </c>
    </row>
    <row r="8819" hidden="1">
      <c r="A8819" s="6" t="s">
        <v>102</v>
      </c>
      <c r="B8819" s="13" t="s">
        <v>3037</v>
      </c>
      <c r="C8819" s="13" t="s">
        <v>3038</v>
      </c>
      <c r="D8819" s="15">
        <v>4.0</v>
      </c>
      <c r="E8819" s="67">
        <f t="shared" si="20"/>
        <v>1000</v>
      </c>
      <c r="F8819" s="67" t="s">
        <v>3067</v>
      </c>
    </row>
    <row r="8820" hidden="1">
      <c r="A8820" s="6" t="s">
        <v>102</v>
      </c>
      <c r="B8820" s="13" t="s">
        <v>2360</v>
      </c>
      <c r="C8820" s="13" t="s">
        <v>2361</v>
      </c>
      <c r="D8820" s="15">
        <v>4.0</v>
      </c>
      <c r="E8820" s="67">
        <f t="shared" si="20"/>
        <v>1000</v>
      </c>
      <c r="F8820" s="67" t="s">
        <v>3067</v>
      </c>
    </row>
    <row r="8821" hidden="1">
      <c r="A8821" s="6" t="s">
        <v>102</v>
      </c>
      <c r="B8821" s="13" t="s">
        <v>307</v>
      </c>
      <c r="C8821" s="13" t="s">
        <v>692</v>
      </c>
      <c r="D8821" s="15">
        <v>4.0</v>
      </c>
      <c r="E8821" s="67">
        <f t="shared" si="20"/>
        <v>1000</v>
      </c>
      <c r="F8821" s="67" t="s">
        <v>3067</v>
      </c>
    </row>
    <row r="8822" hidden="1">
      <c r="A8822" s="6" t="s">
        <v>102</v>
      </c>
      <c r="B8822" s="13" t="s">
        <v>532</v>
      </c>
      <c r="C8822" s="13" t="s">
        <v>533</v>
      </c>
      <c r="D8822" s="15">
        <v>4.0</v>
      </c>
      <c r="E8822" s="67">
        <f t="shared" si="20"/>
        <v>1000</v>
      </c>
      <c r="F8822" s="67" t="s">
        <v>3067</v>
      </c>
    </row>
    <row r="8823" hidden="1">
      <c r="A8823" s="6" t="s">
        <v>102</v>
      </c>
      <c r="B8823" s="13" t="s">
        <v>1955</v>
      </c>
      <c r="C8823" s="13" t="s">
        <v>1956</v>
      </c>
      <c r="D8823" s="15">
        <v>4.0</v>
      </c>
      <c r="E8823" s="67">
        <f t="shared" si="20"/>
        <v>1000</v>
      </c>
      <c r="F8823" s="67" t="s">
        <v>3067</v>
      </c>
    </row>
    <row r="8824" hidden="1">
      <c r="A8824" s="6" t="s">
        <v>102</v>
      </c>
      <c r="B8824" s="13" t="s">
        <v>1923</v>
      </c>
      <c r="C8824" s="13" t="s">
        <v>1924</v>
      </c>
      <c r="D8824" s="15">
        <v>4.0</v>
      </c>
      <c r="E8824" s="67">
        <f t="shared" si="20"/>
        <v>1000</v>
      </c>
      <c r="F8824" s="67" t="s">
        <v>3067</v>
      </c>
    </row>
    <row r="8825" hidden="1">
      <c r="A8825" s="6" t="s">
        <v>102</v>
      </c>
      <c r="B8825" s="13" t="s">
        <v>2965</v>
      </c>
      <c r="C8825" s="13" t="s">
        <v>2966</v>
      </c>
      <c r="D8825" s="15">
        <v>4.0</v>
      </c>
      <c r="E8825" s="67">
        <f t="shared" si="20"/>
        <v>1000</v>
      </c>
      <c r="F8825" s="67" t="s">
        <v>3067</v>
      </c>
    </row>
    <row r="8826" hidden="1">
      <c r="A8826" s="6" t="s">
        <v>102</v>
      </c>
      <c r="B8826" s="13" t="s">
        <v>622</v>
      </c>
      <c r="C8826" s="13" t="s">
        <v>623</v>
      </c>
      <c r="D8826" s="15">
        <v>4.0</v>
      </c>
      <c r="E8826" s="67">
        <f t="shared" si="20"/>
        <v>1000</v>
      </c>
      <c r="F8826" s="67" t="s">
        <v>3067</v>
      </c>
    </row>
    <row r="8827" hidden="1">
      <c r="A8827" s="6" t="s">
        <v>102</v>
      </c>
      <c r="B8827" s="13" t="s">
        <v>1283</v>
      </c>
      <c r="C8827" s="13" t="s">
        <v>404</v>
      </c>
      <c r="D8827" s="15">
        <v>4.0</v>
      </c>
      <c r="E8827" s="67">
        <f t="shared" si="20"/>
        <v>1000</v>
      </c>
      <c r="F8827" s="67" t="s">
        <v>3067</v>
      </c>
    </row>
    <row r="8828" hidden="1">
      <c r="A8828" s="6" t="s">
        <v>102</v>
      </c>
      <c r="B8828" s="13" t="s">
        <v>3068</v>
      </c>
      <c r="C8828" s="13" t="s">
        <v>3069</v>
      </c>
      <c r="D8828" s="15">
        <v>4.0</v>
      </c>
      <c r="E8828" s="67">
        <f t="shared" si="20"/>
        <v>1000</v>
      </c>
      <c r="F8828" s="67" t="s">
        <v>3067</v>
      </c>
    </row>
    <row r="8829" hidden="1">
      <c r="A8829" s="6" t="s">
        <v>102</v>
      </c>
      <c r="B8829" s="13" t="s">
        <v>3004</v>
      </c>
      <c r="C8829" s="13" t="s">
        <v>3005</v>
      </c>
      <c r="D8829" s="15">
        <v>3.0</v>
      </c>
      <c r="E8829" s="67">
        <f t="shared" si="20"/>
        <v>750</v>
      </c>
      <c r="F8829" s="67" t="s">
        <v>3070</v>
      </c>
    </row>
    <row r="8830" hidden="1">
      <c r="A8830" s="6" t="s">
        <v>102</v>
      </c>
      <c r="B8830" s="13" t="s">
        <v>447</v>
      </c>
      <c r="C8830" s="13" t="s">
        <v>448</v>
      </c>
      <c r="D8830" s="15">
        <v>3.0</v>
      </c>
      <c r="E8830" s="67">
        <f t="shared" si="20"/>
        <v>750</v>
      </c>
      <c r="F8830" s="67" t="s">
        <v>3070</v>
      </c>
    </row>
    <row r="8831" hidden="1">
      <c r="A8831" s="6" t="s">
        <v>102</v>
      </c>
      <c r="B8831" s="13" t="s">
        <v>596</v>
      </c>
      <c r="C8831" s="13" t="s">
        <v>597</v>
      </c>
      <c r="D8831" s="15">
        <v>3.0</v>
      </c>
      <c r="E8831" s="67">
        <f t="shared" si="20"/>
        <v>750</v>
      </c>
      <c r="F8831" s="67" t="s">
        <v>3070</v>
      </c>
    </row>
    <row r="8832" hidden="1">
      <c r="A8832" s="6" t="s">
        <v>102</v>
      </c>
      <c r="B8832" s="13" t="s">
        <v>744</v>
      </c>
      <c r="C8832" s="13" t="s">
        <v>745</v>
      </c>
      <c r="D8832" s="15">
        <v>3.0</v>
      </c>
      <c r="E8832" s="67">
        <f t="shared" si="20"/>
        <v>750</v>
      </c>
      <c r="F8832" s="67" t="s">
        <v>3070</v>
      </c>
    </row>
    <row r="8833" hidden="1">
      <c r="A8833" s="6" t="s">
        <v>102</v>
      </c>
      <c r="B8833" s="13" t="s">
        <v>1278</v>
      </c>
      <c r="C8833" s="13" t="s">
        <v>549</v>
      </c>
      <c r="D8833" s="15">
        <v>3.0</v>
      </c>
      <c r="E8833" s="67">
        <f t="shared" si="20"/>
        <v>750</v>
      </c>
      <c r="F8833" s="67" t="s">
        <v>3070</v>
      </c>
    </row>
    <row r="8834" hidden="1">
      <c r="A8834" s="6" t="s">
        <v>102</v>
      </c>
      <c r="B8834" s="13" t="s">
        <v>462</v>
      </c>
      <c r="C8834" s="13" t="s">
        <v>463</v>
      </c>
      <c r="D8834" s="15">
        <v>3.0</v>
      </c>
      <c r="E8834" s="67">
        <f t="shared" si="20"/>
        <v>750</v>
      </c>
      <c r="F8834" s="67" t="s">
        <v>3070</v>
      </c>
    </row>
    <row r="8835" hidden="1">
      <c r="A8835" s="6" t="s">
        <v>102</v>
      </c>
      <c r="B8835" s="13" t="s">
        <v>451</v>
      </c>
      <c r="C8835" s="13" t="s">
        <v>452</v>
      </c>
      <c r="D8835" s="15">
        <v>3.0</v>
      </c>
      <c r="E8835" s="67">
        <f t="shared" si="20"/>
        <v>750</v>
      </c>
      <c r="F8835" s="67" t="s">
        <v>3070</v>
      </c>
    </row>
    <row r="8836" hidden="1">
      <c r="A8836" s="6" t="s">
        <v>102</v>
      </c>
      <c r="B8836" s="13" t="s">
        <v>2911</v>
      </c>
      <c r="C8836" s="13" t="s">
        <v>2912</v>
      </c>
      <c r="D8836" s="15">
        <v>3.0</v>
      </c>
      <c r="E8836" s="67">
        <f t="shared" si="20"/>
        <v>750</v>
      </c>
      <c r="F8836" s="67" t="s">
        <v>3070</v>
      </c>
    </row>
    <row r="8837" hidden="1">
      <c r="A8837" s="6" t="s">
        <v>102</v>
      </c>
      <c r="B8837" s="13" t="s">
        <v>823</v>
      </c>
      <c r="C8837" s="13" t="s">
        <v>824</v>
      </c>
      <c r="D8837" s="15">
        <v>3.0</v>
      </c>
      <c r="E8837" s="67">
        <f t="shared" si="20"/>
        <v>750</v>
      </c>
      <c r="F8837" s="67" t="s">
        <v>3070</v>
      </c>
    </row>
    <row r="8838" hidden="1">
      <c r="A8838" s="6" t="s">
        <v>102</v>
      </c>
      <c r="B8838" s="13" t="s">
        <v>1344</v>
      </c>
      <c r="C8838" s="13" t="s">
        <v>569</v>
      </c>
      <c r="D8838" s="15">
        <v>3.0</v>
      </c>
      <c r="E8838" s="67">
        <f t="shared" si="20"/>
        <v>750</v>
      </c>
      <c r="F8838" s="67" t="s">
        <v>3070</v>
      </c>
    </row>
    <row r="8839" hidden="1">
      <c r="A8839" s="6" t="s">
        <v>102</v>
      </c>
      <c r="B8839" s="13" t="s">
        <v>431</v>
      </c>
      <c r="C8839" s="13" t="s">
        <v>432</v>
      </c>
      <c r="D8839" s="15">
        <v>3.0</v>
      </c>
      <c r="E8839" s="67">
        <f t="shared" si="20"/>
        <v>750</v>
      </c>
      <c r="F8839" s="67" t="s">
        <v>3070</v>
      </c>
    </row>
    <row r="8840" hidden="1">
      <c r="A8840" s="6" t="s">
        <v>102</v>
      </c>
      <c r="B8840" s="13" t="s">
        <v>1428</v>
      </c>
      <c r="C8840" s="13" t="s">
        <v>1429</v>
      </c>
      <c r="D8840" s="15">
        <v>3.0</v>
      </c>
      <c r="E8840" s="67">
        <f t="shared" si="20"/>
        <v>750</v>
      </c>
      <c r="F8840" s="67" t="s">
        <v>3070</v>
      </c>
    </row>
    <row r="8841" hidden="1">
      <c r="A8841" s="6" t="s">
        <v>102</v>
      </c>
      <c r="B8841" s="13" t="s">
        <v>752</v>
      </c>
      <c r="C8841" s="13" t="s">
        <v>753</v>
      </c>
      <c r="D8841" s="15">
        <v>3.0</v>
      </c>
      <c r="E8841" s="67">
        <f t="shared" si="20"/>
        <v>750</v>
      </c>
      <c r="F8841" s="67" t="s">
        <v>3070</v>
      </c>
    </row>
    <row r="8842" hidden="1">
      <c r="A8842" s="6" t="s">
        <v>102</v>
      </c>
      <c r="B8842" s="13" t="s">
        <v>1286</v>
      </c>
      <c r="C8842" s="13" t="s">
        <v>408</v>
      </c>
      <c r="D8842" s="15">
        <v>3.0</v>
      </c>
      <c r="E8842" s="67">
        <f t="shared" si="20"/>
        <v>750</v>
      </c>
      <c r="F8842" s="67" t="s">
        <v>3070</v>
      </c>
    </row>
    <row r="8843" hidden="1">
      <c r="A8843" s="6" t="s">
        <v>102</v>
      </c>
      <c r="B8843" s="13" t="s">
        <v>2892</v>
      </c>
      <c r="C8843" s="13" t="s">
        <v>2893</v>
      </c>
      <c r="D8843" s="15">
        <v>3.0</v>
      </c>
      <c r="E8843" s="67">
        <f t="shared" si="20"/>
        <v>750</v>
      </c>
      <c r="F8843" s="67" t="s">
        <v>3070</v>
      </c>
    </row>
    <row r="8844" hidden="1">
      <c r="A8844" s="6" t="s">
        <v>102</v>
      </c>
      <c r="B8844" s="13" t="s">
        <v>1334</v>
      </c>
      <c r="C8844" s="13" t="s">
        <v>553</v>
      </c>
      <c r="D8844" s="15">
        <v>3.0</v>
      </c>
      <c r="E8844" s="67">
        <f t="shared" si="20"/>
        <v>750</v>
      </c>
      <c r="F8844" s="67" t="s">
        <v>3070</v>
      </c>
    </row>
    <row r="8845" hidden="1">
      <c r="A8845" s="6" t="s">
        <v>102</v>
      </c>
      <c r="B8845" s="13" t="s">
        <v>3006</v>
      </c>
      <c r="C8845" s="13" t="s">
        <v>3007</v>
      </c>
      <c r="D8845" s="15">
        <v>3.0</v>
      </c>
      <c r="E8845" s="67">
        <f t="shared" si="20"/>
        <v>750</v>
      </c>
      <c r="F8845" s="67" t="s">
        <v>3070</v>
      </c>
    </row>
    <row r="8846" hidden="1">
      <c r="A8846" s="6" t="s">
        <v>102</v>
      </c>
      <c r="B8846" s="13" t="s">
        <v>2961</v>
      </c>
      <c r="C8846" s="13" t="s">
        <v>2962</v>
      </c>
      <c r="D8846" s="15">
        <v>3.0</v>
      </c>
      <c r="E8846" s="67">
        <f t="shared" si="20"/>
        <v>750</v>
      </c>
      <c r="F8846" s="67" t="s">
        <v>3070</v>
      </c>
    </row>
    <row r="8847" hidden="1">
      <c r="A8847" s="6" t="s">
        <v>102</v>
      </c>
      <c r="B8847" s="13" t="s">
        <v>2707</v>
      </c>
      <c r="C8847" s="13" t="s">
        <v>2708</v>
      </c>
      <c r="D8847" s="15">
        <v>3.0</v>
      </c>
      <c r="E8847" s="67">
        <f t="shared" si="20"/>
        <v>750</v>
      </c>
      <c r="F8847" s="67" t="s">
        <v>3070</v>
      </c>
    </row>
    <row r="8848" hidden="1">
      <c r="A8848" s="6" t="s">
        <v>102</v>
      </c>
      <c r="B8848" s="13" t="s">
        <v>1279</v>
      </c>
      <c r="C8848" s="13" t="s">
        <v>739</v>
      </c>
      <c r="D8848" s="15">
        <v>3.0</v>
      </c>
      <c r="E8848" s="67">
        <f t="shared" si="20"/>
        <v>750</v>
      </c>
      <c r="F8848" s="67" t="s">
        <v>3070</v>
      </c>
    </row>
    <row r="8849" hidden="1">
      <c r="A8849" s="6" t="s">
        <v>102</v>
      </c>
      <c r="B8849" s="13" t="s">
        <v>3071</v>
      </c>
      <c r="C8849" s="13" t="s">
        <v>3072</v>
      </c>
      <c r="D8849" s="15">
        <v>3.0</v>
      </c>
      <c r="E8849" s="67">
        <f t="shared" si="20"/>
        <v>750</v>
      </c>
      <c r="F8849" s="67" t="s">
        <v>3070</v>
      </c>
    </row>
    <row r="8850" hidden="1">
      <c r="A8850" s="6" t="s">
        <v>102</v>
      </c>
      <c r="B8850" s="13" t="s">
        <v>1325</v>
      </c>
      <c r="C8850" s="13" t="s">
        <v>1326</v>
      </c>
      <c r="D8850" s="15">
        <v>3.0</v>
      </c>
      <c r="E8850" s="67">
        <f t="shared" si="20"/>
        <v>750</v>
      </c>
      <c r="F8850" s="67" t="s">
        <v>3070</v>
      </c>
    </row>
    <row r="8851" hidden="1">
      <c r="A8851" s="6" t="s">
        <v>102</v>
      </c>
      <c r="B8851" s="13" t="s">
        <v>2989</v>
      </c>
      <c r="C8851" s="13" t="s">
        <v>2990</v>
      </c>
      <c r="D8851" s="15">
        <v>3.0</v>
      </c>
      <c r="E8851" s="67">
        <f t="shared" si="20"/>
        <v>750</v>
      </c>
      <c r="F8851" s="67" t="s">
        <v>3070</v>
      </c>
    </row>
    <row r="8852" hidden="1">
      <c r="A8852" s="6" t="s">
        <v>102</v>
      </c>
      <c r="B8852" s="13" t="s">
        <v>3025</v>
      </c>
      <c r="C8852" s="13" t="s">
        <v>3026</v>
      </c>
      <c r="D8852" s="15">
        <v>3.0</v>
      </c>
      <c r="E8852" s="67">
        <f t="shared" si="20"/>
        <v>750</v>
      </c>
      <c r="F8852" s="67" t="s">
        <v>3070</v>
      </c>
    </row>
    <row r="8853" hidden="1">
      <c r="A8853" s="6" t="s">
        <v>102</v>
      </c>
      <c r="B8853" s="13" t="s">
        <v>2288</v>
      </c>
      <c r="C8853" s="13" t="s">
        <v>2289</v>
      </c>
      <c r="D8853" s="15">
        <v>3.0</v>
      </c>
      <c r="E8853" s="67">
        <f t="shared" si="20"/>
        <v>750</v>
      </c>
      <c r="F8853" s="67" t="s">
        <v>3070</v>
      </c>
    </row>
    <row r="8854" hidden="1">
      <c r="A8854" s="6" t="s">
        <v>102</v>
      </c>
      <c r="B8854" s="13" t="s">
        <v>2367</v>
      </c>
      <c r="C8854" s="13" t="s">
        <v>2368</v>
      </c>
      <c r="D8854" s="15">
        <v>3.0</v>
      </c>
      <c r="E8854" s="67">
        <f t="shared" si="20"/>
        <v>750</v>
      </c>
      <c r="F8854" s="67" t="s">
        <v>3070</v>
      </c>
    </row>
    <row r="8855" hidden="1">
      <c r="A8855" s="6" t="s">
        <v>102</v>
      </c>
      <c r="B8855" s="13" t="s">
        <v>2718</v>
      </c>
      <c r="C8855" s="13" t="s">
        <v>2719</v>
      </c>
      <c r="D8855" s="15">
        <v>3.0</v>
      </c>
      <c r="E8855" s="67">
        <f t="shared" si="20"/>
        <v>750</v>
      </c>
      <c r="F8855" s="67" t="s">
        <v>3070</v>
      </c>
    </row>
    <row r="8856" hidden="1">
      <c r="A8856" s="6" t="s">
        <v>102</v>
      </c>
      <c r="B8856" s="13" t="s">
        <v>566</v>
      </c>
      <c r="C8856" s="13" t="s">
        <v>567</v>
      </c>
      <c r="D8856" s="15">
        <v>3.0</v>
      </c>
      <c r="E8856" s="67">
        <f t="shared" si="20"/>
        <v>750</v>
      </c>
      <c r="F8856" s="67" t="s">
        <v>3070</v>
      </c>
    </row>
    <row r="8857" hidden="1">
      <c r="A8857" s="6" t="s">
        <v>102</v>
      </c>
      <c r="B8857" s="13" t="s">
        <v>2967</v>
      </c>
      <c r="C8857" s="13" t="s">
        <v>2968</v>
      </c>
      <c r="D8857" s="15">
        <v>3.0</v>
      </c>
      <c r="E8857" s="67">
        <f t="shared" si="20"/>
        <v>750</v>
      </c>
      <c r="F8857" s="67" t="s">
        <v>3070</v>
      </c>
    </row>
    <row r="8858" hidden="1">
      <c r="A8858" s="6" t="s">
        <v>102</v>
      </c>
      <c r="B8858" s="13" t="s">
        <v>1419</v>
      </c>
      <c r="C8858" s="13" t="s">
        <v>1420</v>
      </c>
      <c r="D8858" s="15">
        <v>3.0</v>
      </c>
      <c r="E8858" s="67">
        <f t="shared" si="20"/>
        <v>750</v>
      </c>
      <c r="F8858" s="67" t="s">
        <v>3070</v>
      </c>
    </row>
    <row r="8859" hidden="1">
      <c r="A8859" s="6" t="s">
        <v>102</v>
      </c>
      <c r="B8859" s="13" t="s">
        <v>1382</v>
      </c>
      <c r="C8859" s="13" t="s">
        <v>1383</v>
      </c>
      <c r="D8859" s="15">
        <v>3.0</v>
      </c>
      <c r="E8859" s="67">
        <f t="shared" si="20"/>
        <v>750</v>
      </c>
      <c r="F8859" s="67" t="s">
        <v>3070</v>
      </c>
    </row>
    <row r="8860" hidden="1">
      <c r="A8860" s="6" t="s">
        <v>102</v>
      </c>
      <c r="B8860" s="13" t="s">
        <v>2808</v>
      </c>
      <c r="C8860" s="13" t="s">
        <v>2809</v>
      </c>
      <c r="D8860" s="15">
        <v>3.0</v>
      </c>
      <c r="E8860" s="67">
        <f t="shared" si="20"/>
        <v>750</v>
      </c>
      <c r="F8860" s="67" t="s">
        <v>3070</v>
      </c>
    </row>
    <row r="8861" hidden="1">
      <c r="A8861" s="6" t="s">
        <v>102</v>
      </c>
      <c r="B8861" s="13" t="s">
        <v>3073</v>
      </c>
      <c r="C8861" s="13" t="s">
        <v>3074</v>
      </c>
      <c r="D8861" s="15">
        <v>3.0</v>
      </c>
      <c r="E8861" s="67">
        <f t="shared" si="20"/>
        <v>750</v>
      </c>
      <c r="F8861" s="67" t="s">
        <v>3070</v>
      </c>
    </row>
    <row r="8862" hidden="1">
      <c r="A8862" s="6" t="s">
        <v>102</v>
      </c>
      <c r="B8862" s="13" t="s">
        <v>2985</v>
      </c>
      <c r="C8862" s="13" t="s">
        <v>2986</v>
      </c>
      <c r="D8862" s="15">
        <v>3.0</v>
      </c>
      <c r="E8862" s="67">
        <f t="shared" si="20"/>
        <v>750</v>
      </c>
      <c r="F8862" s="67" t="s">
        <v>3070</v>
      </c>
    </row>
    <row r="8863" hidden="1">
      <c r="A8863" s="6" t="s">
        <v>102</v>
      </c>
      <c r="B8863" s="13" t="s">
        <v>900</v>
      </c>
      <c r="C8863" s="13" t="s">
        <v>901</v>
      </c>
      <c r="D8863" s="15">
        <v>2.0</v>
      </c>
      <c r="E8863" s="67">
        <f t="shared" si="20"/>
        <v>500</v>
      </c>
      <c r="F8863" s="67" t="s">
        <v>3075</v>
      </c>
    </row>
    <row r="8864" hidden="1">
      <c r="A8864" s="6" t="s">
        <v>102</v>
      </c>
      <c r="B8864" s="13" t="s">
        <v>1303</v>
      </c>
      <c r="C8864" s="13" t="s">
        <v>467</v>
      </c>
      <c r="D8864" s="15">
        <v>2.0</v>
      </c>
      <c r="E8864" s="67">
        <f t="shared" si="20"/>
        <v>500</v>
      </c>
      <c r="F8864" s="67" t="s">
        <v>3075</v>
      </c>
    </row>
    <row r="8865" hidden="1">
      <c r="A8865" s="6" t="s">
        <v>102</v>
      </c>
      <c r="B8865" s="13" t="s">
        <v>650</v>
      </c>
      <c r="C8865" s="13" t="s">
        <v>651</v>
      </c>
      <c r="D8865" s="15">
        <v>2.0</v>
      </c>
      <c r="E8865" s="67">
        <f t="shared" si="20"/>
        <v>500</v>
      </c>
      <c r="F8865" s="67" t="s">
        <v>3075</v>
      </c>
    </row>
    <row r="8866" hidden="1">
      <c r="A8866" s="6" t="s">
        <v>102</v>
      </c>
      <c r="B8866" s="13" t="s">
        <v>2634</v>
      </c>
      <c r="C8866" s="13" t="s">
        <v>2635</v>
      </c>
      <c r="D8866" s="15">
        <v>2.0</v>
      </c>
      <c r="E8866" s="67">
        <f t="shared" si="20"/>
        <v>500</v>
      </c>
      <c r="F8866" s="67" t="s">
        <v>3075</v>
      </c>
    </row>
    <row r="8867" hidden="1">
      <c r="A8867" s="6" t="s">
        <v>102</v>
      </c>
      <c r="B8867" s="13" t="s">
        <v>1327</v>
      </c>
      <c r="C8867" s="13" t="s">
        <v>527</v>
      </c>
      <c r="D8867" s="15">
        <v>2.0</v>
      </c>
      <c r="E8867" s="67">
        <f t="shared" si="20"/>
        <v>500</v>
      </c>
      <c r="F8867" s="67" t="s">
        <v>3075</v>
      </c>
    </row>
    <row r="8868" hidden="1">
      <c r="A8868" s="6" t="s">
        <v>102</v>
      </c>
      <c r="B8868" s="13" t="s">
        <v>2971</v>
      </c>
      <c r="C8868" s="13" t="s">
        <v>2972</v>
      </c>
      <c r="D8868" s="15">
        <v>2.0</v>
      </c>
      <c r="E8868" s="67">
        <f t="shared" si="20"/>
        <v>500</v>
      </c>
      <c r="F8868" s="67" t="s">
        <v>3075</v>
      </c>
    </row>
    <row r="8869" hidden="1">
      <c r="A8869" s="6" t="s">
        <v>102</v>
      </c>
      <c r="B8869" s="13" t="s">
        <v>472</v>
      </c>
      <c r="C8869" s="13" t="s">
        <v>473</v>
      </c>
      <c r="D8869" s="15">
        <v>2.0</v>
      </c>
      <c r="E8869" s="67">
        <f t="shared" si="20"/>
        <v>500</v>
      </c>
      <c r="F8869" s="67" t="s">
        <v>3075</v>
      </c>
    </row>
    <row r="8870" hidden="1">
      <c r="A8870" s="6" t="s">
        <v>102</v>
      </c>
      <c r="B8870" s="13" t="s">
        <v>3076</v>
      </c>
      <c r="C8870" s="13" t="s">
        <v>3077</v>
      </c>
      <c r="D8870" s="15">
        <v>2.0</v>
      </c>
      <c r="E8870" s="67">
        <f t="shared" si="20"/>
        <v>500</v>
      </c>
      <c r="F8870" s="67" t="s">
        <v>3075</v>
      </c>
    </row>
    <row r="8871" hidden="1">
      <c r="A8871" s="6" t="s">
        <v>102</v>
      </c>
      <c r="B8871" s="13" t="s">
        <v>3078</v>
      </c>
      <c r="C8871" s="13" t="s">
        <v>3079</v>
      </c>
      <c r="D8871" s="15">
        <v>2.0</v>
      </c>
      <c r="E8871" s="67">
        <f t="shared" si="20"/>
        <v>500</v>
      </c>
      <c r="F8871" s="67" t="s">
        <v>3075</v>
      </c>
    </row>
    <row r="8872" hidden="1">
      <c r="A8872" s="6" t="s">
        <v>102</v>
      </c>
      <c r="B8872" s="13" t="s">
        <v>2636</v>
      </c>
      <c r="C8872" s="13" t="s">
        <v>2637</v>
      </c>
      <c r="D8872" s="15">
        <v>2.0</v>
      </c>
      <c r="E8872" s="67">
        <f t="shared" si="20"/>
        <v>500</v>
      </c>
      <c r="F8872" s="67" t="s">
        <v>3075</v>
      </c>
    </row>
    <row r="8873" hidden="1">
      <c r="A8873" s="6" t="s">
        <v>102</v>
      </c>
      <c r="B8873" s="13" t="s">
        <v>2977</v>
      </c>
      <c r="C8873" s="13" t="s">
        <v>2978</v>
      </c>
      <c r="D8873" s="15">
        <v>2.0</v>
      </c>
      <c r="E8873" s="67">
        <f t="shared" si="20"/>
        <v>500</v>
      </c>
      <c r="F8873" s="67" t="s">
        <v>3075</v>
      </c>
    </row>
    <row r="8874" hidden="1">
      <c r="A8874" s="6" t="s">
        <v>102</v>
      </c>
      <c r="B8874" s="13" t="s">
        <v>1443</v>
      </c>
      <c r="C8874" s="13" t="s">
        <v>755</v>
      </c>
      <c r="D8874" s="15">
        <v>2.0</v>
      </c>
      <c r="E8874" s="67">
        <f t="shared" si="20"/>
        <v>500</v>
      </c>
      <c r="F8874" s="67" t="s">
        <v>3075</v>
      </c>
    </row>
    <row r="8875" hidden="1">
      <c r="A8875" s="6" t="s">
        <v>102</v>
      </c>
      <c r="B8875" s="13" t="s">
        <v>1438</v>
      </c>
      <c r="C8875" s="13" t="s">
        <v>1439</v>
      </c>
      <c r="D8875" s="15">
        <v>2.0</v>
      </c>
      <c r="E8875" s="67">
        <f t="shared" si="20"/>
        <v>500</v>
      </c>
      <c r="F8875" s="67" t="s">
        <v>3075</v>
      </c>
    </row>
    <row r="8876" hidden="1">
      <c r="A8876" s="6" t="s">
        <v>102</v>
      </c>
      <c r="B8876" s="13" t="s">
        <v>672</v>
      </c>
      <c r="C8876" s="13" t="s">
        <v>673</v>
      </c>
      <c r="D8876" s="15">
        <v>2.0</v>
      </c>
      <c r="E8876" s="67">
        <f t="shared" si="20"/>
        <v>500</v>
      </c>
      <c r="F8876" s="67" t="s">
        <v>3075</v>
      </c>
    </row>
    <row r="8877" hidden="1">
      <c r="A8877" s="6" t="s">
        <v>102</v>
      </c>
      <c r="B8877" s="13" t="s">
        <v>2949</v>
      </c>
      <c r="C8877" s="13" t="s">
        <v>2950</v>
      </c>
      <c r="D8877" s="15">
        <v>2.0</v>
      </c>
      <c r="E8877" s="67">
        <f t="shared" si="20"/>
        <v>500</v>
      </c>
      <c r="F8877" s="67" t="s">
        <v>3075</v>
      </c>
    </row>
    <row r="8878" hidden="1">
      <c r="A8878" s="6" t="s">
        <v>102</v>
      </c>
      <c r="B8878" s="13" t="s">
        <v>807</v>
      </c>
      <c r="C8878" s="13" t="s">
        <v>808</v>
      </c>
      <c r="D8878" s="15">
        <v>2.0</v>
      </c>
      <c r="E8878" s="67">
        <f t="shared" si="20"/>
        <v>500</v>
      </c>
      <c r="F8878" s="67" t="s">
        <v>3075</v>
      </c>
    </row>
    <row r="8879" hidden="1">
      <c r="A8879" s="6" t="s">
        <v>102</v>
      </c>
      <c r="B8879" s="13" t="s">
        <v>1410</v>
      </c>
      <c r="C8879" s="13" t="s">
        <v>1411</v>
      </c>
      <c r="D8879" s="15">
        <v>2.0</v>
      </c>
      <c r="E8879" s="67">
        <f t="shared" si="20"/>
        <v>500</v>
      </c>
      <c r="F8879" s="67" t="s">
        <v>3075</v>
      </c>
    </row>
    <row r="8880" hidden="1">
      <c r="A8880" s="6" t="s">
        <v>102</v>
      </c>
      <c r="B8880" s="13" t="s">
        <v>2983</v>
      </c>
      <c r="C8880" s="13" t="s">
        <v>2984</v>
      </c>
      <c r="D8880" s="15">
        <v>2.0</v>
      </c>
      <c r="E8880" s="67">
        <f t="shared" si="20"/>
        <v>500</v>
      </c>
      <c r="F8880" s="67" t="s">
        <v>3075</v>
      </c>
    </row>
    <row r="8881" hidden="1">
      <c r="A8881" s="6" t="s">
        <v>102</v>
      </c>
      <c r="B8881" s="13" t="s">
        <v>3033</v>
      </c>
      <c r="C8881" s="13" t="s">
        <v>3034</v>
      </c>
      <c r="D8881" s="15">
        <v>2.0</v>
      </c>
      <c r="E8881" s="67">
        <f t="shared" si="20"/>
        <v>500</v>
      </c>
      <c r="F8881" s="67" t="s">
        <v>3075</v>
      </c>
    </row>
    <row r="8882" hidden="1">
      <c r="A8882" s="6" t="s">
        <v>102</v>
      </c>
      <c r="B8882" s="13" t="s">
        <v>2576</v>
      </c>
      <c r="C8882" s="13" t="s">
        <v>2577</v>
      </c>
      <c r="D8882" s="15">
        <v>2.0</v>
      </c>
      <c r="E8882" s="67">
        <f t="shared" si="20"/>
        <v>500</v>
      </c>
      <c r="F8882" s="67" t="s">
        <v>3075</v>
      </c>
    </row>
    <row r="8883" hidden="1">
      <c r="A8883" s="6" t="s">
        <v>102</v>
      </c>
      <c r="B8883" s="13" t="s">
        <v>2903</v>
      </c>
      <c r="C8883" s="13" t="s">
        <v>2904</v>
      </c>
      <c r="D8883" s="15">
        <v>2.0</v>
      </c>
      <c r="E8883" s="67">
        <f t="shared" si="20"/>
        <v>500</v>
      </c>
      <c r="F8883" s="67" t="s">
        <v>3075</v>
      </c>
    </row>
    <row r="8884" hidden="1">
      <c r="A8884" s="6" t="s">
        <v>102</v>
      </c>
      <c r="B8884" s="13" t="s">
        <v>1409</v>
      </c>
      <c r="C8884" s="13" t="s">
        <v>677</v>
      </c>
      <c r="D8884" s="15">
        <v>2.0</v>
      </c>
      <c r="E8884" s="67">
        <f t="shared" si="20"/>
        <v>500</v>
      </c>
      <c r="F8884" s="67" t="s">
        <v>3075</v>
      </c>
    </row>
    <row r="8885" hidden="1">
      <c r="A8885" s="6" t="s">
        <v>102</v>
      </c>
      <c r="B8885" s="13" t="s">
        <v>1396</v>
      </c>
      <c r="C8885" s="13" t="s">
        <v>1397</v>
      </c>
      <c r="D8885" s="15">
        <v>2.0</v>
      </c>
      <c r="E8885" s="67">
        <f t="shared" si="20"/>
        <v>500</v>
      </c>
      <c r="F8885" s="67" t="s">
        <v>3075</v>
      </c>
    </row>
    <row r="8886" hidden="1">
      <c r="A8886" s="6" t="s">
        <v>102</v>
      </c>
      <c r="B8886" s="13" t="s">
        <v>1033</v>
      </c>
      <c r="C8886" s="13" t="s">
        <v>1034</v>
      </c>
      <c r="D8886" s="15">
        <v>1.0</v>
      </c>
      <c r="E8886" s="67">
        <f t="shared" si="20"/>
        <v>250</v>
      </c>
      <c r="F8886" s="67" t="s">
        <v>3080</v>
      </c>
    </row>
    <row r="8887" hidden="1">
      <c r="A8887" s="6" t="s">
        <v>102</v>
      </c>
      <c r="B8887" s="13" t="s">
        <v>1305</v>
      </c>
      <c r="C8887" s="13" t="s">
        <v>1306</v>
      </c>
      <c r="D8887" s="15">
        <v>1.0</v>
      </c>
      <c r="E8887" s="67">
        <f t="shared" si="20"/>
        <v>250</v>
      </c>
      <c r="F8887" s="67" t="s">
        <v>3080</v>
      </c>
    </row>
    <row r="8888" hidden="1">
      <c r="A8888" s="6" t="s">
        <v>102</v>
      </c>
      <c r="B8888" s="13" t="s">
        <v>3081</v>
      </c>
      <c r="C8888" s="13" t="s">
        <v>3082</v>
      </c>
      <c r="D8888" s="15">
        <v>1.0</v>
      </c>
      <c r="E8888" s="67">
        <f t="shared" si="20"/>
        <v>250</v>
      </c>
      <c r="F8888" s="67" t="s">
        <v>3080</v>
      </c>
    </row>
    <row r="8889" hidden="1">
      <c r="A8889" s="6" t="s">
        <v>102</v>
      </c>
      <c r="B8889" s="13" t="s">
        <v>3041</v>
      </c>
      <c r="C8889" s="13" t="s">
        <v>3042</v>
      </c>
      <c r="D8889" s="15">
        <v>1.0</v>
      </c>
      <c r="E8889" s="67">
        <f t="shared" si="20"/>
        <v>250</v>
      </c>
      <c r="F8889" s="67" t="s">
        <v>3080</v>
      </c>
    </row>
    <row r="8890" hidden="1">
      <c r="A8890" s="6" t="s">
        <v>102</v>
      </c>
      <c r="B8890" s="13" t="s">
        <v>2959</v>
      </c>
      <c r="C8890" s="13" t="s">
        <v>2960</v>
      </c>
      <c r="D8890" s="15">
        <v>1.0</v>
      </c>
      <c r="E8890" s="67">
        <f t="shared" si="20"/>
        <v>250</v>
      </c>
      <c r="F8890" s="67" t="s">
        <v>3080</v>
      </c>
    </row>
    <row r="8891" hidden="1">
      <c r="A8891" s="6" t="s">
        <v>102</v>
      </c>
      <c r="B8891" s="13" t="s">
        <v>1398</v>
      </c>
      <c r="C8891" s="13" t="s">
        <v>1399</v>
      </c>
      <c r="D8891" s="15">
        <v>1.0</v>
      </c>
      <c r="E8891" s="67">
        <f t="shared" si="20"/>
        <v>250</v>
      </c>
      <c r="F8891" s="67" t="s">
        <v>3080</v>
      </c>
    </row>
    <row r="8892" hidden="1">
      <c r="A8892" s="6" t="s">
        <v>102</v>
      </c>
      <c r="B8892" s="13" t="s">
        <v>3083</v>
      </c>
      <c r="C8892" s="13" t="s">
        <v>3084</v>
      </c>
      <c r="D8892" s="15">
        <v>1.0</v>
      </c>
      <c r="E8892" s="67">
        <f t="shared" si="20"/>
        <v>250</v>
      </c>
      <c r="F8892" s="67" t="s">
        <v>3080</v>
      </c>
    </row>
    <row r="8893" hidden="1">
      <c r="A8893" s="6" t="s">
        <v>102</v>
      </c>
      <c r="B8893" s="13" t="s">
        <v>3008</v>
      </c>
      <c r="C8893" s="13" t="s">
        <v>3009</v>
      </c>
      <c r="D8893" s="15">
        <v>1.0</v>
      </c>
      <c r="E8893" s="67">
        <f t="shared" si="20"/>
        <v>250</v>
      </c>
      <c r="F8893" s="67" t="s">
        <v>3080</v>
      </c>
    </row>
    <row r="8894" hidden="1">
      <c r="A8894" s="6" t="s">
        <v>102</v>
      </c>
      <c r="B8894" s="13" t="s">
        <v>2179</v>
      </c>
      <c r="C8894" s="13" t="s">
        <v>2180</v>
      </c>
      <c r="D8894" s="15">
        <v>1.0</v>
      </c>
      <c r="E8894" s="67">
        <f t="shared" si="20"/>
        <v>250</v>
      </c>
      <c r="F8894" s="67" t="s">
        <v>3080</v>
      </c>
    </row>
    <row r="8895" hidden="1">
      <c r="A8895" s="6" t="s">
        <v>102</v>
      </c>
      <c r="B8895" s="13" t="s">
        <v>3085</v>
      </c>
      <c r="C8895" s="13" t="s">
        <v>3086</v>
      </c>
      <c r="D8895" s="15">
        <v>1.0</v>
      </c>
      <c r="E8895" s="67">
        <f t="shared" si="20"/>
        <v>250</v>
      </c>
      <c r="F8895" s="67" t="s">
        <v>3080</v>
      </c>
    </row>
    <row r="8896" hidden="1">
      <c r="A8896" s="6" t="s">
        <v>102</v>
      </c>
      <c r="B8896" s="13" t="s">
        <v>3087</v>
      </c>
      <c r="C8896" s="13" t="s">
        <v>3088</v>
      </c>
      <c r="D8896" s="15">
        <v>1.0</v>
      </c>
      <c r="E8896" s="67">
        <f t="shared" si="20"/>
        <v>250</v>
      </c>
      <c r="F8896" s="67" t="s">
        <v>3080</v>
      </c>
    </row>
    <row r="8897" hidden="1">
      <c r="A8897" s="6" t="s">
        <v>102</v>
      </c>
      <c r="B8897" s="13" t="s">
        <v>262</v>
      </c>
      <c r="C8897" s="13" t="s">
        <v>290</v>
      </c>
      <c r="D8897" s="15">
        <v>1.0</v>
      </c>
      <c r="E8897" s="67">
        <f t="shared" si="20"/>
        <v>250</v>
      </c>
      <c r="F8897" s="67" t="s">
        <v>3080</v>
      </c>
    </row>
    <row r="8898" hidden="1">
      <c r="A8898" s="6" t="s">
        <v>102</v>
      </c>
      <c r="B8898" s="13" t="s">
        <v>2979</v>
      </c>
      <c r="C8898" s="13" t="s">
        <v>2980</v>
      </c>
      <c r="D8898" s="15">
        <v>1.0</v>
      </c>
      <c r="E8898" s="67">
        <f t="shared" si="20"/>
        <v>250</v>
      </c>
      <c r="F8898" s="67" t="s">
        <v>3080</v>
      </c>
    </row>
    <row r="8899" hidden="1">
      <c r="A8899" s="6" t="s">
        <v>102</v>
      </c>
      <c r="B8899" s="13" t="s">
        <v>3089</v>
      </c>
      <c r="C8899" s="13" t="s">
        <v>3090</v>
      </c>
      <c r="D8899" s="15">
        <v>1.0</v>
      </c>
      <c r="E8899" s="67">
        <f t="shared" si="20"/>
        <v>250</v>
      </c>
      <c r="F8899" s="67" t="s">
        <v>3080</v>
      </c>
    </row>
    <row r="8900" hidden="1">
      <c r="A8900" s="6" t="s">
        <v>102</v>
      </c>
      <c r="B8900" s="13" t="s">
        <v>3013</v>
      </c>
      <c r="C8900" s="13" t="s">
        <v>3014</v>
      </c>
      <c r="D8900" s="15">
        <v>1.0</v>
      </c>
      <c r="E8900" s="67">
        <f t="shared" si="20"/>
        <v>250</v>
      </c>
      <c r="F8900" s="67" t="s">
        <v>3080</v>
      </c>
    </row>
    <row r="8901" hidden="1">
      <c r="A8901" s="6" t="s">
        <v>102</v>
      </c>
      <c r="B8901" s="13" t="s">
        <v>3091</v>
      </c>
      <c r="C8901" s="13" t="s">
        <v>3092</v>
      </c>
      <c r="D8901" s="15">
        <v>1.0</v>
      </c>
      <c r="E8901" s="67">
        <f t="shared" si="20"/>
        <v>250</v>
      </c>
      <c r="F8901" s="67" t="s">
        <v>3080</v>
      </c>
    </row>
    <row r="8902" hidden="1">
      <c r="A8902" s="6" t="s">
        <v>102</v>
      </c>
      <c r="B8902" s="13" t="s">
        <v>1293</v>
      </c>
      <c r="C8902" s="13" t="s">
        <v>1294</v>
      </c>
      <c r="D8902" s="15">
        <v>1.0</v>
      </c>
      <c r="E8902" s="67">
        <f t="shared" si="20"/>
        <v>250</v>
      </c>
      <c r="F8902" s="67" t="s">
        <v>3080</v>
      </c>
    </row>
    <row r="8903" hidden="1">
      <c r="A8903" s="6" t="s">
        <v>102</v>
      </c>
      <c r="B8903" s="13" t="s">
        <v>2907</v>
      </c>
      <c r="C8903" s="13" t="s">
        <v>2908</v>
      </c>
      <c r="D8903" s="15">
        <v>1.0</v>
      </c>
      <c r="E8903" s="67">
        <f t="shared" si="20"/>
        <v>250</v>
      </c>
      <c r="F8903" s="67" t="s">
        <v>3080</v>
      </c>
    </row>
    <row r="8904" hidden="1">
      <c r="A8904" s="6" t="s">
        <v>102</v>
      </c>
      <c r="B8904" s="13" t="s">
        <v>1145</v>
      </c>
      <c r="C8904" s="13" t="s">
        <v>1146</v>
      </c>
      <c r="D8904" s="15">
        <v>1.0</v>
      </c>
      <c r="E8904" s="67">
        <f t="shared" si="20"/>
        <v>250</v>
      </c>
      <c r="F8904" s="67" t="s">
        <v>3080</v>
      </c>
    </row>
    <row r="8905" hidden="1">
      <c r="A8905" s="6" t="s">
        <v>102</v>
      </c>
      <c r="B8905" s="13" t="s">
        <v>2846</v>
      </c>
      <c r="C8905" s="13" t="s">
        <v>2847</v>
      </c>
      <c r="D8905" s="15">
        <v>1.0</v>
      </c>
      <c r="E8905" s="67">
        <f t="shared" si="20"/>
        <v>250</v>
      </c>
      <c r="F8905" s="67" t="s">
        <v>3080</v>
      </c>
    </row>
    <row r="8906" hidden="1">
      <c r="A8906" s="6" t="s">
        <v>102</v>
      </c>
      <c r="B8906" s="13" t="s">
        <v>302</v>
      </c>
      <c r="C8906" s="13" t="s">
        <v>2110</v>
      </c>
      <c r="D8906" s="15">
        <v>1.0</v>
      </c>
      <c r="E8906" s="67">
        <f t="shared" si="20"/>
        <v>250</v>
      </c>
      <c r="F8906" s="67" t="s">
        <v>3080</v>
      </c>
    </row>
    <row r="8907" hidden="1">
      <c r="A8907" s="6" t="s">
        <v>102</v>
      </c>
      <c r="B8907" s="13" t="s">
        <v>1369</v>
      </c>
      <c r="C8907" s="13" t="s">
        <v>1370</v>
      </c>
      <c r="D8907" s="15">
        <v>1.0</v>
      </c>
      <c r="E8907" s="67">
        <f t="shared" si="20"/>
        <v>250</v>
      </c>
      <c r="F8907" s="67" t="s">
        <v>3080</v>
      </c>
    </row>
    <row r="8908" hidden="1">
      <c r="A8908" s="6" t="s">
        <v>102</v>
      </c>
      <c r="B8908" s="13" t="s">
        <v>2380</v>
      </c>
      <c r="C8908" s="13" t="s">
        <v>3015</v>
      </c>
      <c r="D8908" s="15">
        <v>1.0</v>
      </c>
      <c r="E8908" s="67">
        <f t="shared" si="20"/>
        <v>250</v>
      </c>
      <c r="F8908" s="67" t="s">
        <v>3080</v>
      </c>
    </row>
    <row r="8909" hidden="1">
      <c r="A8909" s="6" t="s">
        <v>102</v>
      </c>
      <c r="B8909" s="13" t="s">
        <v>3093</v>
      </c>
      <c r="C8909" s="13" t="s">
        <v>3094</v>
      </c>
      <c r="D8909" s="15">
        <v>1.0</v>
      </c>
      <c r="E8909" s="67">
        <f t="shared" si="20"/>
        <v>250</v>
      </c>
      <c r="F8909" s="67" t="s">
        <v>3080</v>
      </c>
    </row>
    <row r="8910" hidden="1">
      <c r="A8910" s="6" t="s">
        <v>102</v>
      </c>
      <c r="B8910" s="13" t="s">
        <v>2878</v>
      </c>
      <c r="C8910" s="13" t="s">
        <v>2879</v>
      </c>
      <c r="D8910" s="15">
        <v>1.0</v>
      </c>
      <c r="E8910" s="67">
        <f t="shared" si="20"/>
        <v>250</v>
      </c>
      <c r="F8910" s="67" t="s">
        <v>3080</v>
      </c>
    </row>
    <row r="8911" hidden="1">
      <c r="A8911" s="6" t="s">
        <v>102</v>
      </c>
      <c r="B8911" s="13" t="s">
        <v>3016</v>
      </c>
      <c r="C8911" s="13" t="s">
        <v>3017</v>
      </c>
      <c r="D8911" s="15">
        <v>1.0</v>
      </c>
      <c r="E8911" s="67">
        <f t="shared" si="20"/>
        <v>250</v>
      </c>
      <c r="F8911" s="67" t="s">
        <v>3080</v>
      </c>
    </row>
    <row r="8912" hidden="1">
      <c r="A8912" s="6" t="s">
        <v>102</v>
      </c>
      <c r="B8912" s="13" t="s">
        <v>3095</v>
      </c>
      <c r="C8912" s="13" t="s">
        <v>3096</v>
      </c>
      <c r="D8912" s="15">
        <v>1.0</v>
      </c>
      <c r="E8912" s="67">
        <f t="shared" si="20"/>
        <v>250</v>
      </c>
      <c r="F8912" s="67" t="s">
        <v>3080</v>
      </c>
    </row>
    <row r="8913" hidden="1">
      <c r="A8913" s="6" t="s">
        <v>102</v>
      </c>
      <c r="B8913" s="13" t="s">
        <v>3097</v>
      </c>
      <c r="C8913" s="13" t="s">
        <v>3098</v>
      </c>
      <c r="D8913" s="15">
        <v>1.0</v>
      </c>
      <c r="E8913" s="67">
        <f t="shared" si="20"/>
        <v>250</v>
      </c>
      <c r="F8913" s="67" t="s">
        <v>3080</v>
      </c>
    </row>
    <row r="8914" hidden="1">
      <c r="A8914" s="6" t="s">
        <v>102</v>
      </c>
      <c r="B8914" s="13" t="s">
        <v>1931</v>
      </c>
      <c r="C8914" s="13" t="s">
        <v>3099</v>
      </c>
      <c r="D8914" s="15">
        <v>1.0</v>
      </c>
      <c r="E8914" s="67">
        <f t="shared" si="20"/>
        <v>250</v>
      </c>
      <c r="F8914" s="67" t="s">
        <v>3080</v>
      </c>
    </row>
    <row r="8915" hidden="1">
      <c r="A8915" s="6" t="s">
        <v>102</v>
      </c>
      <c r="B8915" s="13" t="s">
        <v>3010</v>
      </c>
      <c r="C8915" s="13" t="s">
        <v>3011</v>
      </c>
      <c r="D8915" s="15">
        <v>1.0</v>
      </c>
      <c r="E8915" s="67">
        <f t="shared" si="20"/>
        <v>250</v>
      </c>
      <c r="F8915" s="67" t="s">
        <v>3080</v>
      </c>
    </row>
    <row r="8916" hidden="1">
      <c r="A8916" s="6" t="s">
        <v>102</v>
      </c>
      <c r="B8916" s="13" t="s">
        <v>620</v>
      </c>
      <c r="C8916" s="13" t="s">
        <v>621</v>
      </c>
      <c r="D8916" s="15">
        <v>5.0</v>
      </c>
      <c r="E8916" s="67">
        <f t="shared" si="20"/>
        <v>1250</v>
      </c>
      <c r="F8916" s="67" t="s">
        <v>3066</v>
      </c>
    </row>
    <row r="8917" hidden="1">
      <c r="A8917" s="6" t="s">
        <v>102</v>
      </c>
      <c r="B8917" s="13" t="s">
        <v>3100</v>
      </c>
      <c r="C8917" s="13" t="s">
        <v>3101</v>
      </c>
      <c r="D8917" s="15">
        <v>1.0</v>
      </c>
      <c r="E8917" s="67">
        <f t="shared" si="20"/>
        <v>250</v>
      </c>
      <c r="F8917" s="67" t="s">
        <v>3080</v>
      </c>
    </row>
    <row r="8918" hidden="1">
      <c r="A8918" s="6" t="s">
        <v>102</v>
      </c>
      <c r="B8918" s="13" t="s">
        <v>1337</v>
      </c>
      <c r="C8918" s="13" t="s">
        <v>1338</v>
      </c>
      <c r="D8918" s="15">
        <v>1.0</v>
      </c>
      <c r="E8918" s="67">
        <f t="shared" si="20"/>
        <v>250</v>
      </c>
      <c r="F8918" s="67" t="s">
        <v>3080</v>
      </c>
    </row>
    <row r="8919" hidden="1">
      <c r="A8919" s="6" t="s">
        <v>102</v>
      </c>
      <c r="B8919" s="13" t="s">
        <v>3102</v>
      </c>
      <c r="C8919" s="13" t="s">
        <v>3103</v>
      </c>
      <c r="D8919" s="15">
        <v>1.0</v>
      </c>
      <c r="E8919" s="67">
        <f t="shared" si="20"/>
        <v>250</v>
      </c>
      <c r="F8919" s="67" t="s">
        <v>3080</v>
      </c>
    </row>
    <row r="8920" hidden="1">
      <c r="A8920" s="6" t="s">
        <v>102</v>
      </c>
      <c r="B8920" s="13" t="s">
        <v>3104</v>
      </c>
      <c r="C8920" s="13" t="s">
        <v>3105</v>
      </c>
      <c r="D8920" s="15">
        <v>1.0</v>
      </c>
      <c r="E8920" s="67">
        <f t="shared" si="20"/>
        <v>250</v>
      </c>
      <c r="F8920" s="67" t="s">
        <v>3080</v>
      </c>
    </row>
    <row r="8921" hidden="1">
      <c r="A8921" s="6" t="s">
        <v>102</v>
      </c>
      <c r="B8921" s="13" t="s">
        <v>3106</v>
      </c>
      <c r="C8921" s="13" t="s">
        <v>3107</v>
      </c>
      <c r="D8921" s="15">
        <v>1.0</v>
      </c>
      <c r="E8921" s="67">
        <f t="shared" si="20"/>
        <v>250</v>
      </c>
      <c r="F8921" s="67" t="s">
        <v>3080</v>
      </c>
    </row>
    <row r="8922" hidden="1">
      <c r="A8922" s="6" t="s">
        <v>102</v>
      </c>
      <c r="B8922" s="13" t="s">
        <v>3108</v>
      </c>
      <c r="C8922" s="13" t="s">
        <v>3109</v>
      </c>
      <c r="D8922" s="15">
        <v>1.0</v>
      </c>
      <c r="E8922" s="67">
        <f t="shared" si="20"/>
        <v>250</v>
      </c>
      <c r="F8922" s="67" t="s">
        <v>3080</v>
      </c>
    </row>
    <row r="8923" hidden="1">
      <c r="A8923" s="6" t="s">
        <v>102</v>
      </c>
      <c r="B8923" s="13" t="s">
        <v>3110</v>
      </c>
      <c r="C8923" s="13" t="s">
        <v>3111</v>
      </c>
      <c r="D8923" s="15">
        <v>2.0</v>
      </c>
      <c r="E8923" s="67">
        <f t="shared" si="20"/>
        <v>500</v>
      </c>
      <c r="F8923" s="67" t="s">
        <v>3075</v>
      </c>
    </row>
    <row r="8924" hidden="1">
      <c r="A8924" s="6" t="s">
        <v>104</v>
      </c>
      <c r="B8924" s="13" t="s">
        <v>644</v>
      </c>
      <c r="C8924" s="13" t="s">
        <v>645</v>
      </c>
      <c r="D8924" s="15">
        <v>53.0</v>
      </c>
      <c r="E8924" s="67">
        <f t="shared" si="20"/>
        <v>26500</v>
      </c>
      <c r="F8924" s="67"/>
    </row>
    <row r="8925" hidden="1">
      <c r="A8925" s="6" t="s">
        <v>104</v>
      </c>
      <c r="B8925" s="13" t="s">
        <v>476</v>
      </c>
      <c r="C8925" s="13" t="s">
        <v>477</v>
      </c>
      <c r="D8925" s="15">
        <v>50.0</v>
      </c>
      <c r="E8925" s="67">
        <f t="shared" si="20"/>
        <v>25000</v>
      </c>
      <c r="F8925" s="67"/>
    </row>
    <row r="8926" hidden="1">
      <c r="A8926" s="6" t="s">
        <v>104</v>
      </c>
      <c r="B8926" s="13" t="s">
        <v>540</v>
      </c>
      <c r="C8926" s="13" t="s">
        <v>541</v>
      </c>
      <c r="D8926" s="15">
        <v>22.0</v>
      </c>
      <c r="E8926" s="67">
        <f t="shared" si="20"/>
        <v>11000</v>
      </c>
      <c r="F8926" s="67"/>
    </row>
    <row r="8927" hidden="1">
      <c r="A8927" s="6" t="s">
        <v>104</v>
      </c>
      <c r="B8927" s="13" t="s">
        <v>723</v>
      </c>
      <c r="C8927" s="13" t="s">
        <v>724</v>
      </c>
      <c r="D8927" s="15">
        <v>17.0</v>
      </c>
      <c r="E8927" s="67">
        <f t="shared" si="20"/>
        <v>8500</v>
      </c>
      <c r="F8927" s="67"/>
    </row>
    <row r="8928" hidden="1">
      <c r="A8928" s="6" t="s">
        <v>104</v>
      </c>
      <c r="B8928" s="13" t="s">
        <v>516</v>
      </c>
      <c r="C8928" s="13" t="s">
        <v>517</v>
      </c>
      <c r="D8928" s="15">
        <v>16.0</v>
      </c>
      <c r="E8928" s="67">
        <f t="shared" si="20"/>
        <v>8000</v>
      </c>
      <c r="F8928" s="67"/>
    </row>
    <row r="8929" hidden="1">
      <c r="A8929" s="6" t="s">
        <v>104</v>
      </c>
      <c r="B8929" s="13" t="s">
        <v>640</v>
      </c>
      <c r="C8929" s="13" t="s">
        <v>641</v>
      </c>
      <c r="D8929" s="15">
        <v>15.0</v>
      </c>
      <c r="E8929" s="67">
        <f t="shared" si="20"/>
        <v>7500</v>
      </c>
      <c r="F8929" s="67"/>
    </row>
    <row r="8930" hidden="1">
      <c r="A8930" s="6" t="s">
        <v>104</v>
      </c>
      <c r="B8930" s="13" t="s">
        <v>766</v>
      </c>
      <c r="C8930" s="13" t="s">
        <v>767</v>
      </c>
      <c r="D8930" s="15">
        <v>15.0</v>
      </c>
      <c r="E8930" s="67">
        <f t="shared" si="20"/>
        <v>7500</v>
      </c>
      <c r="F8930" s="67"/>
    </row>
    <row r="8931" hidden="1">
      <c r="A8931" s="6" t="s">
        <v>104</v>
      </c>
      <c r="B8931" s="13" t="s">
        <v>1301</v>
      </c>
      <c r="C8931" s="13" t="s">
        <v>1302</v>
      </c>
      <c r="D8931" s="15">
        <v>14.0</v>
      </c>
      <c r="E8931" s="67">
        <f t="shared" si="20"/>
        <v>7000</v>
      </c>
      <c r="F8931" s="67"/>
    </row>
    <row r="8932" hidden="1">
      <c r="A8932" s="6" t="s">
        <v>104</v>
      </c>
      <c r="B8932" s="13" t="s">
        <v>435</v>
      </c>
      <c r="C8932" s="13" t="s">
        <v>436</v>
      </c>
      <c r="D8932" s="15">
        <v>14.0</v>
      </c>
      <c r="E8932" s="67">
        <f t="shared" si="20"/>
        <v>7000</v>
      </c>
      <c r="F8932" s="67"/>
    </row>
    <row r="8933" hidden="1">
      <c r="A8933" s="6" t="s">
        <v>104</v>
      </c>
      <c r="B8933" s="13" t="s">
        <v>524</v>
      </c>
      <c r="C8933" s="13" t="s">
        <v>525</v>
      </c>
      <c r="D8933" s="15">
        <v>13.0</v>
      </c>
      <c r="E8933" s="67">
        <f t="shared" si="20"/>
        <v>6500</v>
      </c>
      <c r="F8933" s="67"/>
    </row>
    <row r="8934" hidden="1">
      <c r="A8934" s="6" t="s">
        <v>104</v>
      </c>
      <c r="B8934" s="13" t="s">
        <v>510</v>
      </c>
      <c r="C8934" s="13" t="s">
        <v>511</v>
      </c>
      <c r="D8934" s="15">
        <v>13.0</v>
      </c>
      <c r="E8934" s="67">
        <f t="shared" si="20"/>
        <v>6500</v>
      </c>
      <c r="F8934" s="67"/>
    </row>
    <row r="8935" hidden="1">
      <c r="A8935" s="6" t="s">
        <v>104</v>
      </c>
      <c r="B8935" s="13" t="s">
        <v>736</v>
      </c>
      <c r="C8935" s="13" t="s">
        <v>737</v>
      </c>
      <c r="D8935" s="15">
        <v>12.0</v>
      </c>
      <c r="E8935" s="67">
        <f t="shared" si="20"/>
        <v>6000</v>
      </c>
      <c r="F8935" s="67"/>
    </row>
    <row r="8936" hidden="1">
      <c r="A8936" s="6" t="s">
        <v>104</v>
      </c>
      <c r="B8936" s="13" t="s">
        <v>431</v>
      </c>
      <c r="C8936" s="13" t="s">
        <v>432</v>
      </c>
      <c r="D8936" s="15">
        <v>12.0</v>
      </c>
      <c r="E8936" s="67">
        <f t="shared" si="20"/>
        <v>6000</v>
      </c>
      <c r="F8936" s="67"/>
    </row>
    <row r="8937" hidden="1">
      <c r="A8937" s="6" t="s">
        <v>104</v>
      </c>
      <c r="B8937" s="13" t="s">
        <v>439</v>
      </c>
      <c r="C8937" s="13" t="s">
        <v>440</v>
      </c>
      <c r="D8937" s="15">
        <v>12.0</v>
      </c>
      <c r="E8937" s="67">
        <f t="shared" si="20"/>
        <v>6000</v>
      </c>
      <c r="F8937" s="67"/>
    </row>
    <row r="8938" hidden="1">
      <c r="A8938" s="6" t="s">
        <v>104</v>
      </c>
      <c r="B8938" s="13" t="s">
        <v>542</v>
      </c>
      <c r="C8938" s="13" t="s">
        <v>543</v>
      </c>
      <c r="D8938" s="15">
        <v>11.0</v>
      </c>
      <c r="E8938" s="67">
        <f t="shared" si="20"/>
        <v>5500</v>
      </c>
      <c r="F8938" s="67"/>
    </row>
    <row r="8939" hidden="1">
      <c r="A8939" s="6" t="s">
        <v>104</v>
      </c>
      <c r="B8939" s="13" t="s">
        <v>682</v>
      </c>
      <c r="C8939" s="13" t="s">
        <v>683</v>
      </c>
      <c r="D8939" s="15">
        <v>11.0</v>
      </c>
      <c r="E8939" s="67">
        <f t="shared" si="20"/>
        <v>5500</v>
      </c>
      <c r="F8939" s="67"/>
    </row>
    <row r="8940" hidden="1">
      <c r="A8940" s="6" t="s">
        <v>104</v>
      </c>
      <c r="B8940" s="13" t="s">
        <v>1415</v>
      </c>
      <c r="C8940" s="13" t="s">
        <v>1416</v>
      </c>
      <c r="D8940" s="15">
        <v>11.0</v>
      </c>
      <c r="E8940" s="67">
        <f t="shared" si="20"/>
        <v>5500</v>
      </c>
      <c r="F8940" s="67"/>
    </row>
    <row r="8941" hidden="1">
      <c r="A8941" s="6" t="s">
        <v>104</v>
      </c>
      <c r="B8941" s="13" t="s">
        <v>693</v>
      </c>
      <c r="C8941" s="13" t="s">
        <v>694</v>
      </c>
      <c r="D8941" s="15">
        <v>11.0</v>
      </c>
      <c r="E8941" s="67">
        <f t="shared" si="20"/>
        <v>5500</v>
      </c>
      <c r="F8941" s="67"/>
    </row>
    <row r="8942" hidden="1">
      <c r="A8942" s="6" t="s">
        <v>104</v>
      </c>
      <c r="B8942" s="13" t="s">
        <v>3112</v>
      </c>
      <c r="C8942" s="13" t="s">
        <v>3113</v>
      </c>
      <c r="D8942" s="15">
        <v>11.0</v>
      </c>
      <c r="E8942" s="67">
        <f t="shared" si="20"/>
        <v>5500</v>
      </c>
      <c r="F8942" s="67"/>
    </row>
    <row r="8943" hidden="1">
      <c r="A8943" s="6" t="s">
        <v>104</v>
      </c>
      <c r="B8943" s="13" t="s">
        <v>486</v>
      </c>
      <c r="C8943" s="13" t="s">
        <v>487</v>
      </c>
      <c r="D8943" s="15">
        <v>11.0</v>
      </c>
      <c r="E8943" s="67">
        <f t="shared" si="20"/>
        <v>5500</v>
      </c>
      <c r="F8943" s="67"/>
    </row>
    <row r="8944" hidden="1">
      <c r="A8944" s="6" t="s">
        <v>104</v>
      </c>
      <c r="B8944" s="13" t="s">
        <v>590</v>
      </c>
      <c r="C8944" s="13" t="s">
        <v>591</v>
      </c>
      <c r="D8944" s="15">
        <v>11.0</v>
      </c>
      <c r="E8944" s="67">
        <f t="shared" si="20"/>
        <v>5500</v>
      </c>
      <c r="F8944" s="67"/>
    </row>
    <row r="8945" hidden="1">
      <c r="A8945" s="6" t="s">
        <v>104</v>
      </c>
      <c r="B8945" s="13" t="s">
        <v>1442</v>
      </c>
      <c r="C8945" s="13" t="s">
        <v>749</v>
      </c>
      <c r="D8945" s="15">
        <v>11.0</v>
      </c>
      <c r="E8945" s="67">
        <f t="shared" si="20"/>
        <v>5500</v>
      </c>
      <c r="F8945" s="67"/>
    </row>
    <row r="8946" hidden="1">
      <c r="A8946" s="6" t="s">
        <v>104</v>
      </c>
      <c r="B8946" s="13" t="s">
        <v>411</v>
      </c>
      <c r="C8946" s="13" t="s">
        <v>412</v>
      </c>
      <c r="D8946" s="15">
        <v>11.0</v>
      </c>
      <c r="E8946" s="67">
        <f t="shared" si="20"/>
        <v>5500</v>
      </c>
      <c r="F8946" s="67"/>
    </row>
    <row r="8947" hidden="1">
      <c r="A8947" s="6" t="s">
        <v>104</v>
      </c>
      <c r="B8947" s="13" t="s">
        <v>413</v>
      </c>
      <c r="C8947" s="13" t="s">
        <v>414</v>
      </c>
      <c r="D8947" s="15">
        <v>11.0</v>
      </c>
      <c r="E8947" s="67">
        <f t="shared" si="20"/>
        <v>5500</v>
      </c>
      <c r="F8947" s="67"/>
    </row>
    <row r="8948" hidden="1">
      <c r="A8948" s="6" t="s">
        <v>104</v>
      </c>
      <c r="B8948" s="13" t="s">
        <v>451</v>
      </c>
      <c r="C8948" s="13" t="s">
        <v>452</v>
      </c>
      <c r="D8948" s="15">
        <v>10.0</v>
      </c>
      <c r="E8948" s="67">
        <f t="shared" si="20"/>
        <v>5000</v>
      </c>
      <c r="F8948" s="67"/>
    </row>
    <row r="8949" hidden="1">
      <c r="A8949" s="6" t="s">
        <v>104</v>
      </c>
      <c r="B8949" s="13" t="s">
        <v>500</v>
      </c>
      <c r="C8949" s="13" t="s">
        <v>501</v>
      </c>
      <c r="D8949" s="15">
        <v>10.0</v>
      </c>
      <c r="E8949" s="67">
        <f t="shared" si="20"/>
        <v>5000</v>
      </c>
      <c r="F8949" s="67"/>
    </row>
    <row r="8950" hidden="1">
      <c r="A8950" s="6" t="s">
        <v>104</v>
      </c>
      <c r="B8950" s="13" t="s">
        <v>1334</v>
      </c>
      <c r="C8950" s="13" t="s">
        <v>553</v>
      </c>
      <c r="D8950" s="15">
        <v>10.0</v>
      </c>
      <c r="E8950" s="67">
        <f t="shared" si="20"/>
        <v>5000</v>
      </c>
      <c r="F8950" s="67"/>
    </row>
    <row r="8951" hidden="1">
      <c r="A8951" s="6" t="s">
        <v>104</v>
      </c>
      <c r="B8951" s="13" t="s">
        <v>721</v>
      </c>
      <c r="C8951" s="13" t="s">
        <v>722</v>
      </c>
      <c r="D8951" s="15">
        <v>10.0</v>
      </c>
      <c r="E8951" s="67">
        <f t="shared" si="20"/>
        <v>5000</v>
      </c>
      <c r="F8951" s="67"/>
    </row>
    <row r="8952" hidden="1">
      <c r="A8952" s="6" t="s">
        <v>104</v>
      </c>
      <c r="B8952" s="13" t="s">
        <v>1333</v>
      </c>
      <c r="C8952" s="13" t="s">
        <v>551</v>
      </c>
      <c r="D8952" s="15">
        <v>10.0</v>
      </c>
      <c r="E8952" s="67">
        <f t="shared" si="20"/>
        <v>5000</v>
      </c>
      <c r="F8952" s="67"/>
    </row>
    <row r="8953" hidden="1">
      <c r="A8953" s="6" t="s">
        <v>104</v>
      </c>
      <c r="B8953" s="13" t="s">
        <v>443</v>
      </c>
      <c r="C8953" s="13" t="s">
        <v>444</v>
      </c>
      <c r="D8953" s="15">
        <v>10.0</v>
      </c>
      <c r="E8953" s="67">
        <f t="shared" si="20"/>
        <v>5000</v>
      </c>
      <c r="F8953" s="67"/>
    </row>
    <row r="8954" hidden="1">
      <c r="A8954" s="6" t="s">
        <v>104</v>
      </c>
      <c r="B8954" s="13" t="s">
        <v>1955</v>
      </c>
      <c r="C8954" s="13" t="s">
        <v>1956</v>
      </c>
      <c r="D8954" s="15">
        <v>10.0</v>
      </c>
      <c r="E8954" s="67">
        <f t="shared" si="20"/>
        <v>5000</v>
      </c>
      <c r="F8954" s="67"/>
    </row>
    <row r="8955" hidden="1">
      <c r="A8955" s="6" t="s">
        <v>104</v>
      </c>
      <c r="B8955" s="13" t="s">
        <v>862</v>
      </c>
      <c r="C8955" s="13" t="s">
        <v>863</v>
      </c>
      <c r="D8955" s="15">
        <v>10.0</v>
      </c>
      <c r="E8955" s="67">
        <f t="shared" si="20"/>
        <v>5000</v>
      </c>
      <c r="F8955" s="67"/>
    </row>
    <row r="8956" hidden="1">
      <c r="A8956" s="6" t="s">
        <v>104</v>
      </c>
      <c r="B8956" s="13" t="s">
        <v>462</v>
      </c>
      <c r="C8956" s="13" t="s">
        <v>463</v>
      </c>
      <c r="D8956" s="15">
        <v>9.0</v>
      </c>
      <c r="E8956" s="67">
        <f t="shared" si="20"/>
        <v>2250</v>
      </c>
      <c r="F8956" s="67"/>
    </row>
    <row r="8957" hidden="1">
      <c r="A8957" s="6" t="s">
        <v>104</v>
      </c>
      <c r="B8957" s="13" t="s">
        <v>823</v>
      </c>
      <c r="C8957" s="13" t="s">
        <v>824</v>
      </c>
      <c r="D8957" s="15">
        <v>9.0</v>
      </c>
      <c r="E8957" s="67">
        <f t="shared" si="20"/>
        <v>2250</v>
      </c>
      <c r="F8957" s="67"/>
    </row>
    <row r="8958" hidden="1">
      <c r="A8958" s="6" t="s">
        <v>104</v>
      </c>
      <c r="B8958" s="13" t="s">
        <v>582</v>
      </c>
      <c r="C8958" s="13" t="s">
        <v>583</v>
      </c>
      <c r="D8958" s="15">
        <v>9.0</v>
      </c>
      <c r="E8958" s="67">
        <f t="shared" si="20"/>
        <v>2250</v>
      </c>
      <c r="F8958" s="67"/>
    </row>
    <row r="8959" hidden="1">
      <c r="A8959" s="6" t="s">
        <v>104</v>
      </c>
      <c r="B8959" s="13" t="s">
        <v>1865</v>
      </c>
      <c r="C8959" s="13" t="s">
        <v>1866</v>
      </c>
      <c r="D8959" s="15">
        <v>9.0</v>
      </c>
      <c r="E8959" s="67">
        <f t="shared" si="20"/>
        <v>2250</v>
      </c>
      <c r="F8959" s="67"/>
    </row>
    <row r="8960" hidden="1">
      <c r="A8960" s="6" t="s">
        <v>104</v>
      </c>
      <c r="B8960" s="13" t="s">
        <v>1493</v>
      </c>
      <c r="C8960" s="13" t="s">
        <v>1494</v>
      </c>
      <c r="D8960" s="15">
        <v>9.0</v>
      </c>
      <c r="E8960" s="67">
        <f t="shared" si="20"/>
        <v>2250</v>
      </c>
      <c r="F8960" s="67"/>
    </row>
    <row r="8961" hidden="1">
      <c r="A8961" s="6" t="s">
        <v>104</v>
      </c>
      <c r="B8961" s="13" t="s">
        <v>447</v>
      </c>
      <c r="C8961" s="13" t="s">
        <v>448</v>
      </c>
      <c r="D8961" s="15">
        <v>8.0</v>
      </c>
      <c r="E8961" s="67">
        <f t="shared" si="20"/>
        <v>2000</v>
      </c>
      <c r="F8961" s="67"/>
    </row>
    <row r="8962" hidden="1">
      <c r="A8962" s="6" t="s">
        <v>104</v>
      </c>
      <c r="B8962" s="13" t="s">
        <v>502</v>
      </c>
      <c r="C8962" s="13" t="s">
        <v>503</v>
      </c>
      <c r="D8962" s="15">
        <v>8.0</v>
      </c>
      <c r="E8962" s="67">
        <f t="shared" si="20"/>
        <v>2000</v>
      </c>
      <c r="F8962" s="67"/>
    </row>
    <row r="8963" hidden="1">
      <c r="A8963" s="6" t="s">
        <v>104</v>
      </c>
      <c r="B8963" s="13" t="s">
        <v>1421</v>
      </c>
      <c r="C8963" s="13" t="s">
        <v>712</v>
      </c>
      <c r="D8963" s="15">
        <v>8.0</v>
      </c>
      <c r="E8963" s="67">
        <f t="shared" si="20"/>
        <v>2000</v>
      </c>
      <c r="F8963" s="67"/>
    </row>
    <row r="8964" hidden="1">
      <c r="A8964" s="6" t="s">
        <v>104</v>
      </c>
      <c r="B8964" s="13" t="s">
        <v>2002</v>
      </c>
      <c r="C8964" s="13" t="s">
        <v>2003</v>
      </c>
      <c r="D8964" s="15">
        <v>8.0</v>
      </c>
      <c r="E8964" s="67">
        <f t="shared" si="20"/>
        <v>2000</v>
      </c>
      <c r="F8964" s="67"/>
    </row>
    <row r="8965" hidden="1">
      <c r="A8965" s="6" t="s">
        <v>104</v>
      </c>
      <c r="B8965" s="13" t="s">
        <v>725</v>
      </c>
      <c r="C8965" s="13" t="s">
        <v>726</v>
      </c>
      <c r="D8965" s="15">
        <v>8.0</v>
      </c>
      <c r="E8965" s="67">
        <f t="shared" si="20"/>
        <v>2000</v>
      </c>
      <c r="F8965" s="67"/>
    </row>
    <row r="8966" hidden="1">
      <c r="A8966" s="6" t="s">
        <v>104</v>
      </c>
      <c r="B8966" s="13" t="s">
        <v>3114</v>
      </c>
      <c r="C8966" s="13" t="s">
        <v>3115</v>
      </c>
      <c r="D8966" s="15">
        <v>8.0</v>
      </c>
      <c r="E8966" s="67">
        <f t="shared" si="20"/>
        <v>2000</v>
      </c>
      <c r="F8966" s="67"/>
    </row>
    <row r="8967" hidden="1">
      <c r="A8967" s="6" t="s">
        <v>104</v>
      </c>
      <c r="B8967" s="13" t="s">
        <v>656</v>
      </c>
      <c r="C8967" s="13" t="s">
        <v>657</v>
      </c>
      <c r="D8967" s="15">
        <v>8.0</v>
      </c>
      <c r="E8967" s="67">
        <f t="shared" si="20"/>
        <v>2000</v>
      </c>
      <c r="F8967" s="67"/>
    </row>
    <row r="8968" hidden="1">
      <c r="A8968" s="6" t="s">
        <v>104</v>
      </c>
      <c r="B8968" s="13" t="s">
        <v>699</v>
      </c>
      <c r="C8968" s="13" t="s">
        <v>700</v>
      </c>
      <c r="D8968" s="15">
        <v>8.0</v>
      </c>
      <c r="E8968" s="67">
        <f t="shared" si="20"/>
        <v>2000</v>
      </c>
      <c r="F8968" s="67"/>
    </row>
    <row r="8969" hidden="1">
      <c r="A8969" s="6" t="s">
        <v>104</v>
      </c>
      <c r="B8969" s="13" t="s">
        <v>620</v>
      </c>
      <c r="C8969" s="13" t="s">
        <v>621</v>
      </c>
      <c r="D8969" s="15">
        <v>8.0</v>
      </c>
      <c r="E8969" s="67">
        <f t="shared" si="20"/>
        <v>2000</v>
      </c>
      <c r="F8969" s="67"/>
    </row>
    <row r="8970" hidden="1">
      <c r="A8970" s="6" t="s">
        <v>104</v>
      </c>
      <c r="B8970" s="13" t="s">
        <v>3000</v>
      </c>
      <c r="C8970" s="13" t="s">
        <v>3001</v>
      </c>
      <c r="D8970" s="15">
        <v>8.0</v>
      </c>
      <c r="E8970" s="67">
        <f t="shared" si="20"/>
        <v>2000</v>
      </c>
      <c r="F8970" s="67"/>
    </row>
    <row r="8971" hidden="1">
      <c r="A8971" s="6" t="s">
        <v>104</v>
      </c>
      <c r="B8971" s="13" t="s">
        <v>1380</v>
      </c>
      <c r="C8971" s="13" t="s">
        <v>1381</v>
      </c>
      <c r="D8971" s="15">
        <v>7.0</v>
      </c>
      <c r="E8971" s="67">
        <f t="shared" si="20"/>
        <v>1750</v>
      </c>
      <c r="F8971" s="67"/>
    </row>
    <row r="8972" hidden="1">
      <c r="A8972" s="6" t="s">
        <v>104</v>
      </c>
      <c r="B8972" s="13" t="s">
        <v>628</v>
      </c>
      <c r="C8972" s="13" t="s">
        <v>629</v>
      </c>
      <c r="D8972" s="15">
        <v>7.0</v>
      </c>
      <c r="E8972" s="67">
        <f t="shared" si="20"/>
        <v>1750</v>
      </c>
      <c r="F8972" s="67"/>
    </row>
    <row r="8973" hidden="1">
      <c r="A8973" s="6" t="s">
        <v>104</v>
      </c>
      <c r="B8973" s="13" t="s">
        <v>684</v>
      </c>
      <c r="C8973" s="13" t="s">
        <v>685</v>
      </c>
      <c r="D8973" s="15">
        <v>7.0</v>
      </c>
      <c r="E8973" s="67">
        <f t="shared" si="20"/>
        <v>1750</v>
      </c>
      <c r="F8973" s="67"/>
    </row>
    <row r="8974" hidden="1">
      <c r="A8974" s="6" t="s">
        <v>104</v>
      </c>
      <c r="B8974" s="13" t="s">
        <v>2097</v>
      </c>
      <c r="C8974" s="13" t="s">
        <v>828</v>
      </c>
      <c r="D8974" s="15">
        <v>7.0</v>
      </c>
      <c r="E8974" s="67">
        <f t="shared" si="20"/>
        <v>1750</v>
      </c>
      <c r="F8974" s="67"/>
    </row>
    <row r="8975" hidden="1">
      <c r="A8975" s="6" t="s">
        <v>104</v>
      </c>
      <c r="B8975" s="13" t="s">
        <v>1426</v>
      </c>
      <c r="C8975" s="13" t="s">
        <v>1427</v>
      </c>
      <c r="D8975" s="15">
        <v>7.0</v>
      </c>
      <c r="E8975" s="67">
        <f t="shared" si="20"/>
        <v>1750</v>
      </c>
      <c r="F8975" s="67"/>
    </row>
    <row r="8976" hidden="1">
      <c r="A8976" s="6" t="s">
        <v>104</v>
      </c>
      <c r="B8976" s="13" t="s">
        <v>262</v>
      </c>
      <c r="C8976" s="13" t="s">
        <v>290</v>
      </c>
      <c r="D8976" s="15">
        <v>7.0</v>
      </c>
      <c r="E8976" s="67">
        <f t="shared" si="20"/>
        <v>1750</v>
      </c>
      <c r="F8976" s="67"/>
    </row>
    <row r="8977" hidden="1">
      <c r="A8977" s="6" t="s">
        <v>104</v>
      </c>
      <c r="B8977" s="13" t="s">
        <v>1393</v>
      </c>
      <c r="C8977" s="13" t="s">
        <v>1394</v>
      </c>
      <c r="D8977" s="15">
        <v>7.0</v>
      </c>
      <c r="E8977" s="67">
        <f t="shared" si="20"/>
        <v>1750</v>
      </c>
      <c r="F8977" s="67"/>
    </row>
    <row r="8978" hidden="1">
      <c r="A8978" s="6" t="s">
        <v>104</v>
      </c>
      <c r="B8978" s="13" t="s">
        <v>2067</v>
      </c>
      <c r="C8978" s="13" t="s">
        <v>2068</v>
      </c>
      <c r="D8978" s="15">
        <v>7.0</v>
      </c>
      <c r="E8978" s="67">
        <f t="shared" si="20"/>
        <v>1750</v>
      </c>
      <c r="F8978" s="67"/>
    </row>
    <row r="8979" hidden="1">
      <c r="A8979" s="6" t="s">
        <v>104</v>
      </c>
      <c r="B8979" s="13" t="s">
        <v>803</v>
      </c>
      <c r="C8979" s="13" t="s">
        <v>804</v>
      </c>
      <c r="D8979" s="15">
        <v>7.0</v>
      </c>
      <c r="E8979" s="67">
        <f t="shared" si="20"/>
        <v>1750</v>
      </c>
      <c r="F8979" s="67"/>
    </row>
    <row r="8980" hidden="1">
      <c r="A8980" s="6" t="s">
        <v>104</v>
      </c>
      <c r="B8980" s="13" t="s">
        <v>1325</v>
      </c>
      <c r="C8980" s="13" t="s">
        <v>1326</v>
      </c>
      <c r="D8980" s="15">
        <v>7.0</v>
      </c>
      <c r="E8980" s="67">
        <f t="shared" si="20"/>
        <v>1750</v>
      </c>
      <c r="F8980" s="67"/>
    </row>
    <row r="8981" hidden="1">
      <c r="A8981" s="6" t="s">
        <v>104</v>
      </c>
      <c r="B8981" s="13" t="s">
        <v>626</v>
      </c>
      <c r="C8981" s="13" t="s">
        <v>627</v>
      </c>
      <c r="D8981" s="15">
        <v>7.0</v>
      </c>
      <c r="E8981" s="67">
        <f t="shared" si="20"/>
        <v>1750</v>
      </c>
      <c r="F8981" s="67"/>
    </row>
    <row r="8982" hidden="1">
      <c r="A8982" s="6" t="s">
        <v>104</v>
      </c>
      <c r="B8982" s="13" t="s">
        <v>3025</v>
      </c>
      <c r="C8982" s="13" t="s">
        <v>3026</v>
      </c>
      <c r="D8982" s="15">
        <v>7.0</v>
      </c>
      <c r="E8982" s="67">
        <f t="shared" si="20"/>
        <v>1750</v>
      </c>
      <c r="F8982" s="67"/>
    </row>
    <row r="8983" hidden="1">
      <c r="A8983" s="6" t="s">
        <v>104</v>
      </c>
      <c r="B8983" s="13" t="s">
        <v>622</v>
      </c>
      <c r="C8983" s="13" t="s">
        <v>623</v>
      </c>
      <c r="D8983" s="15">
        <v>7.0</v>
      </c>
      <c r="E8983" s="67">
        <f t="shared" si="20"/>
        <v>1750</v>
      </c>
      <c r="F8983" s="67"/>
    </row>
    <row r="8984" hidden="1">
      <c r="A8984" s="6" t="s">
        <v>104</v>
      </c>
      <c r="B8984" s="13" t="s">
        <v>1037</v>
      </c>
      <c r="C8984" s="13" t="s">
        <v>1038</v>
      </c>
      <c r="D8984" s="15">
        <v>6.0</v>
      </c>
      <c r="E8984" s="67">
        <f t="shared" si="20"/>
        <v>1500</v>
      </c>
      <c r="F8984" s="67"/>
    </row>
    <row r="8985" hidden="1">
      <c r="A8985" s="6" t="s">
        <v>104</v>
      </c>
      <c r="B8985" s="13" t="s">
        <v>680</v>
      </c>
      <c r="C8985" s="13" t="s">
        <v>681</v>
      </c>
      <c r="D8985" s="15">
        <v>6.0</v>
      </c>
      <c r="E8985" s="67">
        <f t="shared" si="20"/>
        <v>1500</v>
      </c>
      <c r="F8985" s="67"/>
    </row>
    <row r="8986" hidden="1">
      <c r="A8986" s="6" t="s">
        <v>104</v>
      </c>
      <c r="B8986" s="13" t="s">
        <v>1299</v>
      </c>
      <c r="C8986" s="13" t="s">
        <v>1300</v>
      </c>
      <c r="D8986" s="15">
        <v>6.0</v>
      </c>
      <c r="E8986" s="67">
        <f t="shared" si="20"/>
        <v>1500</v>
      </c>
      <c r="F8986" s="67"/>
    </row>
    <row r="8987" hidden="1">
      <c r="A8987" s="6" t="s">
        <v>104</v>
      </c>
      <c r="B8987" s="13" t="s">
        <v>2947</v>
      </c>
      <c r="C8987" s="13" t="s">
        <v>2948</v>
      </c>
      <c r="D8987" s="15">
        <v>6.0</v>
      </c>
      <c r="E8987" s="67">
        <f t="shared" si="20"/>
        <v>1500</v>
      </c>
      <c r="F8987" s="67"/>
    </row>
    <row r="8988" hidden="1">
      <c r="A8988" s="6" t="s">
        <v>104</v>
      </c>
      <c r="B8988" s="13" t="s">
        <v>1712</v>
      </c>
      <c r="C8988" s="13" t="s">
        <v>2900</v>
      </c>
      <c r="D8988" s="15">
        <v>6.0</v>
      </c>
      <c r="E8988" s="67">
        <f t="shared" si="20"/>
        <v>1500</v>
      </c>
      <c r="F8988" s="67"/>
    </row>
    <row r="8989" hidden="1">
      <c r="A8989" s="6" t="s">
        <v>104</v>
      </c>
      <c r="B8989" s="13" t="s">
        <v>1410</v>
      </c>
      <c r="C8989" s="13" t="s">
        <v>1411</v>
      </c>
      <c r="D8989" s="15">
        <v>6.0</v>
      </c>
      <c r="E8989" s="67">
        <f t="shared" si="20"/>
        <v>1500</v>
      </c>
      <c r="F8989" s="67"/>
    </row>
    <row r="8990" hidden="1">
      <c r="A8990" s="6" t="s">
        <v>104</v>
      </c>
      <c r="B8990" s="13" t="s">
        <v>2846</v>
      </c>
      <c r="C8990" s="13" t="s">
        <v>2847</v>
      </c>
      <c r="D8990" s="15">
        <v>6.0</v>
      </c>
      <c r="E8990" s="67">
        <f t="shared" si="20"/>
        <v>1500</v>
      </c>
      <c r="F8990" s="67"/>
    </row>
    <row r="8991" hidden="1">
      <c r="A8991" s="6" t="s">
        <v>104</v>
      </c>
      <c r="B8991" s="13" t="s">
        <v>2268</v>
      </c>
      <c r="C8991" s="13" t="s">
        <v>2269</v>
      </c>
      <c r="D8991" s="15">
        <v>6.0</v>
      </c>
      <c r="E8991" s="67">
        <f t="shared" si="20"/>
        <v>1500</v>
      </c>
      <c r="F8991" s="67"/>
    </row>
    <row r="8992" hidden="1">
      <c r="A8992" s="6" t="s">
        <v>104</v>
      </c>
      <c r="B8992" s="13" t="s">
        <v>258</v>
      </c>
      <c r="C8992" s="13" t="s">
        <v>2386</v>
      </c>
      <c r="D8992" s="15">
        <v>6.0</v>
      </c>
      <c r="E8992" s="67">
        <f t="shared" si="20"/>
        <v>1500</v>
      </c>
      <c r="F8992" s="67"/>
    </row>
    <row r="8993" hidden="1">
      <c r="A8993" s="6" t="s">
        <v>104</v>
      </c>
      <c r="B8993" s="13" t="s">
        <v>1471</v>
      </c>
      <c r="C8993" s="13" t="s">
        <v>1472</v>
      </c>
      <c r="D8993" s="15">
        <v>6.0</v>
      </c>
      <c r="E8993" s="67">
        <f t="shared" si="20"/>
        <v>1500</v>
      </c>
      <c r="F8993" s="67"/>
    </row>
    <row r="8994" hidden="1">
      <c r="A8994" s="6" t="s">
        <v>104</v>
      </c>
      <c r="B8994" s="13" t="s">
        <v>744</v>
      </c>
      <c r="C8994" s="13" t="s">
        <v>745</v>
      </c>
      <c r="D8994" s="15">
        <v>5.0</v>
      </c>
      <c r="E8994" s="67">
        <f t="shared" si="20"/>
        <v>1250</v>
      </c>
      <c r="F8994" s="67"/>
    </row>
    <row r="8995" hidden="1">
      <c r="A8995" s="6" t="s">
        <v>104</v>
      </c>
      <c r="B8995" s="13" t="s">
        <v>1033</v>
      </c>
      <c r="C8995" s="13" t="s">
        <v>1034</v>
      </c>
      <c r="D8995" s="15">
        <v>5.0</v>
      </c>
      <c r="E8995" s="67">
        <f t="shared" si="20"/>
        <v>1250</v>
      </c>
      <c r="F8995" s="67"/>
    </row>
    <row r="8996" hidden="1">
      <c r="A8996" s="6" t="s">
        <v>104</v>
      </c>
      <c r="B8996" s="13" t="s">
        <v>1998</v>
      </c>
      <c r="C8996" s="13" t="s">
        <v>1999</v>
      </c>
      <c r="D8996" s="15">
        <v>5.0</v>
      </c>
      <c r="E8996" s="67">
        <f t="shared" si="20"/>
        <v>1250</v>
      </c>
      <c r="F8996" s="67"/>
    </row>
    <row r="8997" hidden="1">
      <c r="A8997" s="6" t="s">
        <v>104</v>
      </c>
      <c r="B8997" s="13" t="s">
        <v>1276</v>
      </c>
      <c r="C8997" s="13" t="s">
        <v>461</v>
      </c>
      <c r="D8997" s="15">
        <v>5.0</v>
      </c>
      <c r="E8997" s="67">
        <f t="shared" si="20"/>
        <v>1250</v>
      </c>
      <c r="F8997" s="67"/>
    </row>
    <row r="8998" hidden="1">
      <c r="A8998" s="6" t="s">
        <v>104</v>
      </c>
      <c r="B8998" s="13" t="s">
        <v>1448</v>
      </c>
      <c r="C8998" s="13" t="s">
        <v>1449</v>
      </c>
      <c r="D8998" s="15">
        <v>5.0</v>
      </c>
      <c r="E8998" s="67">
        <f t="shared" si="20"/>
        <v>1250</v>
      </c>
      <c r="F8998" s="67"/>
    </row>
    <row r="8999" hidden="1">
      <c r="A8999" s="6" t="s">
        <v>104</v>
      </c>
      <c r="B8999" s="13" t="s">
        <v>546</v>
      </c>
      <c r="C8999" s="13" t="s">
        <v>547</v>
      </c>
      <c r="D8999" s="15">
        <v>5.0</v>
      </c>
      <c r="E8999" s="67">
        <f t="shared" si="20"/>
        <v>1250</v>
      </c>
      <c r="F8999" s="67"/>
    </row>
    <row r="9000" hidden="1">
      <c r="A9000" s="6" t="s">
        <v>104</v>
      </c>
      <c r="B9000" s="13" t="s">
        <v>3116</v>
      </c>
      <c r="C9000" s="13" t="s">
        <v>3117</v>
      </c>
      <c r="D9000" s="15">
        <v>5.0</v>
      </c>
      <c r="E9000" s="67">
        <f t="shared" si="20"/>
        <v>1250</v>
      </c>
      <c r="F9000" s="67"/>
    </row>
    <row r="9001" hidden="1">
      <c r="A9001" s="6" t="s">
        <v>104</v>
      </c>
      <c r="B9001" s="13" t="s">
        <v>3012</v>
      </c>
      <c r="C9001" s="13" t="s">
        <v>820</v>
      </c>
      <c r="D9001" s="15">
        <v>5.0</v>
      </c>
      <c r="E9001" s="67">
        <f t="shared" si="20"/>
        <v>1250</v>
      </c>
      <c r="F9001" s="67"/>
    </row>
    <row r="9002" hidden="1">
      <c r="A9002" s="6" t="s">
        <v>104</v>
      </c>
      <c r="B9002" s="13" t="s">
        <v>1919</v>
      </c>
      <c r="C9002" s="13" t="s">
        <v>2816</v>
      </c>
      <c r="D9002" s="15">
        <v>5.0</v>
      </c>
      <c r="E9002" s="67">
        <f t="shared" si="20"/>
        <v>1250</v>
      </c>
      <c r="F9002" s="67"/>
    </row>
    <row r="9003" hidden="1">
      <c r="A9003" s="6" t="s">
        <v>104</v>
      </c>
      <c r="B9003" s="13" t="s">
        <v>494</v>
      </c>
      <c r="C9003" s="13" t="s">
        <v>495</v>
      </c>
      <c r="D9003" s="15">
        <v>5.0</v>
      </c>
      <c r="E9003" s="67">
        <f t="shared" si="20"/>
        <v>1250</v>
      </c>
      <c r="F9003" s="67"/>
    </row>
    <row r="9004" hidden="1">
      <c r="A9004" s="6" t="s">
        <v>104</v>
      </c>
      <c r="B9004" s="13" t="s">
        <v>1443</v>
      </c>
      <c r="C9004" s="13" t="s">
        <v>755</v>
      </c>
      <c r="D9004" s="15">
        <v>5.0</v>
      </c>
      <c r="E9004" s="67">
        <f t="shared" si="20"/>
        <v>1250</v>
      </c>
      <c r="F9004" s="67"/>
    </row>
    <row r="9005" hidden="1">
      <c r="A9005" s="6" t="s">
        <v>104</v>
      </c>
      <c r="B9005" s="13" t="s">
        <v>3013</v>
      </c>
      <c r="C9005" s="13" t="s">
        <v>3014</v>
      </c>
      <c r="D9005" s="15">
        <v>5.0</v>
      </c>
      <c r="E9005" s="67">
        <f t="shared" si="20"/>
        <v>1250</v>
      </c>
      <c r="F9005" s="67"/>
    </row>
    <row r="9006" hidden="1">
      <c r="A9006" s="6" t="s">
        <v>104</v>
      </c>
      <c r="B9006" s="13" t="s">
        <v>234</v>
      </c>
      <c r="C9006" s="13" t="s">
        <v>2770</v>
      </c>
      <c r="D9006" s="15">
        <v>5.0</v>
      </c>
      <c r="E9006" s="67">
        <f t="shared" si="20"/>
        <v>1250</v>
      </c>
      <c r="F9006" s="67"/>
    </row>
    <row r="9007" hidden="1">
      <c r="A9007" s="6" t="s">
        <v>104</v>
      </c>
      <c r="B9007" s="13" t="s">
        <v>3039</v>
      </c>
      <c r="C9007" s="13" t="s">
        <v>3040</v>
      </c>
      <c r="D9007" s="15">
        <v>5.0</v>
      </c>
      <c r="E9007" s="67">
        <f t="shared" si="20"/>
        <v>1250</v>
      </c>
      <c r="F9007" s="67"/>
    </row>
    <row r="9008" hidden="1">
      <c r="A9008" s="6" t="s">
        <v>104</v>
      </c>
      <c r="B9008" s="13" t="s">
        <v>2927</v>
      </c>
      <c r="C9008" s="13" t="s">
        <v>2928</v>
      </c>
      <c r="D9008" s="15">
        <v>5.0</v>
      </c>
      <c r="E9008" s="67">
        <f t="shared" si="20"/>
        <v>1250</v>
      </c>
      <c r="F9008" s="67"/>
    </row>
    <row r="9009" hidden="1">
      <c r="A9009" s="6" t="s">
        <v>104</v>
      </c>
      <c r="B9009" s="13" t="s">
        <v>566</v>
      </c>
      <c r="C9009" s="13" t="s">
        <v>567</v>
      </c>
      <c r="D9009" s="15">
        <v>5.0</v>
      </c>
      <c r="E9009" s="67">
        <f t="shared" si="20"/>
        <v>1250</v>
      </c>
      <c r="F9009" s="67"/>
    </row>
    <row r="9010" hidden="1">
      <c r="A9010" s="6" t="s">
        <v>104</v>
      </c>
      <c r="B9010" s="13" t="s">
        <v>1419</v>
      </c>
      <c r="C9010" s="13" t="s">
        <v>1420</v>
      </c>
      <c r="D9010" s="15">
        <v>5.0</v>
      </c>
      <c r="E9010" s="67">
        <f t="shared" si="20"/>
        <v>1250</v>
      </c>
      <c r="F9010" s="67"/>
    </row>
    <row r="9011" hidden="1">
      <c r="A9011" s="6" t="s">
        <v>104</v>
      </c>
      <c r="B9011" s="13" t="s">
        <v>2576</v>
      </c>
      <c r="C9011" s="13" t="s">
        <v>2577</v>
      </c>
      <c r="D9011" s="15">
        <v>5.0</v>
      </c>
      <c r="E9011" s="67">
        <f t="shared" si="20"/>
        <v>1250</v>
      </c>
      <c r="F9011" s="67"/>
    </row>
    <row r="9012" hidden="1">
      <c r="A9012" s="6" t="s">
        <v>104</v>
      </c>
      <c r="B9012" s="13" t="s">
        <v>2747</v>
      </c>
      <c r="C9012" s="13" t="s">
        <v>2748</v>
      </c>
      <c r="D9012" s="15">
        <v>5.0</v>
      </c>
      <c r="E9012" s="67">
        <f t="shared" si="20"/>
        <v>1250</v>
      </c>
      <c r="F9012" s="67"/>
    </row>
    <row r="9013" hidden="1">
      <c r="A9013" s="6" t="s">
        <v>104</v>
      </c>
      <c r="B9013" s="13" t="s">
        <v>1359</v>
      </c>
      <c r="C9013" s="13" t="s">
        <v>1360</v>
      </c>
      <c r="D9013" s="15">
        <v>4.0</v>
      </c>
      <c r="E9013" s="67">
        <f t="shared" si="20"/>
        <v>1000</v>
      </c>
      <c r="F9013" s="67"/>
    </row>
    <row r="9014" hidden="1">
      <c r="A9014" s="6" t="s">
        <v>104</v>
      </c>
      <c r="B9014" s="13" t="s">
        <v>576</v>
      </c>
      <c r="C9014" s="13" t="s">
        <v>577</v>
      </c>
      <c r="D9014" s="15">
        <v>4.0</v>
      </c>
      <c r="E9014" s="67">
        <f t="shared" si="20"/>
        <v>1000</v>
      </c>
      <c r="F9014" s="67"/>
    </row>
    <row r="9015" hidden="1">
      <c r="A9015" s="6" t="s">
        <v>104</v>
      </c>
      <c r="B9015" s="13" t="s">
        <v>2762</v>
      </c>
      <c r="C9015" s="13" t="s">
        <v>2763</v>
      </c>
      <c r="D9015" s="15">
        <v>4.0</v>
      </c>
      <c r="E9015" s="67">
        <f t="shared" si="20"/>
        <v>1000</v>
      </c>
      <c r="F9015" s="67"/>
    </row>
    <row r="9016" hidden="1">
      <c r="A9016" s="6" t="s">
        <v>104</v>
      </c>
      <c r="B9016" s="13" t="s">
        <v>1291</v>
      </c>
      <c r="C9016" s="13" t="s">
        <v>422</v>
      </c>
      <c r="D9016" s="15">
        <v>4.0</v>
      </c>
      <c r="E9016" s="67">
        <f t="shared" si="20"/>
        <v>1000</v>
      </c>
      <c r="F9016" s="67"/>
    </row>
    <row r="9017" hidden="1">
      <c r="A9017" s="6" t="s">
        <v>104</v>
      </c>
      <c r="B9017" s="13" t="s">
        <v>2905</v>
      </c>
      <c r="C9017" s="13" t="s">
        <v>2906</v>
      </c>
      <c r="D9017" s="15">
        <v>4.0</v>
      </c>
      <c r="E9017" s="67">
        <f t="shared" si="20"/>
        <v>1000</v>
      </c>
      <c r="F9017" s="67"/>
    </row>
    <row r="9018" hidden="1">
      <c r="A9018" s="6" t="s">
        <v>104</v>
      </c>
      <c r="B9018" s="13" t="s">
        <v>560</v>
      </c>
      <c r="C9018" s="13" t="s">
        <v>561</v>
      </c>
      <c r="D9018" s="15">
        <v>4.0</v>
      </c>
      <c r="E9018" s="67">
        <f t="shared" si="20"/>
        <v>1000</v>
      </c>
      <c r="F9018" s="67"/>
    </row>
    <row r="9019" hidden="1">
      <c r="A9019" s="6" t="s">
        <v>104</v>
      </c>
      <c r="B9019" s="13" t="s">
        <v>2971</v>
      </c>
      <c r="C9019" s="13" t="s">
        <v>2972</v>
      </c>
      <c r="D9019" s="15">
        <v>4.0</v>
      </c>
      <c r="E9019" s="67">
        <f t="shared" si="20"/>
        <v>1000</v>
      </c>
      <c r="F9019" s="67"/>
    </row>
    <row r="9020" hidden="1">
      <c r="A9020" s="6" t="s">
        <v>104</v>
      </c>
      <c r="B9020" s="13" t="s">
        <v>2959</v>
      </c>
      <c r="C9020" s="13" t="s">
        <v>2960</v>
      </c>
      <c r="D9020" s="15">
        <v>4.0</v>
      </c>
      <c r="E9020" s="67">
        <f t="shared" si="20"/>
        <v>1000</v>
      </c>
      <c r="F9020" s="67"/>
    </row>
    <row r="9021" hidden="1">
      <c r="A9021" s="6" t="s">
        <v>104</v>
      </c>
      <c r="B9021" s="13" t="s">
        <v>1438</v>
      </c>
      <c r="C9021" s="13" t="s">
        <v>1439</v>
      </c>
      <c r="D9021" s="15">
        <v>4.0</v>
      </c>
      <c r="E9021" s="67">
        <f t="shared" si="20"/>
        <v>1000</v>
      </c>
      <c r="F9021" s="67"/>
    </row>
    <row r="9022" hidden="1">
      <c r="A9022" s="6" t="s">
        <v>104</v>
      </c>
      <c r="B9022" s="13" t="s">
        <v>2640</v>
      </c>
      <c r="C9022" s="13" t="s">
        <v>2641</v>
      </c>
      <c r="D9022" s="15">
        <v>4.0</v>
      </c>
      <c r="E9022" s="67">
        <f t="shared" si="20"/>
        <v>1000</v>
      </c>
      <c r="F9022" s="67"/>
    </row>
    <row r="9023" hidden="1">
      <c r="A9023" s="6" t="s">
        <v>104</v>
      </c>
      <c r="B9023" s="13" t="s">
        <v>672</v>
      </c>
      <c r="C9023" s="13" t="s">
        <v>673</v>
      </c>
      <c r="D9023" s="15">
        <v>4.0</v>
      </c>
      <c r="E9023" s="67">
        <f t="shared" si="20"/>
        <v>1000</v>
      </c>
      <c r="F9023" s="67"/>
    </row>
    <row r="9024" hidden="1">
      <c r="A9024" s="6" t="s">
        <v>104</v>
      </c>
      <c r="B9024" s="13" t="s">
        <v>2979</v>
      </c>
      <c r="C9024" s="13" t="s">
        <v>2980</v>
      </c>
      <c r="D9024" s="15">
        <v>4.0</v>
      </c>
      <c r="E9024" s="67">
        <f t="shared" si="20"/>
        <v>1000</v>
      </c>
      <c r="F9024" s="67"/>
    </row>
    <row r="9025" hidden="1">
      <c r="A9025" s="6" t="s">
        <v>104</v>
      </c>
      <c r="B9025" s="13" t="s">
        <v>449</v>
      </c>
      <c r="C9025" s="13" t="s">
        <v>450</v>
      </c>
      <c r="D9025" s="15">
        <v>4.0</v>
      </c>
      <c r="E9025" s="67">
        <f t="shared" si="20"/>
        <v>1000</v>
      </c>
      <c r="F9025" s="67"/>
    </row>
    <row r="9026" hidden="1">
      <c r="A9026" s="6" t="s">
        <v>104</v>
      </c>
      <c r="B9026" s="13" t="s">
        <v>1376</v>
      </c>
      <c r="C9026" s="13" t="s">
        <v>649</v>
      </c>
      <c r="D9026" s="15">
        <v>4.0</v>
      </c>
      <c r="E9026" s="67">
        <f t="shared" si="20"/>
        <v>1000</v>
      </c>
      <c r="F9026" s="67"/>
    </row>
    <row r="9027" hidden="1">
      <c r="A9027" s="6" t="s">
        <v>104</v>
      </c>
      <c r="B9027" s="13" t="s">
        <v>532</v>
      </c>
      <c r="C9027" s="13" t="s">
        <v>533</v>
      </c>
      <c r="D9027" s="15">
        <v>4.0</v>
      </c>
      <c r="E9027" s="67">
        <f t="shared" si="20"/>
        <v>1000</v>
      </c>
      <c r="F9027" s="67"/>
    </row>
    <row r="9028" hidden="1">
      <c r="A9028" s="6" t="s">
        <v>104</v>
      </c>
      <c r="B9028" s="13" t="s">
        <v>604</v>
      </c>
      <c r="C9028" s="13" t="s">
        <v>605</v>
      </c>
      <c r="D9028" s="15">
        <v>4.0</v>
      </c>
      <c r="E9028" s="67">
        <f t="shared" si="20"/>
        <v>1000</v>
      </c>
      <c r="F9028" s="67"/>
    </row>
    <row r="9029" hidden="1">
      <c r="A9029" s="6" t="s">
        <v>104</v>
      </c>
      <c r="B9029" s="13" t="s">
        <v>624</v>
      </c>
      <c r="C9029" s="13" t="s">
        <v>625</v>
      </c>
      <c r="D9029" s="15">
        <v>4.0</v>
      </c>
      <c r="E9029" s="67">
        <f t="shared" si="20"/>
        <v>1000</v>
      </c>
      <c r="F9029" s="67"/>
    </row>
    <row r="9030" hidden="1">
      <c r="A9030" s="6" t="s">
        <v>104</v>
      </c>
      <c r="B9030" s="13" t="s">
        <v>2718</v>
      </c>
      <c r="C9030" s="13" t="s">
        <v>2719</v>
      </c>
      <c r="D9030" s="15">
        <v>4.0</v>
      </c>
      <c r="E9030" s="67">
        <f t="shared" si="20"/>
        <v>1000</v>
      </c>
      <c r="F9030" s="67"/>
    </row>
    <row r="9031" hidden="1">
      <c r="A9031" s="6" t="s">
        <v>104</v>
      </c>
      <c r="B9031" s="13" t="s">
        <v>1897</v>
      </c>
      <c r="C9031" s="13" t="s">
        <v>2460</v>
      </c>
      <c r="D9031" s="15">
        <v>4.0</v>
      </c>
      <c r="E9031" s="67">
        <f t="shared" si="20"/>
        <v>1000</v>
      </c>
      <c r="F9031" s="67"/>
    </row>
    <row r="9032" hidden="1">
      <c r="A9032" s="6" t="s">
        <v>104</v>
      </c>
      <c r="B9032" s="13" t="s">
        <v>1283</v>
      </c>
      <c r="C9032" s="13" t="s">
        <v>404</v>
      </c>
      <c r="D9032" s="15">
        <v>4.0</v>
      </c>
      <c r="E9032" s="67">
        <f t="shared" si="20"/>
        <v>1000</v>
      </c>
      <c r="F9032" s="67"/>
    </row>
    <row r="9033" hidden="1">
      <c r="A9033" s="6" t="s">
        <v>104</v>
      </c>
      <c r="B9033" s="13" t="s">
        <v>1382</v>
      </c>
      <c r="C9033" s="13" t="s">
        <v>1383</v>
      </c>
      <c r="D9033" s="15">
        <v>4.0</v>
      </c>
      <c r="E9033" s="67">
        <f t="shared" si="20"/>
        <v>1000</v>
      </c>
      <c r="F9033" s="67"/>
    </row>
    <row r="9034" hidden="1">
      <c r="A9034" s="6" t="s">
        <v>104</v>
      </c>
      <c r="B9034" s="13" t="s">
        <v>522</v>
      </c>
      <c r="C9034" s="13" t="s">
        <v>523</v>
      </c>
      <c r="D9034" s="15">
        <v>4.0</v>
      </c>
      <c r="E9034" s="67">
        <f t="shared" si="20"/>
        <v>1000</v>
      </c>
      <c r="F9034" s="67"/>
    </row>
    <row r="9035" hidden="1">
      <c r="A9035" s="6" t="s">
        <v>104</v>
      </c>
      <c r="B9035" s="13" t="s">
        <v>445</v>
      </c>
      <c r="C9035" s="13" t="s">
        <v>446</v>
      </c>
      <c r="D9035" s="15">
        <v>4.0</v>
      </c>
      <c r="E9035" s="67">
        <f t="shared" si="20"/>
        <v>1000</v>
      </c>
      <c r="F9035" s="67"/>
    </row>
    <row r="9036" hidden="1">
      <c r="A9036" s="6" t="s">
        <v>104</v>
      </c>
      <c r="B9036" s="13" t="s">
        <v>3004</v>
      </c>
      <c r="C9036" s="13" t="s">
        <v>3005</v>
      </c>
      <c r="D9036" s="15">
        <v>3.0</v>
      </c>
      <c r="E9036" s="67">
        <f t="shared" si="20"/>
        <v>750</v>
      </c>
      <c r="F9036" s="67"/>
    </row>
    <row r="9037" hidden="1">
      <c r="A9037" s="6" t="s">
        <v>104</v>
      </c>
      <c r="B9037" s="13" t="s">
        <v>2683</v>
      </c>
      <c r="C9037" s="13" t="s">
        <v>2684</v>
      </c>
      <c r="D9037" s="15">
        <v>3.0</v>
      </c>
      <c r="E9037" s="67">
        <f t="shared" si="20"/>
        <v>750</v>
      </c>
      <c r="F9037" s="67"/>
    </row>
    <row r="9038" hidden="1">
      <c r="A9038" s="6" t="s">
        <v>104</v>
      </c>
      <c r="B9038" s="13" t="s">
        <v>1303</v>
      </c>
      <c r="C9038" s="13" t="s">
        <v>467</v>
      </c>
      <c r="D9038" s="15">
        <v>3.0</v>
      </c>
      <c r="E9038" s="67">
        <f t="shared" si="20"/>
        <v>750</v>
      </c>
      <c r="F9038" s="67"/>
    </row>
    <row r="9039" hidden="1">
      <c r="A9039" s="6" t="s">
        <v>104</v>
      </c>
      <c r="B9039" s="13" t="s">
        <v>2919</v>
      </c>
      <c r="C9039" s="13" t="s">
        <v>2920</v>
      </c>
      <c r="D9039" s="15">
        <v>3.0</v>
      </c>
      <c r="E9039" s="67">
        <f t="shared" si="20"/>
        <v>750</v>
      </c>
      <c r="F9039" s="67"/>
    </row>
    <row r="9040" hidden="1">
      <c r="A9040" s="6" t="s">
        <v>104</v>
      </c>
      <c r="B9040" s="13" t="s">
        <v>650</v>
      </c>
      <c r="C9040" s="13" t="s">
        <v>651</v>
      </c>
      <c r="D9040" s="15">
        <v>3.0</v>
      </c>
      <c r="E9040" s="67">
        <f t="shared" si="20"/>
        <v>750</v>
      </c>
      <c r="F9040" s="67"/>
    </row>
    <row r="9041" hidden="1">
      <c r="A9041" s="6" t="s">
        <v>104</v>
      </c>
      <c r="B9041" s="13" t="s">
        <v>2911</v>
      </c>
      <c r="C9041" s="13" t="s">
        <v>2912</v>
      </c>
      <c r="D9041" s="15">
        <v>3.0</v>
      </c>
      <c r="E9041" s="67">
        <f t="shared" si="20"/>
        <v>750</v>
      </c>
      <c r="F9041" s="67"/>
    </row>
    <row r="9042" hidden="1">
      <c r="A9042" s="6" t="s">
        <v>104</v>
      </c>
      <c r="B9042" s="13" t="s">
        <v>1418</v>
      </c>
      <c r="C9042" s="13" t="s">
        <v>708</v>
      </c>
      <c r="D9042" s="15">
        <v>3.0</v>
      </c>
      <c r="E9042" s="67">
        <f t="shared" si="20"/>
        <v>750</v>
      </c>
      <c r="F9042" s="67"/>
    </row>
    <row r="9043" hidden="1">
      <c r="A9043" s="6" t="s">
        <v>104</v>
      </c>
      <c r="B9043" s="13" t="s">
        <v>2034</v>
      </c>
      <c r="C9043" s="13" t="s">
        <v>416</v>
      </c>
      <c r="D9043" s="15">
        <v>3.0</v>
      </c>
      <c r="E9043" s="67">
        <f t="shared" si="20"/>
        <v>750</v>
      </c>
      <c r="F9043" s="67"/>
    </row>
    <row r="9044" hidden="1">
      <c r="A9044" s="6" t="s">
        <v>104</v>
      </c>
      <c r="B9044" s="13" t="s">
        <v>2299</v>
      </c>
      <c r="C9044" s="13" t="s">
        <v>2300</v>
      </c>
      <c r="D9044" s="15">
        <v>3.0</v>
      </c>
      <c r="E9044" s="67">
        <f t="shared" si="20"/>
        <v>750</v>
      </c>
      <c r="F9044" s="67"/>
    </row>
    <row r="9045" hidden="1">
      <c r="A9045" s="6" t="s">
        <v>104</v>
      </c>
      <c r="B9045" s="13" t="s">
        <v>2828</v>
      </c>
      <c r="C9045" s="13" t="s">
        <v>2829</v>
      </c>
      <c r="D9045" s="15">
        <v>3.0</v>
      </c>
      <c r="E9045" s="67">
        <f t="shared" si="20"/>
        <v>750</v>
      </c>
      <c r="F9045" s="67"/>
    </row>
    <row r="9046" hidden="1">
      <c r="A9046" s="6" t="s">
        <v>104</v>
      </c>
      <c r="B9046" s="13" t="s">
        <v>1398</v>
      </c>
      <c r="C9046" s="13" t="s">
        <v>1399</v>
      </c>
      <c r="D9046" s="15">
        <v>3.0</v>
      </c>
      <c r="E9046" s="67">
        <f t="shared" si="20"/>
        <v>750</v>
      </c>
      <c r="F9046" s="67"/>
    </row>
    <row r="9047" hidden="1">
      <c r="A9047" s="6" t="s">
        <v>104</v>
      </c>
      <c r="B9047" s="13" t="s">
        <v>752</v>
      </c>
      <c r="C9047" s="13" t="s">
        <v>753</v>
      </c>
      <c r="D9047" s="15">
        <v>3.0</v>
      </c>
      <c r="E9047" s="67">
        <f t="shared" si="20"/>
        <v>750</v>
      </c>
      <c r="F9047" s="67"/>
    </row>
    <row r="9048" hidden="1">
      <c r="A9048" s="6" t="s">
        <v>104</v>
      </c>
      <c r="B9048" s="13" t="s">
        <v>2885</v>
      </c>
      <c r="C9048" s="13" t="s">
        <v>2886</v>
      </c>
      <c r="D9048" s="15">
        <v>3.0</v>
      </c>
      <c r="E9048" s="67">
        <f t="shared" si="20"/>
        <v>750</v>
      </c>
      <c r="F9048" s="67"/>
    </row>
    <row r="9049" hidden="1">
      <c r="A9049" s="6" t="s">
        <v>104</v>
      </c>
      <c r="B9049" s="13" t="s">
        <v>1461</v>
      </c>
      <c r="C9049" s="13" t="s">
        <v>1462</v>
      </c>
      <c r="D9049" s="15">
        <v>3.0</v>
      </c>
      <c r="E9049" s="67">
        <f t="shared" si="20"/>
        <v>750</v>
      </c>
      <c r="F9049" s="67"/>
    </row>
    <row r="9050" hidden="1">
      <c r="A9050" s="6" t="s">
        <v>104</v>
      </c>
      <c r="B9050" s="13" t="s">
        <v>2473</v>
      </c>
      <c r="C9050" s="13" t="s">
        <v>2474</v>
      </c>
      <c r="D9050" s="15">
        <v>3.0</v>
      </c>
      <c r="E9050" s="67">
        <f t="shared" si="20"/>
        <v>750</v>
      </c>
      <c r="F9050" s="67"/>
    </row>
    <row r="9051" hidden="1">
      <c r="A9051" s="6" t="s">
        <v>104</v>
      </c>
      <c r="B9051" s="13" t="s">
        <v>3006</v>
      </c>
      <c r="C9051" s="13" t="s">
        <v>3007</v>
      </c>
      <c r="D9051" s="15">
        <v>3.0</v>
      </c>
      <c r="E9051" s="67">
        <f t="shared" si="20"/>
        <v>750</v>
      </c>
      <c r="F9051" s="67"/>
    </row>
    <row r="9052" hidden="1">
      <c r="A9052" s="6" t="s">
        <v>104</v>
      </c>
      <c r="B9052" s="13" t="s">
        <v>3118</v>
      </c>
      <c r="C9052" s="13" t="s">
        <v>3119</v>
      </c>
      <c r="D9052" s="15">
        <v>3.0</v>
      </c>
      <c r="E9052" s="67">
        <f t="shared" si="20"/>
        <v>750</v>
      </c>
      <c r="F9052" s="67"/>
    </row>
    <row r="9053" hidden="1">
      <c r="A9053" s="6" t="s">
        <v>104</v>
      </c>
      <c r="B9053" s="13" t="s">
        <v>2977</v>
      </c>
      <c r="C9053" s="13" t="s">
        <v>2978</v>
      </c>
      <c r="D9053" s="15">
        <v>3.0</v>
      </c>
      <c r="E9053" s="67">
        <f t="shared" si="20"/>
        <v>750</v>
      </c>
      <c r="F9053" s="67"/>
    </row>
    <row r="9054" hidden="1">
      <c r="A9054" s="6" t="s">
        <v>104</v>
      </c>
      <c r="B9054" s="13" t="s">
        <v>1988</v>
      </c>
      <c r="C9054" s="13" t="s">
        <v>3120</v>
      </c>
      <c r="D9054" s="15">
        <v>3.0</v>
      </c>
      <c r="E9054" s="67">
        <f t="shared" si="20"/>
        <v>750</v>
      </c>
      <c r="F9054" s="67"/>
    </row>
    <row r="9055" hidden="1">
      <c r="A9055" s="6" t="s">
        <v>104</v>
      </c>
      <c r="B9055" s="13" t="s">
        <v>1279</v>
      </c>
      <c r="C9055" s="13" t="s">
        <v>739</v>
      </c>
      <c r="D9055" s="15">
        <v>3.0</v>
      </c>
      <c r="E9055" s="67">
        <f t="shared" si="20"/>
        <v>750</v>
      </c>
      <c r="F9055" s="67"/>
    </row>
    <row r="9056" hidden="1">
      <c r="A9056" s="6" t="s">
        <v>104</v>
      </c>
      <c r="B9056" s="13" t="s">
        <v>2288</v>
      </c>
      <c r="C9056" s="13" t="s">
        <v>2289</v>
      </c>
      <c r="D9056" s="15">
        <v>3.0</v>
      </c>
      <c r="E9056" s="67">
        <f t="shared" si="20"/>
        <v>750</v>
      </c>
      <c r="F9056" s="67"/>
    </row>
    <row r="9057" hidden="1">
      <c r="A9057" s="6" t="s">
        <v>104</v>
      </c>
      <c r="B9057" s="13" t="s">
        <v>518</v>
      </c>
      <c r="C9057" s="13" t="s">
        <v>519</v>
      </c>
      <c r="D9057" s="15">
        <v>3.0</v>
      </c>
      <c r="E9057" s="67">
        <f t="shared" si="20"/>
        <v>750</v>
      </c>
      <c r="F9057" s="67"/>
    </row>
    <row r="9058" hidden="1">
      <c r="A9058" s="6" t="s">
        <v>104</v>
      </c>
      <c r="B9058" s="13" t="s">
        <v>307</v>
      </c>
      <c r="C9058" s="13" t="s">
        <v>692</v>
      </c>
      <c r="D9058" s="15">
        <v>3.0</v>
      </c>
      <c r="E9058" s="67">
        <f t="shared" si="20"/>
        <v>750</v>
      </c>
      <c r="F9058" s="67"/>
    </row>
    <row r="9059" hidden="1">
      <c r="A9059" s="6" t="s">
        <v>104</v>
      </c>
      <c r="B9059" s="13" t="s">
        <v>2983</v>
      </c>
      <c r="C9059" s="13" t="s">
        <v>2984</v>
      </c>
      <c r="D9059" s="15">
        <v>3.0</v>
      </c>
      <c r="E9059" s="67">
        <f t="shared" si="20"/>
        <v>750</v>
      </c>
      <c r="F9059" s="67"/>
    </row>
    <row r="9060" hidden="1">
      <c r="A9060" s="6" t="s">
        <v>104</v>
      </c>
      <c r="B9060" s="13" t="s">
        <v>1923</v>
      </c>
      <c r="C9060" s="13" t="s">
        <v>1924</v>
      </c>
      <c r="D9060" s="15">
        <v>3.0</v>
      </c>
      <c r="E9060" s="67">
        <f t="shared" si="20"/>
        <v>750</v>
      </c>
      <c r="F9060" s="67"/>
    </row>
    <row r="9061" hidden="1">
      <c r="A9061" s="6" t="s">
        <v>104</v>
      </c>
      <c r="B9061" s="13" t="s">
        <v>2380</v>
      </c>
      <c r="C9061" s="13" t="s">
        <v>3015</v>
      </c>
      <c r="D9061" s="15">
        <v>3.0</v>
      </c>
      <c r="E9061" s="67">
        <f t="shared" si="20"/>
        <v>750</v>
      </c>
      <c r="F9061" s="67"/>
    </row>
    <row r="9062" hidden="1">
      <c r="A9062" s="6" t="s">
        <v>104</v>
      </c>
      <c r="B9062" s="13" t="s">
        <v>3093</v>
      </c>
      <c r="C9062" s="13" t="s">
        <v>3094</v>
      </c>
      <c r="D9062" s="15">
        <v>3.0</v>
      </c>
      <c r="E9062" s="67">
        <f t="shared" si="20"/>
        <v>750</v>
      </c>
      <c r="F9062" s="67"/>
    </row>
    <row r="9063" hidden="1">
      <c r="A9063" s="6" t="s">
        <v>104</v>
      </c>
      <c r="B9063" s="13" t="s">
        <v>2878</v>
      </c>
      <c r="C9063" s="13" t="s">
        <v>2879</v>
      </c>
      <c r="D9063" s="15">
        <v>3.0</v>
      </c>
      <c r="E9063" s="67">
        <f t="shared" si="20"/>
        <v>750</v>
      </c>
      <c r="F9063" s="67"/>
    </row>
    <row r="9064" hidden="1">
      <c r="A9064" s="6" t="s">
        <v>104</v>
      </c>
      <c r="B9064" s="13" t="s">
        <v>3121</v>
      </c>
      <c r="C9064" s="13" t="s">
        <v>3122</v>
      </c>
      <c r="D9064" s="15">
        <v>3.0</v>
      </c>
      <c r="E9064" s="67">
        <f t="shared" si="20"/>
        <v>750</v>
      </c>
      <c r="F9064" s="67"/>
    </row>
    <row r="9065" hidden="1">
      <c r="A9065" s="6" t="s">
        <v>104</v>
      </c>
      <c r="B9065" s="13" t="s">
        <v>2903</v>
      </c>
      <c r="C9065" s="13" t="s">
        <v>2904</v>
      </c>
      <c r="D9065" s="15">
        <v>3.0</v>
      </c>
      <c r="E9065" s="67">
        <f t="shared" si="20"/>
        <v>750</v>
      </c>
      <c r="F9065" s="67"/>
    </row>
    <row r="9066" hidden="1">
      <c r="A9066" s="6" t="s">
        <v>104</v>
      </c>
      <c r="B9066" s="13" t="s">
        <v>3010</v>
      </c>
      <c r="C9066" s="13" t="s">
        <v>3011</v>
      </c>
      <c r="D9066" s="15">
        <v>3.0</v>
      </c>
      <c r="E9066" s="67">
        <f t="shared" si="20"/>
        <v>750</v>
      </c>
      <c r="F9066" s="67"/>
    </row>
    <row r="9067" hidden="1">
      <c r="A9067" s="6" t="s">
        <v>104</v>
      </c>
      <c r="B9067" s="13" t="s">
        <v>922</v>
      </c>
      <c r="C9067" s="13" t="s">
        <v>923</v>
      </c>
      <c r="D9067" s="15">
        <v>2.0</v>
      </c>
      <c r="E9067" s="67">
        <f t="shared" si="20"/>
        <v>500</v>
      </c>
      <c r="F9067" s="67"/>
    </row>
    <row r="9068" hidden="1">
      <c r="A9068" s="6" t="s">
        <v>104</v>
      </c>
      <c r="B9068" s="13" t="s">
        <v>900</v>
      </c>
      <c r="C9068" s="13" t="s">
        <v>901</v>
      </c>
      <c r="D9068" s="15">
        <v>2.0</v>
      </c>
      <c r="E9068" s="67">
        <f t="shared" si="20"/>
        <v>500</v>
      </c>
      <c r="F9068" s="67"/>
    </row>
    <row r="9069" hidden="1">
      <c r="A9069" s="6" t="s">
        <v>104</v>
      </c>
      <c r="B9069" s="13" t="s">
        <v>1278</v>
      </c>
      <c r="C9069" s="13" t="s">
        <v>549</v>
      </c>
      <c r="D9069" s="15">
        <v>2.0</v>
      </c>
      <c r="E9069" s="67">
        <f t="shared" si="20"/>
        <v>500</v>
      </c>
      <c r="F9069" s="67"/>
    </row>
    <row r="9070" hidden="1">
      <c r="A9070" s="6" t="s">
        <v>104</v>
      </c>
      <c r="B9070" s="13" t="s">
        <v>1025</v>
      </c>
      <c r="C9070" s="13" t="s">
        <v>1026</v>
      </c>
      <c r="D9070" s="15">
        <v>2.0</v>
      </c>
      <c r="E9070" s="67">
        <f t="shared" si="20"/>
        <v>500</v>
      </c>
      <c r="F9070" s="67"/>
    </row>
    <row r="9071" hidden="1">
      <c r="A9071" s="6" t="s">
        <v>104</v>
      </c>
      <c r="B9071" s="13" t="s">
        <v>1327</v>
      </c>
      <c r="C9071" s="13" t="s">
        <v>527</v>
      </c>
      <c r="D9071" s="15">
        <v>2.0</v>
      </c>
      <c r="E9071" s="67">
        <f t="shared" si="20"/>
        <v>500</v>
      </c>
      <c r="F9071" s="67"/>
    </row>
    <row r="9072" hidden="1">
      <c r="A9072" s="6" t="s">
        <v>104</v>
      </c>
      <c r="B9072" s="13" t="s">
        <v>1379</v>
      </c>
      <c r="C9072" s="13" t="s">
        <v>655</v>
      </c>
      <c r="D9072" s="15">
        <v>2.0</v>
      </c>
      <c r="E9072" s="67">
        <f t="shared" si="20"/>
        <v>500</v>
      </c>
      <c r="F9072" s="67"/>
    </row>
    <row r="9073" hidden="1">
      <c r="A9073" s="6" t="s">
        <v>104</v>
      </c>
      <c r="B9073" s="13" t="s">
        <v>472</v>
      </c>
      <c r="C9073" s="13" t="s">
        <v>473</v>
      </c>
      <c r="D9073" s="15">
        <v>2.0</v>
      </c>
      <c r="E9073" s="67">
        <f t="shared" si="20"/>
        <v>500</v>
      </c>
      <c r="F9073" s="67"/>
    </row>
    <row r="9074" hidden="1">
      <c r="A9074" s="6" t="s">
        <v>104</v>
      </c>
      <c r="B9074" s="13" t="s">
        <v>3076</v>
      </c>
      <c r="C9074" s="13" t="s">
        <v>3077</v>
      </c>
      <c r="D9074" s="15">
        <v>2.0</v>
      </c>
      <c r="E9074" s="67">
        <f t="shared" si="20"/>
        <v>500</v>
      </c>
      <c r="F9074" s="67"/>
    </row>
    <row r="9075" hidden="1">
      <c r="A9075" s="6" t="s">
        <v>104</v>
      </c>
      <c r="B9075" s="13" t="s">
        <v>1408</v>
      </c>
      <c r="C9075" s="13" t="s">
        <v>675</v>
      </c>
      <c r="D9075" s="15">
        <v>2.0</v>
      </c>
      <c r="E9075" s="67">
        <f t="shared" si="20"/>
        <v>500</v>
      </c>
      <c r="F9075" s="67"/>
    </row>
    <row r="9076" hidden="1">
      <c r="A9076" s="6" t="s">
        <v>104</v>
      </c>
      <c r="B9076" s="13" t="s">
        <v>2179</v>
      </c>
      <c r="C9076" s="13" t="s">
        <v>2180</v>
      </c>
      <c r="D9076" s="15">
        <v>2.0</v>
      </c>
      <c r="E9076" s="67">
        <f t="shared" si="20"/>
        <v>500</v>
      </c>
      <c r="F9076" s="67"/>
    </row>
    <row r="9077" hidden="1">
      <c r="A9077" s="6" t="s">
        <v>104</v>
      </c>
      <c r="B9077" s="13" t="s">
        <v>3085</v>
      </c>
      <c r="C9077" s="13" t="s">
        <v>3086</v>
      </c>
      <c r="D9077" s="15">
        <v>2.0</v>
      </c>
      <c r="E9077" s="67">
        <f t="shared" si="20"/>
        <v>500</v>
      </c>
      <c r="F9077" s="67"/>
    </row>
    <row r="9078" hidden="1">
      <c r="A9078" s="6" t="s">
        <v>104</v>
      </c>
      <c r="B9078" s="13" t="s">
        <v>1422</v>
      </c>
      <c r="C9078" s="13" t="s">
        <v>1423</v>
      </c>
      <c r="D9078" s="15">
        <v>2.0</v>
      </c>
      <c r="E9078" s="67">
        <f t="shared" si="20"/>
        <v>500</v>
      </c>
      <c r="F9078" s="67"/>
    </row>
    <row r="9079" hidden="1">
      <c r="A9079" s="6" t="s">
        <v>104</v>
      </c>
      <c r="B9079" s="13" t="s">
        <v>405</v>
      </c>
      <c r="C9079" s="13" t="s">
        <v>406</v>
      </c>
      <c r="D9079" s="15">
        <v>2.0</v>
      </c>
      <c r="E9079" s="67">
        <f t="shared" si="20"/>
        <v>500</v>
      </c>
      <c r="F9079" s="67"/>
    </row>
    <row r="9080" hidden="1">
      <c r="A9080" s="6" t="s">
        <v>104</v>
      </c>
      <c r="B9080" s="13" t="s">
        <v>3089</v>
      </c>
      <c r="C9080" s="13" t="s">
        <v>3090</v>
      </c>
      <c r="D9080" s="15">
        <v>2.0</v>
      </c>
      <c r="E9080" s="67">
        <f t="shared" si="20"/>
        <v>500</v>
      </c>
      <c r="F9080" s="67"/>
    </row>
    <row r="9081" hidden="1">
      <c r="A9081" s="6" t="s">
        <v>104</v>
      </c>
      <c r="B9081" s="13" t="s">
        <v>2949</v>
      </c>
      <c r="C9081" s="13" t="s">
        <v>2950</v>
      </c>
      <c r="D9081" s="15">
        <v>2.0</v>
      </c>
      <c r="E9081" s="67">
        <f t="shared" si="20"/>
        <v>500</v>
      </c>
      <c r="F9081" s="67"/>
    </row>
    <row r="9082" hidden="1">
      <c r="A9082" s="6" t="s">
        <v>104</v>
      </c>
      <c r="B9082" s="13" t="s">
        <v>1293</v>
      </c>
      <c r="C9082" s="13" t="s">
        <v>1294</v>
      </c>
      <c r="D9082" s="15">
        <v>2.0</v>
      </c>
      <c r="E9082" s="67">
        <f t="shared" si="20"/>
        <v>500</v>
      </c>
      <c r="F9082" s="67"/>
    </row>
    <row r="9083" hidden="1">
      <c r="A9083" s="6" t="s">
        <v>104</v>
      </c>
      <c r="B9083" s="13" t="s">
        <v>2360</v>
      </c>
      <c r="C9083" s="13" t="s">
        <v>2361</v>
      </c>
      <c r="D9083" s="15">
        <v>2.0</v>
      </c>
      <c r="E9083" s="67">
        <f t="shared" si="20"/>
        <v>500</v>
      </c>
      <c r="F9083" s="67"/>
    </row>
    <row r="9084" hidden="1">
      <c r="A9084" s="6" t="s">
        <v>104</v>
      </c>
      <c r="B9084" s="13" t="s">
        <v>3123</v>
      </c>
      <c r="C9084" s="13" t="s">
        <v>3124</v>
      </c>
      <c r="D9084" s="15">
        <v>2.0</v>
      </c>
      <c r="E9084" s="67">
        <f t="shared" si="20"/>
        <v>500</v>
      </c>
      <c r="F9084" s="67"/>
    </row>
    <row r="9085" hidden="1">
      <c r="A9085" s="6" t="s">
        <v>104</v>
      </c>
      <c r="B9085" s="13" t="s">
        <v>2677</v>
      </c>
      <c r="C9085" s="13" t="s">
        <v>2678</v>
      </c>
      <c r="D9085" s="15">
        <v>2.0</v>
      </c>
      <c r="E9085" s="67">
        <f t="shared" si="20"/>
        <v>500</v>
      </c>
      <c r="F9085" s="67"/>
    </row>
    <row r="9086" hidden="1">
      <c r="A9086" s="6" t="s">
        <v>104</v>
      </c>
      <c r="B9086" s="13" t="s">
        <v>2785</v>
      </c>
      <c r="C9086" s="13" t="s">
        <v>2786</v>
      </c>
      <c r="D9086" s="15">
        <v>2.0</v>
      </c>
      <c r="E9086" s="67">
        <f t="shared" si="20"/>
        <v>500</v>
      </c>
      <c r="F9086" s="67"/>
    </row>
    <row r="9087" hidden="1">
      <c r="A9087" s="6" t="s">
        <v>104</v>
      </c>
      <c r="B9087" s="13" t="s">
        <v>3125</v>
      </c>
      <c r="C9087" s="13" t="s">
        <v>3126</v>
      </c>
      <c r="D9087" s="15">
        <v>2.0</v>
      </c>
      <c r="E9087" s="67">
        <f t="shared" si="20"/>
        <v>500</v>
      </c>
      <c r="F9087" s="67"/>
    </row>
    <row r="9088" hidden="1">
      <c r="A9088" s="6" t="s">
        <v>104</v>
      </c>
      <c r="B9088" s="13" t="s">
        <v>1351</v>
      </c>
      <c r="C9088" s="13" t="s">
        <v>1352</v>
      </c>
      <c r="D9088" s="15">
        <v>2.0</v>
      </c>
      <c r="E9088" s="67">
        <f t="shared" si="20"/>
        <v>500</v>
      </c>
      <c r="F9088" s="67"/>
    </row>
    <row r="9089" hidden="1">
      <c r="A9089" s="6" t="s">
        <v>104</v>
      </c>
      <c r="B9089" s="13" t="s">
        <v>3095</v>
      </c>
      <c r="C9089" s="13" t="s">
        <v>3096</v>
      </c>
      <c r="D9089" s="15">
        <v>2.0</v>
      </c>
      <c r="E9089" s="67">
        <f t="shared" si="20"/>
        <v>500</v>
      </c>
      <c r="F9089" s="67"/>
    </row>
    <row r="9090" hidden="1">
      <c r="A9090" s="6" t="s">
        <v>104</v>
      </c>
      <c r="B9090" s="13" t="s">
        <v>746</v>
      </c>
      <c r="C9090" s="13" t="s">
        <v>747</v>
      </c>
      <c r="D9090" s="15">
        <v>2.0</v>
      </c>
      <c r="E9090" s="67">
        <f t="shared" si="20"/>
        <v>500</v>
      </c>
      <c r="F9090" s="67"/>
    </row>
    <row r="9091" hidden="1">
      <c r="A9091" s="6" t="s">
        <v>104</v>
      </c>
      <c r="B9091" s="13" t="s">
        <v>3127</v>
      </c>
      <c r="C9091" s="13" t="s">
        <v>3128</v>
      </c>
      <c r="D9091" s="15">
        <v>1.0</v>
      </c>
      <c r="E9091" s="67">
        <f t="shared" si="20"/>
        <v>250</v>
      </c>
      <c r="F9091" s="67"/>
    </row>
    <row r="9092" hidden="1">
      <c r="A9092" s="6" t="s">
        <v>104</v>
      </c>
      <c r="B9092" s="13" t="s">
        <v>3081</v>
      </c>
      <c r="C9092" s="13" t="s">
        <v>3082</v>
      </c>
      <c r="D9092" s="15">
        <v>1.0</v>
      </c>
      <c r="E9092" s="67">
        <f t="shared" si="20"/>
        <v>250</v>
      </c>
      <c r="F9092" s="67"/>
    </row>
    <row r="9093" hidden="1">
      <c r="A9093" s="6" t="s">
        <v>104</v>
      </c>
      <c r="B9093" s="13" t="s">
        <v>1356</v>
      </c>
      <c r="C9093" s="13" t="s">
        <v>581</v>
      </c>
      <c r="D9093" s="15">
        <v>1.0</v>
      </c>
      <c r="E9093" s="67">
        <f t="shared" si="20"/>
        <v>250</v>
      </c>
      <c r="F9093" s="67"/>
    </row>
    <row r="9094" hidden="1">
      <c r="A9094" s="6" t="s">
        <v>104</v>
      </c>
      <c r="B9094" s="13" t="s">
        <v>433</v>
      </c>
      <c r="C9094" s="13" t="s">
        <v>434</v>
      </c>
      <c r="D9094" s="15">
        <v>1.0</v>
      </c>
      <c r="E9094" s="67">
        <f t="shared" si="20"/>
        <v>250</v>
      </c>
      <c r="F9094" s="67"/>
    </row>
    <row r="9095" hidden="1">
      <c r="A9095" s="6" t="s">
        <v>104</v>
      </c>
      <c r="B9095" s="13" t="s">
        <v>606</v>
      </c>
      <c r="C9095" s="13" t="s">
        <v>607</v>
      </c>
      <c r="D9095" s="15">
        <v>1.0</v>
      </c>
      <c r="E9095" s="67">
        <f t="shared" si="20"/>
        <v>250</v>
      </c>
      <c r="F9095" s="67"/>
    </row>
    <row r="9096" hidden="1">
      <c r="A9096" s="6" t="s">
        <v>104</v>
      </c>
      <c r="B9096" s="13" t="s">
        <v>3129</v>
      </c>
      <c r="C9096" s="13" t="s">
        <v>3130</v>
      </c>
      <c r="D9096" s="15">
        <v>1.0</v>
      </c>
      <c r="E9096" s="67">
        <f t="shared" si="20"/>
        <v>250</v>
      </c>
      <c r="F9096" s="67"/>
    </row>
    <row r="9097" hidden="1">
      <c r="A9097" s="6" t="s">
        <v>104</v>
      </c>
      <c r="B9097" s="13" t="s">
        <v>1344</v>
      </c>
      <c r="C9097" s="13" t="s">
        <v>569</v>
      </c>
      <c r="D9097" s="15">
        <v>1.0</v>
      </c>
      <c r="E9097" s="67">
        <f t="shared" si="20"/>
        <v>250</v>
      </c>
      <c r="F9097" s="67"/>
    </row>
    <row r="9098" hidden="1">
      <c r="A9098" s="6" t="s">
        <v>104</v>
      </c>
      <c r="B9098" s="13" t="s">
        <v>3106</v>
      </c>
      <c r="C9098" s="13" t="s">
        <v>3107</v>
      </c>
      <c r="D9098" s="15">
        <v>1.0</v>
      </c>
      <c r="E9098" s="67">
        <f t="shared" si="20"/>
        <v>250</v>
      </c>
      <c r="F9098" s="67"/>
    </row>
    <row r="9099" hidden="1">
      <c r="A9099" s="6" t="s">
        <v>104</v>
      </c>
      <c r="B9099" s="13" t="s">
        <v>1428</v>
      </c>
      <c r="C9099" s="13" t="s">
        <v>1429</v>
      </c>
      <c r="D9099" s="15">
        <v>1.0</v>
      </c>
      <c r="E9099" s="67">
        <f t="shared" si="20"/>
        <v>250</v>
      </c>
      <c r="F9099" s="67"/>
    </row>
    <row r="9100" hidden="1">
      <c r="A9100" s="6" t="s">
        <v>104</v>
      </c>
      <c r="B9100" s="13" t="s">
        <v>3078</v>
      </c>
      <c r="C9100" s="13" t="s">
        <v>3079</v>
      </c>
      <c r="D9100" s="15">
        <v>1.0</v>
      </c>
      <c r="E9100" s="67">
        <f t="shared" si="20"/>
        <v>250</v>
      </c>
      <c r="F9100" s="67"/>
    </row>
    <row r="9101" hidden="1">
      <c r="A9101" s="6" t="s">
        <v>104</v>
      </c>
      <c r="B9101" s="13" t="s">
        <v>1286</v>
      </c>
      <c r="C9101" s="13" t="s">
        <v>408</v>
      </c>
      <c r="D9101" s="15">
        <v>1.0</v>
      </c>
      <c r="E9101" s="67">
        <f t="shared" si="20"/>
        <v>250</v>
      </c>
      <c r="F9101" s="67"/>
    </row>
    <row r="9102" hidden="1">
      <c r="A9102" s="6" t="s">
        <v>104</v>
      </c>
      <c r="B9102" s="13" t="s">
        <v>2892</v>
      </c>
      <c r="C9102" s="13" t="s">
        <v>2893</v>
      </c>
      <c r="D9102" s="15">
        <v>1.0</v>
      </c>
      <c r="E9102" s="67">
        <f t="shared" si="20"/>
        <v>250</v>
      </c>
      <c r="F9102" s="67"/>
    </row>
    <row r="9103" hidden="1">
      <c r="A9103" s="6" t="s">
        <v>104</v>
      </c>
      <c r="B9103" s="13" t="s">
        <v>3087</v>
      </c>
      <c r="C9103" s="13" t="s">
        <v>3088</v>
      </c>
      <c r="D9103" s="15">
        <v>1.0</v>
      </c>
      <c r="E9103" s="67">
        <f t="shared" si="20"/>
        <v>250</v>
      </c>
      <c r="F9103" s="67"/>
    </row>
    <row r="9104" hidden="1">
      <c r="A9104" s="6" t="s">
        <v>104</v>
      </c>
      <c r="B9104" s="13" t="s">
        <v>3131</v>
      </c>
      <c r="C9104" s="13" t="s">
        <v>3132</v>
      </c>
      <c r="D9104" s="15">
        <v>1.0</v>
      </c>
      <c r="E9104" s="67">
        <f t="shared" si="20"/>
        <v>250</v>
      </c>
      <c r="F9104" s="67"/>
    </row>
    <row r="9105" hidden="1">
      <c r="A9105" s="6" t="s">
        <v>104</v>
      </c>
      <c r="B9105" s="13" t="s">
        <v>1375</v>
      </c>
      <c r="C9105" s="13" t="s">
        <v>647</v>
      </c>
      <c r="D9105" s="15">
        <v>1.0</v>
      </c>
      <c r="E9105" s="67">
        <f t="shared" si="20"/>
        <v>250</v>
      </c>
      <c r="F9105" s="67"/>
    </row>
    <row r="9106" hidden="1">
      <c r="A9106" s="6" t="s">
        <v>104</v>
      </c>
      <c r="B9106" s="13" t="s">
        <v>3104</v>
      </c>
      <c r="C9106" s="13" t="s">
        <v>3105</v>
      </c>
      <c r="D9106" s="15">
        <v>1.0</v>
      </c>
      <c r="E9106" s="67">
        <f t="shared" si="20"/>
        <v>250</v>
      </c>
      <c r="F9106" s="67"/>
    </row>
    <row r="9107" hidden="1">
      <c r="A9107" s="6" t="s">
        <v>104</v>
      </c>
      <c r="B9107" s="13" t="s">
        <v>572</v>
      </c>
      <c r="C9107" s="13" t="s">
        <v>573</v>
      </c>
      <c r="D9107" s="15">
        <v>1.0</v>
      </c>
      <c r="E9107" s="67">
        <f t="shared" si="20"/>
        <v>250</v>
      </c>
      <c r="F9107" s="67"/>
    </row>
    <row r="9108" hidden="1">
      <c r="A9108" s="6" t="s">
        <v>104</v>
      </c>
      <c r="B9108" s="13" t="s">
        <v>315</v>
      </c>
      <c r="C9108" s="13" t="s">
        <v>2819</v>
      </c>
      <c r="D9108" s="15">
        <v>1.0</v>
      </c>
      <c r="E9108" s="67">
        <f t="shared" si="20"/>
        <v>250</v>
      </c>
      <c r="F9108" s="67"/>
    </row>
    <row r="9109" hidden="1">
      <c r="A9109" s="6" t="s">
        <v>104</v>
      </c>
      <c r="B9109" s="13" t="s">
        <v>3133</v>
      </c>
      <c r="C9109" s="13" t="s">
        <v>3134</v>
      </c>
      <c r="D9109" s="15">
        <v>1.0</v>
      </c>
      <c r="E9109" s="67">
        <f t="shared" si="20"/>
        <v>250</v>
      </c>
      <c r="F9109" s="67"/>
    </row>
    <row r="9110" hidden="1">
      <c r="A9110" s="6" t="s">
        <v>104</v>
      </c>
      <c r="B9110" s="13" t="s">
        <v>3135</v>
      </c>
      <c r="C9110" s="13" t="s">
        <v>3136</v>
      </c>
      <c r="D9110" s="15">
        <v>1.0</v>
      </c>
      <c r="E9110" s="67">
        <f t="shared" si="20"/>
        <v>250</v>
      </c>
      <c r="F9110" s="67"/>
    </row>
    <row r="9111" hidden="1">
      <c r="A9111" s="6" t="s">
        <v>104</v>
      </c>
      <c r="B9111" s="13" t="s">
        <v>3091</v>
      </c>
      <c r="C9111" s="13" t="s">
        <v>3092</v>
      </c>
      <c r="D9111" s="15">
        <v>1.0</v>
      </c>
      <c r="E9111" s="67">
        <f t="shared" si="20"/>
        <v>250</v>
      </c>
      <c r="F9111" s="67"/>
    </row>
    <row r="9112" hidden="1">
      <c r="A9112" s="6" t="s">
        <v>104</v>
      </c>
      <c r="B9112" s="13" t="s">
        <v>3137</v>
      </c>
      <c r="C9112" s="13" t="s">
        <v>3138</v>
      </c>
      <c r="D9112" s="15">
        <v>1.0</v>
      </c>
      <c r="E9112" s="67">
        <f t="shared" si="20"/>
        <v>250</v>
      </c>
      <c r="F9112" s="67"/>
    </row>
    <row r="9113" hidden="1">
      <c r="A9113" s="6" t="s">
        <v>104</v>
      </c>
      <c r="B9113" s="13" t="s">
        <v>3139</v>
      </c>
      <c r="C9113" s="13" t="s">
        <v>3140</v>
      </c>
      <c r="D9113" s="15">
        <v>1.0</v>
      </c>
      <c r="E9113" s="67">
        <f t="shared" si="20"/>
        <v>250</v>
      </c>
      <c r="F9113" s="67"/>
    </row>
    <row r="9114" hidden="1">
      <c r="A9114" s="6" t="s">
        <v>104</v>
      </c>
      <c r="B9114" s="13" t="s">
        <v>1373</v>
      </c>
      <c r="C9114" s="13" t="s">
        <v>1374</v>
      </c>
      <c r="D9114" s="15">
        <v>1.0</v>
      </c>
      <c r="E9114" s="67">
        <f t="shared" si="20"/>
        <v>250</v>
      </c>
      <c r="F9114" s="67"/>
    </row>
    <row r="9115" hidden="1">
      <c r="A9115" s="6" t="s">
        <v>104</v>
      </c>
      <c r="B9115" s="13" t="s">
        <v>3141</v>
      </c>
      <c r="C9115" s="13" t="s">
        <v>3142</v>
      </c>
      <c r="D9115" s="15">
        <v>1.0</v>
      </c>
      <c r="E9115" s="67">
        <f t="shared" si="20"/>
        <v>250</v>
      </c>
      <c r="F9115" s="67"/>
    </row>
    <row r="9116" hidden="1">
      <c r="A9116" s="6" t="s">
        <v>104</v>
      </c>
      <c r="B9116" s="13" t="s">
        <v>1295</v>
      </c>
      <c r="C9116" s="13" t="s">
        <v>1296</v>
      </c>
      <c r="D9116" s="15">
        <v>1.0</v>
      </c>
      <c r="E9116" s="67">
        <f t="shared" si="20"/>
        <v>250</v>
      </c>
      <c r="F9116" s="67"/>
    </row>
    <row r="9117" hidden="1">
      <c r="A9117" s="6" t="s">
        <v>104</v>
      </c>
      <c r="B9117" s="13" t="s">
        <v>1369</v>
      </c>
      <c r="C9117" s="13" t="s">
        <v>1370</v>
      </c>
      <c r="D9117" s="15">
        <v>1.0</v>
      </c>
      <c r="E9117" s="67">
        <f t="shared" si="20"/>
        <v>250</v>
      </c>
      <c r="F9117" s="67"/>
    </row>
    <row r="9118" hidden="1">
      <c r="A9118" s="6" t="s">
        <v>104</v>
      </c>
      <c r="B9118" s="13" t="s">
        <v>3143</v>
      </c>
      <c r="C9118" s="13" t="s">
        <v>3144</v>
      </c>
      <c r="D9118" s="15">
        <v>1.0</v>
      </c>
      <c r="E9118" s="67">
        <f t="shared" si="20"/>
        <v>250</v>
      </c>
      <c r="F9118" s="67"/>
    </row>
    <row r="9119" hidden="1">
      <c r="A9119" s="6" t="s">
        <v>104</v>
      </c>
      <c r="B9119" s="13" t="s">
        <v>3068</v>
      </c>
      <c r="C9119" s="13" t="s">
        <v>3069</v>
      </c>
      <c r="D9119" s="15">
        <v>1.0</v>
      </c>
      <c r="E9119" s="67">
        <f t="shared" si="20"/>
        <v>250</v>
      </c>
      <c r="F9119" s="67"/>
    </row>
    <row r="9120" hidden="1">
      <c r="A9120" s="6" t="s">
        <v>104</v>
      </c>
      <c r="B9120" s="13" t="s">
        <v>3073</v>
      </c>
      <c r="C9120" s="13" t="s">
        <v>3074</v>
      </c>
      <c r="D9120" s="15">
        <v>1.0</v>
      </c>
      <c r="E9120" s="67">
        <f t="shared" si="20"/>
        <v>250</v>
      </c>
      <c r="F9120" s="67"/>
    </row>
    <row r="9121" hidden="1">
      <c r="A9121" s="6" t="s">
        <v>104</v>
      </c>
      <c r="B9121" s="13" t="s">
        <v>1931</v>
      </c>
      <c r="C9121" s="13" t="s">
        <v>3099</v>
      </c>
      <c r="D9121" s="15">
        <v>1.0</v>
      </c>
      <c r="E9121" s="67">
        <f t="shared" si="20"/>
        <v>250</v>
      </c>
      <c r="F9121" s="67"/>
    </row>
    <row r="9122" hidden="1">
      <c r="A9122" s="6" t="s">
        <v>104</v>
      </c>
      <c r="B9122" s="13" t="s">
        <v>311</v>
      </c>
      <c r="C9122" s="13" t="s">
        <v>312</v>
      </c>
      <c r="D9122" s="15">
        <v>1.0</v>
      </c>
      <c r="E9122" s="67">
        <f t="shared" si="20"/>
        <v>250</v>
      </c>
      <c r="F9122" s="67"/>
    </row>
    <row r="9123" hidden="1">
      <c r="A9123" s="6" t="s">
        <v>104</v>
      </c>
      <c r="B9123" s="13" t="s">
        <v>1409</v>
      </c>
      <c r="C9123" s="13" t="s">
        <v>677</v>
      </c>
      <c r="D9123" s="15">
        <v>1.0</v>
      </c>
      <c r="E9123" s="67">
        <f t="shared" si="20"/>
        <v>250</v>
      </c>
      <c r="F9123" s="67"/>
    </row>
    <row r="9124" hidden="1">
      <c r="A9124" s="6" t="s">
        <v>104</v>
      </c>
      <c r="B9124" s="13" t="s">
        <v>1396</v>
      </c>
      <c r="C9124" s="13" t="s">
        <v>1397</v>
      </c>
      <c r="D9124" s="15">
        <v>1.0</v>
      </c>
      <c r="E9124" s="67">
        <f t="shared" si="20"/>
        <v>250</v>
      </c>
      <c r="F9124" s="67"/>
    </row>
    <row r="9125" hidden="1">
      <c r="A9125" s="6" t="s">
        <v>104</v>
      </c>
      <c r="B9125" s="13" t="s">
        <v>1365</v>
      </c>
      <c r="C9125" s="13" t="s">
        <v>1366</v>
      </c>
      <c r="D9125" s="15">
        <v>1.0</v>
      </c>
      <c r="E9125" s="67">
        <f t="shared" si="20"/>
        <v>250</v>
      </c>
      <c r="F9125" s="67"/>
    </row>
    <row r="9126" hidden="1">
      <c r="A9126" s="6" t="s">
        <v>104</v>
      </c>
      <c r="B9126" s="13" t="s">
        <v>1516</v>
      </c>
      <c r="C9126" s="13" t="s">
        <v>3145</v>
      </c>
      <c r="D9126" s="15">
        <v>1.0</v>
      </c>
      <c r="E9126" s="67">
        <f t="shared" si="20"/>
        <v>250</v>
      </c>
      <c r="F9126" s="67"/>
    </row>
    <row r="9127" hidden="1">
      <c r="A9127" s="6" t="s">
        <v>105</v>
      </c>
      <c r="B9127" s="13" t="s">
        <v>736</v>
      </c>
      <c r="C9127" s="13" t="s">
        <v>737</v>
      </c>
      <c r="D9127" s="15">
        <v>15.0</v>
      </c>
      <c r="E9127" s="67">
        <f t="shared" si="20"/>
        <v>7500</v>
      </c>
      <c r="F9127" s="67"/>
    </row>
    <row r="9128" hidden="1">
      <c r="A9128" s="6" t="s">
        <v>105</v>
      </c>
      <c r="B9128" s="13" t="s">
        <v>628</v>
      </c>
      <c r="C9128" s="13" t="s">
        <v>629</v>
      </c>
      <c r="D9128" s="15">
        <v>11.0</v>
      </c>
      <c r="E9128" s="67">
        <f t="shared" si="20"/>
        <v>5500</v>
      </c>
      <c r="F9128" s="67"/>
    </row>
    <row r="9129" hidden="1">
      <c r="A9129" s="6" t="s">
        <v>105</v>
      </c>
      <c r="B9129" s="13" t="s">
        <v>546</v>
      </c>
      <c r="C9129" s="13" t="s">
        <v>547</v>
      </c>
      <c r="D9129" s="15">
        <v>10.0</v>
      </c>
      <c r="E9129" s="67">
        <f t="shared" si="20"/>
        <v>5000</v>
      </c>
      <c r="F9129" s="67"/>
    </row>
    <row r="9130" hidden="1">
      <c r="A9130" s="6" t="s">
        <v>105</v>
      </c>
      <c r="B9130" s="13" t="s">
        <v>542</v>
      </c>
      <c r="C9130" s="13" t="s">
        <v>543</v>
      </c>
      <c r="D9130" s="15">
        <v>10.0</v>
      </c>
      <c r="E9130" s="67">
        <f t="shared" si="20"/>
        <v>5000</v>
      </c>
      <c r="F9130" s="67"/>
    </row>
    <row r="9131" hidden="1">
      <c r="A9131" s="6" t="s">
        <v>105</v>
      </c>
      <c r="B9131" s="13" t="s">
        <v>640</v>
      </c>
      <c r="C9131" s="13" t="s">
        <v>641</v>
      </c>
      <c r="D9131" s="15">
        <v>10.0</v>
      </c>
      <c r="E9131" s="67">
        <f t="shared" si="20"/>
        <v>5000</v>
      </c>
      <c r="F9131" s="67"/>
    </row>
    <row r="9132" hidden="1">
      <c r="A9132" s="6" t="s">
        <v>105</v>
      </c>
      <c r="B9132" s="13" t="s">
        <v>510</v>
      </c>
      <c r="C9132" s="13" t="s">
        <v>511</v>
      </c>
      <c r="D9132" s="15">
        <v>16.0</v>
      </c>
      <c r="E9132" s="67">
        <f t="shared" si="20"/>
        <v>8000</v>
      </c>
      <c r="F9132" s="67"/>
    </row>
    <row r="9133" hidden="1">
      <c r="A9133" s="6" t="s">
        <v>105</v>
      </c>
      <c r="B9133" s="13" t="s">
        <v>540</v>
      </c>
      <c r="C9133" s="13" t="s">
        <v>541</v>
      </c>
      <c r="D9133" s="15">
        <v>20.0</v>
      </c>
      <c r="E9133" s="67">
        <f t="shared" si="20"/>
        <v>10000</v>
      </c>
      <c r="F9133" s="67"/>
    </row>
    <row r="9134" hidden="1">
      <c r="A9134" s="6" t="s">
        <v>105</v>
      </c>
      <c r="B9134" s="13" t="s">
        <v>486</v>
      </c>
      <c r="C9134" s="13" t="s">
        <v>487</v>
      </c>
      <c r="D9134" s="15">
        <v>10.0</v>
      </c>
      <c r="E9134" s="67">
        <f t="shared" si="20"/>
        <v>5000</v>
      </c>
      <c r="F9134" s="67"/>
    </row>
    <row r="9135" hidden="1">
      <c r="A9135" s="6" t="s">
        <v>105</v>
      </c>
      <c r="B9135" s="13" t="s">
        <v>644</v>
      </c>
      <c r="C9135" s="13" t="s">
        <v>645</v>
      </c>
      <c r="D9135" s="15">
        <v>43.0</v>
      </c>
      <c r="E9135" s="67">
        <f t="shared" si="20"/>
        <v>21500</v>
      </c>
      <c r="F9135" s="67"/>
    </row>
    <row r="9136" hidden="1">
      <c r="A9136" s="6" t="s">
        <v>105</v>
      </c>
      <c r="B9136" s="13" t="s">
        <v>766</v>
      </c>
      <c r="C9136" s="13" t="s">
        <v>767</v>
      </c>
      <c r="D9136" s="15">
        <v>17.0</v>
      </c>
      <c r="E9136" s="67">
        <f t="shared" si="20"/>
        <v>8500</v>
      </c>
      <c r="F9136" s="67"/>
    </row>
    <row r="9137" hidden="1">
      <c r="A9137" s="6" t="s">
        <v>105</v>
      </c>
      <c r="B9137" s="13" t="s">
        <v>682</v>
      </c>
      <c r="C9137" s="13" t="s">
        <v>683</v>
      </c>
      <c r="D9137" s="15">
        <v>12.0</v>
      </c>
      <c r="E9137" s="67">
        <f t="shared" si="20"/>
        <v>6000</v>
      </c>
      <c r="F9137" s="67"/>
    </row>
    <row r="9138" hidden="1">
      <c r="A9138" s="6" t="s">
        <v>105</v>
      </c>
      <c r="B9138" s="13" t="s">
        <v>626</v>
      </c>
      <c r="C9138" s="13" t="s">
        <v>627</v>
      </c>
      <c r="D9138" s="15">
        <v>12.0</v>
      </c>
      <c r="E9138" s="67">
        <f t="shared" si="20"/>
        <v>6000</v>
      </c>
      <c r="F9138" s="67"/>
    </row>
    <row r="9139" hidden="1">
      <c r="A9139" s="6" t="s">
        <v>105</v>
      </c>
      <c r="B9139" s="13" t="s">
        <v>1415</v>
      </c>
      <c r="C9139" s="13" t="s">
        <v>1416</v>
      </c>
      <c r="D9139" s="15">
        <v>11.0</v>
      </c>
      <c r="E9139" s="67">
        <f t="shared" si="20"/>
        <v>5500</v>
      </c>
      <c r="F9139" s="67"/>
    </row>
    <row r="9140" hidden="1">
      <c r="A9140" s="6" t="s">
        <v>105</v>
      </c>
      <c r="B9140" s="13" t="s">
        <v>1426</v>
      </c>
      <c r="C9140" s="13" t="s">
        <v>1427</v>
      </c>
      <c r="D9140" s="15">
        <v>13.0</v>
      </c>
      <c r="E9140" s="67">
        <f t="shared" si="20"/>
        <v>6500</v>
      </c>
      <c r="F9140" s="67"/>
    </row>
    <row r="9141" hidden="1">
      <c r="A9141" s="6" t="s">
        <v>105</v>
      </c>
      <c r="B9141" s="13" t="s">
        <v>656</v>
      </c>
      <c r="C9141" s="13" t="s">
        <v>657</v>
      </c>
      <c r="D9141" s="15">
        <v>12.0</v>
      </c>
      <c r="E9141" s="67">
        <f t="shared" si="20"/>
        <v>6000</v>
      </c>
      <c r="F9141" s="67"/>
    </row>
    <row r="9142" hidden="1">
      <c r="A9142" s="6" t="s">
        <v>105</v>
      </c>
      <c r="B9142" s="13" t="s">
        <v>516</v>
      </c>
      <c r="C9142" s="13" t="s">
        <v>517</v>
      </c>
      <c r="D9142" s="15">
        <v>10.0</v>
      </c>
      <c r="E9142" s="67">
        <f t="shared" si="20"/>
        <v>5000</v>
      </c>
      <c r="F9142" s="67"/>
    </row>
    <row r="9143" hidden="1">
      <c r="A9143" s="6" t="s">
        <v>105</v>
      </c>
      <c r="B9143" s="13" t="s">
        <v>443</v>
      </c>
      <c r="C9143" s="13" t="s">
        <v>444</v>
      </c>
      <c r="D9143" s="15">
        <v>14.0</v>
      </c>
      <c r="E9143" s="67">
        <f t="shared" si="20"/>
        <v>7000</v>
      </c>
      <c r="F9143" s="67"/>
    </row>
    <row r="9144" hidden="1">
      <c r="A9144" s="6" t="s">
        <v>105</v>
      </c>
      <c r="B9144" s="13" t="s">
        <v>476</v>
      </c>
      <c r="C9144" s="13" t="s">
        <v>477</v>
      </c>
      <c r="D9144" s="15">
        <v>43.0</v>
      </c>
      <c r="E9144" s="67">
        <f t="shared" si="20"/>
        <v>21500</v>
      </c>
      <c r="F9144" s="67"/>
    </row>
    <row r="9145" hidden="1">
      <c r="A9145" s="6" t="s">
        <v>105</v>
      </c>
      <c r="B9145" s="13" t="s">
        <v>411</v>
      </c>
      <c r="C9145" s="13" t="s">
        <v>412</v>
      </c>
      <c r="D9145" s="15">
        <v>12.0</v>
      </c>
      <c r="E9145" s="67">
        <f t="shared" si="20"/>
        <v>6000</v>
      </c>
      <c r="F9145" s="67"/>
    </row>
    <row r="9146" hidden="1">
      <c r="A9146" s="6" t="s">
        <v>105</v>
      </c>
      <c r="B9146" s="13" t="s">
        <v>518</v>
      </c>
      <c r="C9146" s="13" t="s">
        <v>519</v>
      </c>
      <c r="D9146" s="15">
        <v>11.0</v>
      </c>
      <c r="E9146" s="67">
        <f t="shared" si="20"/>
        <v>5500</v>
      </c>
      <c r="F9146" s="67"/>
    </row>
    <row r="9147" hidden="1">
      <c r="A9147" s="6" t="s">
        <v>105</v>
      </c>
      <c r="B9147" s="13" t="s">
        <v>723</v>
      </c>
      <c r="C9147" s="13" t="s">
        <v>724</v>
      </c>
      <c r="D9147" s="15">
        <v>22.0</v>
      </c>
      <c r="E9147" s="67">
        <f t="shared" si="20"/>
        <v>11000</v>
      </c>
      <c r="F9147" s="67"/>
    </row>
    <row r="9148" hidden="1">
      <c r="A9148" s="6" t="s">
        <v>105</v>
      </c>
      <c r="B9148" s="13" t="s">
        <v>624</v>
      </c>
      <c r="C9148" s="13" t="s">
        <v>625</v>
      </c>
      <c r="D9148" s="15">
        <v>10.0</v>
      </c>
      <c r="E9148" s="67">
        <f t="shared" si="20"/>
        <v>5000</v>
      </c>
      <c r="F9148" s="67"/>
    </row>
    <row r="9149" hidden="1">
      <c r="A9149" s="6" t="s">
        <v>105</v>
      </c>
      <c r="B9149" s="13" t="s">
        <v>699</v>
      </c>
      <c r="C9149" s="13" t="s">
        <v>700</v>
      </c>
      <c r="D9149" s="15">
        <v>13.0</v>
      </c>
      <c r="E9149" s="67">
        <f t="shared" si="20"/>
        <v>6500</v>
      </c>
      <c r="F9149" s="67"/>
    </row>
    <row r="9150" hidden="1">
      <c r="A9150" s="6" t="s">
        <v>105</v>
      </c>
      <c r="B9150" s="13" t="s">
        <v>1283</v>
      </c>
      <c r="C9150" s="13" t="s">
        <v>404</v>
      </c>
      <c r="D9150" s="15">
        <v>10.0</v>
      </c>
      <c r="E9150" s="67">
        <f t="shared" si="20"/>
        <v>5000</v>
      </c>
      <c r="F9150" s="67"/>
    </row>
    <row r="9151" hidden="1">
      <c r="A9151" s="6" t="s">
        <v>105</v>
      </c>
      <c r="B9151" s="13" t="s">
        <v>582</v>
      </c>
      <c r="C9151" s="13" t="s">
        <v>583</v>
      </c>
      <c r="D9151" s="15">
        <v>10.0</v>
      </c>
      <c r="E9151" s="67">
        <f t="shared" si="20"/>
        <v>5000</v>
      </c>
      <c r="F9151" s="67"/>
    </row>
    <row r="9152" hidden="1">
      <c r="A9152" s="6" t="s">
        <v>105</v>
      </c>
      <c r="B9152" s="13" t="s">
        <v>746</v>
      </c>
      <c r="C9152" s="13" t="s">
        <v>747</v>
      </c>
      <c r="D9152" s="15">
        <v>16.0</v>
      </c>
      <c r="E9152" s="67">
        <f t="shared" si="20"/>
        <v>8000</v>
      </c>
      <c r="F9152" s="67"/>
    </row>
    <row r="9153" hidden="1">
      <c r="A9153" s="6" t="s">
        <v>105</v>
      </c>
      <c r="B9153" s="13" t="s">
        <v>1409</v>
      </c>
      <c r="C9153" s="13" t="s">
        <v>677</v>
      </c>
      <c r="D9153" s="15">
        <v>15.0</v>
      </c>
      <c r="E9153" s="67">
        <f t="shared" si="20"/>
        <v>7500</v>
      </c>
      <c r="F9153" s="67"/>
    </row>
    <row r="9154" hidden="1">
      <c r="A9154" s="6" t="s">
        <v>105</v>
      </c>
      <c r="B9154" s="13" t="s">
        <v>3004</v>
      </c>
      <c r="C9154" s="13" t="s">
        <v>3005</v>
      </c>
      <c r="D9154" s="15">
        <v>1.0</v>
      </c>
      <c r="E9154" s="67">
        <f t="shared" si="20"/>
        <v>250</v>
      </c>
      <c r="F9154" s="67"/>
    </row>
    <row r="9155" hidden="1">
      <c r="A9155" s="6" t="s">
        <v>105</v>
      </c>
      <c r="B9155" s="13" t="s">
        <v>1380</v>
      </c>
      <c r="C9155" s="13" t="s">
        <v>1381</v>
      </c>
      <c r="D9155" s="15">
        <v>4.0</v>
      </c>
      <c r="E9155" s="67">
        <f t="shared" si="20"/>
        <v>1000</v>
      </c>
      <c r="F9155" s="67"/>
    </row>
    <row r="9156" hidden="1">
      <c r="A9156" s="6" t="s">
        <v>105</v>
      </c>
      <c r="B9156" s="13" t="s">
        <v>2677</v>
      </c>
      <c r="C9156" s="13" t="s">
        <v>2678</v>
      </c>
      <c r="D9156" s="15">
        <v>4.0</v>
      </c>
      <c r="E9156" s="67">
        <f t="shared" si="20"/>
        <v>1000</v>
      </c>
      <c r="F9156" s="67"/>
    </row>
    <row r="9157" hidden="1">
      <c r="A9157" s="6" t="s">
        <v>105</v>
      </c>
      <c r="B9157" s="13" t="s">
        <v>3146</v>
      </c>
      <c r="C9157" s="13" t="s">
        <v>3147</v>
      </c>
      <c r="D9157" s="15">
        <v>0.0</v>
      </c>
      <c r="E9157" s="67">
        <f t="shared" si="20"/>
        <v>0</v>
      </c>
      <c r="F9157" s="67"/>
    </row>
    <row r="9158" hidden="1">
      <c r="A9158" s="6" t="s">
        <v>105</v>
      </c>
      <c r="B9158" s="13" t="s">
        <v>1303</v>
      </c>
      <c r="C9158" s="13" t="s">
        <v>467</v>
      </c>
      <c r="D9158" s="15">
        <v>4.0</v>
      </c>
      <c r="E9158" s="67">
        <f t="shared" si="20"/>
        <v>1000</v>
      </c>
      <c r="F9158" s="67"/>
    </row>
    <row r="9159" hidden="1">
      <c r="A9159" s="6" t="s">
        <v>105</v>
      </c>
      <c r="B9159" s="13" t="s">
        <v>596</v>
      </c>
      <c r="C9159" s="13" t="s">
        <v>597</v>
      </c>
      <c r="D9159" s="15">
        <v>2.0</v>
      </c>
      <c r="E9159" s="67">
        <f t="shared" si="20"/>
        <v>500</v>
      </c>
      <c r="F9159" s="67"/>
    </row>
    <row r="9160" hidden="1">
      <c r="A9160" s="6" t="s">
        <v>105</v>
      </c>
      <c r="B9160" s="13" t="s">
        <v>447</v>
      </c>
      <c r="C9160" s="13" t="s">
        <v>448</v>
      </c>
      <c r="D9160" s="15">
        <v>6.0</v>
      </c>
      <c r="E9160" s="67">
        <f t="shared" si="20"/>
        <v>1500</v>
      </c>
      <c r="F9160" s="67"/>
    </row>
    <row r="9161" hidden="1">
      <c r="A9161" s="6" t="s">
        <v>105</v>
      </c>
      <c r="B9161" s="13" t="s">
        <v>1356</v>
      </c>
      <c r="C9161" s="13" t="s">
        <v>581</v>
      </c>
      <c r="D9161" s="15">
        <v>2.0</v>
      </c>
      <c r="E9161" s="67">
        <f t="shared" si="20"/>
        <v>500</v>
      </c>
      <c r="F9161" s="67"/>
    </row>
    <row r="9162" hidden="1">
      <c r="A9162" s="6" t="s">
        <v>105</v>
      </c>
      <c r="B9162" s="13" t="s">
        <v>2199</v>
      </c>
      <c r="C9162" s="13" t="s">
        <v>3148</v>
      </c>
      <c r="D9162" s="15">
        <v>1.0</v>
      </c>
      <c r="E9162" s="67">
        <f t="shared" si="20"/>
        <v>250</v>
      </c>
      <c r="F9162" s="67"/>
    </row>
    <row r="9163" hidden="1">
      <c r="A9163" s="6" t="s">
        <v>105</v>
      </c>
      <c r="B9163" s="13" t="s">
        <v>1037</v>
      </c>
      <c r="C9163" s="13" t="s">
        <v>1038</v>
      </c>
      <c r="D9163" s="15">
        <v>1.0</v>
      </c>
      <c r="E9163" s="67">
        <f t="shared" si="20"/>
        <v>250</v>
      </c>
      <c r="F9163" s="67"/>
    </row>
    <row r="9164" hidden="1">
      <c r="A9164" s="6" t="s">
        <v>105</v>
      </c>
      <c r="B9164" s="13" t="s">
        <v>602</v>
      </c>
      <c r="C9164" s="13" t="s">
        <v>603</v>
      </c>
      <c r="D9164" s="15">
        <v>0.0</v>
      </c>
      <c r="E9164" s="67">
        <f t="shared" si="20"/>
        <v>0</v>
      </c>
      <c r="F9164" s="67"/>
    </row>
    <row r="9165" hidden="1">
      <c r="A9165" s="6" t="s">
        <v>105</v>
      </c>
      <c r="B9165" s="13" t="s">
        <v>462</v>
      </c>
      <c r="C9165" s="13" t="s">
        <v>463</v>
      </c>
      <c r="D9165" s="15">
        <v>7.0</v>
      </c>
      <c r="E9165" s="67">
        <f t="shared" si="20"/>
        <v>1750</v>
      </c>
      <c r="F9165" s="67"/>
    </row>
    <row r="9166" hidden="1">
      <c r="A9166" s="6" t="s">
        <v>105</v>
      </c>
      <c r="B9166" s="13" t="s">
        <v>3127</v>
      </c>
      <c r="C9166" s="13" t="s">
        <v>3128</v>
      </c>
      <c r="D9166" s="15">
        <v>5.0</v>
      </c>
      <c r="E9166" s="67">
        <f t="shared" si="20"/>
        <v>1250</v>
      </c>
      <c r="F9166" s="67"/>
    </row>
    <row r="9167" hidden="1">
      <c r="A9167" s="6" t="s">
        <v>105</v>
      </c>
      <c r="B9167" s="13" t="s">
        <v>451</v>
      </c>
      <c r="C9167" s="13" t="s">
        <v>452</v>
      </c>
      <c r="D9167" s="15">
        <v>4.0</v>
      </c>
      <c r="E9167" s="67">
        <f t="shared" si="20"/>
        <v>1000</v>
      </c>
      <c r="F9167" s="67"/>
    </row>
    <row r="9168" hidden="1">
      <c r="A9168" s="6" t="s">
        <v>105</v>
      </c>
      <c r="B9168" s="13" t="s">
        <v>744</v>
      </c>
      <c r="C9168" s="13" t="s">
        <v>745</v>
      </c>
      <c r="D9168" s="15">
        <v>3.0</v>
      </c>
      <c r="E9168" s="67">
        <f t="shared" si="20"/>
        <v>750</v>
      </c>
      <c r="F9168" s="67"/>
    </row>
    <row r="9169" hidden="1">
      <c r="A9169" s="6" t="s">
        <v>105</v>
      </c>
      <c r="B9169" s="13" t="s">
        <v>500</v>
      </c>
      <c r="C9169" s="13" t="s">
        <v>501</v>
      </c>
      <c r="D9169" s="15">
        <v>3.0</v>
      </c>
      <c r="E9169" s="67">
        <f t="shared" si="20"/>
        <v>750</v>
      </c>
      <c r="F9169" s="67"/>
    </row>
    <row r="9170" hidden="1">
      <c r="A9170" s="6" t="s">
        <v>105</v>
      </c>
      <c r="B9170" s="13" t="s">
        <v>3149</v>
      </c>
      <c r="C9170" s="13" t="s">
        <v>3150</v>
      </c>
      <c r="D9170" s="15">
        <v>0.0</v>
      </c>
      <c r="E9170" s="67">
        <f t="shared" si="20"/>
        <v>0</v>
      </c>
      <c r="F9170" s="67"/>
    </row>
    <row r="9171" hidden="1">
      <c r="A9171" s="6" t="s">
        <v>105</v>
      </c>
      <c r="B9171" s="13" t="s">
        <v>1351</v>
      </c>
      <c r="C9171" s="13" t="s">
        <v>1352</v>
      </c>
      <c r="D9171" s="15">
        <v>4.0</v>
      </c>
      <c r="E9171" s="67">
        <f t="shared" si="20"/>
        <v>1000</v>
      </c>
      <c r="F9171" s="67"/>
    </row>
    <row r="9172" hidden="1">
      <c r="A9172" s="6" t="s">
        <v>105</v>
      </c>
      <c r="B9172" s="13" t="s">
        <v>3129</v>
      </c>
      <c r="C9172" s="13" t="s">
        <v>3130</v>
      </c>
      <c r="D9172" s="15">
        <v>3.0</v>
      </c>
      <c r="E9172" s="67">
        <f t="shared" si="20"/>
        <v>750</v>
      </c>
      <c r="F9172" s="67"/>
    </row>
    <row r="9173" hidden="1">
      <c r="A9173" s="6" t="s">
        <v>105</v>
      </c>
      <c r="B9173" s="13" t="s">
        <v>1998</v>
      </c>
      <c r="C9173" s="13" t="s">
        <v>1999</v>
      </c>
      <c r="D9173" s="15">
        <v>2.0</v>
      </c>
      <c r="E9173" s="67">
        <f t="shared" si="20"/>
        <v>500</v>
      </c>
      <c r="F9173" s="67"/>
    </row>
    <row r="9174" hidden="1">
      <c r="A9174" s="6" t="s">
        <v>105</v>
      </c>
      <c r="B9174" s="13" t="s">
        <v>3123</v>
      </c>
      <c r="C9174" s="13" t="s">
        <v>3124</v>
      </c>
      <c r="D9174" s="15">
        <v>2.0</v>
      </c>
      <c r="E9174" s="67">
        <f t="shared" si="20"/>
        <v>500</v>
      </c>
      <c r="F9174" s="67"/>
    </row>
    <row r="9175" hidden="1">
      <c r="A9175" s="6" t="s">
        <v>105</v>
      </c>
      <c r="B9175" s="13" t="s">
        <v>1291</v>
      </c>
      <c r="C9175" s="13" t="s">
        <v>422</v>
      </c>
      <c r="D9175" s="15">
        <v>4.0</v>
      </c>
      <c r="E9175" s="67">
        <f t="shared" si="20"/>
        <v>1000</v>
      </c>
      <c r="F9175" s="67"/>
    </row>
    <row r="9176" hidden="1">
      <c r="A9176" s="6" t="s">
        <v>105</v>
      </c>
      <c r="B9176" s="13" t="s">
        <v>1365</v>
      </c>
      <c r="C9176" s="13" t="s">
        <v>1366</v>
      </c>
      <c r="D9176" s="15">
        <v>5.0</v>
      </c>
      <c r="E9176" s="67">
        <f t="shared" si="20"/>
        <v>1250</v>
      </c>
      <c r="F9176" s="67"/>
    </row>
    <row r="9177" hidden="1">
      <c r="A9177" s="6" t="s">
        <v>105</v>
      </c>
      <c r="B9177" s="13" t="s">
        <v>1276</v>
      </c>
      <c r="C9177" s="13" t="s">
        <v>461</v>
      </c>
      <c r="D9177" s="15">
        <v>3.0</v>
      </c>
      <c r="E9177" s="67">
        <f t="shared" si="20"/>
        <v>750</v>
      </c>
      <c r="F9177" s="67"/>
    </row>
    <row r="9178" hidden="1">
      <c r="A9178" s="6" t="s">
        <v>105</v>
      </c>
      <c r="B9178" s="13" t="s">
        <v>2911</v>
      </c>
      <c r="C9178" s="13" t="s">
        <v>2912</v>
      </c>
      <c r="D9178" s="15">
        <v>7.0</v>
      </c>
      <c r="E9178" s="67">
        <f t="shared" si="20"/>
        <v>1750</v>
      </c>
      <c r="F9178" s="67"/>
    </row>
    <row r="9179" hidden="1">
      <c r="A9179" s="6" t="s">
        <v>105</v>
      </c>
      <c r="B9179" s="13" t="s">
        <v>3151</v>
      </c>
      <c r="C9179" s="13" t="s">
        <v>3152</v>
      </c>
      <c r="D9179" s="15">
        <v>1.0</v>
      </c>
      <c r="E9179" s="67">
        <f t="shared" si="20"/>
        <v>250</v>
      </c>
      <c r="F9179" s="67"/>
    </row>
    <row r="9180" hidden="1">
      <c r="A9180" s="6" t="s">
        <v>105</v>
      </c>
      <c r="B9180" s="13" t="s">
        <v>2905</v>
      </c>
      <c r="C9180" s="13" t="s">
        <v>2906</v>
      </c>
      <c r="D9180" s="15">
        <v>2.0</v>
      </c>
      <c r="E9180" s="67">
        <f t="shared" si="20"/>
        <v>500</v>
      </c>
      <c r="F9180" s="67"/>
    </row>
    <row r="9181" hidden="1">
      <c r="A9181" s="6" t="s">
        <v>105</v>
      </c>
      <c r="B9181" s="13" t="s">
        <v>3106</v>
      </c>
      <c r="C9181" s="13" t="s">
        <v>3107</v>
      </c>
      <c r="D9181" s="15">
        <v>1.0</v>
      </c>
      <c r="E9181" s="67">
        <f t="shared" si="20"/>
        <v>250</v>
      </c>
      <c r="F9181" s="67"/>
    </row>
    <row r="9182" hidden="1">
      <c r="A9182" s="6" t="s">
        <v>105</v>
      </c>
      <c r="B9182" s="13" t="s">
        <v>3153</v>
      </c>
      <c r="C9182" s="13" t="s">
        <v>3154</v>
      </c>
      <c r="D9182" s="15">
        <v>0.0</v>
      </c>
      <c r="E9182" s="67">
        <f t="shared" si="20"/>
        <v>0</v>
      </c>
      <c r="F9182" s="67"/>
    </row>
    <row r="9183" hidden="1">
      <c r="A9183" s="6" t="s">
        <v>105</v>
      </c>
      <c r="B9183" s="13" t="s">
        <v>823</v>
      </c>
      <c r="C9183" s="13" t="s">
        <v>824</v>
      </c>
      <c r="D9183" s="15">
        <v>5.0</v>
      </c>
      <c r="E9183" s="67">
        <f t="shared" si="20"/>
        <v>1250</v>
      </c>
      <c r="F9183" s="67"/>
    </row>
    <row r="9184" hidden="1">
      <c r="A9184" s="6" t="s">
        <v>105</v>
      </c>
      <c r="B9184" s="13" t="s">
        <v>1376</v>
      </c>
      <c r="C9184" s="13" t="s">
        <v>649</v>
      </c>
      <c r="D9184" s="15">
        <v>6.0</v>
      </c>
      <c r="E9184" s="67">
        <f t="shared" si="20"/>
        <v>1500</v>
      </c>
      <c r="F9184" s="67"/>
    </row>
    <row r="9185" hidden="1">
      <c r="A9185" s="6" t="s">
        <v>105</v>
      </c>
      <c r="B9185" s="13" t="s">
        <v>1327</v>
      </c>
      <c r="C9185" s="13" t="s">
        <v>527</v>
      </c>
      <c r="D9185" s="15">
        <v>2.0</v>
      </c>
      <c r="E9185" s="67">
        <f t="shared" si="20"/>
        <v>500</v>
      </c>
      <c r="F9185" s="67"/>
    </row>
    <row r="9186" hidden="1">
      <c r="A9186" s="6" t="s">
        <v>105</v>
      </c>
      <c r="B9186" s="13" t="s">
        <v>1379</v>
      </c>
      <c r="C9186" s="13" t="s">
        <v>655</v>
      </c>
      <c r="D9186" s="15">
        <v>0.0</v>
      </c>
      <c r="E9186" s="67">
        <f t="shared" si="20"/>
        <v>0</v>
      </c>
      <c r="F9186" s="67"/>
    </row>
    <row r="9187" hidden="1">
      <c r="A9187" s="6" t="s">
        <v>105</v>
      </c>
      <c r="B9187" s="13" t="s">
        <v>1419</v>
      </c>
      <c r="C9187" s="13" t="s">
        <v>1420</v>
      </c>
      <c r="D9187" s="15">
        <v>2.0</v>
      </c>
      <c r="E9187" s="67">
        <f t="shared" si="20"/>
        <v>500</v>
      </c>
      <c r="F9187" s="67"/>
    </row>
    <row r="9188" hidden="1">
      <c r="A9188" s="6" t="s">
        <v>105</v>
      </c>
      <c r="B9188" s="13" t="s">
        <v>1418</v>
      </c>
      <c r="C9188" s="13" t="s">
        <v>708</v>
      </c>
      <c r="D9188" s="15">
        <v>5.0</v>
      </c>
      <c r="E9188" s="67">
        <f t="shared" si="20"/>
        <v>1250</v>
      </c>
      <c r="F9188" s="67"/>
    </row>
    <row r="9189" hidden="1">
      <c r="A9189" s="6" t="s">
        <v>105</v>
      </c>
      <c r="B9189" s="13" t="s">
        <v>1448</v>
      </c>
      <c r="C9189" s="13" t="s">
        <v>1449</v>
      </c>
      <c r="D9189" s="15">
        <v>3.0</v>
      </c>
      <c r="E9189" s="67">
        <f t="shared" si="20"/>
        <v>750</v>
      </c>
      <c r="F9189" s="67"/>
    </row>
    <row r="9190" hidden="1">
      <c r="A9190" s="6" t="s">
        <v>105</v>
      </c>
      <c r="B9190" s="13" t="s">
        <v>1404</v>
      </c>
      <c r="C9190" s="13" t="s">
        <v>1405</v>
      </c>
      <c r="D9190" s="15">
        <v>6.0</v>
      </c>
      <c r="E9190" s="67">
        <f t="shared" si="20"/>
        <v>1500</v>
      </c>
      <c r="F9190" s="67"/>
    </row>
    <row r="9191" hidden="1">
      <c r="A9191" s="6" t="s">
        <v>105</v>
      </c>
      <c r="B9191" s="13" t="s">
        <v>431</v>
      </c>
      <c r="C9191" s="13" t="s">
        <v>432</v>
      </c>
      <c r="D9191" s="15">
        <v>5.0</v>
      </c>
      <c r="E9191" s="67">
        <f t="shared" si="20"/>
        <v>1250</v>
      </c>
      <c r="F9191" s="67"/>
    </row>
    <row r="9192" hidden="1">
      <c r="A9192" s="6" t="s">
        <v>105</v>
      </c>
      <c r="B9192" s="13" t="s">
        <v>684</v>
      </c>
      <c r="C9192" s="13" t="s">
        <v>685</v>
      </c>
      <c r="D9192" s="15">
        <v>4.0</v>
      </c>
      <c r="E9192" s="67">
        <f t="shared" si="20"/>
        <v>1000</v>
      </c>
      <c r="F9192" s="67"/>
    </row>
    <row r="9193" hidden="1">
      <c r="A9193" s="6" t="s">
        <v>105</v>
      </c>
      <c r="B9193" s="13" t="s">
        <v>1801</v>
      </c>
      <c r="C9193" s="13" t="s">
        <v>3155</v>
      </c>
      <c r="D9193" s="15">
        <v>0.0</v>
      </c>
      <c r="E9193" s="67">
        <f t="shared" si="20"/>
        <v>0</v>
      </c>
      <c r="F9193" s="67"/>
    </row>
    <row r="9194" hidden="1">
      <c r="A9194" s="6" t="s">
        <v>105</v>
      </c>
      <c r="B9194" s="13" t="s">
        <v>3156</v>
      </c>
      <c r="C9194" s="13" t="s">
        <v>3157</v>
      </c>
      <c r="D9194" s="15">
        <v>0.0</v>
      </c>
      <c r="E9194" s="67">
        <f t="shared" si="20"/>
        <v>0</v>
      </c>
      <c r="F9194" s="67"/>
    </row>
    <row r="9195" hidden="1">
      <c r="A9195" s="6" t="s">
        <v>105</v>
      </c>
      <c r="B9195" s="13" t="s">
        <v>560</v>
      </c>
      <c r="C9195" s="13" t="s">
        <v>561</v>
      </c>
      <c r="D9195" s="15">
        <v>7.0</v>
      </c>
      <c r="E9195" s="67">
        <f t="shared" si="20"/>
        <v>1750</v>
      </c>
      <c r="F9195" s="67"/>
    </row>
    <row r="9196" hidden="1">
      <c r="A9196" s="6" t="s">
        <v>105</v>
      </c>
      <c r="B9196" s="13" t="s">
        <v>1359</v>
      </c>
      <c r="C9196" s="13" t="s">
        <v>1360</v>
      </c>
      <c r="D9196" s="15">
        <v>6.0</v>
      </c>
      <c r="E9196" s="67">
        <f t="shared" si="20"/>
        <v>1500</v>
      </c>
      <c r="F9196" s="67"/>
    </row>
    <row r="9197" hidden="1">
      <c r="A9197" s="6" t="s">
        <v>105</v>
      </c>
      <c r="B9197" s="13" t="s">
        <v>2971</v>
      </c>
      <c r="C9197" s="13" t="s">
        <v>2972</v>
      </c>
      <c r="D9197" s="15">
        <v>2.0</v>
      </c>
      <c r="E9197" s="67">
        <f t="shared" si="20"/>
        <v>500</v>
      </c>
      <c r="F9197" s="67"/>
    </row>
    <row r="9198" hidden="1">
      <c r="A9198" s="6" t="s">
        <v>105</v>
      </c>
      <c r="B9198" s="13" t="s">
        <v>2299</v>
      </c>
      <c r="C9198" s="13" t="s">
        <v>2300</v>
      </c>
      <c r="D9198" s="15">
        <v>2.0</v>
      </c>
      <c r="E9198" s="67">
        <f t="shared" si="20"/>
        <v>500</v>
      </c>
      <c r="F9198" s="67"/>
    </row>
    <row r="9199" hidden="1">
      <c r="A9199" s="6" t="s">
        <v>105</v>
      </c>
      <c r="B9199" s="13" t="s">
        <v>3076</v>
      </c>
      <c r="C9199" s="13" t="s">
        <v>3077</v>
      </c>
      <c r="D9199" s="15">
        <v>1.0</v>
      </c>
      <c r="E9199" s="67">
        <f t="shared" si="20"/>
        <v>250</v>
      </c>
      <c r="F9199" s="67"/>
    </row>
    <row r="9200" hidden="1">
      <c r="A9200" s="6" t="s">
        <v>105</v>
      </c>
      <c r="B9200" s="13" t="s">
        <v>1919</v>
      </c>
      <c r="C9200" s="13" t="s">
        <v>2816</v>
      </c>
      <c r="D9200" s="15">
        <v>1.0</v>
      </c>
      <c r="E9200" s="67">
        <f t="shared" si="20"/>
        <v>250</v>
      </c>
      <c r="F9200" s="67"/>
    </row>
    <row r="9201" hidden="1">
      <c r="A9201" s="6" t="s">
        <v>105</v>
      </c>
      <c r="B9201" s="13" t="s">
        <v>1428</v>
      </c>
      <c r="C9201" s="13" t="s">
        <v>1429</v>
      </c>
      <c r="D9201" s="15">
        <v>2.0</v>
      </c>
      <c r="E9201" s="67">
        <f t="shared" si="20"/>
        <v>500</v>
      </c>
      <c r="F9201" s="67"/>
    </row>
    <row r="9202" hidden="1">
      <c r="A9202" s="6" t="s">
        <v>105</v>
      </c>
      <c r="B9202" s="13" t="s">
        <v>2828</v>
      </c>
      <c r="C9202" s="13" t="s">
        <v>2829</v>
      </c>
      <c r="D9202" s="15">
        <v>5.0</v>
      </c>
      <c r="E9202" s="67">
        <f t="shared" si="20"/>
        <v>1250</v>
      </c>
      <c r="F9202" s="67"/>
    </row>
    <row r="9203" hidden="1">
      <c r="A9203" s="6" t="s">
        <v>105</v>
      </c>
      <c r="B9203" s="13" t="s">
        <v>472</v>
      </c>
      <c r="C9203" s="13" t="s">
        <v>473</v>
      </c>
      <c r="D9203" s="15">
        <v>0.0</v>
      </c>
      <c r="E9203" s="67">
        <f t="shared" si="20"/>
        <v>0</v>
      </c>
      <c r="F9203" s="67"/>
    </row>
    <row r="9204" hidden="1">
      <c r="A9204" s="6" t="s">
        <v>105</v>
      </c>
      <c r="B9204" s="13" t="s">
        <v>1398</v>
      </c>
      <c r="C9204" s="13" t="s">
        <v>1399</v>
      </c>
      <c r="D9204" s="15">
        <v>1.0</v>
      </c>
      <c r="E9204" s="67">
        <f t="shared" si="20"/>
        <v>250</v>
      </c>
      <c r="F9204" s="67"/>
    </row>
    <row r="9205" hidden="1">
      <c r="A9205" s="6" t="s">
        <v>105</v>
      </c>
      <c r="B9205" s="13" t="s">
        <v>2892</v>
      </c>
      <c r="C9205" s="13" t="s">
        <v>2893</v>
      </c>
      <c r="D9205" s="15">
        <v>1.0</v>
      </c>
      <c r="E9205" s="67">
        <f t="shared" si="20"/>
        <v>250</v>
      </c>
      <c r="F9205" s="67"/>
    </row>
    <row r="9206" hidden="1">
      <c r="A9206" s="6" t="s">
        <v>105</v>
      </c>
      <c r="B9206" s="13" t="s">
        <v>3158</v>
      </c>
      <c r="C9206" s="13" t="s">
        <v>3159</v>
      </c>
      <c r="D9206" s="15">
        <v>3.0</v>
      </c>
      <c r="E9206" s="67">
        <f t="shared" si="20"/>
        <v>750</v>
      </c>
      <c r="F9206" s="67"/>
    </row>
    <row r="9207" hidden="1">
      <c r="A9207" s="6" t="s">
        <v>105</v>
      </c>
      <c r="B9207" s="13" t="s">
        <v>1286</v>
      </c>
      <c r="C9207" s="13" t="s">
        <v>408</v>
      </c>
      <c r="D9207" s="15">
        <v>6.0</v>
      </c>
      <c r="E9207" s="67">
        <f t="shared" si="20"/>
        <v>1500</v>
      </c>
      <c r="F9207" s="67"/>
    </row>
    <row r="9208" hidden="1">
      <c r="A9208" s="6" t="s">
        <v>105</v>
      </c>
      <c r="B9208" s="13" t="s">
        <v>1865</v>
      </c>
      <c r="C9208" s="13" t="s">
        <v>1866</v>
      </c>
      <c r="D9208" s="15">
        <v>9.0</v>
      </c>
      <c r="E9208" s="67">
        <f t="shared" si="20"/>
        <v>2250</v>
      </c>
      <c r="F9208" s="67"/>
    </row>
    <row r="9209" hidden="1">
      <c r="A9209" s="6" t="s">
        <v>105</v>
      </c>
      <c r="B9209" s="13" t="s">
        <v>494</v>
      </c>
      <c r="C9209" s="13" t="s">
        <v>495</v>
      </c>
      <c r="D9209" s="15">
        <v>1.0</v>
      </c>
      <c r="E9209" s="67">
        <f t="shared" si="20"/>
        <v>250</v>
      </c>
      <c r="F9209" s="67"/>
    </row>
    <row r="9210" hidden="1">
      <c r="A9210" s="6" t="s">
        <v>105</v>
      </c>
      <c r="B9210" s="13" t="s">
        <v>1408</v>
      </c>
      <c r="C9210" s="13" t="s">
        <v>675</v>
      </c>
      <c r="D9210" s="15">
        <v>4.0</v>
      </c>
      <c r="E9210" s="67">
        <f t="shared" si="20"/>
        <v>1000</v>
      </c>
      <c r="F9210" s="67"/>
    </row>
    <row r="9211" hidden="1">
      <c r="A9211" s="6" t="s">
        <v>105</v>
      </c>
      <c r="B9211" s="13" t="s">
        <v>2885</v>
      </c>
      <c r="C9211" s="13" t="s">
        <v>2886</v>
      </c>
      <c r="D9211" s="15">
        <v>3.0</v>
      </c>
      <c r="E9211" s="67">
        <f t="shared" si="20"/>
        <v>750</v>
      </c>
      <c r="F9211" s="67"/>
    </row>
    <row r="9212" hidden="1">
      <c r="A9212" s="6" t="s">
        <v>105</v>
      </c>
      <c r="B9212" s="13" t="s">
        <v>246</v>
      </c>
      <c r="C9212" s="13" t="s">
        <v>1889</v>
      </c>
      <c r="D9212" s="15">
        <v>6.0</v>
      </c>
      <c r="E9212" s="67">
        <f t="shared" si="20"/>
        <v>1500</v>
      </c>
      <c r="F9212" s="67"/>
    </row>
    <row r="9213" hidden="1">
      <c r="A9213" s="6" t="s">
        <v>105</v>
      </c>
      <c r="B9213" s="13" t="s">
        <v>2034</v>
      </c>
      <c r="C9213" s="13" t="s">
        <v>416</v>
      </c>
      <c r="D9213" s="15">
        <v>2.0</v>
      </c>
      <c r="E9213" s="67">
        <f t="shared" si="20"/>
        <v>500</v>
      </c>
      <c r="F9213" s="67"/>
    </row>
    <row r="9214" hidden="1">
      <c r="A9214" s="6" t="s">
        <v>105</v>
      </c>
      <c r="B9214" s="13" t="s">
        <v>1334</v>
      </c>
      <c r="C9214" s="13" t="s">
        <v>553</v>
      </c>
      <c r="D9214" s="15">
        <v>6.0</v>
      </c>
      <c r="E9214" s="67">
        <f t="shared" si="20"/>
        <v>1500</v>
      </c>
      <c r="F9214" s="67"/>
    </row>
    <row r="9215" hidden="1">
      <c r="A9215" s="6" t="s">
        <v>105</v>
      </c>
      <c r="B9215" s="13" t="s">
        <v>606</v>
      </c>
      <c r="C9215" s="13" t="s">
        <v>607</v>
      </c>
      <c r="D9215" s="15">
        <v>1.0</v>
      </c>
      <c r="E9215" s="67">
        <f t="shared" si="20"/>
        <v>250</v>
      </c>
      <c r="F9215" s="67"/>
    </row>
    <row r="9216" hidden="1">
      <c r="A9216" s="6" t="s">
        <v>105</v>
      </c>
      <c r="B9216" s="13" t="s">
        <v>680</v>
      </c>
      <c r="C9216" s="13" t="s">
        <v>681</v>
      </c>
      <c r="D9216" s="15">
        <v>5.0</v>
      </c>
      <c r="E9216" s="67">
        <f t="shared" si="20"/>
        <v>1250</v>
      </c>
      <c r="F9216" s="67"/>
    </row>
    <row r="9217" hidden="1">
      <c r="A9217" s="6" t="s">
        <v>105</v>
      </c>
      <c r="B9217" s="13" t="s">
        <v>3160</v>
      </c>
      <c r="C9217" s="13" t="s">
        <v>3161</v>
      </c>
      <c r="D9217" s="15">
        <v>1.0</v>
      </c>
      <c r="E9217" s="67">
        <f t="shared" si="20"/>
        <v>250</v>
      </c>
      <c r="F9217" s="67"/>
    </row>
    <row r="9218" hidden="1">
      <c r="A9218" s="6" t="s">
        <v>105</v>
      </c>
      <c r="B9218" s="13" t="s">
        <v>2473</v>
      </c>
      <c r="C9218" s="13" t="s">
        <v>2474</v>
      </c>
      <c r="D9218" s="15">
        <v>7.0</v>
      </c>
      <c r="E9218" s="67">
        <f t="shared" si="20"/>
        <v>1750</v>
      </c>
      <c r="F9218" s="67"/>
    </row>
    <row r="9219" hidden="1">
      <c r="A9219" s="6" t="s">
        <v>105</v>
      </c>
      <c r="B9219" s="13" t="s">
        <v>3162</v>
      </c>
      <c r="C9219" s="13" t="s">
        <v>3163</v>
      </c>
      <c r="D9219" s="15">
        <v>6.0</v>
      </c>
      <c r="E9219" s="67">
        <f t="shared" si="20"/>
        <v>1500</v>
      </c>
      <c r="F9219" s="67"/>
    </row>
    <row r="9220" hidden="1">
      <c r="A9220" s="6" t="s">
        <v>105</v>
      </c>
      <c r="B9220" s="13" t="s">
        <v>3013</v>
      </c>
      <c r="C9220" s="13" t="s">
        <v>3014</v>
      </c>
      <c r="D9220" s="15">
        <v>3.0</v>
      </c>
      <c r="E9220" s="67">
        <f t="shared" si="20"/>
        <v>750</v>
      </c>
      <c r="F9220" s="67"/>
    </row>
    <row r="9221" hidden="1">
      <c r="A9221" s="6" t="s">
        <v>105</v>
      </c>
      <c r="B9221" s="13" t="s">
        <v>3006</v>
      </c>
      <c r="C9221" s="13" t="s">
        <v>3007</v>
      </c>
      <c r="D9221" s="15">
        <v>2.0</v>
      </c>
      <c r="E9221" s="67">
        <f t="shared" si="20"/>
        <v>500</v>
      </c>
      <c r="F9221" s="67"/>
    </row>
    <row r="9222" hidden="1">
      <c r="A9222" s="6" t="s">
        <v>105</v>
      </c>
      <c r="B9222" s="13" t="s">
        <v>262</v>
      </c>
      <c r="C9222" s="13" t="s">
        <v>290</v>
      </c>
      <c r="D9222" s="15">
        <v>4.0</v>
      </c>
      <c r="E9222" s="67">
        <f t="shared" si="20"/>
        <v>1000</v>
      </c>
      <c r="F9222" s="67"/>
    </row>
    <row r="9223" hidden="1">
      <c r="A9223" s="6" t="s">
        <v>105</v>
      </c>
      <c r="B9223" s="13" t="s">
        <v>2179</v>
      </c>
      <c r="C9223" s="13" t="s">
        <v>2180</v>
      </c>
      <c r="D9223" s="15">
        <v>3.0</v>
      </c>
      <c r="E9223" s="67">
        <f t="shared" si="20"/>
        <v>750</v>
      </c>
      <c r="F9223" s="67"/>
    </row>
    <row r="9224" hidden="1">
      <c r="A9224" s="6" t="s">
        <v>105</v>
      </c>
      <c r="B9224" s="13" t="s">
        <v>1344</v>
      </c>
      <c r="C9224" s="13" t="s">
        <v>569</v>
      </c>
      <c r="D9224" s="15">
        <v>5.0</v>
      </c>
      <c r="E9224" s="67">
        <f t="shared" si="20"/>
        <v>1250</v>
      </c>
      <c r="F9224" s="67"/>
    </row>
    <row r="9225" hidden="1">
      <c r="A9225" s="6" t="s">
        <v>105</v>
      </c>
      <c r="B9225" s="13" t="s">
        <v>1422</v>
      </c>
      <c r="C9225" s="13" t="s">
        <v>1423</v>
      </c>
      <c r="D9225" s="15">
        <v>2.0</v>
      </c>
      <c r="E9225" s="67">
        <f t="shared" si="20"/>
        <v>500</v>
      </c>
      <c r="F9225" s="67"/>
    </row>
    <row r="9226" hidden="1">
      <c r="A9226" s="6" t="s">
        <v>105</v>
      </c>
      <c r="B9226" s="13" t="s">
        <v>3164</v>
      </c>
      <c r="C9226" s="13" t="s">
        <v>3165</v>
      </c>
      <c r="D9226" s="15">
        <v>0.0</v>
      </c>
      <c r="E9226" s="67">
        <f t="shared" si="20"/>
        <v>0</v>
      </c>
      <c r="F9226" s="67"/>
    </row>
    <row r="9227" hidden="1">
      <c r="A9227" s="6" t="s">
        <v>105</v>
      </c>
      <c r="B9227" s="13" t="s">
        <v>1375</v>
      </c>
      <c r="C9227" s="13" t="s">
        <v>647</v>
      </c>
      <c r="D9227" s="15">
        <v>8.0</v>
      </c>
      <c r="E9227" s="67">
        <f t="shared" si="20"/>
        <v>2000</v>
      </c>
      <c r="F9227" s="67"/>
    </row>
    <row r="9228" hidden="1">
      <c r="A9228" s="6" t="s">
        <v>105</v>
      </c>
      <c r="B9228" s="13" t="s">
        <v>2307</v>
      </c>
      <c r="C9228" s="13" t="s">
        <v>3166</v>
      </c>
      <c r="D9228" s="15">
        <v>0.0</v>
      </c>
      <c r="E9228" s="67">
        <f t="shared" si="20"/>
        <v>0</v>
      </c>
      <c r="F9228" s="67"/>
    </row>
    <row r="9229" hidden="1">
      <c r="A9229" s="6" t="s">
        <v>105</v>
      </c>
      <c r="B9229" s="13" t="s">
        <v>672</v>
      </c>
      <c r="C9229" s="13" t="s">
        <v>673</v>
      </c>
      <c r="D9229" s="15">
        <v>1.0</v>
      </c>
      <c r="E9229" s="67">
        <f t="shared" si="20"/>
        <v>250</v>
      </c>
      <c r="F9229" s="67"/>
    </row>
    <row r="9230" hidden="1">
      <c r="A9230" s="6" t="s">
        <v>105</v>
      </c>
      <c r="B9230" s="13" t="s">
        <v>1393</v>
      </c>
      <c r="C9230" s="13" t="s">
        <v>1394</v>
      </c>
      <c r="D9230" s="15">
        <v>5.0</v>
      </c>
      <c r="E9230" s="67">
        <f t="shared" si="20"/>
        <v>1250</v>
      </c>
      <c r="F9230" s="67"/>
    </row>
    <row r="9231" hidden="1">
      <c r="A9231" s="6" t="s">
        <v>105</v>
      </c>
      <c r="B9231" s="13" t="s">
        <v>2097</v>
      </c>
      <c r="C9231" s="13" t="s">
        <v>828</v>
      </c>
      <c r="D9231" s="15">
        <v>6.0</v>
      </c>
      <c r="E9231" s="67">
        <f t="shared" si="20"/>
        <v>1500</v>
      </c>
      <c r="F9231" s="67"/>
    </row>
    <row r="9232" hidden="1">
      <c r="A9232" s="6" t="s">
        <v>105</v>
      </c>
      <c r="B9232" s="13" t="s">
        <v>1299</v>
      </c>
      <c r="C9232" s="13" t="s">
        <v>1300</v>
      </c>
      <c r="D9232" s="15">
        <v>7.0</v>
      </c>
      <c r="E9232" s="67">
        <f t="shared" si="20"/>
        <v>1750</v>
      </c>
      <c r="F9232" s="67"/>
    </row>
    <row r="9233" hidden="1">
      <c r="A9233" s="6" t="s">
        <v>105</v>
      </c>
      <c r="B9233" s="13" t="s">
        <v>3089</v>
      </c>
      <c r="C9233" s="13" t="s">
        <v>3090</v>
      </c>
      <c r="D9233" s="15">
        <v>1.0</v>
      </c>
      <c r="E9233" s="67">
        <f t="shared" si="20"/>
        <v>250</v>
      </c>
      <c r="F9233" s="67"/>
    </row>
    <row r="9234" hidden="1">
      <c r="A9234" s="6" t="s">
        <v>105</v>
      </c>
      <c r="B9234" s="13" t="s">
        <v>725</v>
      </c>
      <c r="C9234" s="13" t="s">
        <v>726</v>
      </c>
      <c r="D9234" s="15">
        <v>7.0</v>
      </c>
      <c r="E9234" s="67">
        <f t="shared" si="20"/>
        <v>1750</v>
      </c>
      <c r="F9234" s="67"/>
    </row>
    <row r="9235" hidden="1">
      <c r="A9235" s="6" t="s">
        <v>105</v>
      </c>
      <c r="B9235" s="13" t="s">
        <v>2947</v>
      </c>
      <c r="C9235" s="13" t="s">
        <v>2948</v>
      </c>
      <c r="D9235" s="15">
        <v>8.0</v>
      </c>
      <c r="E9235" s="67">
        <f t="shared" si="20"/>
        <v>2000</v>
      </c>
      <c r="F9235" s="67"/>
    </row>
    <row r="9236" hidden="1">
      <c r="A9236" s="6" t="s">
        <v>105</v>
      </c>
      <c r="B9236" s="13" t="s">
        <v>1443</v>
      </c>
      <c r="C9236" s="13" t="s">
        <v>755</v>
      </c>
      <c r="D9236" s="15">
        <v>0.0</v>
      </c>
      <c r="E9236" s="67">
        <f t="shared" si="20"/>
        <v>0</v>
      </c>
      <c r="F9236" s="67"/>
    </row>
    <row r="9237" hidden="1">
      <c r="A9237" s="6" t="s">
        <v>105</v>
      </c>
      <c r="B9237" s="13" t="s">
        <v>803</v>
      </c>
      <c r="C9237" s="13" t="s">
        <v>804</v>
      </c>
      <c r="D9237" s="15">
        <v>4.0</v>
      </c>
      <c r="E9237" s="67">
        <f t="shared" si="20"/>
        <v>1000</v>
      </c>
      <c r="F9237" s="67"/>
    </row>
    <row r="9238" hidden="1">
      <c r="A9238" s="6" t="s">
        <v>105</v>
      </c>
      <c r="B9238" s="13" t="s">
        <v>307</v>
      </c>
      <c r="C9238" s="13" t="s">
        <v>692</v>
      </c>
      <c r="D9238" s="15">
        <v>5.0</v>
      </c>
      <c r="E9238" s="67">
        <f t="shared" si="20"/>
        <v>1250</v>
      </c>
      <c r="F9238" s="67"/>
    </row>
    <row r="9239" hidden="1">
      <c r="A9239" s="6" t="s">
        <v>105</v>
      </c>
      <c r="B9239" s="13" t="s">
        <v>3104</v>
      </c>
      <c r="C9239" s="13" t="s">
        <v>3105</v>
      </c>
      <c r="D9239" s="15">
        <v>1.0</v>
      </c>
      <c r="E9239" s="67">
        <f t="shared" si="20"/>
        <v>250</v>
      </c>
      <c r="F9239" s="67"/>
    </row>
    <row r="9240" hidden="1">
      <c r="A9240" s="6" t="s">
        <v>105</v>
      </c>
      <c r="B9240" s="13" t="s">
        <v>1325</v>
      </c>
      <c r="C9240" s="13" t="s">
        <v>1326</v>
      </c>
      <c r="D9240" s="15">
        <v>4.0</v>
      </c>
      <c r="E9240" s="67">
        <f t="shared" si="20"/>
        <v>1000</v>
      </c>
      <c r="F9240" s="67"/>
    </row>
    <row r="9241" hidden="1">
      <c r="A9241" s="6" t="s">
        <v>105</v>
      </c>
      <c r="B9241" s="13" t="s">
        <v>3167</v>
      </c>
      <c r="C9241" s="13" t="s">
        <v>3168</v>
      </c>
      <c r="D9241" s="15">
        <v>0.0</v>
      </c>
      <c r="E9241" s="67">
        <f t="shared" si="20"/>
        <v>0</v>
      </c>
      <c r="F9241" s="67"/>
    </row>
    <row r="9242" hidden="1">
      <c r="A9242" s="6" t="s">
        <v>105</v>
      </c>
      <c r="B9242" s="13" t="s">
        <v>2979</v>
      </c>
      <c r="C9242" s="13" t="s">
        <v>2980</v>
      </c>
      <c r="D9242" s="15">
        <v>3.0</v>
      </c>
      <c r="E9242" s="67">
        <f t="shared" si="20"/>
        <v>750</v>
      </c>
      <c r="F9242" s="67"/>
    </row>
    <row r="9243" hidden="1">
      <c r="A9243" s="6" t="s">
        <v>105</v>
      </c>
      <c r="B9243" s="13" t="s">
        <v>1333</v>
      </c>
      <c r="C9243" s="13" t="s">
        <v>551</v>
      </c>
      <c r="D9243" s="15">
        <v>4.0</v>
      </c>
      <c r="E9243" s="67">
        <f t="shared" si="20"/>
        <v>1000</v>
      </c>
      <c r="F9243" s="67"/>
    </row>
    <row r="9244" hidden="1">
      <c r="A9244" s="6" t="s">
        <v>105</v>
      </c>
      <c r="B9244" s="13" t="s">
        <v>1421</v>
      </c>
      <c r="C9244" s="13" t="s">
        <v>712</v>
      </c>
      <c r="D9244" s="15">
        <v>5.0</v>
      </c>
      <c r="E9244" s="67">
        <f t="shared" si="20"/>
        <v>1250</v>
      </c>
      <c r="F9244" s="67"/>
    </row>
    <row r="9245" hidden="1">
      <c r="A9245" s="6" t="s">
        <v>105</v>
      </c>
      <c r="B9245" s="13" t="s">
        <v>590</v>
      </c>
      <c r="C9245" s="13" t="s">
        <v>591</v>
      </c>
      <c r="D9245" s="15">
        <v>3.0</v>
      </c>
      <c r="E9245" s="67">
        <f t="shared" si="20"/>
        <v>750</v>
      </c>
      <c r="F9245" s="67"/>
    </row>
    <row r="9246" hidden="1">
      <c r="A9246" s="6" t="s">
        <v>105</v>
      </c>
      <c r="B9246" s="13" t="s">
        <v>572</v>
      </c>
      <c r="C9246" s="13" t="s">
        <v>573</v>
      </c>
      <c r="D9246" s="15">
        <v>5.0</v>
      </c>
      <c r="E9246" s="67">
        <f t="shared" si="20"/>
        <v>1250</v>
      </c>
      <c r="F9246" s="67"/>
    </row>
    <row r="9247" hidden="1">
      <c r="A9247" s="6" t="s">
        <v>105</v>
      </c>
      <c r="B9247" s="13" t="s">
        <v>1438</v>
      </c>
      <c r="C9247" s="13" t="s">
        <v>1439</v>
      </c>
      <c r="D9247" s="15">
        <v>3.0</v>
      </c>
      <c r="E9247" s="67">
        <f t="shared" si="20"/>
        <v>750</v>
      </c>
      <c r="F9247" s="67"/>
    </row>
    <row r="9248" hidden="1">
      <c r="A9248" s="6" t="s">
        <v>105</v>
      </c>
      <c r="B9248" s="13" t="s">
        <v>900</v>
      </c>
      <c r="C9248" s="13" t="s">
        <v>901</v>
      </c>
      <c r="D9248" s="15">
        <v>4.0</v>
      </c>
      <c r="E9248" s="67">
        <f t="shared" si="20"/>
        <v>1000</v>
      </c>
      <c r="F9248" s="67"/>
    </row>
    <row r="9249" hidden="1">
      <c r="A9249" s="6" t="s">
        <v>105</v>
      </c>
      <c r="B9249" s="13" t="s">
        <v>719</v>
      </c>
      <c r="C9249" s="13" t="s">
        <v>720</v>
      </c>
      <c r="D9249" s="15">
        <v>4.0</v>
      </c>
      <c r="E9249" s="67">
        <f t="shared" si="20"/>
        <v>1000</v>
      </c>
      <c r="F9249" s="67"/>
    </row>
    <row r="9250" hidden="1">
      <c r="A9250" s="6" t="s">
        <v>105</v>
      </c>
      <c r="B9250" s="13" t="s">
        <v>3169</v>
      </c>
      <c r="C9250" s="13" t="s">
        <v>3170</v>
      </c>
      <c r="D9250" s="15">
        <v>2.0</v>
      </c>
      <c r="E9250" s="67">
        <f t="shared" si="20"/>
        <v>500</v>
      </c>
      <c r="F9250" s="67"/>
    </row>
    <row r="9251" hidden="1">
      <c r="A9251" s="6" t="s">
        <v>105</v>
      </c>
      <c r="B9251" s="13" t="s">
        <v>405</v>
      </c>
      <c r="C9251" s="13" t="s">
        <v>406</v>
      </c>
      <c r="D9251" s="15">
        <v>3.0</v>
      </c>
      <c r="E9251" s="67">
        <f t="shared" si="20"/>
        <v>750</v>
      </c>
      <c r="F9251" s="67"/>
    </row>
    <row r="9252" hidden="1">
      <c r="A9252" s="6" t="s">
        <v>105</v>
      </c>
      <c r="B9252" s="13" t="s">
        <v>502</v>
      </c>
      <c r="C9252" s="13" t="s">
        <v>503</v>
      </c>
      <c r="D9252" s="15">
        <v>7.0</v>
      </c>
      <c r="E9252" s="67">
        <f t="shared" si="20"/>
        <v>1750</v>
      </c>
      <c r="F9252" s="67"/>
    </row>
    <row r="9253" hidden="1">
      <c r="A9253" s="6" t="s">
        <v>105</v>
      </c>
      <c r="B9253" s="13" t="s">
        <v>449</v>
      </c>
      <c r="C9253" s="13" t="s">
        <v>450</v>
      </c>
      <c r="D9253" s="15">
        <v>7.0</v>
      </c>
      <c r="E9253" s="67">
        <f t="shared" si="20"/>
        <v>1750</v>
      </c>
      <c r="F9253" s="67"/>
    </row>
    <row r="9254" hidden="1">
      <c r="A9254" s="6" t="s">
        <v>105</v>
      </c>
      <c r="B9254" s="13" t="s">
        <v>2977</v>
      </c>
      <c r="C9254" s="13" t="s">
        <v>2978</v>
      </c>
      <c r="D9254" s="15">
        <v>5.0</v>
      </c>
      <c r="E9254" s="67">
        <f t="shared" si="20"/>
        <v>1250</v>
      </c>
      <c r="F9254" s="67"/>
    </row>
    <row r="9255" hidden="1">
      <c r="A9255" s="6" t="s">
        <v>105</v>
      </c>
      <c r="B9255" s="13" t="s">
        <v>1301</v>
      </c>
      <c r="C9255" s="13" t="s">
        <v>1302</v>
      </c>
      <c r="D9255" s="15">
        <v>8.0</v>
      </c>
      <c r="E9255" s="67">
        <f t="shared" si="20"/>
        <v>2000</v>
      </c>
      <c r="F9255" s="67"/>
    </row>
    <row r="9256" hidden="1">
      <c r="A9256" s="6" t="s">
        <v>105</v>
      </c>
      <c r="B9256" s="13" t="s">
        <v>3171</v>
      </c>
      <c r="C9256" s="13" t="s">
        <v>3172</v>
      </c>
      <c r="D9256" s="15">
        <v>1.0</v>
      </c>
      <c r="E9256" s="67">
        <f t="shared" si="20"/>
        <v>250</v>
      </c>
      <c r="F9256" s="67"/>
    </row>
    <row r="9257" hidden="1">
      <c r="A9257" s="6" t="s">
        <v>105</v>
      </c>
      <c r="B9257" s="13" t="s">
        <v>622</v>
      </c>
      <c r="C9257" s="13" t="s">
        <v>623</v>
      </c>
      <c r="D9257" s="15">
        <v>7.0</v>
      </c>
      <c r="E9257" s="67">
        <f t="shared" si="20"/>
        <v>1750</v>
      </c>
      <c r="F9257" s="67"/>
    </row>
    <row r="9258" hidden="1">
      <c r="A9258" s="6" t="s">
        <v>105</v>
      </c>
      <c r="B9258" s="13" t="s">
        <v>524</v>
      </c>
      <c r="C9258" s="13" t="s">
        <v>525</v>
      </c>
      <c r="D9258" s="15">
        <v>6.0</v>
      </c>
      <c r="E9258" s="67">
        <f t="shared" si="20"/>
        <v>1500</v>
      </c>
      <c r="F9258" s="67"/>
    </row>
    <row r="9259" hidden="1">
      <c r="A9259" s="6" t="s">
        <v>105</v>
      </c>
      <c r="B9259" s="13" t="s">
        <v>620</v>
      </c>
      <c r="C9259" s="13" t="s">
        <v>621</v>
      </c>
      <c r="D9259" s="15">
        <v>5.0</v>
      </c>
      <c r="E9259" s="67">
        <f t="shared" si="20"/>
        <v>1250</v>
      </c>
      <c r="F9259" s="67"/>
    </row>
    <row r="9260" hidden="1">
      <c r="A9260" s="6" t="s">
        <v>105</v>
      </c>
      <c r="B9260" s="13" t="s">
        <v>2949</v>
      </c>
      <c r="C9260" s="13" t="s">
        <v>2950</v>
      </c>
      <c r="D9260" s="15">
        <v>3.0</v>
      </c>
      <c r="E9260" s="67">
        <f t="shared" si="20"/>
        <v>750</v>
      </c>
      <c r="F9260" s="67"/>
    </row>
    <row r="9261" hidden="1">
      <c r="A9261" s="6" t="s">
        <v>105</v>
      </c>
      <c r="B9261" s="13" t="s">
        <v>1345</v>
      </c>
      <c r="C9261" s="13" t="s">
        <v>1346</v>
      </c>
      <c r="D9261" s="15">
        <v>2.0</v>
      </c>
      <c r="E9261" s="67">
        <f t="shared" si="20"/>
        <v>500</v>
      </c>
      <c r="F9261" s="67"/>
    </row>
    <row r="9262" hidden="1">
      <c r="A9262" s="6" t="s">
        <v>105</v>
      </c>
      <c r="B9262" s="13" t="s">
        <v>3025</v>
      </c>
      <c r="C9262" s="13" t="s">
        <v>3026</v>
      </c>
      <c r="D9262" s="15">
        <v>4.0</v>
      </c>
      <c r="E9262" s="67">
        <f t="shared" si="20"/>
        <v>1000</v>
      </c>
      <c r="F9262" s="67"/>
    </row>
    <row r="9263" hidden="1">
      <c r="A9263" s="6" t="s">
        <v>105</v>
      </c>
      <c r="B9263" s="13" t="s">
        <v>3135</v>
      </c>
      <c r="C9263" s="13" t="s">
        <v>3136</v>
      </c>
      <c r="D9263" s="15">
        <v>1.0</v>
      </c>
      <c r="E9263" s="67">
        <f t="shared" si="20"/>
        <v>250</v>
      </c>
      <c r="F9263" s="67"/>
    </row>
    <row r="9264" hidden="1">
      <c r="A9264" s="6" t="s">
        <v>105</v>
      </c>
      <c r="B9264" s="13" t="s">
        <v>3093</v>
      </c>
      <c r="C9264" s="13" t="s">
        <v>3094</v>
      </c>
      <c r="D9264" s="15">
        <v>0.0</v>
      </c>
      <c r="E9264" s="67">
        <f t="shared" si="20"/>
        <v>0</v>
      </c>
      <c r="F9264" s="67"/>
    </row>
    <row r="9265" hidden="1">
      <c r="A9265" s="6" t="s">
        <v>105</v>
      </c>
      <c r="B9265" s="13" t="s">
        <v>2288</v>
      </c>
      <c r="C9265" s="13" t="s">
        <v>2289</v>
      </c>
      <c r="D9265" s="15">
        <v>3.0</v>
      </c>
      <c r="E9265" s="67">
        <f t="shared" si="20"/>
        <v>750</v>
      </c>
      <c r="F9265" s="67"/>
    </row>
    <row r="9266" hidden="1">
      <c r="A9266" s="6" t="s">
        <v>105</v>
      </c>
      <c r="B9266" s="13" t="s">
        <v>3091</v>
      </c>
      <c r="C9266" s="13" t="s">
        <v>3092</v>
      </c>
      <c r="D9266" s="15">
        <v>1.0</v>
      </c>
      <c r="E9266" s="67">
        <f t="shared" si="20"/>
        <v>250</v>
      </c>
      <c r="F9266" s="67"/>
    </row>
    <row r="9267" hidden="1">
      <c r="A9267" s="6" t="s">
        <v>105</v>
      </c>
      <c r="B9267" s="13" t="s">
        <v>3173</v>
      </c>
      <c r="C9267" s="13" t="s">
        <v>3174</v>
      </c>
      <c r="D9267" s="15">
        <v>0.0</v>
      </c>
      <c r="E9267" s="67">
        <f t="shared" si="20"/>
        <v>0</v>
      </c>
      <c r="F9267" s="67"/>
    </row>
    <row r="9268" hidden="1">
      <c r="A9268" s="6" t="s">
        <v>105</v>
      </c>
      <c r="B9268" s="13" t="s">
        <v>3137</v>
      </c>
      <c r="C9268" s="13" t="s">
        <v>3138</v>
      </c>
      <c r="D9268" s="15">
        <v>2.0</v>
      </c>
      <c r="E9268" s="67">
        <f t="shared" si="20"/>
        <v>500</v>
      </c>
      <c r="F9268" s="67"/>
    </row>
    <row r="9269" hidden="1">
      <c r="A9269" s="6" t="s">
        <v>105</v>
      </c>
      <c r="B9269" s="13" t="s">
        <v>1279</v>
      </c>
      <c r="C9269" s="13" t="s">
        <v>739</v>
      </c>
      <c r="D9269" s="15">
        <v>2.0</v>
      </c>
      <c r="E9269" s="67">
        <f t="shared" si="20"/>
        <v>500</v>
      </c>
      <c r="F9269" s="67"/>
    </row>
    <row r="9270" hidden="1">
      <c r="A9270" s="6" t="s">
        <v>105</v>
      </c>
      <c r="B9270" s="13" t="s">
        <v>1293</v>
      </c>
      <c r="C9270" s="13" t="s">
        <v>1294</v>
      </c>
      <c r="D9270" s="15">
        <v>1.0</v>
      </c>
      <c r="E9270" s="67">
        <f t="shared" si="20"/>
        <v>250</v>
      </c>
      <c r="F9270" s="67"/>
    </row>
    <row r="9271" hidden="1">
      <c r="A9271" s="6" t="s">
        <v>105</v>
      </c>
      <c r="B9271" s="13" t="s">
        <v>3175</v>
      </c>
      <c r="C9271" s="13" t="s">
        <v>3176</v>
      </c>
      <c r="D9271" s="15">
        <v>0.0</v>
      </c>
      <c r="E9271" s="67">
        <f t="shared" si="20"/>
        <v>0</v>
      </c>
      <c r="F9271" s="67"/>
    </row>
    <row r="9272" hidden="1">
      <c r="A9272" s="6" t="s">
        <v>105</v>
      </c>
      <c r="B9272" s="13" t="s">
        <v>3141</v>
      </c>
      <c r="C9272" s="13" t="s">
        <v>3142</v>
      </c>
      <c r="D9272" s="15">
        <v>2.0</v>
      </c>
      <c r="E9272" s="67">
        <f t="shared" si="20"/>
        <v>500</v>
      </c>
      <c r="F9272" s="67"/>
    </row>
    <row r="9273" hidden="1">
      <c r="A9273" s="6" t="s">
        <v>105</v>
      </c>
      <c r="B9273" s="13" t="s">
        <v>532</v>
      </c>
      <c r="C9273" s="13" t="s">
        <v>533</v>
      </c>
      <c r="D9273" s="15">
        <v>9.0</v>
      </c>
      <c r="E9273" s="67">
        <f t="shared" si="20"/>
        <v>2250</v>
      </c>
      <c r="F9273" s="67"/>
    </row>
    <row r="9274" hidden="1">
      <c r="A9274" s="6" t="s">
        <v>105</v>
      </c>
      <c r="B9274" s="13" t="s">
        <v>3095</v>
      </c>
      <c r="C9274" s="13" t="s">
        <v>3096</v>
      </c>
      <c r="D9274" s="15">
        <v>1.0</v>
      </c>
      <c r="E9274" s="67">
        <f t="shared" si="20"/>
        <v>250</v>
      </c>
      <c r="F9274" s="67"/>
    </row>
    <row r="9275" hidden="1">
      <c r="A9275" s="6" t="s">
        <v>105</v>
      </c>
      <c r="B9275" s="13" t="s">
        <v>1369</v>
      </c>
      <c r="C9275" s="13" t="s">
        <v>1370</v>
      </c>
      <c r="D9275" s="15">
        <v>7.0</v>
      </c>
      <c r="E9275" s="67">
        <f t="shared" si="20"/>
        <v>1750</v>
      </c>
      <c r="F9275" s="67"/>
    </row>
    <row r="9276" hidden="1">
      <c r="A9276" s="6" t="s">
        <v>105</v>
      </c>
      <c r="B9276" s="13" t="s">
        <v>1442</v>
      </c>
      <c r="C9276" s="13" t="s">
        <v>749</v>
      </c>
      <c r="D9276" s="15">
        <v>7.0</v>
      </c>
      <c r="E9276" s="67">
        <f t="shared" si="20"/>
        <v>1750</v>
      </c>
      <c r="F9276" s="67"/>
    </row>
    <row r="9277" hidden="1">
      <c r="A9277" s="6" t="s">
        <v>105</v>
      </c>
      <c r="B9277" s="13" t="s">
        <v>3177</v>
      </c>
      <c r="C9277" s="13" t="s">
        <v>3178</v>
      </c>
      <c r="D9277" s="15">
        <v>4.0</v>
      </c>
      <c r="E9277" s="67">
        <f t="shared" si="20"/>
        <v>1000</v>
      </c>
      <c r="F9277" s="67"/>
    </row>
    <row r="9278" hidden="1">
      <c r="A9278" s="6" t="s">
        <v>105</v>
      </c>
      <c r="B9278" s="13" t="s">
        <v>576</v>
      </c>
      <c r="C9278" s="13" t="s">
        <v>577</v>
      </c>
      <c r="D9278" s="15">
        <v>7.0</v>
      </c>
      <c r="E9278" s="67">
        <f t="shared" si="20"/>
        <v>1750</v>
      </c>
      <c r="F9278" s="67"/>
    </row>
    <row r="9279" hidden="1">
      <c r="A9279" s="6" t="s">
        <v>105</v>
      </c>
      <c r="B9279" s="13" t="s">
        <v>1373</v>
      </c>
      <c r="C9279" s="13" t="s">
        <v>1374</v>
      </c>
      <c r="D9279" s="15">
        <v>1.0</v>
      </c>
      <c r="E9279" s="67">
        <f t="shared" si="20"/>
        <v>250</v>
      </c>
      <c r="F9279" s="67"/>
    </row>
    <row r="9280" hidden="1">
      <c r="A9280" s="6" t="s">
        <v>105</v>
      </c>
      <c r="B9280" s="13" t="s">
        <v>1493</v>
      </c>
      <c r="C9280" s="13" t="s">
        <v>1494</v>
      </c>
      <c r="D9280" s="15">
        <v>6.0</v>
      </c>
      <c r="E9280" s="67">
        <f t="shared" si="20"/>
        <v>1500</v>
      </c>
      <c r="F9280" s="67"/>
    </row>
    <row r="9281" hidden="1">
      <c r="A9281" s="6" t="s">
        <v>105</v>
      </c>
      <c r="B9281" s="13" t="s">
        <v>650</v>
      </c>
      <c r="C9281" s="13" t="s">
        <v>651</v>
      </c>
      <c r="D9281" s="15">
        <v>4.0</v>
      </c>
      <c r="E9281" s="67">
        <f t="shared" si="20"/>
        <v>1000</v>
      </c>
      <c r="F9281" s="67"/>
    </row>
    <row r="9282" hidden="1">
      <c r="A9282" s="6" t="s">
        <v>105</v>
      </c>
      <c r="B9282" s="13" t="s">
        <v>1712</v>
      </c>
      <c r="C9282" s="13" t="s">
        <v>2900</v>
      </c>
      <c r="D9282" s="15">
        <v>4.0</v>
      </c>
      <c r="E9282" s="67">
        <f t="shared" si="20"/>
        <v>1000</v>
      </c>
      <c r="F9282" s="67"/>
    </row>
    <row r="9283" hidden="1">
      <c r="A9283" s="6" t="s">
        <v>105</v>
      </c>
      <c r="B9283" s="13" t="s">
        <v>2640</v>
      </c>
      <c r="C9283" s="13" t="s">
        <v>2641</v>
      </c>
      <c r="D9283" s="15">
        <v>4.0</v>
      </c>
      <c r="E9283" s="67">
        <f t="shared" si="20"/>
        <v>1000</v>
      </c>
      <c r="F9283" s="67"/>
    </row>
    <row r="9284" hidden="1">
      <c r="A9284" s="6" t="s">
        <v>105</v>
      </c>
      <c r="B9284" s="13" t="s">
        <v>1400</v>
      </c>
      <c r="C9284" s="13" t="s">
        <v>1401</v>
      </c>
      <c r="D9284" s="15">
        <v>0.0</v>
      </c>
      <c r="E9284" s="67">
        <f t="shared" si="20"/>
        <v>0</v>
      </c>
      <c r="F9284" s="67"/>
    </row>
    <row r="9285" hidden="1">
      <c r="A9285" s="6" t="s">
        <v>105</v>
      </c>
      <c r="B9285" s="13" t="s">
        <v>439</v>
      </c>
      <c r="C9285" s="13" t="s">
        <v>440</v>
      </c>
      <c r="D9285" s="15">
        <v>9.0</v>
      </c>
      <c r="E9285" s="67">
        <f t="shared" si="20"/>
        <v>2250</v>
      </c>
      <c r="F9285" s="67"/>
    </row>
    <row r="9286" hidden="1">
      <c r="A9286" s="6" t="s">
        <v>105</v>
      </c>
      <c r="B9286" s="13" t="s">
        <v>3179</v>
      </c>
      <c r="C9286" s="13" t="s">
        <v>3180</v>
      </c>
      <c r="D9286" s="15">
        <v>3.0</v>
      </c>
      <c r="E9286" s="67">
        <f t="shared" si="20"/>
        <v>750</v>
      </c>
      <c r="F9286" s="67"/>
    </row>
    <row r="9287" hidden="1">
      <c r="A9287" s="6" t="s">
        <v>105</v>
      </c>
      <c r="B9287" s="13" t="s">
        <v>2360</v>
      </c>
      <c r="C9287" s="13" t="s">
        <v>2361</v>
      </c>
      <c r="D9287" s="15">
        <v>4.0</v>
      </c>
      <c r="E9287" s="67">
        <f t="shared" si="20"/>
        <v>1000</v>
      </c>
      <c r="F9287" s="67"/>
    </row>
    <row r="9288" hidden="1">
      <c r="A9288" s="6" t="s">
        <v>105</v>
      </c>
      <c r="B9288" s="13" t="s">
        <v>1295</v>
      </c>
      <c r="C9288" s="13" t="s">
        <v>1296</v>
      </c>
      <c r="D9288" s="15">
        <v>6.0</v>
      </c>
      <c r="E9288" s="67">
        <f t="shared" si="20"/>
        <v>1500</v>
      </c>
      <c r="F9288" s="67"/>
    </row>
    <row r="9289" hidden="1">
      <c r="A9289" s="6" t="s">
        <v>105</v>
      </c>
      <c r="B9289" s="13" t="s">
        <v>2846</v>
      </c>
      <c r="C9289" s="13" t="s">
        <v>2847</v>
      </c>
      <c r="D9289" s="15">
        <v>2.0</v>
      </c>
      <c r="E9289" s="67">
        <f t="shared" si="20"/>
        <v>500</v>
      </c>
      <c r="F9289" s="67"/>
    </row>
    <row r="9290" hidden="1">
      <c r="A9290" s="6" t="s">
        <v>105</v>
      </c>
      <c r="B9290" s="13" t="s">
        <v>1157</v>
      </c>
      <c r="C9290" s="13" t="s">
        <v>1158</v>
      </c>
      <c r="D9290" s="15">
        <v>1.0</v>
      </c>
      <c r="E9290" s="67">
        <f t="shared" si="20"/>
        <v>250</v>
      </c>
      <c r="F9290" s="67"/>
    </row>
    <row r="9291" hidden="1">
      <c r="A9291" s="6" t="s">
        <v>105</v>
      </c>
      <c r="B9291" s="13" t="s">
        <v>2983</v>
      </c>
      <c r="C9291" s="13" t="s">
        <v>2984</v>
      </c>
      <c r="D9291" s="15">
        <v>1.0</v>
      </c>
      <c r="E9291" s="67">
        <f t="shared" si="20"/>
        <v>250</v>
      </c>
      <c r="F9291" s="67"/>
    </row>
    <row r="9292" hidden="1">
      <c r="A9292" s="6" t="s">
        <v>105</v>
      </c>
      <c r="B9292" s="13" t="s">
        <v>3181</v>
      </c>
      <c r="C9292" s="13" t="s">
        <v>3182</v>
      </c>
      <c r="D9292" s="15">
        <v>1.0</v>
      </c>
      <c r="E9292" s="67">
        <f t="shared" si="20"/>
        <v>250</v>
      </c>
      <c r="F9292" s="67"/>
    </row>
    <row r="9293" hidden="1">
      <c r="A9293" s="6" t="s">
        <v>105</v>
      </c>
      <c r="B9293" s="13" t="s">
        <v>2785</v>
      </c>
      <c r="C9293" s="13" t="s">
        <v>2786</v>
      </c>
      <c r="D9293" s="15">
        <v>1.0</v>
      </c>
      <c r="E9293" s="67">
        <f t="shared" si="20"/>
        <v>250</v>
      </c>
      <c r="F9293" s="67"/>
    </row>
    <row r="9294" hidden="1">
      <c r="A9294" s="6" t="s">
        <v>105</v>
      </c>
      <c r="B9294" s="13" t="s">
        <v>3183</v>
      </c>
      <c r="C9294" s="13" t="s">
        <v>3184</v>
      </c>
      <c r="D9294" s="15">
        <v>2.0</v>
      </c>
      <c r="E9294" s="67">
        <f t="shared" si="20"/>
        <v>500</v>
      </c>
      <c r="F9294" s="67"/>
    </row>
    <row r="9295" hidden="1">
      <c r="A9295" s="6" t="s">
        <v>105</v>
      </c>
      <c r="B9295" s="13" t="s">
        <v>1955</v>
      </c>
      <c r="C9295" s="13" t="s">
        <v>1956</v>
      </c>
      <c r="D9295" s="15">
        <v>5.0</v>
      </c>
      <c r="E9295" s="67">
        <f t="shared" si="20"/>
        <v>1250</v>
      </c>
      <c r="F9295" s="67"/>
    </row>
    <row r="9296" hidden="1">
      <c r="A9296" s="6" t="s">
        <v>105</v>
      </c>
      <c r="B9296" s="13" t="s">
        <v>1410</v>
      </c>
      <c r="C9296" s="13" t="s">
        <v>1411</v>
      </c>
      <c r="D9296" s="15">
        <v>4.0</v>
      </c>
      <c r="E9296" s="67">
        <f t="shared" si="20"/>
        <v>1000</v>
      </c>
      <c r="F9296" s="67"/>
    </row>
    <row r="9297" hidden="1">
      <c r="A9297" s="6" t="s">
        <v>105</v>
      </c>
      <c r="B9297" s="13" t="s">
        <v>1923</v>
      </c>
      <c r="C9297" s="13" t="s">
        <v>1924</v>
      </c>
      <c r="D9297" s="15">
        <v>5.0</v>
      </c>
      <c r="E9297" s="67">
        <f t="shared" si="20"/>
        <v>1250</v>
      </c>
      <c r="F9297" s="67"/>
    </row>
    <row r="9298" hidden="1">
      <c r="A9298" s="6" t="s">
        <v>105</v>
      </c>
      <c r="B9298" s="13" t="s">
        <v>3185</v>
      </c>
      <c r="C9298" s="13" t="s">
        <v>3186</v>
      </c>
      <c r="D9298" s="15">
        <v>1.0</v>
      </c>
      <c r="E9298" s="67">
        <f t="shared" si="20"/>
        <v>250</v>
      </c>
      <c r="F9298" s="67"/>
    </row>
    <row r="9299" hidden="1">
      <c r="A9299" s="6" t="s">
        <v>105</v>
      </c>
      <c r="B9299" s="13" t="s">
        <v>693</v>
      </c>
      <c r="C9299" s="13" t="s">
        <v>694</v>
      </c>
      <c r="D9299" s="15">
        <v>6.0</v>
      </c>
      <c r="E9299" s="67">
        <f t="shared" si="20"/>
        <v>1500</v>
      </c>
      <c r="F9299" s="67"/>
    </row>
    <row r="9300" hidden="1">
      <c r="A9300" s="6" t="s">
        <v>105</v>
      </c>
      <c r="B9300" s="13" t="s">
        <v>3143</v>
      </c>
      <c r="C9300" s="13" t="s">
        <v>3144</v>
      </c>
      <c r="D9300" s="15">
        <v>3.0</v>
      </c>
      <c r="E9300" s="67">
        <f t="shared" si="20"/>
        <v>750</v>
      </c>
      <c r="F9300" s="67"/>
    </row>
    <row r="9301" hidden="1">
      <c r="A9301" s="6" t="s">
        <v>105</v>
      </c>
      <c r="B9301" s="13" t="s">
        <v>1353</v>
      </c>
      <c r="C9301" s="13" t="s">
        <v>1354</v>
      </c>
      <c r="D9301" s="15">
        <v>0.0</v>
      </c>
      <c r="E9301" s="67">
        <f t="shared" si="20"/>
        <v>0</v>
      </c>
      <c r="F9301" s="67"/>
    </row>
    <row r="9302" hidden="1">
      <c r="A9302" s="6" t="s">
        <v>105</v>
      </c>
      <c r="B9302" s="13" t="s">
        <v>604</v>
      </c>
      <c r="C9302" s="13" t="s">
        <v>605</v>
      </c>
      <c r="D9302" s="15">
        <v>5.0</v>
      </c>
      <c r="E9302" s="67">
        <f t="shared" si="20"/>
        <v>1250</v>
      </c>
      <c r="F9302" s="67"/>
    </row>
    <row r="9303" hidden="1">
      <c r="A9303" s="6" t="s">
        <v>105</v>
      </c>
      <c r="B9303" s="13" t="s">
        <v>3187</v>
      </c>
      <c r="C9303" s="13" t="s">
        <v>3188</v>
      </c>
      <c r="D9303" s="15">
        <v>1.0</v>
      </c>
      <c r="E9303" s="67">
        <f t="shared" si="20"/>
        <v>250</v>
      </c>
      <c r="F9303" s="67"/>
    </row>
    <row r="9304" hidden="1">
      <c r="A9304" s="6" t="s">
        <v>105</v>
      </c>
      <c r="B9304" s="13" t="s">
        <v>566</v>
      </c>
      <c r="C9304" s="13" t="s">
        <v>567</v>
      </c>
      <c r="D9304" s="15">
        <v>5.0</v>
      </c>
      <c r="E9304" s="67">
        <f t="shared" si="20"/>
        <v>1250</v>
      </c>
      <c r="F9304" s="67"/>
    </row>
    <row r="9305" hidden="1">
      <c r="A9305" s="6" t="s">
        <v>105</v>
      </c>
      <c r="B9305" s="13" t="s">
        <v>1897</v>
      </c>
      <c r="C9305" s="13" t="s">
        <v>2460</v>
      </c>
      <c r="D9305" s="15">
        <v>1.0</v>
      </c>
      <c r="E9305" s="67">
        <f t="shared" si="20"/>
        <v>250</v>
      </c>
      <c r="F9305" s="67"/>
    </row>
    <row r="9306" hidden="1">
      <c r="A9306" s="6" t="s">
        <v>105</v>
      </c>
      <c r="B9306" s="13" t="s">
        <v>2927</v>
      </c>
      <c r="C9306" s="13" t="s">
        <v>2928</v>
      </c>
      <c r="D9306" s="15">
        <v>4.0</v>
      </c>
      <c r="E9306" s="67">
        <f t="shared" si="20"/>
        <v>1000</v>
      </c>
      <c r="F9306" s="67"/>
    </row>
    <row r="9307" hidden="1">
      <c r="A9307" s="6" t="s">
        <v>105</v>
      </c>
      <c r="B9307" s="13" t="s">
        <v>3189</v>
      </c>
      <c r="C9307" s="13" t="s">
        <v>3190</v>
      </c>
      <c r="D9307" s="15">
        <v>1.0</v>
      </c>
      <c r="E9307" s="67">
        <f t="shared" si="20"/>
        <v>250</v>
      </c>
      <c r="F9307" s="67"/>
    </row>
    <row r="9308" hidden="1">
      <c r="A9308" s="6" t="s">
        <v>105</v>
      </c>
      <c r="B9308" s="13" t="s">
        <v>258</v>
      </c>
      <c r="C9308" s="13" t="s">
        <v>2386</v>
      </c>
      <c r="D9308" s="15">
        <v>8.0</v>
      </c>
      <c r="E9308" s="67">
        <f t="shared" si="20"/>
        <v>2000</v>
      </c>
      <c r="F9308" s="67"/>
    </row>
    <row r="9309" hidden="1">
      <c r="A9309" s="6" t="s">
        <v>105</v>
      </c>
      <c r="B9309" s="13" t="s">
        <v>2083</v>
      </c>
      <c r="C9309" s="13" t="s">
        <v>3191</v>
      </c>
      <c r="D9309" s="15">
        <v>1.0</v>
      </c>
      <c r="E9309" s="67">
        <f t="shared" si="20"/>
        <v>250</v>
      </c>
      <c r="F9309" s="67"/>
    </row>
    <row r="9310" hidden="1">
      <c r="A9310" s="6" t="s">
        <v>105</v>
      </c>
      <c r="B9310" s="13" t="s">
        <v>2576</v>
      </c>
      <c r="C9310" s="13" t="s">
        <v>2577</v>
      </c>
      <c r="D9310" s="15">
        <v>3.0</v>
      </c>
      <c r="E9310" s="67">
        <f t="shared" si="20"/>
        <v>750</v>
      </c>
      <c r="F9310" s="67"/>
    </row>
    <row r="9311" hidden="1">
      <c r="A9311" s="6" t="s">
        <v>105</v>
      </c>
      <c r="B9311" s="13" t="s">
        <v>3192</v>
      </c>
      <c r="C9311" s="13" t="s">
        <v>3193</v>
      </c>
      <c r="D9311" s="15">
        <v>3.0</v>
      </c>
      <c r="E9311" s="67">
        <f t="shared" si="20"/>
        <v>750</v>
      </c>
      <c r="F9311" s="67"/>
    </row>
    <row r="9312" hidden="1">
      <c r="A9312" s="6" t="s">
        <v>105</v>
      </c>
      <c r="B9312" s="13" t="s">
        <v>3131</v>
      </c>
      <c r="C9312" s="13" t="s">
        <v>3132</v>
      </c>
      <c r="D9312" s="15">
        <v>3.0</v>
      </c>
      <c r="E9312" s="67">
        <f t="shared" si="20"/>
        <v>750</v>
      </c>
      <c r="F9312" s="67"/>
    </row>
    <row r="9313" hidden="1">
      <c r="A9313" s="6" t="s">
        <v>105</v>
      </c>
      <c r="B9313" s="13" t="s">
        <v>2878</v>
      </c>
      <c r="C9313" s="13" t="s">
        <v>2879</v>
      </c>
      <c r="D9313" s="15">
        <v>2.0</v>
      </c>
      <c r="E9313" s="67">
        <f t="shared" si="20"/>
        <v>500</v>
      </c>
      <c r="F9313" s="67"/>
    </row>
    <row r="9314" hidden="1">
      <c r="A9314" s="6" t="s">
        <v>105</v>
      </c>
      <c r="B9314" s="13" t="s">
        <v>1382</v>
      </c>
      <c r="C9314" s="13" t="s">
        <v>1383</v>
      </c>
      <c r="D9314" s="15">
        <v>2.0</v>
      </c>
      <c r="E9314" s="67">
        <f t="shared" si="20"/>
        <v>500</v>
      </c>
      <c r="F9314" s="67"/>
    </row>
    <row r="9315" hidden="1">
      <c r="A9315" s="6" t="s">
        <v>105</v>
      </c>
      <c r="B9315" s="13" t="s">
        <v>435</v>
      </c>
      <c r="C9315" s="13" t="s">
        <v>436</v>
      </c>
      <c r="D9315" s="15">
        <v>9.0</v>
      </c>
      <c r="E9315" s="67">
        <f t="shared" si="20"/>
        <v>2250</v>
      </c>
      <c r="F9315" s="67"/>
    </row>
    <row r="9316" hidden="1">
      <c r="A9316" s="6" t="s">
        <v>105</v>
      </c>
      <c r="B9316" s="13" t="s">
        <v>701</v>
      </c>
      <c r="C9316" s="13" t="s">
        <v>702</v>
      </c>
      <c r="D9316" s="15">
        <v>2.0</v>
      </c>
      <c r="E9316" s="67">
        <f t="shared" si="20"/>
        <v>500</v>
      </c>
      <c r="F9316" s="67"/>
    </row>
    <row r="9317" hidden="1">
      <c r="A9317" s="6" t="s">
        <v>105</v>
      </c>
      <c r="B9317" s="13" t="s">
        <v>3194</v>
      </c>
      <c r="C9317" s="13" t="s">
        <v>3195</v>
      </c>
      <c r="D9317" s="15">
        <v>0.0</v>
      </c>
      <c r="E9317" s="67">
        <f t="shared" si="20"/>
        <v>0</v>
      </c>
      <c r="F9317" s="67"/>
    </row>
    <row r="9318" hidden="1">
      <c r="A9318" s="6" t="s">
        <v>105</v>
      </c>
      <c r="B9318" s="13" t="s">
        <v>2747</v>
      </c>
      <c r="C9318" s="13" t="s">
        <v>2748</v>
      </c>
      <c r="D9318" s="15">
        <v>1.0</v>
      </c>
      <c r="E9318" s="67">
        <f t="shared" si="20"/>
        <v>250</v>
      </c>
      <c r="F9318" s="67"/>
    </row>
    <row r="9319" hidden="1">
      <c r="A9319" s="6" t="s">
        <v>105</v>
      </c>
      <c r="B9319" s="13" t="s">
        <v>522</v>
      </c>
      <c r="C9319" s="13" t="s">
        <v>523</v>
      </c>
      <c r="D9319" s="15">
        <v>3.0</v>
      </c>
      <c r="E9319" s="67">
        <f t="shared" si="20"/>
        <v>750</v>
      </c>
      <c r="F9319" s="67"/>
    </row>
    <row r="9320" hidden="1">
      <c r="A9320" s="6" t="s">
        <v>105</v>
      </c>
      <c r="B9320" s="13" t="s">
        <v>3068</v>
      </c>
      <c r="C9320" s="13" t="s">
        <v>3069</v>
      </c>
      <c r="D9320" s="15">
        <v>2.0</v>
      </c>
      <c r="E9320" s="67">
        <f t="shared" si="20"/>
        <v>500</v>
      </c>
      <c r="F9320" s="67"/>
    </row>
    <row r="9321" hidden="1">
      <c r="A9321" s="6" t="s">
        <v>105</v>
      </c>
      <c r="B9321" s="13" t="s">
        <v>3121</v>
      </c>
      <c r="C9321" s="13" t="s">
        <v>3122</v>
      </c>
      <c r="D9321" s="15">
        <v>2.0</v>
      </c>
      <c r="E9321" s="67">
        <f t="shared" si="20"/>
        <v>500</v>
      </c>
      <c r="F9321" s="67"/>
    </row>
    <row r="9322" hidden="1">
      <c r="A9322" s="6" t="s">
        <v>105</v>
      </c>
      <c r="B9322" s="13" t="s">
        <v>3097</v>
      </c>
      <c r="C9322" s="13" t="s">
        <v>3098</v>
      </c>
      <c r="D9322" s="15">
        <v>4.0</v>
      </c>
      <c r="E9322" s="67">
        <f t="shared" si="20"/>
        <v>1000</v>
      </c>
      <c r="F9322" s="67"/>
    </row>
    <row r="9323" hidden="1">
      <c r="A9323" s="6" t="s">
        <v>105</v>
      </c>
      <c r="B9323" s="13" t="s">
        <v>1926</v>
      </c>
      <c r="C9323" s="13" t="s">
        <v>34</v>
      </c>
      <c r="D9323" s="15">
        <v>5.0</v>
      </c>
      <c r="E9323" s="67">
        <f t="shared" si="20"/>
        <v>1250</v>
      </c>
      <c r="F9323" s="67"/>
    </row>
    <row r="9324" hidden="1">
      <c r="A9324" s="6" t="s">
        <v>105</v>
      </c>
      <c r="B9324" s="13" t="s">
        <v>1337</v>
      </c>
      <c r="C9324" s="13" t="s">
        <v>1338</v>
      </c>
      <c r="D9324" s="15">
        <v>1.0</v>
      </c>
      <c r="E9324" s="67">
        <f t="shared" si="20"/>
        <v>250</v>
      </c>
      <c r="F9324" s="67"/>
    </row>
    <row r="9325" hidden="1">
      <c r="A9325" s="6" t="s">
        <v>105</v>
      </c>
      <c r="B9325" s="13" t="s">
        <v>862</v>
      </c>
      <c r="C9325" s="13" t="s">
        <v>863</v>
      </c>
      <c r="D9325" s="15">
        <v>4.0</v>
      </c>
      <c r="E9325" s="67">
        <f t="shared" si="20"/>
        <v>1000</v>
      </c>
      <c r="F9325" s="67"/>
    </row>
    <row r="9326" hidden="1">
      <c r="A9326" s="6" t="s">
        <v>105</v>
      </c>
      <c r="B9326" s="13" t="s">
        <v>1432</v>
      </c>
      <c r="C9326" s="13" t="s">
        <v>1433</v>
      </c>
      <c r="D9326" s="15">
        <v>5.0</v>
      </c>
      <c r="E9326" s="67">
        <f t="shared" si="20"/>
        <v>1250</v>
      </c>
      <c r="F9326" s="67"/>
    </row>
    <row r="9327" hidden="1">
      <c r="A9327" s="6" t="s">
        <v>105</v>
      </c>
      <c r="B9327" s="13" t="s">
        <v>1471</v>
      </c>
      <c r="C9327" s="13" t="s">
        <v>1472</v>
      </c>
      <c r="D9327" s="15">
        <v>7.0</v>
      </c>
      <c r="E9327" s="67">
        <f t="shared" si="20"/>
        <v>1750</v>
      </c>
      <c r="F9327" s="67"/>
    </row>
    <row r="9328" hidden="1">
      <c r="A9328" s="6" t="s">
        <v>105</v>
      </c>
      <c r="B9328" s="13" t="s">
        <v>3196</v>
      </c>
      <c r="C9328" s="13" t="s">
        <v>3197</v>
      </c>
      <c r="D9328" s="15">
        <v>2.0</v>
      </c>
      <c r="E9328" s="67">
        <f t="shared" si="20"/>
        <v>500</v>
      </c>
      <c r="F9328" s="67"/>
    </row>
    <row r="9329" hidden="1">
      <c r="A9329" s="6" t="s">
        <v>105</v>
      </c>
      <c r="B9329" s="13" t="s">
        <v>721</v>
      </c>
      <c r="C9329" s="13" t="s">
        <v>722</v>
      </c>
      <c r="D9329" s="15">
        <v>5.0</v>
      </c>
      <c r="E9329" s="67">
        <f t="shared" si="20"/>
        <v>1250</v>
      </c>
      <c r="F9329" s="67"/>
    </row>
    <row r="9330" hidden="1">
      <c r="A9330" s="6" t="s">
        <v>105</v>
      </c>
      <c r="B9330" s="13" t="s">
        <v>445</v>
      </c>
      <c r="C9330" s="13" t="s">
        <v>446</v>
      </c>
      <c r="D9330" s="15">
        <v>1.0</v>
      </c>
      <c r="E9330" s="67">
        <f t="shared" si="20"/>
        <v>250</v>
      </c>
      <c r="F9330" s="67"/>
    </row>
    <row r="9331" hidden="1">
      <c r="A9331" s="6" t="s">
        <v>105</v>
      </c>
      <c r="B9331" s="13" t="s">
        <v>413</v>
      </c>
      <c r="C9331" s="13" t="s">
        <v>414</v>
      </c>
      <c r="D9331" s="15">
        <v>9.0</v>
      </c>
      <c r="E9331" s="67">
        <f t="shared" si="20"/>
        <v>2250</v>
      </c>
      <c r="F9331" s="67"/>
    </row>
    <row r="9332" hidden="1">
      <c r="A9332" s="6" t="s">
        <v>105</v>
      </c>
      <c r="B9332" s="13" t="s">
        <v>363</v>
      </c>
      <c r="C9332" s="13" t="s">
        <v>132</v>
      </c>
      <c r="D9332" s="15">
        <v>1.0</v>
      </c>
      <c r="E9332" s="67">
        <f t="shared" si="20"/>
        <v>250</v>
      </c>
      <c r="F9332" s="67"/>
    </row>
    <row r="9333" hidden="1">
      <c r="A9333" s="6" t="s">
        <v>105</v>
      </c>
      <c r="B9333" s="13" t="s">
        <v>3198</v>
      </c>
      <c r="C9333" s="13" t="s">
        <v>3199</v>
      </c>
      <c r="D9333" s="15">
        <v>1.0</v>
      </c>
      <c r="E9333" s="67">
        <f t="shared" si="20"/>
        <v>250</v>
      </c>
      <c r="F9333" s="67"/>
    </row>
    <row r="9334" hidden="1">
      <c r="A9334" s="6" t="s">
        <v>105</v>
      </c>
      <c r="B9334" s="13" t="s">
        <v>311</v>
      </c>
      <c r="C9334" s="13" t="s">
        <v>312</v>
      </c>
      <c r="D9334" s="15">
        <v>2.0</v>
      </c>
      <c r="E9334" s="67">
        <f t="shared" si="20"/>
        <v>500</v>
      </c>
      <c r="F9334" s="67"/>
    </row>
    <row r="9335" hidden="1">
      <c r="A9335" s="6" t="s">
        <v>105</v>
      </c>
      <c r="B9335" s="13" t="s">
        <v>752</v>
      </c>
      <c r="C9335" s="13" t="s">
        <v>753</v>
      </c>
      <c r="D9335" s="15">
        <v>5.0</v>
      </c>
      <c r="E9335" s="67">
        <f t="shared" si="20"/>
        <v>1250</v>
      </c>
      <c r="F9335" s="67"/>
    </row>
    <row r="9336" hidden="1">
      <c r="A9336" s="6" t="s">
        <v>105</v>
      </c>
      <c r="B9336" s="13" t="s">
        <v>3200</v>
      </c>
      <c r="C9336" s="13" t="s">
        <v>3201</v>
      </c>
      <c r="D9336" s="15">
        <v>0.0</v>
      </c>
      <c r="E9336" s="67">
        <f t="shared" si="20"/>
        <v>0</v>
      </c>
      <c r="F9336" s="67"/>
    </row>
    <row r="9337" hidden="1">
      <c r="A9337" s="6" t="s">
        <v>105</v>
      </c>
      <c r="B9337" s="13" t="s">
        <v>1396</v>
      </c>
      <c r="C9337" s="13" t="s">
        <v>1397</v>
      </c>
      <c r="D9337" s="15">
        <v>3.0</v>
      </c>
      <c r="E9337" s="67">
        <f t="shared" si="20"/>
        <v>750</v>
      </c>
      <c r="F9337" s="67"/>
    </row>
    <row r="9338" hidden="1">
      <c r="A9338" s="6" t="s">
        <v>105</v>
      </c>
      <c r="B9338" s="13" t="s">
        <v>3202</v>
      </c>
      <c r="C9338" s="13" t="s">
        <v>3203</v>
      </c>
      <c r="D9338" s="15">
        <v>3.0</v>
      </c>
      <c r="E9338" s="67">
        <f t="shared" si="20"/>
        <v>750</v>
      </c>
      <c r="F9338" s="67"/>
    </row>
    <row r="9339" hidden="1">
      <c r="A9339" s="6" t="s">
        <v>105</v>
      </c>
      <c r="B9339" s="13" t="s">
        <v>3204</v>
      </c>
      <c r="C9339" s="13" t="s">
        <v>3205</v>
      </c>
      <c r="D9339" s="15">
        <v>3.0</v>
      </c>
      <c r="E9339" s="67">
        <f t="shared" si="20"/>
        <v>750</v>
      </c>
      <c r="F9339" s="67"/>
    </row>
    <row r="9340" hidden="1">
      <c r="A9340" s="6" t="s">
        <v>105</v>
      </c>
      <c r="B9340" s="13" t="s">
        <v>417</v>
      </c>
      <c r="C9340" s="13" t="s">
        <v>418</v>
      </c>
      <c r="D9340" s="15">
        <v>5.0</v>
      </c>
      <c r="E9340" s="67">
        <f t="shared" si="20"/>
        <v>1250</v>
      </c>
      <c r="F9340" s="67"/>
    </row>
    <row r="9341" hidden="1">
      <c r="A9341" s="6" t="s">
        <v>105</v>
      </c>
      <c r="B9341" s="13" t="s">
        <v>1312</v>
      </c>
      <c r="C9341" s="13" t="s">
        <v>1313</v>
      </c>
      <c r="D9341" s="15">
        <v>2.0</v>
      </c>
      <c r="E9341" s="67">
        <f t="shared" si="20"/>
        <v>500</v>
      </c>
      <c r="F9341" s="67"/>
    </row>
    <row r="9342" hidden="1">
      <c r="A9342" s="6" t="s">
        <v>105</v>
      </c>
      <c r="B9342" s="13" t="s">
        <v>1873</v>
      </c>
      <c r="C9342" s="13" t="s">
        <v>1874</v>
      </c>
      <c r="D9342" s="15">
        <v>4.0</v>
      </c>
      <c r="E9342" s="67">
        <f t="shared" si="20"/>
        <v>1000</v>
      </c>
      <c r="F9342" s="67"/>
    </row>
    <row r="9343" hidden="1">
      <c r="A9343" s="6" t="s">
        <v>105</v>
      </c>
      <c r="B9343" s="13" t="s">
        <v>1297</v>
      </c>
      <c r="C9343" s="13" t="s">
        <v>1298</v>
      </c>
      <c r="D9343" s="15">
        <v>1.0</v>
      </c>
      <c r="E9343" s="67">
        <f t="shared" si="20"/>
        <v>250</v>
      </c>
      <c r="F9343" s="67"/>
    </row>
    <row r="9344" hidden="1">
      <c r="A9344" s="6" t="s">
        <v>105</v>
      </c>
      <c r="B9344" s="13" t="s">
        <v>3206</v>
      </c>
      <c r="C9344" s="13" t="s">
        <v>3207</v>
      </c>
      <c r="D9344" s="15">
        <v>1.0</v>
      </c>
      <c r="E9344" s="67">
        <f t="shared" si="20"/>
        <v>250</v>
      </c>
      <c r="F9344" s="67"/>
    </row>
    <row r="9345" hidden="1">
      <c r="A9345" s="6" t="s">
        <v>105</v>
      </c>
      <c r="B9345" s="13" t="s">
        <v>764</v>
      </c>
      <c r="C9345" s="13" t="s">
        <v>765</v>
      </c>
      <c r="D9345" s="15">
        <v>4.0</v>
      </c>
      <c r="E9345" s="67">
        <f t="shared" si="20"/>
        <v>1000</v>
      </c>
      <c r="F9345" s="67"/>
    </row>
    <row r="9346" hidden="1">
      <c r="A9346" s="6" t="s">
        <v>106</v>
      </c>
      <c r="B9346" s="13" t="s">
        <v>3208</v>
      </c>
      <c r="C9346" s="13" t="s">
        <v>3209</v>
      </c>
      <c r="D9346" s="15">
        <v>10.0</v>
      </c>
      <c r="E9346" s="67">
        <f t="shared" si="20"/>
        <v>5000</v>
      </c>
      <c r="F9346" s="67"/>
    </row>
    <row r="9347" hidden="1">
      <c r="A9347" s="6" t="s">
        <v>106</v>
      </c>
      <c r="B9347" s="13" t="s">
        <v>3151</v>
      </c>
      <c r="C9347" s="13" t="s">
        <v>3152</v>
      </c>
      <c r="D9347" s="15">
        <v>2.0</v>
      </c>
      <c r="E9347" s="67">
        <f t="shared" si="20"/>
        <v>500</v>
      </c>
      <c r="F9347" s="67"/>
    </row>
    <row r="9348" hidden="1">
      <c r="A9348" s="6" t="s">
        <v>106</v>
      </c>
      <c r="B9348" s="13" t="s">
        <v>1281</v>
      </c>
      <c r="C9348" s="13" t="s">
        <v>1282</v>
      </c>
      <c r="D9348" s="15">
        <v>0.0</v>
      </c>
      <c r="E9348" s="67">
        <f t="shared" si="20"/>
        <v>0</v>
      </c>
      <c r="F9348" s="67"/>
    </row>
    <row r="9349" hidden="1">
      <c r="A9349" s="6" t="s">
        <v>106</v>
      </c>
      <c r="B9349" s="13" t="s">
        <v>1157</v>
      </c>
      <c r="C9349" s="13" t="s">
        <v>1158</v>
      </c>
      <c r="D9349" s="15">
        <v>3.0</v>
      </c>
      <c r="E9349" s="67">
        <f t="shared" si="20"/>
        <v>750</v>
      </c>
      <c r="F9349" s="67"/>
    </row>
    <row r="9350" hidden="1">
      <c r="A9350" s="6" t="s">
        <v>106</v>
      </c>
      <c r="B9350" s="13" t="s">
        <v>2367</v>
      </c>
      <c r="C9350" s="13" t="s">
        <v>2368</v>
      </c>
      <c r="D9350" s="15">
        <v>3.0</v>
      </c>
      <c r="E9350" s="67">
        <f t="shared" si="20"/>
        <v>750</v>
      </c>
      <c r="F9350" s="67"/>
    </row>
    <row r="9351" hidden="1">
      <c r="A9351" s="6" t="s">
        <v>106</v>
      </c>
      <c r="B9351" s="13" t="s">
        <v>3185</v>
      </c>
      <c r="C9351" s="13" t="s">
        <v>3186</v>
      </c>
      <c r="D9351" s="15">
        <v>2.0</v>
      </c>
      <c r="E9351" s="67">
        <f t="shared" si="20"/>
        <v>500</v>
      </c>
      <c r="F9351" s="67"/>
    </row>
    <row r="9352" hidden="1">
      <c r="A9352" s="6" t="s">
        <v>106</v>
      </c>
      <c r="B9352" s="13" t="s">
        <v>1283</v>
      </c>
      <c r="C9352" s="13" t="s">
        <v>404</v>
      </c>
      <c r="D9352" s="15">
        <v>9.0</v>
      </c>
      <c r="E9352" s="67">
        <f t="shared" si="20"/>
        <v>2250</v>
      </c>
      <c r="F9352" s="67"/>
    </row>
    <row r="9353" hidden="1">
      <c r="A9353" s="6" t="s">
        <v>106</v>
      </c>
      <c r="B9353" s="13" t="s">
        <v>405</v>
      </c>
      <c r="C9353" s="13" t="s">
        <v>406</v>
      </c>
      <c r="D9353" s="15">
        <v>1.0</v>
      </c>
      <c r="E9353" s="67">
        <f t="shared" si="20"/>
        <v>250</v>
      </c>
      <c r="F9353" s="67"/>
    </row>
    <row r="9354" hidden="1">
      <c r="A9354" s="6" t="s">
        <v>106</v>
      </c>
      <c r="B9354" s="13" t="s">
        <v>3183</v>
      </c>
      <c r="C9354" s="13" t="s">
        <v>3184</v>
      </c>
      <c r="D9354" s="15">
        <v>2.0</v>
      </c>
      <c r="E9354" s="67">
        <f t="shared" si="20"/>
        <v>500</v>
      </c>
      <c r="F9354" s="67"/>
    </row>
    <row r="9355" hidden="1">
      <c r="A9355" s="6" t="s">
        <v>106</v>
      </c>
      <c r="B9355" s="13" t="s">
        <v>1284</v>
      </c>
      <c r="C9355" s="13" t="s">
        <v>1285</v>
      </c>
      <c r="D9355" s="15">
        <v>2.0</v>
      </c>
      <c r="E9355" s="67">
        <f t="shared" si="20"/>
        <v>500</v>
      </c>
      <c r="F9355" s="67"/>
    </row>
    <row r="9356" hidden="1">
      <c r="A9356" s="6" t="s">
        <v>106</v>
      </c>
      <c r="B9356" s="13" t="s">
        <v>1286</v>
      </c>
      <c r="C9356" s="13" t="s">
        <v>408</v>
      </c>
      <c r="D9356" s="15">
        <v>4.0</v>
      </c>
      <c r="E9356" s="67">
        <f t="shared" si="20"/>
        <v>1000</v>
      </c>
      <c r="F9356" s="67"/>
    </row>
    <row r="9357" hidden="1">
      <c r="A9357" s="6" t="s">
        <v>106</v>
      </c>
      <c r="B9357" s="13" t="s">
        <v>2911</v>
      </c>
      <c r="C9357" s="13" t="s">
        <v>2912</v>
      </c>
      <c r="D9357" s="15">
        <v>10.0</v>
      </c>
      <c r="E9357" s="67">
        <f t="shared" si="20"/>
        <v>5000</v>
      </c>
      <c r="F9357" s="67"/>
    </row>
    <row r="9358" hidden="1">
      <c r="A9358" s="6" t="s">
        <v>106</v>
      </c>
      <c r="B9358" s="13" t="s">
        <v>1287</v>
      </c>
      <c r="C9358" s="13" t="s">
        <v>1288</v>
      </c>
      <c r="D9358" s="15">
        <v>1.0</v>
      </c>
      <c r="E9358" s="67">
        <f t="shared" si="20"/>
        <v>250</v>
      </c>
      <c r="F9358" s="67"/>
    </row>
    <row r="9359" hidden="1">
      <c r="A9359" s="6" t="s">
        <v>106</v>
      </c>
      <c r="B9359" s="13" t="s">
        <v>411</v>
      </c>
      <c r="C9359" s="13" t="s">
        <v>412</v>
      </c>
      <c r="D9359" s="15">
        <v>24.0</v>
      </c>
      <c r="E9359" s="67">
        <f t="shared" si="20"/>
        <v>12000</v>
      </c>
      <c r="F9359" s="67"/>
    </row>
    <row r="9360" hidden="1">
      <c r="A9360" s="6" t="s">
        <v>106</v>
      </c>
      <c r="B9360" s="13" t="s">
        <v>2927</v>
      </c>
      <c r="C9360" s="13" t="s">
        <v>2928</v>
      </c>
      <c r="D9360" s="15">
        <v>6.0</v>
      </c>
      <c r="E9360" s="67">
        <f t="shared" si="20"/>
        <v>1500</v>
      </c>
      <c r="F9360" s="67"/>
    </row>
    <row r="9361" hidden="1">
      <c r="A9361" s="6" t="s">
        <v>106</v>
      </c>
      <c r="B9361" s="13" t="s">
        <v>413</v>
      </c>
      <c r="C9361" s="13" t="s">
        <v>414</v>
      </c>
      <c r="D9361" s="15">
        <v>8.0</v>
      </c>
      <c r="E9361" s="67">
        <f t="shared" si="20"/>
        <v>2000</v>
      </c>
      <c r="F9361" s="67"/>
    </row>
    <row r="9362" hidden="1">
      <c r="A9362" s="6" t="s">
        <v>106</v>
      </c>
      <c r="B9362" s="13" t="s">
        <v>2034</v>
      </c>
      <c r="C9362" s="13" t="s">
        <v>416</v>
      </c>
      <c r="D9362" s="15">
        <v>3.0</v>
      </c>
      <c r="E9362" s="67">
        <f t="shared" si="20"/>
        <v>750</v>
      </c>
      <c r="F9362" s="67"/>
    </row>
    <row r="9363" hidden="1">
      <c r="A9363" s="6" t="s">
        <v>106</v>
      </c>
      <c r="B9363" s="13" t="s">
        <v>417</v>
      </c>
      <c r="C9363" s="13" t="s">
        <v>418</v>
      </c>
      <c r="D9363" s="15">
        <v>1.0</v>
      </c>
      <c r="E9363" s="67">
        <f t="shared" si="20"/>
        <v>250</v>
      </c>
      <c r="F9363" s="67"/>
    </row>
    <row r="9364" hidden="1">
      <c r="A9364" s="6" t="s">
        <v>106</v>
      </c>
      <c r="B9364" s="13" t="s">
        <v>3169</v>
      </c>
      <c r="C9364" s="13" t="s">
        <v>3170</v>
      </c>
      <c r="D9364" s="15">
        <v>1.0</v>
      </c>
      <c r="E9364" s="67">
        <f t="shared" si="20"/>
        <v>250</v>
      </c>
      <c r="F9364" s="67"/>
    </row>
    <row r="9365" hidden="1">
      <c r="A9365" s="6" t="s">
        <v>106</v>
      </c>
      <c r="B9365" s="13" t="s">
        <v>1291</v>
      </c>
      <c r="C9365" s="13" t="s">
        <v>422</v>
      </c>
      <c r="D9365" s="15">
        <v>7.0</v>
      </c>
      <c r="E9365" s="67">
        <f t="shared" si="20"/>
        <v>1750</v>
      </c>
      <c r="F9365" s="67"/>
    </row>
    <row r="9366" hidden="1">
      <c r="A9366" s="6" t="s">
        <v>106</v>
      </c>
      <c r="B9366" s="13" t="s">
        <v>3149</v>
      </c>
      <c r="C9366" s="13" t="s">
        <v>3150</v>
      </c>
      <c r="D9366" s="15">
        <v>3.0</v>
      </c>
      <c r="E9366" s="67">
        <f t="shared" si="20"/>
        <v>750</v>
      </c>
      <c r="F9366" s="67"/>
    </row>
    <row r="9367" hidden="1">
      <c r="A9367" s="6" t="s">
        <v>106</v>
      </c>
      <c r="B9367" s="13" t="s">
        <v>1712</v>
      </c>
      <c r="C9367" s="13" t="s">
        <v>2900</v>
      </c>
      <c r="D9367" s="15">
        <v>10.0</v>
      </c>
      <c r="E9367" s="67">
        <f t="shared" si="20"/>
        <v>5000</v>
      </c>
      <c r="F9367" s="67"/>
    </row>
    <row r="9368" hidden="1">
      <c r="A9368" s="6" t="s">
        <v>106</v>
      </c>
      <c r="B9368" s="13" t="s">
        <v>431</v>
      </c>
      <c r="C9368" s="13" t="s">
        <v>432</v>
      </c>
      <c r="D9368" s="15">
        <v>1.0</v>
      </c>
      <c r="E9368" s="67">
        <f t="shared" si="20"/>
        <v>250</v>
      </c>
      <c r="F9368" s="67"/>
    </row>
    <row r="9369" hidden="1">
      <c r="A9369" s="6" t="s">
        <v>106</v>
      </c>
      <c r="B9369" s="13" t="s">
        <v>3164</v>
      </c>
      <c r="C9369" s="13" t="s">
        <v>3165</v>
      </c>
      <c r="D9369" s="15">
        <v>1.0</v>
      </c>
      <c r="E9369" s="67">
        <f t="shared" si="20"/>
        <v>250</v>
      </c>
      <c r="F9369" s="67"/>
    </row>
    <row r="9370" hidden="1">
      <c r="A9370" s="6" t="s">
        <v>106</v>
      </c>
      <c r="B9370" s="13" t="s">
        <v>435</v>
      </c>
      <c r="C9370" s="13" t="s">
        <v>436</v>
      </c>
      <c r="D9370" s="15">
        <v>13.0</v>
      </c>
      <c r="E9370" s="67">
        <f t="shared" si="20"/>
        <v>6500</v>
      </c>
      <c r="F9370" s="67"/>
    </row>
    <row r="9371" hidden="1">
      <c r="A9371" s="6" t="s">
        <v>106</v>
      </c>
      <c r="B9371" s="13" t="s">
        <v>439</v>
      </c>
      <c r="C9371" s="13" t="s">
        <v>440</v>
      </c>
      <c r="D9371" s="15">
        <v>12.0</v>
      </c>
      <c r="E9371" s="67">
        <f t="shared" si="20"/>
        <v>6000</v>
      </c>
      <c r="F9371" s="67"/>
    </row>
    <row r="9372" hidden="1">
      <c r="A9372" s="6" t="s">
        <v>106</v>
      </c>
      <c r="B9372" s="13" t="s">
        <v>1293</v>
      </c>
      <c r="C9372" s="13" t="s">
        <v>1294</v>
      </c>
      <c r="D9372" s="15">
        <v>4.0</v>
      </c>
      <c r="E9372" s="67">
        <f t="shared" si="20"/>
        <v>1000</v>
      </c>
      <c r="F9372" s="67"/>
    </row>
    <row r="9373" hidden="1">
      <c r="A9373" s="6" t="s">
        <v>106</v>
      </c>
      <c r="B9373" s="13" t="s">
        <v>2199</v>
      </c>
      <c r="C9373" s="13" t="s">
        <v>3148</v>
      </c>
      <c r="D9373" s="15">
        <v>1.0</v>
      </c>
      <c r="E9373" s="67">
        <f t="shared" si="20"/>
        <v>250</v>
      </c>
      <c r="F9373" s="67"/>
    </row>
    <row r="9374" hidden="1">
      <c r="A9374" s="6" t="s">
        <v>106</v>
      </c>
      <c r="B9374" s="13" t="s">
        <v>3210</v>
      </c>
      <c r="C9374" s="13" t="s">
        <v>3211</v>
      </c>
      <c r="D9374" s="15">
        <v>1.0</v>
      </c>
      <c r="E9374" s="67">
        <f t="shared" si="20"/>
        <v>250</v>
      </c>
      <c r="F9374" s="67"/>
    </row>
    <row r="9375" hidden="1">
      <c r="A9375" s="6" t="s">
        <v>106</v>
      </c>
      <c r="B9375" s="13" t="s">
        <v>3121</v>
      </c>
      <c r="C9375" s="13" t="s">
        <v>3122</v>
      </c>
      <c r="D9375" s="15">
        <v>2.0</v>
      </c>
      <c r="E9375" s="67">
        <f t="shared" si="20"/>
        <v>500</v>
      </c>
      <c r="F9375" s="67"/>
    </row>
    <row r="9376" hidden="1">
      <c r="A9376" s="6" t="s">
        <v>106</v>
      </c>
      <c r="B9376" s="13" t="s">
        <v>443</v>
      </c>
      <c r="C9376" s="13" t="s">
        <v>444</v>
      </c>
      <c r="D9376" s="15">
        <v>16.0</v>
      </c>
      <c r="E9376" s="67">
        <f t="shared" si="20"/>
        <v>8000</v>
      </c>
      <c r="F9376" s="67"/>
    </row>
    <row r="9377" hidden="1">
      <c r="A9377" s="6" t="s">
        <v>106</v>
      </c>
      <c r="B9377" s="13" t="s">
        <v>803</v>
      </c>
      <c r="C9377" s="13" t="s">
        <v>804</v>
      </c>
      <c r="D9377" s="15">
        <v>3.0</v>
      </c>
      <c r="E9377" s="67">
        <f t="shared" si="20"/>
        <v>750</v>
      </c>
      <c r="F9377" s="67"/>
    </row>
    <row r="9378" hidden="1">
      <c r="A9378" s="6" t="s">
        <v>106</v>
      </c>
      <c r="B9378" s="13" t="s">
        <v>449</v>
      </c>
      <c r="C9378" s="13" t="s">
        <v>450</v>
      </c>
      <c r="D9378" s="15">
        <v>4.0</v>
      </c>
      <c r="E9378" s="67">
        <f t="shared" si="20"/>
        <v>1000</v>
      </c>
      <c r="F9378" s="67"/>
    </row>
    <row r="9379" hidden="1">
      <c r="A9379" s="6" t="s">
        <v>106</v>
      </c>
      <c r="B9379" s="13" t="s">
        <v>1295</v>
      </c>
      <c r="C9379" s="13" t="s">
        <v>1296</v>
      </c>
      <c r="D9379" s="15">
        <v>2.0</v>
      </c>
      <c r="E9379" s="67">
        <f t="shared" si="20"/>
        <v>500</v>
      </c>
      <c r="F9379" s="67"/>
    </row>
    <row r="9380" hidden="1">
      <c r="A9380" s="6" t="s">
        <v>106</v>
      </c>
      <c r="B9380" s="13" t="s">
        <v>451</v>
      </c>
      <c r="C9380" s="13" t="s">
        <v>452</v>
      </c>
      <c r="D9380" s="15">
        <v>6.0</v>
      </c>
      <c r="E9380" s="67">
        <f t="shared" si="20"/>
        <v>1500</v>
      </c>
      <c r="F9380" s="67"/>
    </row>
    <row r="9381" hidden="1">
      <c r="A9381" s="6" t="s">
        <v>106</v>
      </c>
      <c r="B9381" s="13" t="s">
        <v>1297</v>
      </c>
      <c r="C9381" s="13" t="s">
        <v>1298</v>
      </c>
      <c r="D9381" s="15">
        <v>2.0</v>
      </c>
      <c r="E9381" s="67">
        <f t="shared" si="20"/>
        <v>500</v>
      </c>
      <c r="F9381" s="67"/>
    </row>
    <row r="9382" hidden="1">
      <c r="A9382" s="6" t="s">
        <v>106</v>
      </c>
      <c r="B9382" s="13" t="s">
        <v>2097</v>
      </c>
      <c r="C9382" s="13" t="s">
        <v>828</v>
      </c>
      <c r="D9382" s="15">
        <v>4.0</v>
      </c>
      <c r="E9382" s="67">
        <f t="shared" si="20"/>
        <v>1000</v>
      </c>
      <c r="F9382" s="67"/>
    </row>
    <row r="9383" hidden="1">
      <c r="A9383" s="6" t="s">
        <v>106</v>
      </c>
      <c r="B9383" s="13" t="s">
        <v>2828</v>
      </c>
      <c r="C9383" s="13" t="s">
        <v>2829</v>
      </c>
      <c r="D9383" s="15">
        <v>2.0</v>
      </c>
      <c r="E9383" s="67">
        <f t="shared" si="20"/>
        <v>500</v>
      </c>
      <c r="F9383" s="67"/>
    </row>
    <row r="9384" hidden="1">
      <c r="A9384" s="6" t="s">
        <v>106</v>
      </c>
      <c r="B9384" s="13" t="s">
        <v>3212</v>
      </c>
      <c r="C9384" s="13" t="s">
        <v>3213</v>
      </c>
      <c r="D9384" s="15">
        <v>0.0</v>
      </c>
      <c r="E9384" s="67">
        <f t="shared" si="20"/>
        <v>0</v>
      </c>
      <c r="F9384" s="67"/>
    </row>
    <row r="9385" hidden="1">
      <c r="A9385" s="6" t="s">
        <v>106</v>
      </c>
      <c r="B9385" s="13" t="s">
        <v>2977</v>
      </c>
      <c r="C9385" s="13" t="s">
        <v>2978</v>
      </c>
      <c r="D9385" s="15">
        <v>3.0</v>
      </c>
      <c r="E9385" s="67">
        <f t="shared" si="20"/>
        <v>750</v>
      </c>
      <c r="F9385" s="67"/>
    </row>
    <row r="9386" hidden="1">
      <c r="A9386" s="6" t="s">
        <v>106</v>
      </c>
      <c r="B9386" s="13" t="s">
        <v>1299</v>
      </c>
      <c r="C9386" s="13" t="s">
        <v>1300</v>
      </c>
      <c r="D9386" s="15">
        <v>5.0</v>
      </c>
      <c r="E9386" s="67">
        <f t="shared" si="20"/>
        <v>1250</v>
      </c>
      <c r="F9386" s="67"/>
    </row>
    <row r="9387" hidden="1">
      <c r="A9387" s="6" t="s">
        <v>106</v>
      </c>
      <c r="B9387" s="13" t="s">
        <v>1873</v>
      </c>
      <c r="C9387" s="13" t="s">
        <v>1874</v>
      </c>
      <c r="D9387" s="15">
        <v>9.0</v>
      </c>
      <c r="E9387" s="67">
        <f t="shared" si="20"/>
        <v>2250</v>
      </c>
      <c r="F9387" s="67"/>
    </row>
    <row r="9388" hidden="1">
      <c r="A9388" s="6" t="s">
        <v>106</v>
      </c>
      <c r="B9388" s="13" t="s">
        <v>3141</v>
      </c>
      <c r="C9388" s="13" t="s">
        <v>3142</v>
      </c>
      <c r="D9388" s="15">
        <v>1.0</v>
      </c>
      <c r="E9388" s="67">
        <f t="shared" si="20"/>
        <v>250</v>
      </c>
      <c r="F9388" s="67"/>
    </row>
    <row r="9389" hidden="1">
      <c r="A9389" s="6" t="s">
        <v>106</v>
      </c>
      <c r="B9389" s="13" t="s">
        <v>1276</v>
      </c>
      <c r="C9389" s="13" t="s">
        <v>461</v>
      </c>
      <c r="D9389" s="15">
        <v>6.0</v>
      </c>
      <c r="E9389" s="67">
        <f t="shared" si="20"/>
        <v>1500</v>
      </c>
      <c r="F9389" s="67"/>
    </row>
    <row r="9390" hidden="1">
      <c r="A9390" s="6" t="s">
        <v>106</v>
      </c>
      <c r="B9390" s="13" t="s">
        <v>462</v>
      </c>
      <c r="C9390" s="13" t="s">
        <v>463</v>
      </c>
      <c r="D9390" s="15">
        <v>4.0</v>
      </c>
      <c r="E9390" s="67">
        <f t="shared" si="20"/>
        <v>1000</v>
      </c>
      <c r="F9390" s="67"/>
    </row>
    <row r="9391" hidden="1">
      <c r="A9391" s="6" t="s">
        <v>106</v>
      </c>
      <c r="B9391" s="13" t="s">
        <v>1301</v>
      </c>
      <c r="C9391" s="13" t="s">
        <v>1302</v>
      </c>
      <c r="D9391" s="15">
        <v>11.0</v>
      </c>
      <c r="E9391" s="67">
        <f t="shared" si="20"/>
        <v>5500</v>
      </c>
      <c r="F9391" s="67"/>
    </row>
    <row r="9392" hidden="1">
      <c r="A9392" s="6" t="s">
        <v>106</v>
      </c>
      <c r="B9392" s="13" t="s">
        <v>2979</v>
      </c>
      <c r="C9392" s="13" t="s">
        <v>2980</v>
      </c>
      <c r="D9392" s="15">
        <v>3.0</v>
      </c>
      <c r="E9392" s="67">
        <f t="shared" si="20"/>
        <v>750</v>
      </c>
      <c r="F9392" s="67"/>
    </row>
    <row r="9393" hidden="1">
      <c r="A9393" s="6" t="s">
        <v>106</v>
      </c>
      <c r="B9393" s="13" t="s">
        <v>1303</v>
      </c>
      <c r="C9393" s="13" t="s">
        <v>467</v>
      </c>
      <c r="D9393" s="15">
        <v>2.0</v>
      </c>
      <c r="E9393" s="67">
        <f t="shared" si="20"/>
        <v>500</v>
      </c>
      <c r="F9393" s="67"/>
    </row>
    <row r="9394" hidden="1">
      <c r="A9394" s="6" t="s">
        <v>106</v>
      </c>
      <c r="B9394" s="13" t="s">
        <v>472</v>
      </c>
      <c r="C9394" s="13" t="s">
        <v>473</v>
      </c>
      <c r="D9394" s="15">
        <v>3.0</v>
      </c>
      <c r="E9394" s="67">
        <f t="shared" si="20"/>
        <v>750</v>
      </c>
      <c r="F9394" s="67"/>
    </row>
    <row r="9395" hidden="1">
      <c r="A9395" s="6" t="s">
        <v>106</v>
      </c>
      <c r="B9395" s="13" t="s">
        <v>3214</v>
      </c>
      <c r="C9395" s="13" t="s">
        <v>3215</v>
      </c>
      <c r="D9395" s="15">
        <v>1.0</v>
      </c>
      <c r="E9395" s="67">
        <f t="shared" si="20"/>
        <v>250</v>
      </c>
      <c r="F9395" s="67"/>
    </row>
    <row r="9396" hidden="1">
      <c r="A9396" s="6" t="s">
        <v>106</v>
      </c>
      <c r="B9396" s="13" t="s">
        <v>476</v>
      </c>
      <c r="C9396" s="13" t="s">
        <v>477</v>
      </c>
      <c r="D9396" s="15">
        <v>57.0</v>
      </c>
      <c r="E9396" s="67">
        <f t="shared" si="20"/>
        <v>28500</v>
      </c>
      <c r="F9396" s="67"/>
    </row>
    <row r="9397" hidden="1">
      <c r="A9397" s="6" t="s">
        <v>106</v>
      </c>
      <c r="B9397" s="13" t="s">
        <v>3216</v>
      </c>
      <c r="C9397" s="13" t="s">
        <v>3217</v>
      </c>
      <c r="D9397" s="15">
        <v>0.0</v>
      </c>
      <c r="E9397" s="67">
        <f t="shared" si="20"/>
        <v>0</v>
      </c>
      <c r="F9397" s="67"/>
    </row>
    <row r="9398" hidden="1">
      <c r="A9398" s="6" t="s">
        <v>106</v>
      </c>
      <c r="B9398" s="13" t="s">
        <v>1304</v>
      </c>
      <c r="C9398" s="13" t="s">
        <v>483</v>
      </c>
      <c r="D9398" s="15">
        <v>0.0</v>
      </c>
      <c r="E9398" s="67">
        <f t="shared" si="20"/>
        <v>0</v>
      </c>
      <c r="F9398" s="67"/>
    </row>
    <row r="9399" hidden="1">
      <c r="A9399" s="6" t="s">
        <v>106</v>
      </c>
      <c r="B9399" s="13" t="s">
        <v>1305</v>
      </c>
      <c r="C9399" s="13" t="s">
        <v>1306</v>
      </c>
      <c r="D9399" s="15">
        <v>10.0</v>
      </c>
      <c r="E9399" s="67">
        <f t="shared" si="20"/>
        <v>5000</v>
      </c>
      <c r="F9399" s="67"/>
    </row>
    <row r="9400" hidden="1">
      <c r="A9400" s="6" t="s">
        <v>106</v>
      </c>
      <c r="B9400" s="13" t="s">
        <v>1307</v>
      </c>
      <c r="C9400" s="13" t="s">
        <v>1308</v>
      </c>
      <c r="D9400" s="15">
        <v>2.0</v>
      </c>
      <c r="E9400" s="67">
        <f t="shared" si="20"/>
        <v>500</v>
      </c>
      <c r="F9400" s="67"/>
    </row>
    <row r="9401" hidden="1">
      <c r="A9401" s="6" t="s">
        <v>106</v>
      </c>
      <c r="B9401" s="13" t="s">
        <v>3218</v>
      </c>
      <c r="C9401" s="13" t="s">
        <v>3219</v>
      </c>
      <c r="D9401" s="15">
        <v>0.0</v>
      </c>
      <c r="E9401" s="67">
        <f t="shared" si="20"/>
        <v>0</v>
      </c>
      <c r="F9401" s="67"/>
    </row>
    <row r="9402" hidden="1">
      <c r="A9402" s="6" t="s">
        <v>106</v>
      </c>
      <c r="B9402" s="13" t="s">
        <v>486</v>
      </c>
      <c r="C9402" s="13" t="s">
        <v>487</v>
      </c>
      <c r="D9402" s="15">
        <v>11.0</v>
      </c>
      <c r="E9402" s="67">
        <f t="shared" si="20"/>
        <v>5500</v>
      </c>
      <c r="F9402" s="67"/>
    </row>
    <row r="9403" hidden="1">
      <c r="A9403" s="6" t="s">
        <v>106</v>
      </c>
      <c r="B9403" s="13" t="s">
        <v>1310</v>
      </c>
      <c r="C9403" s="13" t="s">
        <v>1311</v>
      </c>
      <c r="D9403" s="15">
        <v>0.0</v>
      </c>
      <c r="E9403" s="67">
        <f t="shared" si="20"/>
        <v>0</v>
      </c>
      <c r="F9403" s="67"/>
    </row>
    <row r="9404" hidden="1">
      <c r="A9404" s="6" t="s">
        <v>106</v>
      </c>
      <c r="B9404" s="13" t="s">
        <v>1312</v>
      </c>
      <c r="C9404" s="13" t="s">
        <v>1313</v>
      </c>
      <c r="D9404" s="15">
        <v>5.0</v>
      </c>
      <c r="E9404" s="67">
        <f t="shared" si="20"/>
        <v>1250</v>
      </c>
      <c r="F9404" s="67"/>
    </row>
    <row r="9405" hidden="1">
      <c r="A9405" s="6" t="s">
        <v>106</v>
      </c>
      <c r="B9405" s="13" t="s">
        <v>3220</v>
      </c>
      <c r="C9405" s="13" t="s">
        <v>3221</v>
      </c>
      <c r="D9405" s="15">
        <v>0.0</v>
      </c>
      <c r="E9405" s="67">
        <f t="shared" si="20"/>
        <v>0</v>
      </c>
      <c r="F9405" s="67"/>
    </row>
    <row r="9406" hidden="1">
      <c r="A9406" s="6" t="s">
        <v>106</v>
      </c>
      <c r="B9406" s="13" t="s">
        <v>494</v>
      </c>
      <c r="C9406" s="13" t="s">
        <v>495</v>
      </c>
      <c r="D9406" s="15">
        <v>4.0</v>
      </c>
      <c r="E9406" s="67">
        <f t="shared" si="20"/>
        <v>1000</v>
      </c>
      <c r="F9406" s="67"/>
    </row>
    <row r="9407" hidden="1">
      <c r="A9407" s="6" t="s">
        <v>106</v>
      </c>
      <c r="B9407" s="13" t="s">
        <v>500</v>
      </c>
      <c r="C9407" s="13" t="s">
        <v>501</v>
      </c>
      <c r="D9407" s="15">
        <v>11.0</v>
      </c>
      <c r="E9407" s="67">
        <f t="shared" si="20"/>
        <v>5500</v>
      </c>
      <c r="F9407" s="67"/>
    </row>
    <row r="9408" hidden="1">
      <c r="A9408" s="6" t="s">
        <v>106</v>
      </c>
      <c r="B9408" s="13" t="s">
        <v>1726</v>
      </c>
      <c r="C9408" s="13" t="s">
        <v>1727</v>
      </c>
      <c r="D9408" s="15">
        <v>5.0</v>
      </c>
      <c r="E9408" s="67">
        <f t="shared" si="20"/>
        <v>1250</v>
      </c>
      <c r="F9408" s="67"/>
    </row>
    <row r="9409" hidden="1">
      <c r="A9409" s="6" t="s">
        <v>106</v>
      </c>
      <c r="B9409" s="13" t="s">
        <v>502</v>
      </c>
      <c r="C9409" s="13" t="s">
        <v>503</v>
      </c>
      <c r="D9409" s="15">
        <v>17.0</v>
      </c>
      <c r="E9409" s="67">
        <f t="shared" si="20"/>
        <v>8500</v>
      </c>
      <c r="F9409" s="67"/>
    </row>
    <row r="9410" hidden="1">
      <c r="A9410" s="6" t="s">
        <v>106</v>
      </c>
      <c r="B9410" s="13" t="s">
        <v>2083</v>
      </c>
      <c r="C9410" s="13" t="s">
        <v>3191</v>
      </c>
      <c r="D9410" s="15">
        <v>2.0</v>
      </c>
      <c r="E9410" s="67">
        <f t="shared" si="20"/>
        <v>500</v>
      </c>
      <c r="F9410" s="67"/>
    </row>
    <row r="9411" hidden="1">
      <c r="A9411" s="6" t="s">
        <v>106</v>
      </c>
      <c r="B9411" s="13" t="s">
        <v>3160</v>
      </c>
      <c r="C9411" s="13" t="s">
        <v>3161</v>
      </c>
      <c r="D9411" s="15">
        <v>3.0</v>
      </c>
      <c r="E9411" s="67">
        <f t="shared" si="20"/>
        <v>750</v>
      </c>
      <c r="F9411" s="67"/>
    </row>
    <row r="9412" hidden="1">
      <c r="A9412" s="6" t="s">
        <v>106</v>
      </c>
      <c r="B9412" s="13" t="s">
        <v>1317</v>
      </c>
      <c r="C9412" s="13" t="s">
        <v>1318</v>
      </c>
      <c r="D9412" s="15">
        <v>1.0</v>
      </c>
      <c r="E9412" s="67">
        <f t="shared" si="20"/>
        <v>250</v>
      </c>
      <c r="F9412" s="67"/>
    </row>
    <row r="9413" hidden="1">
      <c r="A9413" s="6" t="s">
        <v>106</v>
      </c>
      <c r="B9413" s="13" t="s">
        <v>510</v>
      </c>
      <c r="C9413" s="13" t="s">
        <v>511</v>
      </c>
      <c r="D9413" s="15">
        <v>16.0</v>
      </c>
      <c r="E9413" s="67">
        <f t="shared" si="20"/>
        <v>8000</v>
      </c>
      <c r="F9413" s="67"/>
    </row>
    <row r="9414" hidden="1">
      <c r="A9414" s="6" t="s">
        <v>106</v>
      </c>
      <c r="B9414" s="13" t="s">
        <v>3222</v>
      </c>
      <c r="C9414" s="13" t="s">
        <v>3223</v>
      </c>
      <c r="D9414" s="15">
        <v>2.0</v>
      </c>
      <c r="E9414" s="67">
        <f t="shared" si="20"/>
        <v>500</v>
      </c>
      <c r="F9414" s="67"/>
    </row>
    <row r="9415" hidden="1">
      <c r="A9415" s="6" t="s">
        <v>106</v>
      </c>
      <c r="B9415" s="13" t="s">
        <v>516</v>
      </c>
      <c r="C9415" s="13" t="s">
        <v>517</v>
      </c>
      <c r="D9415" s="15">
        <v>20.0</v>
      </c>
      <c r="E9415" s="67">
        <f t="shared" si="20"/>
        <v>10000</v>
      </c>
      <c r="F9415" s="67"/>
    </row>
    <row r="9416" hidden="1">
      <c r="A9416" s="6" t="s">
        <v>106</v>
      </c>
      <c r="B9416" s="13" t="s">
        <v>518</v>
      </c>
      <c r="C9416" s="13" t="s">
        <v>519</v>
      </c>
      <c r="D9416" s="15">
        <v>7.0</v>
      </c>
      <c r="E9416" s="67">
        <f t="shared" si="20"/>
        <v>1750</v>
      </c>
      <c r="F9416" s="67"/>
    </row>
    <row r="9417" hidden="1">
      <c r="A9417" s="6" t="s">
        <v>106</v>
      </c>
      <c r="B9417" s="13" t="s">
        <v>922</v>
      </c>
      <c r="C9417" s="13" t="s">
        <v>923</v>
      </c>
      <c r="D9417" s="15">
        <v>3.0</v>
      </c>
      <c r="E9417" s="67">
        <f t="shared" si="20"/>
        <v>750</v>
      </c>
      <c r="F9417" s="67"/>
    </row>
    <row r="9418" hidden="1">
      <c r="A9418" s="6" t="s">
        <v>106</v>
      </c>
      <c r="B9418" s="13" t="s">
        <v>3013</v>
      </c>
      <c r="C9418" s="13" t="s">
        <v>3014</v>
      </c>
      <c r="D9418" s="15">
        <v>5.0</v>
      </c>
      <c r="E9418" s="67">
        <f t="shared" si="20"/>
        <v>1250</v>
      </c>
      <c r="F9418" s="67"/>
    </row>
    <row r="9419" hidden="1">
      <c r="A9419" s="6" t="s">
        <v>106</v>
      </c>
      <c r="B9419" s="13" t="s">
        <v>522</v>
      </c>
      <c r="C9419" s="13" t="s">
        <v>523</v>
      </c>
      <c r="D9419" s="15">
        <v>6.0</v>
      </c>
      <c r="E9419" s="67">
        <f t="shared" si="20"/>
        <v>1500</v>
      </c>
      <c r="F9419" s="67"/>
    </row>
    <row r="9420" hidden="1">
      <c r="A9420" s="6" t="s">
        <v>106</v>
      </c>
      <c r="B9420" s="13" t="s">
        <v>524</v>
      </c>
      <c r="C9420" s="13" t="s">
        <v>525</v>
      </c>
      <c r="D9420" s="15">
        <v>12.0</v>
      </c>
      <c r="E9420" s="67">
        <f t="shared" si="20"/>
        <v>6000</v>
      </c>
      <c r="F9420" s="67"/>
    </row>
    <row r="9421" hidden="1">
      <c r="A9421" s="6" t="s">
        <v>106</v>
      </c>
      <c r="B9421" s="13" t="s">
        <v>3156</v>
      </c>
      <c r="C9421" s="13" t="s">
        <v>3157</v>
      </c>
      <c r="D9421" s="15">
        <v>2.0</v>
      </c>
      <c r="E9421" s="67">
        <f t="shared" si="20"/>
        <v>500</v>
      </c>
      <c r="F9421" s="67"/>
    </row>
    <row r="9422" hidden="1">
      <c r="A9422" s="6" t="s">
        <v>106</v>
      </c>
      <c r="B9422" s="13" t="s">
        <v>1325</v>
      </c>
      <c r="C9422" s="13" t="s">
        <v>1326</v>
      </c>
      <c r="D9422" s="15">
        <v>2.0</v>
      </c>
      <c r="E9422" s="67">
        <f t="shared" si="20"/>
        <v>500</v>
      </c>
      <c r="F9422" s="67"/>
    </row>
    <row r="9423" hidden="1">
      <c r="A9423" s="6" t="s">
        <v>106</v>
      </c>
      <c r="B9423" s="13" t="s">
        <v>1327</v>
      </c>
      <c r="C9423" s="13" t="s">
        <v>527</v>
      </c>
      <c r="D9423" s="15">
        <v>8.0</v>
      </c>
      <c r="E9423" s="67">
        <f t="shared" si="20"/>
        <v>2000</v>
      </c>
      <c r="F9423" s="67"/>
    </row>
    <row r="9424" hidden="1">
      <c r="A9424" s="6" t="s">
        <v>106</v>
      </c>
      <c r="B9424" s="13" t="s">
        <v>3224</v>
      </c>
      <c r="C9424" s="13" t="s">
        <v>3225</v>
      </c>
      <c r="D9424" s="15">
        <v>1.0</v>
      </c>
      <c r="E9424" s="67">
        <f t="shared" si="20"/>
        <v>250</v>
      </c>
      <c r="F9424" s="67"/>
    </row>
    <row r="9425" hidden="1">
      <c r="A9425" s="6" t="s">
        <v>106</v>
      </c>
      <c r="B9425" s="13" t="s">
        <v>530</v>
      </c>
      <c r="C9425" s="13" t="s">
        <v>531</v>
      </c>
      <c r="D9425" s="15">
        <v>5.0</v>
      </c>
      <c r="E9425" s="67">
        <f t="shared" si="20"/>
        <v>1250</v>
      </c>
      <c r="F9425" s="67"/>
    </row>
    <row r="9426" hidden="1">
      <c r="A9426" s="6" t="s">
        <v>106</v>
      </c>
      <c r="B9426" s="13" t="s">
        <v>532</v>
      </c>
      <c r="C9426" s="13" t="s">
        <v>533</v>
      </c>
      <c r="D9426" s="15">
        <v>7.0</v>
      </c>
      <c r="E9426" s="67">
        <f t="shared" si="20"/>
        <v>1750</v>
      </c>
      <c r="F9426" s="67"/>
    </row>
    <row r="9427" hidden="1">
      <c r="A9427" s="6" t="s">
        <v>106</v>
      </c>
      <c r="B9427" s="13" t="s">
        <v>1331</v>
      </c>
      <c r="C9427" s="13" t="s">
        <v>539</v>
      </c>
      <c r="D9427" s="15">
        <v>1.0</v>
      </c>
      <c r="E9427" s="67">
        <f t="shared" si="20"/>
        <v>250</v>
      </c>
      <c r="F9427" s="67"/>
    </row>
    <row r="9428" hidden="1">
      <c r="A9428" s="6" t="s">
        <v>106</v>
      </c>
      <c r="B9428" s="13" t="s">
        <v>540</v>
      </c>
      <c r="C9428" s="13" t="s">
        <v>541</v>
      </c>
      <c r="D9428" s="15">
        <v>24.0</v>
      </c>
      <c r="E9428" s="67">
        <f t="shared" si="20"/>
        <v>12000</v>
      </c>
      <c r="F9428" s="67"/>
    </row>
    <row r="9429" hidden="1">
      <c r="A9429" s="6" t="s">
        <v>106</v>
      </c>
      <c r="B9429" s="13" t="s">
        <v>3076</v>
      </c>
      <c r="C9429" s="13" t="s">
        <v>3077</v>
      </c>
      <c r="D9429" s="15">
        <v>4.0</v>
      </c>
      <c r="E9429" s="67">
        <f t="shared" si="20"/>
        <v>1000</v>
      </c>
      <c r="F9429" s="67"/>
    </row>
    <row r="9430" hidden="1">
      <c r="A9430" s="6" t="s">
        <v>106</v>
      </c>
      <c r="B9430" s="13" t="s">
        <v>542</v>
      </c>
      <c r="C9430" s="13" t="s">
        <v>543</v>
      </c>
      <c r="D9430" s="15">
        <v>11.0</v>
      </c>
      <c r="E9430" s="67">
        <f t="shared" si="20"/>
        <v>5500</v>
      </c>
      <c r="F9430" s="67"/>
    </row>
    <row r="9431" hidden="1">
      <c r="A9431" s="6" t="s">
        <v>106</v>
      </c>
      <c r="B9431" s="13" t="s">
        <v>546</v>
      </c>
      <c r="C9431" s="13" t="s">
        <v>547</v>
      </c>
      <c r="D9431" s="15">
        <v>12.0</v>
      </c>
      <c r="E9431" s="67">
        <f t="shared" si="20"/>
        <v>6000</v>
      </c>
      <c r="F9431" s="67"/>
    </row>
    <row r="9432" hidden="1">
      <c r="A9432" s="6" t="s">
        <v>106</v>
      </c>
      <c r="B9432" s="13" t="s">
        <v>1278</v>
      </c>
      <c r="C9432" s="13" t="s">
        <v>549</v>
      </c>
      <c r="D9432" s="15">
        <v>6.0</v>
      </c>
      <c r="E9432" s="67">
        <f t="shared" si="20"/>
        <v>1500</v>
      </c>
      <c r="F9432" s="67"/>
    </row>
    <row r="9433" hidden="1">
      <c r="A9433" s="6" t="s">
        <v>106</v>
      </c>
      <c r="B9433" s="13" t="s">
        <v>1333</v>
      </c>
      <c r="C9433" s="13" t="s">
        <v>551</v>
      </c>
      <c r="D9433" s="15">
        <v>8.0</v>
      </c>
      <c r="E9433" s="67">
        <f t="shared" si="20"/>
        <v>2000</v>
      </c>
      <c r="F9433" s="67"/>
    </row>
    <row r="9434" hidden="1">
      <c r="A9434" s="6" t="s">
        <v>106</v>
      </c>
      <c r="B9434" s="13" t="s">
        <v>1334</v>
      </c>
      <c r="C9434" s="13" t="s">
        <v>553</v>
      </c>
      <c r="D9434" s="15">
        <v>9.0</v>
      </c>
      <c r="E9434" s="67">
        <f t="shared" si="20"/>
        <v>2250</v>
      </c>
      <c r="F9434" s="67"/>
    </row>
    <row r="9435" hidden="1">
      <c r="A9435" s="6" t="s">
        <v>106</v>
      </c>
      <c r="B9435" s="13" t="s">
        <v>3137</v>
      </c>
      <c r="C9435" s="13" t="s">
        <v>3138</v>
      </c>
      <c r="D9435" s="15">
        <v>4.0</v>
      </c>
      <c r="E9435" s="67">
        <f t="shared" si="20"/>
        <v>1000</v>
      </c>
      <c r="F9435" s="67"/>
    </row>
    <row r="9436" hidden="1">
      <c r="A9436" s="6" t="s">
        <v>106</v>
      </c>
      <c r="B9436" s="13" t="s">
        <v>1337</v>
      </c>
      <c r="C9436" s="13" t="s">
        <v>1338</v>
      </c>
      <c r="D9436" s="15">
        <v>2.0</v>
      </c>
      <c r="E9436" s="67">
        <f t="shared" si="20"/>
        <v>500</v>
      </c>
      <c r="F9436" s="67"/>
    </row>
    <row r="9437" hidden="1">
      <c r="A9437" s="6" t="s">
        <v>106</v>
      </c>
      <c r="B9437" s="13" t="s">
        <v>3135</v>
      </c>
      <c r="C9437" s="13" t="s">
        <v>3136</v>
      </c>
      <c r="D9437" s="15">
        <v>6.0</v>
      </c>
      <c r="E9437" s="67">
        <f t="shared" si="20"/>
        <v>1500</v>
      </c>
      <c r="F9437" s="67"/>
    </row>
    <row r="9438" hidden="1">
      <c r="A9438" s="6" t="s">
        <v>106</v>
      </c>
      <c r="B9438" s="13" t="s">
        <v>1926</v>
      </c>
      <c r="C9438" s="13" t="s">
        <v>34</v>
      </c>
      <c r="D9438" s="15">
        <v>4.0</v>
      </c>
      <c r="E9438" s="67">
        <f t="shared" si="20"/>
        <v>1000</v>
      </c>
      <c r="F9438" s="67"/>
    </row>
    <row r="9439" hidden="1">
      <c r="A9439" s="6" t="s">
        <v>106</v>
      </c>
      <c r="B9439" s="13" t="s">
        <v>363</v>
      </c>
      <c r="C9439" s="13" t="s">
        <v>132</v>
      </c>
      <c r="D9439" s="15">
        <v>1.0</v>
      </c>
      <c r="E9439" s="67">
        <f t="shared" si="20"/>
        <v>250</v>
      </c>
      <c r="F9439" s="67"/>
    </row>
    <row r="9440" hidden="1">
      <c r="A9440" s="6" t="s">
        <v>106</v>
      </c>
      <c r="B9440" s="13" t="s">
        <v>3204</v>
      </c>
      <c r="C9440" s="13" t="s">
        <v>3205</v>
      </c>
      <c r="D9440" s="15">
        <v>8.0</v>
      </c>
      <c r="E9440" s="67">
        <f t="shared" si="20"/>
        <v>2000</v>
      </c>
      <c r="F9440" s="67"/>
    </row>
    <row r="9441" hidden="1">
      <c r="A9441" s="6" t="s">
        <v>106</v>
      </c>
      <c r="B9441" s="13" t="s">
        <v>3025</v>
      </c>
      <c r="C9441" s="13" t="s">
        <v>3026</v>
      </c>
      <c r="D9441" s="15">
        <v>12.0</v>
      </c>
      <c r="E9441" s="67">
        <f t="shared" si="20"/>
        <v>6000</v>
      </c>
      <c r="F9441" s="67"/>
    </row>
    <row r="9442" hidden="1">
      <c r="A9442" s="6" t="s">
        <v>106</v>
      </c>
      <c r="B9442" s="13" t="s">
        <v>3206</v>
      </c>
      <c r="C9442" s="13" t="s">
        <v>3207</v>
      </c>
      <c r="D9442" s="15">
        <v>9.0</v>
      </c>
      <c r="E9442" s="67">
        <f t="shared" si="20"/>
        <v>2250</v>
      </c>
      <c r="F9442" s="67"/>
    </row>
    <row r="9443" hidden="1">
      <c r="A9443" s="6" t="s">
        <v>106</v>
      </c>
      <c r="B9443" s="13" t="s">
        <v>560</v>
      </c>
      <c r="C9443" s="13" t="s">
        <v>561</v>
      </c>
      <c r="D9443" s="15">
        <v>5.0</v>
      </c>
      <c r="E9443" s="67">
        <f t="shared" si="20"/>
        <v>1250</v>
      </c>
      <c r="F9443" s="67"/>
    </row>
    <row r="9444" hidden="1">
      <c r="A9444" s="6" t="s">
        <v>106</v>
      </c>
      <c r="B9444" s="13" t="s">
        <v>566</v>
      </c>
      <c r="C9444" s="13" t="s">
        <v>567</v>
      </c>
      <c r="D9444" s="15">
        <v>2.0</v>
      </c>
      <c r="E9444" s="67">
        <f t="shared" si="20"/>
        <v>500</v>
      </c>
      <c r="F9444" s="67"/>
    </row>
    <row r="9445" hidden="1">
      <c r="A9445" s="6" t="s">
        <v>106</v>
      </c>
      <c r="B9445" s="13" t="s">
        <v>1344</v>
      </c>
      <c r="C9445" s="13" t="s">
        <v>569</v>
      </c>
      <c r="D9445" s="15">
        <v>6.0</v>
      </c>
      <c r="E9445" s="67">
        <f t="shared" si="20"/>
        <v>1500</v>
      </c>
      <c r="F9445" s="67"/>
    </row>
    <row r="9446" hidden="1">
      <c r="A9446" s="6" t="s">
        <v>106</v>
      </c>
      <c r="B9446" s="13" t="s">
        <v>3194</v>
      </c>
      <c r="C9446" s="13" t="s">
        <v>3195</v>
      </c>
      <c r="D9446" s="15">
        <v>1.0</v>
      </c>
      <c r="E9446" s="67">
        <f t="shared" si="20"/>
        <v>250</v>
      </c>
      <c r="F9446" s="67"/>
    </row>
    <row r="9447" hidden="1">
      <c r="A9447" s="6" t="s">
        <v>106</v>
      </c>
      <c r="B9447" s="13" t="s">
        <v>3189</v>
      </c>
      <c r="C9447" s="13" t="s">
        <v>3190</v>
      </c>
      <c r="D9447" s="15">
        <v>3.0</v>
      </c>
      <c r="E9447" s="67">
        <f t="shared" si="20"/>
        <v>750</v>
      </c>
      <c r="F9447" s="67"/>
    </row>
    <row r="9448" hidden="1">
      <c r="A9448" s="6" t="s">
        <v>106</v>
      </c>
      <c r="B9448" s="13" t="s">
        <v>1345</v>
      </c>
      <c r="C9448" s="13" t="s">
        <v>1346</v>
      </c>
      <c r="D9448" s="15">
        <v>0.0</v>
      </c>
      <c r="E9448" s="67">
        <f t="shared" si="20"/>
        <v>0</v>
      </c>
      <c r="F9448" s="67"/>
    </row>
    <row r="9449" hidden="1">
      <c r="A9449" s="6" t="s">
        <v>106</v>
      </c>
      <c r="B9449" s="13" t="s">
        <v>3226</v>
      </c>
      <c r="C9449" s="13" t="s">
        <v>3227</v>
      </c>
      <c r="D9449" s="15">
        <v>1.0</v>
      </c>
      <c r="E9449" s="67">
        <f t="shared" si="20"/>
        <v>250</v>
      </c>
      <c r="F9449" s="67"/>
    </row>
    <row r="9450" hidden="1">
      <c r="A9450" s="6" t="s">
        <v>106</v>
      </c>
      <c r="B9450" s="13" t="s">
        <v>862</v>
      </c>
      <c r="C9450" s="13" t="s">
        <v>863</v>
      </c>
      <c r="D9450" s="15">
        <v>5.0</v>
      </c>
      <c r="E9450" s="67">
        <f t="shared" si="20"/>
        <v>1250</v>
      </c>
      <c r="F9450" s="67"/>
    </row>
    <row r="9451" hidden="1">
      <c r="A9451" s="6" t="s">
        <v>106</v>
      </c>
      <c r="B9451" s="13" t="s">
        <v>1351</v>
      </c>
      <c r="C9451" s="13" t="s">
        <v>1352</v>
      </c>
      <c r="D9451" s="15">
        <v>8.0</v>
      </c>
      <c r="E9451" s="67">
        <f t="shared" si="20"/>
        <v>2000</v>
      </c>
      <c r="F9451" s="67"/>
    </row>
    <row r="9452" hidden="1">
      <c r="A9452" s="6" t="s">
        <v>106</v>
      </c>
      <c r="B9452" s="13" t="s">
        <v>572</v>
      </c>
      <c r="C9452" s="13" t="s">
        <v>573</v>
      </c>
      <c r="D9452" s="15">
        <v>6.0</v>
      </c>
      <c r="E9452" s="67">
        <f t="shared" si="20"/>
        <v>1500</v>
      </c>
      <c r="F9452" s="67"/>
    </row>
    <row r="9453" hidden="1">
      <c r="A9453" s="6" t="s">
        <v>106</v>
      </c>
      <c r="B9453" s="13" t="s">
        <v>576</v>
      </c>
      <c r="C9453" s="13" t="s">
        <v>577</v>
      </c>
      <c r="D9453" s="15">
        <v>10.0</v>
      </c>
      <c r="E9453" s="67">
        <f t="shared" si="20"/>
        <v>5000</v>
      </c>
      <c r="F9453" s="67"/>
    </row>
    <row r="9454" hidden="1">
      <c r="A9454" s="6" t="s">
        <v>106</v>
      </c>
      <c r="B9454" s="13" t="s">
        <v>258</v>
      </c>
      <c r="C9454" s="13" t="s">
        <v>2386</v>
      </c>
      <c r="D9454" s="15">
        <v>5.0</v>
      </c>
      <c r="E9454" s="67">
        <f t="shared" si="20"/>
        <v>1250</v>
      </c>
      <c r="F9454" s="67"/>
    </row>
    <row r="9455" hidden="1">
      <c r="A9455" s="6" t="s">
        <v>106</v>
      </c>
      <c r="B9455" s="13" t="s">
        <v>1356</v>
      </c>
      <c r="C9455" s="13" t="s">
        <v>581</v>
      </c>
      <c r="D9455" s="15">
        <v>4.0</v>
      </c>
      <c r="E9455" s="67">
        <f t="shared" si="20"/>
        <v>1000</v>
      </c>
      <c r="F9455" s="67"/>
    </row>
    <row r="9456" hidden="1">
      <c r="A9456" s="6" t="s">
        <v>106</v>
      </c>
      <c r="B9456" s="13" t="s">
        <v>582</v>
      </c>
      <c r="C9456" s="13" t="s">
        <v>583</v>
      </c>
      <c r="D9456" s="15">
        <v>2.0</v>
      </c>
      <c r="E9456" s="67">
        <f t="shared" si="20"/>
        <v>500</v>
      </c>
      <c r="F9456" s="67"/>
    </row>
    <row r="9457" hidden="1">
      <c r="A9457" s="6" t="s">
        <v>106</v>
      </c>
      <c r="B9457" s="13" t="s">
        <v>1359</v>
      </c>
      <c r="C9457" s="13" t="s">
        <v>1360</v>
      </c>
      <c r="D9457" s="15">
        <v>7.0</v>
      </c>
      <c r="E9457" s="67">
        <f t="shared" si="20"/>
        <v>1750</v>
      </c>
      <c r="F9457" s="67"/>
    </row>
    <row r="9458" hidden="1">
      <c r="A9458" s="6" t="s">
        <v>106</v>
      </c>
      <c r="B9458" s="13" t="s">
        <v>1361</v>
      </c>
      <c r="C9458" s="13" t="s">
        <v>589</v>
      </c>
      <c r="D9458" s="15">
        <v>5.0</v>
      </c>
      <c r="E9458" s="67">
        <f t="shared" si="20"/>
        <v>1250</v>
      </c>
      <c r="F9458" s="67"/>
    </row>
    <row r="9459" hidden="1">
      <c r="A9459" s="6" t="s">
        <v>106</v>
      </c>
      <c r="B9459" s="13" t="s">
        <v>590</v>
      </c>
      <c r="C9459" s="13" t="s">
        <v>591</v>
      </c>
      <c r="D9459" s="15">
        <v>13.0</v>
      </c>
      <c r="E9459" s="67">
        <f t="shared" si="20"/>
        <v>6500</v>
      </c>
      <c r="F9459" s="67"/>
    </row>
    <row r="9460" hidden="1">
      <c r="A9460" s="6" t="s">
        <v>106</v>
      </c>
      <c r="B9460" s="13" t="s">
        <v>3006</v>
      </c>
      <c r="C9460" s="13" t="s">
        <v>3007</v>
      </c>
      <c r="D9460" s="15">
        <v>4.0</v>
      </c>
      <c r="E9460" s="67">
        <f t="shared" si="20"/>
        <v>1000</v>
      </c>
      <c r="F9460" s="67"/>
    </row>
    <row r="9461" hidden="1">
      <c r="A9461" s="6" t="s">
        <v>106</v>
      </c>
      <c r="B9461" s="13" t="s">
        <v>1362</v>
      </c>
      <c r="C9461" s="13" t="s">
        <v>593</v>
      </c>
      <c r="D9461" s="15">
        <v>0.0</v>
      </c>
      <c r="E9461" s="67">
        <f t="shared" si="20"/>
        <v>0</v>
      </c>
      <c r="F9461" s="67"/>
    </row>
    <row r="9462" hidden="1">
      <c r="A9462" s="6" t="s">
        <v>106</v>
      </c>
      <c r="B9462" s="13" t="s">
        <v>596</v>
      </c>
      <c r="C9462" s="13" t="s">
        <v>597</v>
      </c>
      <c r="D9462" s="15">
        <v>2.0</v>
      </c>
      <c r="E9462" s="67">
        <f t="shared" si="20"/>
        <v>500</v>
      </c>
      <c r="F9462" s="67"/>
    </row>
    <row r="9463" hidden="1">
      <c r="A9463" s="6" t="s">
        <v>106</v>
      </c>
      <c r="B9463" s="13" t="s">
        <v>1365</v>
      </c>
      <c r="C9463" s="13" t="s">
        <v>1366</v>
      </c>
      <c r="D9463" s="15">
        <v>4.0</v>
      </c>
      <c r="E9463" s="67">
        <f t="shared" si="20"/>
        <v>1000</v>
      </c>
      <c r="F9463" s="67"/>
    </row>
    <row r="9464" hidden="1">
      <c r="A9464" s="6" t="s">
        <v>106</v>
      </c>
      <c r="B9464" s="13" t="s">
        <v>3181</v>
      </c>
      <c r="C9464" s="13" t="s">
        <v>3182</v>
      </c>
      <c r="D9464" s="15">
        <v>1.0</v>
      </c>
      <c r="E9464" s="67">
        <f t="shared" si="20"/>
        <v>250</v>
      </c>
      <c r="F9464" s="67"/>
    </row>
    <row r="9465" hidden="1">
      <c r="A9465" s="6" t="s">
        <v>106</v>
      </c>
      <c r="B9465" s="13" t="s">
        <v>3093</v>
      </c>
      <c r="C9465" s="13" t="s">
        <v>3094</v>
      </c>
      <c r="D9465" s="15">
        <v>4.0</v>
      </c>
      <c r="E9465" s="67">
        <f t="shared" si="20"/>
        <v>1000</v>
      </c>
      <c r="F9465" s="67"/>
    </row>
    <row r="9466" hidden="1">
      <c r="A9466" s="6" t="s">
        <v>106</v>
      </c>
      <c r="B9466" s="13" t="s">
        <v>3004</v>
      </c>
      <c r="C9466" s="13" t="s">
        <v>3005</v>
      </c>
      <c r="D9466" s="15">
        <v>3.0</v>
      </c>
      <c r="E9466" s="67">
        <f t="shared" si="20"/>
        <v>750</v>
      </c>
      <c r="F9466" s="67"/>
    </row>
    <row r="9467" hidden="1">
      <c r="A9467" s="6" t="s">
        <v>106</v>
      </c>
      <c r="B9467" s="13" t="s">
        <v>602</v>
      </c>
      <c r="C9467" s="13" t="s">
        <v>603</v>
      </c>
      <c r="D9467" s="15">
        <v>2.0</v>
      </c>
      <c r="E9467" s="67">
        <f t="shared" si="20"/>
        <v>500</v>
      </c>
      <c r="F9467" s="67"/>
    </row>
    <row r="9468" hidden="1">
      <c r="A9468" s="6" t="s">
        <v>106</v>
      </c>
      <c r="B9468" s="13" t="s">
        <v>604</v>
      </c>
      <c r="C9468" s="13" t="s">
        <v>605</v>
      </c>
      <c r="D9468" s="15">
        <v>9.0</v>
      </c>
      <c r="E9468" s="67">
        <f t="shared" si="20"/>
        <v>2250</v>
      </c>
      <c r="F9468" s="67"/>
    </row>
    <row r="9469" hidden="1">
      <c r="A9469" s="6" t="s">
        <v>106</v>
      </c>
      <c r="B9469" s="13" t="s">
        <v>606</v>
      </c>
      <c r="C9469" s="13" t="s">
        <v>607</v>
      </c>
      <c r="D9469" s="15">
        <v>1.0</v>
      </c>
      <c r="E9469" s="67">
        <f t="shared" si="20"/>
        <v>250</v>
      </c>
      <c r="F9469" s="67"/>
    </row>
    <row r="9470" hidden="1">
      <c r="A9470" s="6" t="s">
        <v>106</v>
      </c>
      <c r="B9470" s="13" t="s">
        <v>2288</v>
      </c>
      <c r="C9470" s="13" t="s">
        <v>2289</v>
      </c>
      <c r="D9470" s="15">
        <v>3.0</v>
      </c>
      <c r="E9470" s="67">
        <f t="shared" si="20"/>
        <v>750</v>
      </c>
      <c r="F9470" s="67"/>
    </row>
    <row r="9471" hidden="1">
      <c r="A9471" s="6" t="s">
        <v>106</v>
      </c>
      <c r="B9471" s="13" t="s">
        <v>2576</v>
      </c>
      <c r="C9471" s="13" t="s">
        <v>2577</v>
      </c>
      <c r="D9471" s="15">
        <v>5.0</v>
      </c>
      <c r="E9471" s="67">
        <f t="shared" si="20"/>
        <v>1250</v>
      </c>
      <c r="F9471" s="67"/>
    </row>
    <row r="9472" hidden="1">
      <c r="A9472" s="6" t="s">
        <v>106</v>
      </c>
      <c r="B9472" s="13" t="s">
        <v>620</v>
      </c>
      <c r="C9472" s="13" t="s">
        <v>621</v>
      </c>
      <c r="D9472" s="15">
        <v>10.0</v>
      </c>
      <c r="E9472" s="67">
        <f t="shared" si="20"/>
        <v>5000</v>
      </c>
      <c r="F9472" s="67"/>
    </row>
    <row r="9473" hidden="1">
      <c r="A9473" s="6" t="s">
        <v>106</v>
      </c>
      <c r="B9473" s="13" t="s">
        <v>1369</v>
      </c>
      <c r="C9473" s="13" t="s">
        <v>1370</v>
      </c>
      <c r="D9473" s="15">
        <v>4.0</v>
      </c>
      <c r="E9473" s="67">
        <f t="shared" si="20"/>
        <v>1000</v>
      </c>
      <c r="F9473" s="67"/>
    </row>
    <row r="9474" hidden="1">
      <c r="A9474" s="6" t="s">
        <v>106</v>
      </c>
      <c r="B9474" s="13" t="s">
        <v>622</v>
      </c>
      <c r="C9474" s="13" t="s">
        <v>623</v>
      </c>
      <c r="D9474" s="15">
        <v>8.0</v>
      </c>
      <c r="E9474" s="67">
        <f t="shared" si="20"/>
        <v>2000</v>
      </c>
      <c r="F9474" s="67"/>
    </row>
    <row r="9475" hidden="1">
      <c r="A9475" s="6" t="s">
        <v>106</v>
      </c>
      <c r="B9475" s="13" t="s">
        <v>624</v>
      </c>
      <c r="C9475" s="13" t="s">
        <v>625</v>
      </c>
      <c r="D9475" s="15">
        <v>9.0</v>
      </c>
      <c r="E9475" s="67">
        <f t="shared" si="20"/>
        <v>2250</v>
      </c>
      <c r="F9475" s="67"/>
    </row>
    <row r="9476" hidden="1">
      <c r="A9476" s="6" t="s">
        <v>106</v>
      </c>
      <c r="B9476" s="13" t="s">
        <v>626</v>
      </c>
      <c r="C9476" s="13" t="s">
        <v>627</v>
      </c>
      <c r="D9476" s="15">
        <v>6.0</v>
      </c>
      <c r="E9476" s="67">
        <f t="shared" si="20"/>
        <v>1500</v>
      </c>
      <c r="F9476" s="67"/>
    </row>
    <row r="9477" hidden="1">
      <c r="A9477" s="6" t="s">
        <v>106</v>
      </c>
      <c r="B9477" s="13" t="s">
        <v>628</v>
      </c>
      <c r="C9477" s="13" t="s">
        <v>629</v>
      </c>
      <c r="D9477" s="15">
        <v>18.0</v>
      </c>
      <c r="E9477" s="67">
        <f t="shared" si="20"/>
        <v>9000</v>
      </c>
      <c r="F9477" s="67"/>
    </row>
    <row r="9478" hidden="1">
      <c r="A9478" s="6" t="s">
        <v>106</v>
      </c>
      <c r="B9478" s="13" t="s">
        <v>3162</v>
      </c>
      <c r="C9478" s="13" t="s">
        <v>3163</v>
      </c>
      <c r="D9478" s="15">
        <v>6.0</v>
      </c>
      <c r="E9478" s="67">
        <f t="shared" si="20"/>
        <v>1500</v>
      </c>
      <c r="F9478" s="67"/>
    </row>
    <row r="9479" hidden="1">
      <c r="A9479" s="6" t="s">
        <v>106</v>
      </c>
      <c r="B9479" s="13" t="s">
        <v>1371</v>
      </c>
      <c r="C9479" s="13" t="s">
        <v>633</v>
      </c>
      <c r="D9479" s="15">
        <v>1.0</v>
      </c>
      <c r="E9479" s="67">
        <f t="shared" si="20"/>
        <v>250</v>
      </c>
      <c r="F9479" s="67"/>
    </row>
    <row r="9480" hidden="1">
      <c r="A9480" s="6" t="s">
        <v>106</v>
      </c>
      <c r="B9480" s="13" t="s">
        <v>1372</v>
      </c>
      <c r="C9480" s="13" t="s">
        <v>637</v>
      </c>
      <c r="D9480" s="15">
        <v>0.0</v>
      </c>
      <c r="E9480" s="67">
        <f t="shared" si="20"/>
        <v>0</v>
      </c>
      <c r="F9480" s="67"/>
    </row>
    <row r="9481" hidden="1">
      <c r="A9481" s="6" t="s">
        <v>106</v>
      </c>
      <c r="B9481" s="13" t="s">
        <v>640</v>
      </c>
      <c r="C9481" s="13" t="s">
        <v>641</v>
      </c>
      <c r="D9481" s="15">
        <v>14.0</v>
      </c>
      <c r="E9481" s="67">
        <f t="shared" si="20"/>
        <v>7000</v>
      </c>
      <c r="F9481" s="67"/>
    </row>
    <row r="9482" hidden="1">
      <c r="A9482" s="6" t="s">
        <v>106</v>
      </c>
      <c r="B9482" s="13" t="s">
        <v>1373</v>
      </c>
      <c r="C9482" s="13" t="s">
        <v>1374</v>
      </c>
      <c r="D9482" s="15">
        <v>4.0</v>
      </c>
      <c r="E9482" s="67">
        <f t="shared" si="20"/>
        <v>1000</v>
      </c>
      <c r="F9482" s="67"/>
    </row>
    <row r="9483" hidden="1">
      <c r="A9483" s="6" t="s">
        <v>106</v>
      </c>
      <c r="B9483" s="13" t="s">
        <v>311</v>
      </c>
      <c r="C9483" s="13" t="s">
        <v>312</v>
      </c>
      <c r="D9483" s="15">
        <v>4.0</v>
      </c>
      <c r="E9483" s="67">
        <f t="shared" si="20"/>
        <v>1000</v>
      </c>
      <c r="F9483" s="67"/>
    </row>
    <row r="9484" hidden="1">
      <c r="A9484" s="6" t="s">
        <v>106</v>
      </c>
      <c r="B9484" s="13" t="s">
        <v>644</v>
      </c>
      <c r="C9484" s="13" t="s">
        <v>645</v>
      </c>
      <c r="D9484" s="15">
        <v>38.0</v>
      </c>
      <c r="E9484" s="67">
        <f t="shared" si="20"/>
        <v>19000</v>
      </c>
      <c r="F9484" s="67"/>
    </row>
    <row r="9485" hidden="1">
      <c r="A9485" s="6" t="s">
        <v>106</v>
      </c>
      <c r="B9485" s="13" t="s">
        <v>1375</v>
      </c>
      <c r="C9485" s="13" t="s">
        <v>647</v>
      </c>
      <c r="D9485" s="15">
        <v>3.0</v>
      </c>
      <c r="E9485" s="67">
        <f t="shared" si="20"/>
        <v>750</v>
      </c>
      <c r="F9485" s="67"/>
    </row>
    <row r="9486" hidden="1">
      <c r="A9486" s="6" t="s">
        <v>106</v>
      </c>
      <c r="B9486" s="13" t="s">
        <v>2878</v>
      </c>
      <c r="C9486" s="13" t="s">
        <v>2879</v>
      </c>
      <c r="D9486" s="15">
        <v>2.0</v>
      </c>
      <c r="E9486" s="67">
        <f t="shared" si="20"/>
        <v>500</v>
      </c>
      <c r="F9486" s="67"/>
    </row>
    <row r="9487" hidden="1">
      <c r="A9487" s="6" t="s">
        <v>106</v>
      </c>
      <c r="B9487" s="13" t="s">
        <v>1376</v>
      </c>
      <c r="C9487" s="13" t="s">
        <v>649</v>
      </c>
      <c r="D9487" s="15">
        <v>4.0</v>
      </c>
      <c r="E9487" s="67">
        <f t="shared" si="20"/>
        <v>1000</v>
      </c>
      <c r="F9487" s="67"/>
    </row>
    <row r="9488" hidden="1">
      <c r="A9488" s="6" t="s">
        <v>106</v>
      </c>
      <c r="B9488" s="13" t="s">
        <v>650</v>
      </c>
      <c r="C9488" s="13" t="s">
        <v>651</v>
      </c>
      <c r="D9488" s="15">
        <v>3.0</v>
      </c>
      <c r="E9488" s="67">
        <f t="shared" si="20"/>
        <v>750</v>
      </c>
      <c r="F9488" s="67"/>
    </row>
    <row r="9489" hidden="1">
      <c r="A9489" s="6" t="s">
        <v>106</v>
      </c>
      <c r="B9489" s="13" t="s">
        <v>2640</v>
      </c>
      <c r="C9489" s="13" t="s">
        <v>2641</v>
      </c>
      <c r="D9489" s="15">
        <v>6.0</v>
      </c>
      <c r="E9489" s="67">
        <f t="shared" si="20"/>
        <v>1500</v>
      </c>
      <c r="F9489" s="67"/>
    </row>
    <row r="9490" hidden="1">
      <c r="A9490" s="6" t="s">
        <v>106</v>
      </c>
      <c r="B9490" s="13" t="s">
        <v>1923</v>
      </c>
      <c r="C9490" s="13" t="s">
        <v>1924</v>
      </c>
      <c r="D9490" s="15">
        <v>1.0</v>
      </c>
      <c r="E9490" s="67">
        <f t="shared" si="20"/>
        <v>250</v>
      </c>
      <c r="F9490" s="67"/>
    </row>
    <row r="9491" hidden="1">
      <c r="A9491" s="6" t="s">
        <v>106</v>
      </c>
      <c r="B9491" s="13" t="s">
        <v>1379</v>
      </c>
      <c r="C9491" s="13" t="s">
        <v>655</v>
      </c>
      <c r="D9491" s="15">
        <v>3.0</v>
      </c>
      <c r="E9491" s="67">
        <f t="shared" si="20"/>
        <v>750</v>
      </c>
      <c r="F9491" s="67"/>
    </row>
    <row r="9492" hidden="1">
      <c r="A9492" s="6" t="s">
        <v>106</v>
      </c>
      <c r="B9492" s="13" t="s">
        <v>1380</v>
      </c>
      <c r="C9492" s="13" t="s">
        <v>1381</v>
      </c>
      <c r="D9492" s="15">
        <v>6.0</v>
      </c>
      <c r="E9492" s="67">
        <f t="shared" si="20"/>
        <v>1500</v>
      </c>
      <c r="F9492" s="67"/>
    </row>
    <row r="9493" hidden="1">
      <c r="A9493" s="6" t="s">
        <v>106</v>
      </c>
      <c r="B9493" s="13" t="s">
        <v>1382</v>
      </c>
      <c r="C9493" s="13" t="s">
        <v>1383</v>
      </c>
      <c r="D9493" s="15">
        <v>3.0</v>
      </c>
      <c r="E9493" s="67">
        <f t="shared" si="20"/>
        <v>750</v>
      </c>
      <c r="F9493" s="67"/>
    </row>
    <row r="9494" hidden="1">
      <c r="A9494" s="6" t="s">
        <v>106</v>
      </c>
      <c r="B9494" s="13" t="s">
        <v>1384</v>
      </c>
      <c r="C9494" s="13" t="s">
        <v>1385</v>
      </c>
      <c r="D9494" s="15">
        <v>0.0</v>
      </c>
      <c r="E9494" s="67">
        <f t="shared" si="20"/>
        <v>0</v>
      </c>
      <c r="F9494" s="67"/>
    </row>
    <row r="9495" hidden="1">
      <c r="A9495" s="6" t="s">
        <v>106</v>
      </c>
      <c r="B9495" s="13" t="s">
        <v>656</v>
      </c>
      <c r="C9495" s="13" t="s">
        <v>657</v>
      </c>
      <c r="D9495" s="15">
        <v>11.0</v>
      </c>
      <c r="E9495" s="67">
        <f t="shared" si="20"/>
        <v>5500</v>
      </c>
      <c r="F9495" s="67"/>
    </row>
    <row r="9496" hidden="1">
      <c r="A9496" s="6" t="s">
        <v>106</v>
      </c>
      <c r="B9496" s="13" t="s">
        <v>1865</v>
      </c>
      <c r="C9496" s="13" t="s">
        <v>1866</v>
      </c>
      <c r="D9496" s="15">
        <v>15.0</v>
      </c>
      <c r="E9496" s="67">
        <f t="shared" si="20"/>
        <v>7500</v>
      </c>
      <c r="F9496" s="67"/>
    </row>
    <row r="9497" hidden="1">
      <c r="A9497" s="6" t="s">
        <v>106</v>
      </c>
      <c r="B9497" s="13" t="s">
        <v>3228</v>
      </c>
      <c r="C9497" s="13" t="s">
        <v>3229</v>
      </c>
      <c r="D9497" s="15">
        <v>0.0</v>
      </c>
      <c r="E9497" s="67">
        <f t="shared" si="20"/>
        <v>0</v>
      </c>
      <c r="F9497" s="67"/>
    </row>
    <row r="9498" hidden="1">
      <c r="A9498" s="6" t="s">
        <v>106</v>
      </c>
      <c r="B9498" s="13" t="s">
        <v>1393</v>
      </c>
      <c r="C9498" s="13" t="s">
        <v>1394</v>
      </c>
      <c r="D9498" s="15">
        <v>5.0</v>
      </c>
      <c r="E9498" s="67">
        <f t="shared" si="20"/>
        <v>1250</v>
      </c>
      <c r="F9498" s="67"/>
    </row>
    <row r="9499" hidden="1">
      <c r="A9499" s="6" t="s">
        <v>106</v>
      </c>
      <c r="B9499" s="13" t="s">
        <v>3158</v>
      </c>
      <c r="C9499" s="13" t="s">
        <v>3159</v>
      </c>
      <c r="D9499" s="15">
        <v>1.0</v>
      </c>
      <c r="E9499" s="67">
        <f t="shared" si="20"/>
        <v>250</v>
      </c>
      <c r="F9499" s="67"/>
    </row>
    <row r="9500" hidden="1">
      <c r="A9500" s="6" t="s">
        <v>106</v>
      </c>
      <c r="B9500" s="13" t="s">
        <v>262</v>
      </c>
      <c r="C9500" s="13" t="s">
        <v>290</v>
      </c>
      <c r="D9500" s="15">
        <v>6.0</v>
      </c>
      <c r="E9500" s="67">
        <f t="shared" si="20"/>
        <v>1500</v>
      </c>
      <c r="F9500" s="67"/>
    </row>
    <row r="9501" hidden="1">
      <c r="A9501" s="6" t="s">
        <v>106</v>
      </c>
      <c r="B9501" s="13" t="s">
        <v>1998</v>
      </c>
      <c r="C9501" s="13" t="s">
        <v>1999</v>
      </c>
      <c r="D9501" s="15">
        <v>9.0</v>
      </c>
      <c r="E9501" s="67">
        <f t="shared" si="20"/>
        <v>2250</v>
      </c>
      <c r="F9501" s="67"/>
    </row>
    <row r="9502" hidden="1">
      <c r="A9502" s="6" t="s">
        <v>106</v>
      </c>
      <c r="B9502" s="13" t="s">
        <v>1396</v>
      </c>
      <c r="C9502" s="13" t="s">
        <v>1397</v>
      </c>
      <c r="D9502" s="15">
        <v>3.0</v>
      </c>
      <c r="E9502" s="67">
        <f t="shared" si="20"/>
        <v>750</v>
      </c>
      <c r="F9502" s="67"/>
    </row>
    <row r="9503" hidden="1">
      <c r="A9503" s="6" t="s">
        <v>106</v>
      </c>
      <c r="B9503" s="13" t="s">
        <v>2885</v>
      </c>
      <c r="C9503" s="13" t="s">
        <v>2886</v>
      </c>
      <c r="D9503" s="15">
        <v>2.0</v>
      </c>
      <c r="E9503" s="67">
        <f t="shared" si="20"/>
        <v>500</v>
      </c>
      <c r="F9503" s="67"/>
    </row>
    <row r="9504" hidden="1">
      <c r="A9504" s="6" t="s">
        <v>106</v>
      </c>
      <c r="B9504" s="13" t="s">
        <v>1398</v>
      </c>
      <c r="C9504" s="13" t="s">
        <v>1399</v>
      </c>
      <c r="D9504" s="15">
        <v>2.0</v>
      </c>
      <c r="E9504" s="67">
        <f t="shared" si="20"/>
        <v>500</v>
      </c>
      <c r="F9504" s="67"/>
    </row>
    <row r="9505" hidden="1">
      <c r="A9505" s="6" t="s">
        <v>106</v>
      </c>
      <c r="B9505" s="13" t="s">
        <v>1400</v>
      </c>
      <c r="C9505" s="13" t="s">
        <v>1401</v>
      </c>
      <c r="D9505" s="15">
        <v>4.0</v>
      </c>
      <c r="E9505" s="67">
        <f t="shared" si="20"/>
        <v>1000</v>
      </c>
      <c r="F9505" s="67"/>
    </row>
    <row r="9506" hidden="1">
      <c r="A9506" s="6" t="s">
        <v>106</v>
      </c>
      <c r="B9506" s="13" t="s">
        <v>672</v>
      </c>
      <c r="C9506" s="13" t="s">
        <v>673</v>
      </c>
      <c r="D9506" s="15">
        <v>3.0</v>
      </c>
      <c r="E9506" s="67">
        <f t="shared" si="20"/>
        <v>750</v>
      </c>
      <c r="F9506" s="67"/>
    </row>
    <row r="9507" hidden="1">
      <c r="A9507" s="6" t="s">
        <v>106</v>
      </c>
      <c r="B9507" s="13" t="s">
        <v>1404</v>
      </c>
      <c r="C9507" s="13" t="s">
        <v>1405</v>
      </c>
      <c r="D9507" s="15">
        <v>7.0</v>
      </c>
      <c r="E9507" s="67">
        <f t="shared" si="20"/>
        <v>1750</v>
      </c>
      <c r="F9507" s="67"/>
    </row>
    <row r="9508" hidden="1">
      <c r="A9508" s="6" t="s">
        <v>106</v>
      </c>
      <c r="B9508" s="13" t="s">
        <v>1408</v>
      </c>
      <c r="C9508" s="13" t="s">
        <v>675</v>
      </c>
      <c r="D9508" s="15">
        <v>3.0</v>
      </c>
      <c r="E9508" s="67">
        <f t="shared" si="20"/>
        <v>750</v>
      </c>
      <c r="F9508" s="67"/>
    </row>
    <row r="9509" hidden="1">
      <c r="A9509" s="6" t="s">
        <v>106</v>
      </c>
      <c r="B9509" s="13" t="s">
        <v>1409</v>
      </c>
      <c r="C9509" s="13" t="s">
        <v>677</v>
      </c>
      <c r="D9509" s="15">
        <v>11.0</v>
      </c>
      <c r="E9509" s="67">
        <f t="shared" si="20"/>
        <v>5500</v>
      </c>
      <c r="F9509" s="67"/>
    </row>
    <row r="9510" hidden="1">
      <c r="A9510" s="6" t="s">
        <v>106</v>
      </c>
      <c r="B9510" s="13" t="s">
        <v>1410</v>
      </c>
      <c r="C9510" s="13" t="s">
        <v>1411</v>
      </c>
      <c r="D9510" s="15">
        <v>5.0</v>
      </c>
      <c r="E9510" s="67">
        <f t="shared" si="20"/>
        <v>1250</v>
      </c>
      <c r="F9510" s="67"/>
    </row>
    <row r="9511" hidden="1">
      <c r="A9511" s="6" t="s">
        <v>106</v>
      </c>
      <c r="B9511" s="13" t="s">
        <v>680</v>
      </c>
      <c r="C9511" s="13" t="s">
        <v>681</v>
      </c>
      <c r="D9511" s="15">
        <v>8.0</v>
      </c>
      <c r="E9511" s="67">
        <f t="shared" si="20"/>
        <v>2000</v>
      </c>
      <c r="F9511" s="67"/>
    </row>
    <row r="9512" hidden="1">
      <c r="A9512" s="6" t="s">
        <v>106</v>
      </c>
      <c r="B9512" s="13" t="s">
        <v>246</v>
      </c>
      <c r="C9512" s="13" t="s">
        <v>1889</v>
      </c>
      <c r="D9512" s="15">
        <v>5.0</v>
      </c>
      <c r="E9512" s="67">
        <f t="shared" si="20"/>
        <v>1250</v>
      </c>
      <c r="F9512" s="67"/>
    </row>
    <row r="9513" hidden="1">
      <c r="A9513" s="6" t="s">
        <v>106</v>
      </c>
      <c r="B9513" s="13" t="s">
        <v>3230</v>
      </c>
      <c r="C9513" s="13" t="s">
        <v>3231</v>
      </c>
      <c r="D9513" s="15">
        <v>0.0</v>
      </c>
      <c r="E9513" s="67">
        <f t="shared" si="20"/>
        <v>0</v>
      </c>
      <c r="F9513" s="67"/>
    </row>
    <row r="9514" hidden="1">
      <c r="A9514" s="6" t="s">
        <v>106</v>
      </c>
      <c r="B9514" s="13" t="s">
        <v>682</v>
      </c>
      <c r="C9514" s="13" t="s">
        <v>683</v>
      </c>
      <c r="D9514" s="15">
        <v>7.0</v>
      </c>
      <c r="E9514" s="67">
        <f t="shared" si="20"/>
        <v>1750</v>
      </c>
      <c r="F9514" s="67"/>
    </row>
    <row r="9515" hidden="1">
      <c r="A9515" s="6" t="s">
        <v>106</v>
      </c>
      <c r="B9515" s="13" t="s">
        <v>684</v>
      </c>
      <c r="C9515" s="13" t="s">
        <v>685</v>
      </c>
      <c r="D9515" s="15">
        <v>9.0</v>
      </c>
      <c r="E9515" s="67">
        <f t="shared" si="20"/>
        <v>2250</v>
      </c>
      <c r="F9515" s="67"/>
    </row>
    <row r="9516" hidden="1">
      <c r="A9516" s="6" t="s">
        <v>106</v>
      </c>
      <c r="B9516" s="13" t="s">
        <v>3232</v>
      </c>
      <c r="C9516" s="13" t="s">
        <v>3233</v>
      </c>
      <c r="D9516" s="15">
        <v>0.0</v>
      </c>
      <c r="E9516" s="67">
        <f t="shared" si="20"/>
        <v>0</v>
      </c>
      <c r="F9516" s="67"/>
    </row>
    <row r="9517" hidden="1">
      <c r="A9517" s="6" t="s">
        <v>106</v>
      </c>
      <c r="B9517" s="13" t="s">
        <v>688</v>
      </c>
      <c r="C9517" s="13" t="s">
        <v>689</v>
      </c>
      <c r="D9517" s="15">
        <v>7.0</v>
      </c>
      <c r="E9517" s="67">
        <f t="shared" si="20"/>
        <v>1750</v>
      </c>
      <c r="F9517" s="67"/>
    </row>
    <row r="9518" hidden="1">
      <c r="A9518" s="6" t="s">
        <v>106</v>
      </c>
      <c r="B9518" s="13" t="s">
        <v>2892</v>
      </c>
      <c r="C9518" s="13" t="s">
        <v>2893</v>
      </c>
      <c r="D9518" s="15">
        <v>4.0</v>
      </c>
      <c r="E9518" s="67">
        <f t="shared" si="20"/>
        <v>1000</v>
      </c>
      <c r="F9518" s="67"/>
    </row>
    <row r="9519" hidden="1">
      <c r="A9519" s="6" t="s">
        <v>106</v>
      </c>
      <c r="B9519" s="13" t="s">
        <v>1415</v>
      </c>
      <c r="C9519" s="13" t="s">
        <v>1416</v>
      </c>
      <c r="D9519" s="15">
        <v>6.0</v>
      </c>
      <c r="E9519" s="67">
        <f t="shared" si="20"/>
        <v>1500</v>
      </c>
      <c r="F9519" s="67"/>
    </row>
    <row r="9520" hidden="1">
      <c r="A9520" s="6" t="s">
        <v>106</v>
      </c>
      <c r="B9520" s="13" t="s">
        <v>3234</v>
      </c>
      <c r="C9520" s="13" t="s">
        <v>3235</v>
      </c>
      <c r="D9520" s="15">
        <v>1.0</v>
      </c>
      <c r="E9520" s="67">
        <f t="shared" si="20"/>
        <v>250</v>
      </c>
      <c r="F9520" s="67"/>
    </row>
    <row r="9521" hidden="1">
      <c r="A9521" s="6" t="s">
        <v>106</v>
      </c>
      <c r="B9521" s="13" t="s">
        <v>307</v>
      </c>
      <c r="C9521" s="13" t="s">
        <v>692</v>
      </c>
      <c r="D9521" s="15">
        <v>3.0</v>
      </c>
      <c r="E9521" s="67">
        <f t="shared" si="20"/>
        <v>750</v>
      </c>
      <c r="F9521" s="67"/>
    </row>
    <row r="9522" hidden="1">
      <c r="A9522" s="6" t="s">
        <v>106</v>
      </c>
      <c r="B9522" s="13" t="s">
        <v>3131</v>
      </c>
      <c r="C9522" s="13" t="s">
        <v>3132</v>
      </c>
      <c r="D9522" s="15">
        <v>3.0</v>
      </c>
      <c r="E9522" s="67">
        <f t="shared" si="20"/>
        <v>750</v>
      </c>
      <c r="F9522" s="67"/>
    </row>
    <row r="9523" hidden="1">
      <c r="A9523" s="6" t="s">
        <v>106</v>
      </c>
      <c r="B9523" s="13" t="s">
        <v>693</v>
      </c>
      <c r="C9523" s="13" t="s">
        <v>694</v>
      </c>
      <c r="D9523" s="15">
        <v>2.0</v>
      </c>
      <c r="E9523" s="67">
        <f t="shared" si="20"/>
        <v>500</v>
      </c>
      <c r="F9523" s="67"/>
    </row>
    <row r="9524" hidden="1">
      <c r="A9524" s="6" t="s">
        <v>106</v>
      </c>
      <c r="B9524" s="13" t="s">
        <v>699</v>
      </c>
      <c r="C9524" s="13" t="s">
        <v>700</v>
      </c>
      <c r="D9524" s="15">
        <v>14.0</v>
      </c>
      <c r="E9524" s="67">
        <f t="shared" si="20"/>
        <v>7000</v>
      </c>
      <c r="F9524" s="67"/>
    </row>
    <row r="9525" hidden="1">
      <c r="A9525" s="6" t="s">
        <v>106</v>
      </c>
      <c r="B9525" s="13" t="s">
        <v>3129</v>
      </c>
      <c r="C9525" s="13" t="s">
        <v>3130</v>
      </c>
      <c r="D9525" s="15">
        <v>1.0</v>
      </c>
      <c r="E9525" s="67">
        <f t="shared" si="20"/>
        <v>250</v>
      </c>
      <c r="F9525" s="67"/>
    </row>
    <row r="9526" hidden="1">
      <c r="A9526" s="6" t="s">
        <v>106</v>
      </c>
      <c r="B9526" s="13" t="s">
        <v>3236</v>
      </c>
      <c r="C9526" s="13" t="s">
        <v>3237</v>
      </c>
      <c r="D9526" s="15">
        <v>7.0</v>
      </c>
      <c r="E9526" s="67">
        <f t="shared" si="20"/>
        <v>1750</v>
      </c>
      <c r="F9526" s="67"/>
    </row>
    <row r="9527" hidden="1">
      <c r="A9527" s="6" t="s">
        <v>106</v>
      </c>
      <c r="B9527" s="13" t="s">
        <v>701</v>
      </c>
      <c r="C9527" s="13" t="s">
        <v>702</v>
      </c>
      <c r="D9527" s="15">
        <v>8.0</v>
      </c>
      <c r="E9527" s="67">
        <f t="shared" si="20"/>
        <v>2000</v>
      </c>
      <c r="F9527" s="67"/>
    </row>
    <row r="9528" hidden="1">
      <c r="A9528" s="6" t="s">
        <v>106</v>
      </c>
      <c r="B9528" s="13" t="s">
        <v>3167</v>
      </c>
      <c r="C9528" s="13" t="s">
        <v>3168</v>
      </c>
      <c r="D9528" s="15">
        <v>1.0</v>
      </c>
      <c r="E9528" s="67">
        <f t="shared" si="20"/>
        <v>250</v>
      </c>
      <c r="F9528" s="67"/>
    </row>
    <row r="9529" hidden="1">
      <c r="A9529" s="6" t="s">
        <v>106</v>
      </c>
      <c r="B9529" s="13" t="s">
        <v>1418</v>
      </c>
      <c r="C9529" s="13" t="s">
        <v>708</v>
      </c>
      <c r="D9529" s="15">
        <v>2.0</v>
      </c>
      <c r="E9529" s="67">
        <f t="shared" si="20"/>
        <v>500</v>
      </c>
      <c r="F9529" s="67"/>
    </row>
    <row r="9530" hidden="1">
      <c r="A9530" s="6" t="s">
        <v>106</v>
      </c>
      <c r="B9530" s="13" t="s">
        <v>1419</v>
      </c>
      <c r="C9530" s="13" t="s">
        <v>1420</v>
      </c>
      <c r="D9530" s="15">
        <v>3.0</v>
      </c>
      <c r="E9530" s="67">
        <f t="shared" si="20"/>
        <v>750</v>
      </c>
      <c r="F9530" s="67"/>
    </row>
    <row r="9531" hidden="1">
      <c r="A9531" s="6" t="s">
        <v>106</v>
      </c>
      <c r="B9531" s="13" t="s">
        <v>1421</v>
      </c>
      <c r="C9531" s="13" t="s">
        <v>712</v>
      </c>
      <c r="D9531" s="15">
        <v>7.0</v>
      </c>
      <c r="E9531" s="67">
        <f t="shared" si="20"/>
        <v>1750</v>
      </c>
      <c r="F9531" s="67"/>
    </row>
    <row r="9532" hidden="1">
      <c r="A9532" s="6" t="s">
        <v>106</v>
      </c>
      <c r="B9532" s="13" t="s">
        <v>1422</v>
      </c>
      <c r="C9532" s="13" t="s">
        <v>1423</v>
      </c>
      <c r="D9532" s="15">
        <v>4.0</v>
      </c>
      <c r="E9532" s="67">
        <f t="shared" si="20"/>
        <v>1000</v>
      </c>
      <c r="F9532" s="67"/>
    </row>
    <row r="9533" hidden="1">
      <c r="A9533" s="6" t="s">
        <v>106</v>
      </c>
      <c r="B9533" s="13" t="s">
        <v>1424</v>
      </c>
      <c r="C9533" s="13" t="s">
        <v>1425</v>
      </c>
      <c r="D9533" s="15">
        <v>2.0</v>
      </c>
      <c r="E9533" s="67">
        <f t="shared" si="20"/>
        <v>500</v>
      </c>
      <c r="F9533" s="67"/>
    </row>
    <row r="9534" hidden="1">
      <c r="A9534" s="6" t="s">
        <v>106</v>
      </c>
      <c r="B9534" s="13" t="s">
        <v>719</v>
      </c>
      <c r="C9534" s="13" t="s">
        <v>720</v>
      </c>
      <c r="D9534" s="15">
        <v>7.0</v>
      </c>
      <c r="E9534" s="67">
        <f t="shared" si="20"/>
        <v>1750</v>
      </c>
      <c r="F9534" s="67"/>
    </row>
    <row r="9535" hidden="1">
      <c r="A9535" s="6" t="s">
        <v>106</v>
      </c>
      <c r="B9535" s="13" t="s">
        <v>721</v>
      </c>
      <c r="C9535" s="13" t="s">
        <v>722</v>
      </c>
      <c r="D9535" s="15">
        <v>1.0</v>
      </c>
      <c r="E9535" s="67">
        <f t="shared" si="20"/>
        <v>250</v>
      </c>
      <c r="F9535" s="67"/>
    </row>
    <row r="9536" hidden="1">
      <c r="A9536" s="6" t="s">
        <v>106</v>
      </c>
      <c r="B9536" s="13" t="s">
        <v>723</v>
      </c>
      <c r="C9536" s="13" t="s">
        <v>724</v>
      </c>
      <c r="D9536" s="15">
        <v>18.0</v>
      </c>
      <c r="E9536" s="67">
        <f t="shared" si="20"/>
        <v>9000</v>
      </c>
      <c r="F9536" s="67"/>
    </row>
    <row r="9537" hidden="1">
      <c r="A9537" s="6" t="s">
        <v>106</v>
      </c>
      <c r="B9537" s="13" t="s">
        <v>725</v>
      </c>
      <c r="C9537" s="13" t="s">
        <v>726</v>
      </c>
      <c r="D9537" s="15">
        <v>10.0</v>
      </c>
      <c r="E9537" s="67">
        <f t="shared" si="20"/>
        <v>5000</v>
      </c>
      <c r="F9537" s="67"/>
    </row>
    <row r="9538" hidden="1">
      <c r="A9538" s="6" t="s">
        <v>106</v>
      </c>
      <c r="B9538" s="13" t="s">
        <v>3238</v>
      </c>
      <c r="C9538" s="13" t="s">
        <v>3239</v>
      </c>
      <c r="D9538" s="15">
        <v>0.0</v>
      </c>
      <c r="E9538" s="67">
        <f t="shared" si="20"/>
        <v>0</v>
      </c>
      <c r="F9538" s="67"/>
    </row>
    <row r="9539" hidden="1">
      <c r="A9539" s="6" t="s">
        <v>106</v>
      </c>
      <c r="B9539" s="13" t="s">
        <v>1426</v>
      </c>
      <c r="C9539" s="13" t="s">
        <v>1427</v>
      </c>
      <c r="D9539" s="15">
        <v>11.0</v>
      </c>
      <c r="E9539" s="67">
        <f t="shared" si="20"/>
        <v>5500</v>
      </c>
      <c r="F9539" s="67"/>
    </row>
    <row r="9540" hidden="1">
      <c r="A9540" s="6" t="s">
        <v>106</v>
      </c>
      <c r="B9540" s="13" t="s">
        <v>3198</v>
      </c>
      <c r="C9540" s="13" t="s">
        <v>3199</v>
      </c>
      <c r="D9540" s="15">
        <v>2.0</v>
      </c>
      <c r="E9540" s="67">
        <f t="shared" si="20"/>
        <v>500</v>
      </c>
      <c r="F9540" s="67"/>
    </row>
    <row r="9541" hidden="1">
      <c r="A9541" s="6" t="s">
        <v>106</v>
      </c>
      <c r="B9541" s="13" t="s">
        <v>3177</v>
      </c>
      <c r="C9541" s="13" t="s">
        <v>3178</v>
      </c>
      <c r="D9541" s="15">
        <v>6.0</v>
      </c>
      <c r="E9541" s="67">
        <f t="shared" si="20"/>
        <v>1500</v>
      </c>
      <c r="F9541" s="67"/>
    </row>
    <row r="9542" hidden="1">
      <c r="A9542" s="6" t="s">
        <v>106</v>
      </c>
      <c r="B9542" s="13" t="s">
        <v>1428</v>
      </c>
      <c r="C9542" s="13" t="s">
        <v>1429</v>
      </c>
      <c r="D9542" s="15">
        <v>9.0</v>
      </c>
      <c r="E9542" s="67">
        <f t="shared" si="20"/>
        <v>2250</v>
      </c>
      <c r="F9542" s="67"/>
    </row>
    <row r="9543" hidden="1">
      <c r="A9543" s="6" t="s">
        <v>106</v>
      </c>
      <c r="B9543" s="13" t="s">
        <v>1430</v>
      </c>
      <c r="C9543" s="13" t="s">
        <v>1431</v>
      </c>
      <c r="D9543" s="15">
        <v>1.0</v>
      </c>
      <c r="E9543" s="67">
        <f t="shared" si="20"/>
        <v>250</v>
      </c>
      <c r="F9543" s="67"/>
    </row>
    <row r="9544" hidden="1">
      <c r="A9544" s="6" t="s">
        <v>106</v>
      </c>
      <c r="B9544" s="13" t="s">
        <v>1897</v>
      </c>
      <c r="C9544" s="13" t="s">
        <v>2460</v>
      </c>
      <c r="D9544" s="15">
        <v>6.0</v>
      </c>
      <c r="E9544" s="67">
        <f t="shared" si="20"/>
        <v>1500</v>
      </c>
      <c r="F9544" s="67"/>
    </row>
    <row r="9545" hidden="1">
      <c r="A9545" s="6" t="s">
        <v>106</v>
      </c>
      <c r="B9545" s="13" t="s">
        <v>1432</v>
      </c>
      <c r="C9545" s="13" t="s">
        <v>1433</v>
      </c>
      <c r="D9545" s="15">
        <v>10.0</v>
      </c>
      <c r="E9545" s="67">
        <f t="shared" si="20"/>
        <v>5000</v>
      </c>
      <c r="F9545" s="67"/>
    </row>
    <row r="9546" hidden="1">
      <c r="A9546" s="6" t="s">
        <v>106</v>
      </c>
      <c r="B9546" s="13" t="s">
        <v>3143</v>
      </c>
      <c r="C9546" s="13" t="s">
        <v>3144</v>
      </c>
      <c r="D9546" s="15">
        <v>2.0</v>
      </c>
      <c r="E9546" s="67">
        <f t="shared" si="20"/>
        <v>500</v>
      </c>
      <c r="F9546" s="67"/>
    </row>
    <row r="9547" hidden="1">
      <c r="A9547" s="6" t="s">
        <v>106</v>
      </c>
      <c r="B9547" s="13" t="s">
        <v>823</v>
      </c>
      <c r="C9547" s="13" t="s">
        <v>824</v>
      </c>
      <c r="D9547" s="15">
        <v>2.0</v>
      </c>
      <c r="E9547" s="67">
        <f t="shared" si="20"/>
        <v>500</v>
      </c>
      <c r="F9547" s="67"/>
    </row>
    <row r="9548" hidden="1">
      <c r="A9548" s="6" t="s">
        <v>106</v>
      </c>
      <c r="B9548" s="13" t="s">
        <v>3202</v>
      </c>
      <c r="C9548" s="13" t="s">
        <v>3203</v>
      </c>
      <c r="D9548" s="15">
        <v>5.0</v>
      </c>
      <c r="E9548" s="67">
        <f t="shared" si="20"/>
        <v>1250</v>
      </c>
      <c r="F9548" s="67"/>
    </row>
    <row r="9549" hidden="1">
      <c r="A9549" s="6" t="s">
        <v>106</v>
      </c>
      <c r="B9549" s="13" t="s">
        <v>3196</v>
      </c>
      <c r="C9549" s="13" t="s">
        <v>3197</v>
      </c>
      <c r="D9549" s="15">
        <v>2.0</v>
      </c>
      <c r="E9549" s="67">
        <f t="shared" si="20"/>
        <v>500</v>
      </c>
      <c r="F9549" s="67"/>
    </row>
    <row r="9550" hidden="1">
      <c r="A9550" s="6" t="s">
        <v>106</v>
      </c>
      <c r="B9550" s="13" t="s">
        <v>736</v>
      </c>
      <c r="C9550" s="13" t="s">
        <v>737</v>
      </c>
      <c r="D9550" s="15">
        <v>10.0</v>
      </c>
      <c r="E9550" s="67">
        <f t="shared" si="20"/>
        <v>5000</v>
      </c>
      <c r="F9550" s="67"/>
    </row>
    <row r="9551" hidden="1">
      <c r="A9551" s="6" t="s">
        <v>106</v>
      </c>
      <c r="B9551" s="13" t="s">
        <v>1279</v>
      </c>
      <c r="C9551" s="13" t="s">
        <v>739</v>
      </c>
      <c r="D9551" s="15">
        <v>4.0</v>
      </c>
      <c r="E9551" s="67">
        <f t="shared" si="20"/>
        <v>1000</v>
      </c>
      <c r="F9551" s="67"/>
    </row>
    <row r="9552" hidden="1">
      <c r="A9552" s="6" t="s">
        <v>106</v>
      </c>
      <c r="B9552" s="13" t="s">
        <v>1435</v>
      </c>
      <c r="C9552" s="13" t="s">
        <v>741</v>
      </c>
      <c r="D9552" s="15">
        <v>1.0</v>
      </c>
      <c r="E9552" s="67">
        <f t="shared" si="20"/>
        <v>250</v>
      </c>
      <c r="F9552" s="67"/>
    </row>
    <row r="9553" hidden="1">
      <c r="A9553" s="6" t="s">
        <v>106</v>
      </c>
      <c r="B9553" s="13" t="s">
        <v>744</v>
      </c>
      <c r="C9553" s="13" t="s">
        <v>745</v>
      </c>
      <c r="D9553" s="15">
        <v>2.0</v>
      </c>
      <c r="E9553" s="67">
        <f t="shared" si="20"/>
        <v>500</v>
      </c>
      <c r="F9553" s="67"/>
    </row>
    <row r="9554" hidden="1">
      <c r="A9554" s="6" t="s">
        <v>106</v>
      </c>
      <c r="B9554" s="13" t="s">
        <v>1438</v>
      </c>
      <c r="C9554" s="13" t="s">
        <v>1439</v>
      </c>
      <c r="D9554" s="15">
        <v>6.0</v>
      </c>
      <c r="E9554" s="67">
        <f t="shared" si="20"/>
        <v>1500</v>
      </c>
      <c r="F9554" s="67"/>
    </row>
    <row r="9555" hidden="1">
      <c r="A9555" s="6" t="s">
        <v>106</v>
      </c>
      <c r="B9555" s="13" t="s">
        <v>1440</v>
      </c>
      <c r="C9555" s="13" t="s">
        <v>1441</v>
      </c>
      <c r="D9555" s="15">
        <v>2.0</v>
      </c>
      <c r="E9555" s="67">
        <f t="shared" si="20"/>
        <v>500</v>
      </c>
      <c r="F9555" s="67"/>
    </row>
    <row r="9556" hidden="1">
      <c r="A9556" s="6" t="s">
        <v>106</v>
      </c>
      <c r="B9556" s="13" t="s">
        <v>746</v>
      </c>
      <c r="C9556" s="13" t="s">
        <v>747</v>
      </c>
      <c r="D9556" s="15">
        <v>17.0</v>
      </c>
      <c r="E9556" s="67">
        <f t="shared" si="20"/>
        <v>8500</v>
      </c>
      <c r="F9556" s="67"/>
    </row>
    <row r="9557" hidden="1">
      <c r="A9557" s="6" t="s">
        <v>106</v>
      </c>
      <c r="B9557" s="13" t="s">
        <v>1442</v>
      </c>
      <c r="C9557" s="13" t="s">
        <v>749</v>
      </c>
      <c r="D9557" s="15">
        <v>12.0</v>
      </c>
      <c r="E9557" s="67">
        <f t="shared" si="20"/>
        <v>6000</v>
      </c>
      <c r="F9557" s="67"/>
    </row>
    <row r="9558" hidden="1">
      <c r="A9558" s="6" t="s">
        <v>106</v>
      </c>
      <c r="B9558" s="13" t="s">
        <v>752</v>
      </c>
      <c r="C9558" s="13" t="s">
        <v>753</v>
      </c>
      <c r="D9558" s="15">
        <v>12.0</v>
      </c>
      <c r="E9558" s="67">
        <f t="shared" si="20"/>
        <v>6000</v>
      </c>
      <c r="F9558" s="67"/>
    </row>
    <row r="9559" hidden="1">
      <c r="A9559" s="6" t="s">
        <v>106</v>
      </c>
      <c r="B9559" s="13" t="s">
        <v>1443</v>
      </c>
      <c r="C9559" s="13" t="s">
        <v>755</v>
      </c>
      <c r="D9559" s="15">
        <v>4.0</v>
      </c>
      <c r="E9559" s="67">
        <f t="shared" si="20"/>
        <v>1000</v>
      </c>
      <c r="F9559" s="67"/>
    </row>
    <row r="9560" hidden="1">
      <c r="A9560" s="6" t="s">
        <v>106</v>
      </c>
      <c r="B9560" s="13" t="s">
        <v>2785</v>
      </c>
      <c r="C9560" s="13" t="s">
        <v>2786</v>
      </c>
      <c r="D9560" s="15">
        <v>8.0</v>
      </c>
      <c r="E9560" s="67">
        <f t="shared" si="20"/>
        <v>2000</v>
      </c>
      <c r="F9560" s="67"/>
    </row>
    <row r="9561" hidden="1">
      <c r="A9561" s="6" t="s">
        <v>106</v>
      </c>
      <c r="B9561" s="13" t="s">
        <v>2299</v>
      </c>
      <c r="C9561" s="13" t="s">
        <v>2300</v>
      </c>
      <c r="D9561" s="15">
        <v>2.0</v>
      </c>
      <c r="E9561" s="67">
        <f t="shared" si="20"/>
        <v>500</v>
      </c>
      <c r="F9561" s="67"/>
    </row>
    <row r="9562" hidden="1">
      <c r="A9562" s="6" t="s">
        <v>106</v>
      </c>
      <c r="B9562" s="13" t="s">
        <v>1037</v>
      </c>
      <c r="C9562" s="13" t="s">
        <v>1038</v>
      </c>
      <c r="D9562" s="15">
        <v>4.0</v>
      </c>
      <c r="E9562" s="67">
        <f t="shared" si="20"/>
        <v>1000</v>
      </c>
      <c r="F9562" s="67"/>
    </row>
    <row r="9563" hidden="1">
      <c r="A9563" s="6" t="s">
        <v>106</v>
      </c>
      <c r="B9563" s="13" t="s">
        <v>764</v>
      </c>
      <c r="C9563" s="13" t="s">
        <v>765</v>
      </c>
      <c r="D9563" s="15">
        <v>8.0</v>
      </c>
      <c r="E9563" s="67">
        <f t="shared" si="20"/>
        <v>2000</v>
      </c>
      <c r="F9563" s="67"/>
    </row>
    <row r="9564" hidden="1">
      <c r="A9564" s="6" t="s">
        <v>106</v>
      </c>
      <c r="B9564" s="13" t="s">
        <v>900</v>
      </c>
      <c r="C9564" s="13" t="s">
        <v>901</v>
      </c>
      <c r="D9564" s="15">
        <v>2.0</v>
      </c>
      <c r="E9564" s="67">
        <f t="shared" si="20"/>
        <v>500</v>
      </c>
      <c r="F9564" s="67"/>
    </row>
    <row r="9565" hidden="1">
      <c r="A9565" s="6" t="s">
        <v>106</v>
      </c>
      <c r="B9565" s="13" t="s">
        <v>766</v>
      </c>
      <c r="C9565" s="13" t="s">
        <v>767</v>
      </c>
      <c r="D9565" s="15">
        <v>22.0</v>
      </c>
      <c r="E9565" s="67">
        <f t="shared" si="20"/>
        <v>11000</v>
      </c>
      <c r="F9565" s="67"/>
    </row>
    <row r="9566" hidden="1">
      <c r="A9566" s="6" t="s">
        <v>106</v>
      </c>
      <c r="B9566" s="13" t="s">
        <v>3175</v>
      </c>
      <c r="C9566" s="13" t="s">
        <v>3176</v>
      </c>
      <c r="D9566" s="15">
        <v>1.0</v>
      </c>
      <c r="E9566" s="67">
        <f t="shared" si="20"/>
        <v>250</v>
      </c>
      <c r="F9566" s="67"/>
    </row>
    <row r="9567" hidden="1">
      <c r="A9567" s="6" t="s">
        <v>106</v>
      </c>
      <c r="B9567" s="13" t="s">
        <v>1448</v>
      </c>
      <c r="C9567" s="13" t="s">
        <v>1449</v>
      </c>
      <c r="D9567" s="15">
        <v>2.0</v>
      </c>
      <c r="E9567" s="67">
        <f t="shared" si="20"/>
        <v>500</v>
      </c>
      <c r="F9567" s="67"/>
    </row>
    <row r="9568" hidden="1">
      <c r="A9568" s="6" t="s">
        <v>107</v>
      </c>
      <c r="B9568" s="13" t="s">
        <v>1280</v>
      </c>
      <c r="C9568" s="13" t="s">
        <v>398</v>
      </c>
      <c r="D9568" s="15">
        <v>0.0</v>
      </c>
      <c r="E9568" s="67"/>
      <c r="F9568" s="67"/>
    </row>
    <row r="9569" hidden="1">
      <c r="A9569" s="6" t="s">
        <v>107</v>
      </c>
      <c r="B9569" s="13" t="s">
        <v>3240</v>
      </c>
      <c r="C9569" s="13" t="s">
        <v>3241</v>
      </c>
      <c r="D9569" s="15">
        <v>0.0</v>
      </c>
      <c r="E9569" s="67"/>
      <c r="F9569" s="67"/>
    </row>
    <row r="9570" hidden="1">
      <c r="A9570" s="6" t="s">
        <v>107</v>
      </c>
      <c r="B9570" s="13" t="s">
        <v>3208</v>
      </c>
      <c r="C9570" s="13" t="s">
        <v>3209</v>
      </c>
      <c r="D9570" s="15">
        <v>5.0</v>
      </c>
      <c r="E9570" s="67">
        <f t="shared" ref="E9570:E9580" si="22">IF(D9570&lt;10, D9570*250, D9570*500)</f>
        <v>1250</v>
      </c>
      <c r="F9570" s="67"/>
    </row>
    <row r="9571" hidden="1">
      <c r="A9571" s="6" t="s">
        <v>107</v>
      </c>
      <c r="B9571" s="13" t="s">
        <v>1281</v>
      </c>
      <c r="C9571" s="13" t="s">
        <v>1282</v>
      </c>
      <c r="D9571" s="15">
        <v>2.0</v>
      </c>
      <c r="E9571" s="67">
        <f t="shared" si="22"/>
        <v>500</v>
      </c>
      <c r="F9571" s="67"/>
    </row>
    <row r="9572" hidden="1">
      <c r="A9572" s="6" t="s">
        <v>107</v>
      </c>
      <c r="B9572" s="13" t="s">
        <v>1157</v>
      </c>
      <c r="C9572" s="13" t="s">
        <v>1158</v>
      </c>
      <c r="D9572" s="15">
        <v>2.0</v>
      </c>
      <c r="E9572" s="67">
        <f t="shared" si="22"/>
        <v>500</v>
      </c>
      <c r="F9572" s="67"/>
    </row>
    <row r="9573" hidden="1">
      <c r="A9573" s="6" t="s">
        <v>107</v>
      </c>
      <c r="B9573" s="13" t="s">
        <v>2367</v>
      </c>
      <c r="C9573" s="13" t="s">
        <v>2368</v>
      </c>
      <c r="D9573" s="15">
        <v>5.0</v>
      </c>
      <c r="E9573" s="67">
        <f t="shared" si="22"/>
        <v>1250</v>
      </c>
      <c r="F9573" s="67"/>
    </row>
    <row r="9574" hidden="1">
      <c r="A9574" s="6" t="s">
        <v>107</v>
      </c>
      <c r="B9574" s="13" t="s">
        <v>1283</v>
      </c>
      <c r="C9574" s="13" t="s">
        <v>404</v>
      </c>
      <c r="D9574" s="15">
        <v>3.0</v>
      </c>
      <c r="E9574" s="67">
        <f t="shared" si="22"/>
        <v>750</v>
      </c>
      <c r="F9574" s="67"/>
    </row>
    <row r="9575" hidden="1">
      <c r="A9575" s="6" t="s">
        <v>107</v>
      </c>
      <c r="B9575" s="13" t="s">
        <v>405</v>
      </c>
      <c r="C9575" s="13" t="s">
        <v>406</v>
      </c>
      <c r="D9575" s="15">
        <v>1.0</v>
      </c>
      <c r="E9575" s="67">
        <f t="shared" si="22"/>
        <v>250</v>
      </c>
      <c r="F9575" s="67"/>
    </row>
    <row r="9576" hidden="1">
      <c r="A9576" s="6" t="s">
        <v>107</v>
      </c>
      <c r="B9576" s="13" t="s">
        <v>1284</v>
      </c>
      <c r="C9576" s="13" t="s">
        <v>1285</v>
      </c>
      <c r="D9576" s="15">
        <v>1.0</v>
      </c>
      <c r="E9576" s="67">
        <f t="shared" si="22"/>
        <v>250</v>
      </c>
      <c r="F9576" s="67"/>
    </row>
    <row r="9577" hidden="1">
      <c r="A9577" s="6" t="s">
        <v>107</v>
      </c>
      <c r="B9577" s="13" t="s">
        <v>1286</v>
      </c>
      <c r="C9577" s="13" t="s">
        <v>408</v>
      </c>
      <c r="D9577" s="15">
        <v>2.0</v>
      </c>
      <c r="E9577" s="67">
        <f t="shared" si="22"/>
        <v>500</v>
      </c>
      <c r="F9577" s="67"/>
    </row>
    <row r="9578" hidden="1">
      <c r="A9578" s="6" t="s">
        <v>107</v>
      </c>
      <c r="B9578" s="13" t="s">
        <v>2911</v>
      </c>
      <c r="C9578" s="13" t="s">
        <v>2912</v>
      </c>
      <c r="D9578" s="15">
        <v>3.0</v>
      </c>
      <c r="E9578" s="67">
        <f t="shared" si="22"/>
        <v>750</v>
      </c>
      <c r="F9578" s="67"/>
    </row>
    <row r="9579" hidden="1">
      <c r="A9579" s="6" t="s">
        <v>107</v>
      </c>
      <c r="B9579" s="13" t="s">
        <v>2911</v>
      </c>
      <c r="C9579" s="13" t="s">
        <v>1288</v>
      </c>
      <c r="D9579" s="15">
        <v>2.0</v>
      </c>
      <c r="E9579" s="67">
        <f t="shared" si="22"/>
        <v>500</v>
      </c>
      <c r="F9579" s="67"/>
    </row>
    <row r="9580" hidden="1">
      <c r="A9580" s="6" t="s">
        <v>107</v>
      </c>
      <c r="B9580" s="13" t="s">
        <v>411</v>
      </c>
      <c r="C9580" s="13" t="s">
        <v>412</v>
      </c>
      <c r="D9580" s="15">
        <v>19.0</v>
      </c>
      <c r="E9580" s="67">
        <f t="shared" si="22"/>
        <v>9500</v>
      </c>
      <c r="F9580" s="67"/>
    </row>
    <row r="9581" hidden="1">
      <c r="A9581" s="6" t="s">
        <v>107</v>
      </c>
      <c r="B9581" s="13" t="s">
        <v>413</v>
      </c>
      <c r="C9581" s="13" t="s">
        <v>414</v>
      </c>
      <c r="D9581" s="15">
        <v>8.0</v>
      </c>
      <c r="E9581" s="83">
        <v>4000.0</v>
      </c>
      <c r="F9581" s="83"/>
    </row>
    <row r="9582" hidden="1">
      <c r="A9582" s="6" t="s">
        <v>107</v>
      </c>
      <c r="B9582" s="13" t="s">
        <v>417</v>
      </c>
      <c r="C9582" s="13" t="s">
        <v>418</v>
      </c>
      <c r="D9582" s="15">
        <v>6.0</v>
      </c>
      <c r="E9582" s="67">
        <f t="shared" ref="E9582:E9583" si="23">IF(D9582&lt;10, D9582*250, D9582*500)</f>
        <v>1500</v>
      </c>
      <c r="F9582" s="67"/>
    </row>
    <row r="9583" hidden="1">
      <c r="A9583" s="6" t="s">
        <v>107</v>
      </c>
      <c r="B9583" s="13" t="s">
        <v>1289</v>
      </c>
      <c r="C9583" s="13" t="s">
        <v>1290</v>
      </c>
      <c r="D9583" s="15">
        <v>1.0</v>
      </c>
      <c r="E9583" s="67">
        <f t="shared" si="23"/>
        <v>250</v>
      </c>
      <c r="F9583" s="67"/>
    </row>
    <row r="9584" hidden="1">
      <c r="A9584" s="6" t="s">
        <v>107</v>
      </c>
      <c r="B9584" s="13" t="s">
        <v>3242</v>
      </c>
      <c r="C9584" s="13" t="s">
        <v>3243</v>
      </c>
      <c r="D9584" s="15">
        <v>0.0</v>
      </c>
      <c r="E9584" s="67"/>
      <c r="F9584" s="67"/>
    </row>
    <row r="9585" hidden="1">
      <c r="A9585" s="6" t="s">
        <v>107</v>
      </c>
      <c r="B9585" s="13" t="s">
        <v>1291</v>
      </c>
      <c r="C9585" s="13" t="s">
        <v>422</v>
      </c>
      <c r="D9585" s="15">
        <v>2.0</v>
      </c>
      <c r="E9585" s="67">
        <f>IF(D9585&lt;10, D9585*250, D9585*500)</f>
        <v>500</v>
      </c>
      <c r="F9585" s="67"/>
    </row>
    <row r="9586" hidden="1">
      <c r="A9586" s="6" t="s">
        <v>107</v>
      </c>
      <c r="B9586" s="13" t="s">
        <v>1292</v>
      </c>
      <c r="C9586" s="13" t="s">
        <v>424</v>
      </c>
      <c r="D9586" s="15">
        <v>0.0</v>
      </c>
      <c r="E9586" s="67"/>
      <c r="F9586" s="67"/>
    </row>
    <row r="9587" hidden="1">
      <c r="A9587" s="6" t="s">
        <v>107</v>
      </c>
      <c r="B9587" s="13" t="s">
        <v>1712</v>
      </c>
      <c r="C9587" s="13" t="s">
        <v>2900</v>
      </c>
      <c r="D9587" s="15">
        <v>1.0</v>
      </c>
      <c r="E9587" s="67">
        <f t="shared" ref="E9587:E9593" si="24">IF(D9587&lt;10, D9587*250, D9587*500)</f>
        <v>250</v>
      </c>
      <c r="F9587" s="67"/>
    </row>
    <row r="9588" hidden="1">
      <c r="A9588" s="6" t="s">
        <v>107</v>
      </c>
      <c r="B9588" s="13" t="s">
        <v>431</v>
      </c>
      <c r="C9588" s="13" t="s">
        <v>432</v>
      </c>
      <c r="D9588" s="15">
        <v>1.0</v>
      </c>
      <c r="E9588" s="67">
        <f t="shared" si="24"/>
        <v>250</v>
      </c>
      <c r="F9588" s="67"/>
    </row>
    <row r="9589" hidden="1">
      <c r="A9589" s="6" t="s">
        <v>107</v>
      </c>
      <c r="B9589" s="13" t="s">
        <v>433</v>
      </c>
      <c r="C9589" s="13" t="s">
        <v>434</v>
      </c>
      <c r="D9589" s="15">
        <v>1.0</v>
      </c>
      <c r="E9589" s="67">
        <f t="shared" si="24"/>
        <v>250</v>
      </c>
      <c r="F9589" s="67"/>
    </row>
    <row r="9590" hidden="1">
      <c r="A9590" s="6" t="s">
        <v>107</v>
      </c>
      <c r="B9590" s="13" t="s">
        <v>435</v>
      </c>
      <c r="C9590" s="13" t="s">
        <v>436</v>
      </c>
      <c r="D9590" s="15">
        <v>11.0</v>
      </c>
      <c r="E9590" s="67">
        <f t="shared" si="24"/>
        <v>5500</v>
      </c>
      <c r="F9590" s="67"/>
    </row>
    <row r="9591" hidden="1">
      <c r="A9591" s="6" t="s">
        <v>107</v>
      </c>
      <c r="B9591" s="13" t="s">
        <v>439</v>
      </c>
      <c r="C9591" s="13" t="s">
        <v>440</v>
      </c>
      <c r="D9591" s="15">
        <v>11.0</v>
      </c>
      <c r="E9591" s="67">
        <f t="shared" si="24"/>
        <v>5500</v>
      </c>
      <c r="F9591" s="67"/>
    </row>
    <row r="9592" hidden="1">
      <c r="A9592" s="6" t="s">
        <v>107</v>
      </c>
      <c r="B9592" s="13" t="s">
        <v>1293</v>
      </c>
      <c r="C9592" s="13" t="s">
        <v>1294</v>
      </c>
      <c r="D9592" s="15">
        <v>2.0</v>
      </c>
      <c r="E9592" s="67">
        <f t="shared" si="24"/>
        <v>500</v>
      </c>
      <c r="F9592" s="67"/>
    </row>
    <row r="9593" hidden="1">
      <c r="A9593" s="6" t="s">
        <v>107</v>
      </c>
      <c r="B9593" s="13" t="s">
        <v>3121</v>
      </c>
      <c r="C9593" s="13" t="s">
        <v>3122</v>
      </c>
      <c r="D9593" s="15">
        <v>5.0</v>
      </c>
      <c r="E9593" s="67">
        <f t="shared" si="24"/>
        <v>1250</v>
      </c>
      <c r="F9593" s="67"/>
    </row>
    <row r="9594" hidden="1">
      <c r="A9594" s="6" t="s">
        <v>107</v>
      </c>
      <c r="B9594" s="13" t="s">
        <v>443</v>
      </c>
      <c r="C9594" s="13" t="s">
        <v>444</v>
      </c>
      <c r="D9594" s="15">
        <v>9.0</v>
      </c>
      <c r="E9594" s="83">
        <v>4500.0</v>
      </c>
      <c r="F9594" s="83"/>
    </row>
    <row r="9595" hidden="1">
      <c r="A9595" s="6" t="s">
        <v>107</v>
      </c>
      <c r="B9595" s="13" t="s">
        <v>3244</v>
      </c>
      <c r="C9595" s="13" t="s">
        <v>3245</v>
      </c>
      <c r="D9595" s="15">
        <v>0.0</v>
      </c>
      <c r="E9595" s="67"/>
      <c r="F9595" s="67"/>
    </row>
    <row r="9596" hidden="1">
      <c r="A9596" s="6" t="s">
        <v>107</v>
      </c>
      <c r="B9596" s="13" t="s">
        <v>449</v>
      </c>
      <c r="C9596" s="13" t="s">
        <v>450</v>
      </c>
      <c r="D9596" s="15">
        <v>2.0</v>
      </c>
      <c r="E9596" s="67">
        <f t="shared" ref="E9596:E9606" si="25">IF(D9596&lt;10, D9596*250, D9596*500)</f>
        <v>500</v>
      </c>
      <c r="F9596" s="67"/>
    </row>
    <row r="9597" hidden="1">
      <c r="A9597" s="6" t="s">
        <v>107</v>
      </c>
      <c r="B9597" s="13" t="s">
        <v>1295</v>
      </c>
      <c r="C9597" s="13" t="s">
        <v>1296</v>
      </c>
      <c r="D9597" s="15">
        <v>3.0</v>
      </c>
      <c r="E9597" s="67">
        <f t="shared" si="25"/>
        <v>750</v>
      </c>
      <c r="F9597" s="67"/>
    </row>
    <row r="9598" hidden="1">
      <c r="A9598" s="6" t="s">
        <v>107</v>
      </c>
      <c r="B9598" s="13" t="s">
        <v>451</v>
      </c>
      <c r="C9598" s="13" t="s">
        <v>452</v>
      </c>
      <c r="D9598" s="15">
        <v>6.0</v>
      </c>
      <c r="E9598" s="67">
        <f t="shared" si="25"/>
        <v>1500</v>
      </c>
      <c r="F9598" s="67"/>
    </row>
    <row r="9599" hidden="1">
      <c r="A9599" s="6" t="s">
        <v>107</v>
      </c>
      <c r="B9599" s="13" t="s">
        <v>1297</v>
      </c>
      <c r="C9599" s="13" t="s">
        <v>1298</v>
      </c>
      <c r="D9599" s="15">
        <v>4.0</v>
      </c>
      <c r="E9599" s="67">
        <f t="shared" si="25"/>
        <v>1000</v>
      </c>
      <c r="F9599" s="67"/>
    </row>
    <row r="9600" hidden="1">
      <c r="A9600" s="6" t="s">
        <v>107</v>
      </c>
      <c r="B9600" s="13" t="s">
        <v>2977</v>
      </c>
      <c r="C9600" s="13" t="s">
        <v>2978</v>
      </c>
      <c r="D9600" s="15">
        <v>3.0</v>
      </c>
      <c r="E9600" s="67">
        <f t="shared" si="25"/>
        <v>750</v>
      </c>
      <c r="F9600" s="67"/>
    </row>
    <row r="9601" hidden="1">
      <c r="A9601" s="6" t="s">
        <v>107</v>
      </c>
      <c r="B9601" s="13" t="s">
        <v>1299</v>
      </c>
      <c r="C9601" s="13" t="s">
        <v>1300</v>
      </c>
      <c r="D9601" s="15">
        <v>4.0</v>
      </c>
      <c r="E9601" s="67">
        <f t="shared" si="25"/>
        <v>1000</v>
      </c>
      <c r="F9601" s="67"/>
    </row>
    <row r="9602" hidden="1">
      <c r="A9602" s="6" t="s">
        <v>107</v>
      </c>
      <c r="B9602" s="13" t="s">
        <v>1873</v>
      </c>
      <c r="C9602" s="13" t="s">
        <v>1874</v>
      </c>
      <c r="D9602" s="15">
        <v>5.0</v>
      </c>
      <c r="E9602" s="67">
        <f t="shared" si="25"/>
        <v>1250</v>
      </c>
      <c r="F9602" s="67"/>
    </row>
    <row r="9603" hidden="1">
      <c r="A9603" s="6" t="s">
        <v>107</v>
      </c>
      <c r="B9603" s="13" t="s">
        <v>3141</v>
      </c>
      <c r="C9603" s="13" t="s">
        <v>3142</v>
      </c>
      <c r="D9603" s="15">
        <v>4.0</v>
      </c>
      <c r="E9603" s="67">
        <f t="shared" si="25"/>
        <v>1000</v>
      </c>
      <c r="F9603" s="67"/>
    </row>
    <row r="9604" hidden="1">
      <c r="A9604" s="6" t="s">
        <v>107</v>
      </c>
      <c r="B9604" s="13" t="s">
        <v>1276</v>
      </c>
      <c r="C9604" s="13" t="s">
        <v>461</v>
      </c>
      <c r="D9604" s="15">
        <v>3.0</v>
      </c>
      <c r="E9604" s="67">
        <f t="shared" si="25"/>
        <v>750</v>
      </c>
      <c r="F9604" s="67"/>
    </row>
    <row r="9605" hidden="1">
      <c r="A9605" s="6" t="s">
        <v>107</v>
      </c>
      <c r="B9605" s="13" t="s">
        <v>462</v>
      </c>
      <c r="C9605" s="13" t="s">
        <v>463</v>
      </c>
      <c r="D9605" s="15">
        <v>5.0</v>
      </c>
      <c r="E9605" s="67">
        <f t="shared" si="25"/>
        <v>1250</v>
      </c>
      <c r="F9605" s="67"/>
    </row>
    <row r="9606" hidden="1">
      <c r="A9606" s="6" t="s">
        <v>107</v>
      </c>
      <c r="B9606" s="13" t="s">
        <v>1301</v>
      </c>
      <c r="C9606" s="13" t="s">
        <v>1302</v>
      </c>
      <c r="D9606" s="15">
        <v>5.0</v>
      </c>
      <c r="E9606" s="67">
        <f t="shared" si="25"/>
        <v>1250</v>
      </c>
      <c r="F9606" s="67"/>
    </row>
    <row r="9607" hidden="1">
      <c r="A9607" s="6" t="s">
        <v>107</v>
      </c>
      <c r="B9607" s="13" t="s">
        <v>3246</v>
      </c>
      <c r="C9607" s="13" t="s">
        <v>3247</v>
      </c>
      <c r="D9607" s="15">
        <v>0.0</v>
      </c>
      <c r="E9607" s="67"/>
      <c r="F9607" s="67"/>
    </row>
    <row r="9608" hidden="1">
      <c r="A9608" s="6" t="s">
        <v>107</v>
      </c>
      <c r="B9608" s="13" t="s">
        <v>1303</v>
      </c>
      <c r="C9608" s="13" t="s">
        <v>467</v>
      </c>
      <c r="D9608" s="15">
        <v>5.0</v>
      </c>
      <c r="E9608" s="67">
        <f t="shared" ref="E9608:E9621" si="26">IF(D9608&lt;10, D9608*250, D9608*500)</f>
        <v>1250</v>
      </c>
      <c r="F9608" s="67"/>
    </row>
    <row r="9609" hidden="1">
      <c r="A9609" s="6" t="s">
        <v>107</v>
      </c>
      <c r="B9609" s="13" t="s">
        <v>472</v>
      </c>
      <c r="C9609" s="13" t="s">
        <v>473</v>
      </c>
      <c r="D9609" s="15">
        <v>2.0</v>
      </c>
      <c r="E9609" s="67">
        <f t="shared" si="26"/>
        <v>500</v>
      </c>
      <c r="F9609" s="67"/>
    </row>
    <row r="9610" hidden="1">
      <c r="A9610" s="6" t="s">
        <v>107</v>
      </c>
      <c r="B9610" s="13" t="s">
        <v>3214</v>
      </c>
      <c r="C9610" s="13" t="s">
        <v>3215</v>
      </c>
      <c r="D9610" s="15">
        <v>5.0</v>
      </c>
      <c r="E9610" s="67">
        <f t="shared" si="26"/>
        <v>1250</v>
      </c>
      <c r="F9610" s="67"/>
    </row>
    <row r="9611" hidden="1">
      <c r="A9611" s="6" t="s">
        <v>107</v>
      </c>
      <c r="B9611" s="13" t="s">
        <v>476</v>
      </c>
      <c r="C9611" s="13" t="s">
        <v>477</v>
      </c>
      <c r="D9611" s="15">
        <v>31.0</v>
      </c>
      <c r="E9611" s="67">
        <f t="shared" si="26"/>
        <v>15500</v>
      </c>
      <c r="F9611" s="67"/>
    </row>
    <row r="9612" hidden="1">
      <c r="A9612" s="6" t="s">
        <v>107</v>
      </c>
      <c r="B9612" s="13" t="s">
        <v>1304</v>
      </c>
      <c r="C9612" s="13" t="s">
        <v>483</v>
      </c>
      <c r="D9612" s="15">
        <v>1.0</v>
      </c>
      <c r="E9612" s="67">
        <f t="shared" si="26"/>
        <v>250</v>
      </c>
      <c r="F9612" s="67"/>
    </row>
    <row r="9613" hidden="1">
      <c r="A9613" s="6" t="s">
        <v>107</v>
      </c>
      <c r="B9613" s="13" t="s">
        <v>1305</v>
      </c>
      <c r="C9613" s="13" t="s">
        <v>1306</v>
      </c>
      <c r="D9613" s="15">
        <v>17.0</v>
      </c>
      <c r="E9613" s="67">
        <f t="shared" si="26"/>
        <v>8500</v>
      </c>
      <c r="F9613" s="67"/>
    </row>
    <row r="9614" hidden="1">
      <c r="A9614" s="6" t="s">
        <v>107</v>
      </c>
      <c r="B9614" s="13" t="s">
        <v>1307</v>
      </c>
      <c r="C9614" s="13" t="s">
        <v>1308</v>
      </c>
      <c r="D9614" s="15">
        <v>5.0</v>
      </c>
      <c r="E9614" s="67">
        <f t="shared" si="26"/>
        <v>1250</v>
      </c>
      <c r="F9614" s="67"/>
    </row>
    <row r="9615" hidden="1">
      <c r="A9615" s="6" t="s">
        <v>107</v>
      </c>
      <c r="B9615" s="13" t="s">
        <v>1309</v>
      </c>
      <c r="C9615" s="13" t="s">
        <v>485</v>
      </c>
      <c r="D9615" s="15">
        <v>1.0</v>
      </c>
      <c r="E9615" s="67">
        <f t="shared" si="26"/>
        <v>250</v>
      </c>
      <c r="F9615" s="67"/>
    </row>
    <row r="9616" hidden="1">
      <c r="A9616" s="6" t="s">
        <v>107</v>
      </c>
      <c r="B9616" s="13" t="s">
        <v>486</v>
      </c>
      <c r="C9616" s="13" t="s">
        <v>487</v>
      </c>
      <c r="D9616" s="15">
        <v>14.0</v>
      </c>
      <c r="E9616" s="67">
        <f t="shared" si="26"/>
        <v>7000</v>
      </c>
      <c r="F9616" s="67"/>
    </row>
    <row r="9617" hidden="1">
      <c r="A9617" s="6" t="s">
        <v>107</v>
      </c>
      <c r="B9617" s="13" t="s">
        <v>1310</v>
      </c>
      <c r="C9617" s="13" t="s">
        <v>1311</v>
      </c>
      <c r="D9617" s="15">
        <v>2.0</v>
      </c>
      <c r="E9617" s="67">
        <f t="shared" si="26"/>
        <v>500</v>
      </c>
      <c r="F9617" s="67"/>
    </row>
    <row r="9618" hidden="1">
      <c r="A9618" s="6" t="s">
        <v>107</v>
      </c>
      <c r="B9618" s="13" t="s">
        <v>1312</v>
      </c>
      <c r="C9618" s="13" t="s">
        <v>1313</v>
      </c>
      <c r="D9618" s="15">
        <v>2.0</v>
      </c>
      <c r="E9618" s="67">
        <f t="shared" si="26"/>
        <v>500</v>
      </c>
      <c r="F9618" s="67"/>
    </row>
    <row r="9619" hidden="1">
      <c r="A9619" s="6" t="s">
        <v>107</v>
      </c>
      <c r="B9619" s="13" t="s">
        <v>3220</v>
      </c>
      <c r="C9619" s="13" t="s">
        <v>3221</v>
      </c>
      <c r="D9619" s="15">
        <v>1.0</v>
      </c>
      <c r="E9619" s="67">
        <f t="shared" si="26"/>
        <v>250</v>
      </c>
      <c r="F9619" s="67"/>
    </row>
    <row r="9620" hidden="1">
      <c r="A9620" s="6" t="s">
        <v>107</v>
      </c>
      <c r="B9620" s="13" t="s">
        <v>1314</v>
      </c>
      <c r="C9620" s="13" t="s">
        <v>491</v>
      </c>
      <c r="D9620" s="15">
        <v>1.0</v>
      </c>
      <c r="E9620" s="67">
        <f t="shared" si="26"/>
        <v>250</v>
      </c>
      <c r="F9620" s="67"/>
    </row>
    <row r="9621" hidden="1">
      <c r="A9621" s="6" t="s">
        <v>107</v>
      </c>
      <c r="B9621" s="13" t="s">
        <v>494</v>
      </c>
      <c r="C9621" s="13" t="s">
        <v>495</v>
      </c>
      <c r="D9621" s="15">
        <v>5.0</v>
      </c>
      <c r="E9621" s="67">
        <f t="shared" si="26"/>
        <v>1250</v>
      </c>
      <c r="F9621" s="67"/>
    </row>
    <row r="9622" hidden="1">
      <c r="A9622" s="6" t="s">
        <v>107</v>
      </c>
      <c r="B9622" s="13" t="s">
        <v>500</v>
      </c>
      <c r="C9622" s="13" t="s">
        <v>501</v>
      </c>
      <c r="D9622" s="15">
        <v>9.0</v>
      </c>
      <c r="E9622" s="83">
        <v>4500.0</v>
      </c>
      <c r="F9622" s="83"/>
    </row>
    <row r="9623" hidden="1">
      <c r="A9623" s="6" t="s">
        <v>107</v>
      </c>
      <c r="B9623" s="13" t="s">
        <v>1726</v>
      </c>
      <c r="C9623" s="13" t="s">
        <v>1727</v>
      </c>
      <c r="D9623" s="15">
        <v>3.0</v>
      </c>
      <c r="E9623" s="67">
        <f t="shared" ref="E9623:E9625" si="27">IF(D9623&lt;10, D9623*250, D9623*500)</f>
        <v>750</v>
      </c>
      <c r="F9623" s="67"/>
    </row>
    <row r="9624" hidden="1">
      <c r="A9624" s="6" t="s">
        <v>107</v>
      </c>
      <c r="B9624" s="13" t="s">
        <v>502</v>
      </c>
      <c r="C9624" s="13" t="s">
        <v>503</v>
      </c>
      <c r="D9624" s="15">
        <v>7.0</v>
      </c>
      <c r="E9624" s="67">
        <f t="shared" si="27"/>
        <v>1750</v>
      </c>
      <c r="F9624" s="67"/>
    </row>
    <row r="9625" hidden="1">
      <c r="A9625" s="6" t="s">
        <v>107</v>
      </c>
      <c r="B9625" s="13" t="s">
        <v>2083</v>
      </c>
      <c r="C9625" s="13" t="s">
        <v>3191</v>
      </c>
      <c r="D9625" s="15">
        <v>1.0</v>
      </c>
      <c r="E9625" s="67">
        <f t="shared" si="27"/>
        <v>250</v>
      </c>
      <c r="F9625" s="67"/>
    </row>
    <row r="9626" hidden="1">
      <c r="A9626" s="6" t="s">
        <v>107</v>
      </c>
      <c r="B9626" s="13" t="s">
        <v>3248</v>
      </c>
      <c r="C9626" s="13" t="s">
        <v>3249</v>
      </c>
      <c r="D9626" s="15">
        <v>0.0</v>
      </c>
      <c r="E9626" s="67"/>
      <c r="F9626" s="67"/>
    </row>
    <row r="9627" hidden="1">
      <c r="A9627" s="6" t="s">
        <v>107</v>
      </c>
      <c r="B9627" s="13" t="s">
        <v>1317</v>
      </c>
      <c r="C9627" s="13" t="s">
        <v>1318</v>
      </c>
      <c r="D9627" s="15">
        <v>1.0</v>
      </c>
      <c r="E9627" s="67">
        <f t="shared" ref="E9627:E9633" si="28">IF(D9627&lt;10, D9627*250, D9627*500)</f>
        <v>250</v>
      </c>
      <c r="F9627" s="67"/>
    </row>
    <row r="9628" hidden="1">
      <c r="A9628" s="6" t="s">
        <v>107</v>
      </c>
      <c r="B9628" s="13" t="s">
        <v>510</v>
      </c>
      <c r="C9628" s="13" t="s">
        <v>511</v>
      </c>
      <c r="D9628" s="15">
        <v>16.0</v>
      </c>
      <c r="E9628" s="67">
        <f t="shared" si="28"/>
        <v>8000</v>
      </c>
      <c r="F9628" s="67"/>
    </row>
    <row r="9629" hidden="1">
      <c r="A9629" s="6" t="s">
        <v>107</v>
      </c>
      <c r="B9629" s="13" t="s">
        <v>3222</v>
      </c>
      <c r="C9629" s="13" t="s">
        <v>3223</v>
      </c>
      <c r="D9629" s="15">
        <v>1.0</v>
      </c>
      <c r="E9629" s="67">
        <f t="shared" si="28"/>
        <v>250</v>
      </c>
      <c r="F9629" s="67"/>
    </row>
    <row r="9630" hidden="1">
      <c r="A9630" s="6" t="s">
        <v>107</v>
      </c>
      <c r="B9630" s="13" t="s">
        <v>516</v>
      </c>
      <c r="C9630" s="13" t="s">
        <v>517</v>
      </c>
      <c r="D9630" s="15">
        <v>17.0</v>
      </c>
      <c r="E9630" s="67">
        <f t="shared" si="28"/>
        <v>8500</v>
      </c>
      <c r="F9630" s="67"/>
    </row>
    <row r="9631" hidden="1">
      <c r="A9631" s="6" t="s">
        <v>107</v>
      </c>
      <c r="B9631" s="13" t="s">
        <v>518</v>
      </c>
      <c r="C9631" s="13" t="s">
        <v>519</v>
      </c>
      <c r="D9631" s="15">
        <v>3.0</v>
      </c>
      <c r="E9631" s="67">
        <f t="shared" si="28"/>
        <v>750</v>
      </c>
      <c r="F9631" s="67"/>
    </row>
    <row r="9632" hidden="1">
      <c r="A9632" s="6" t="s">
        <v>107</v>
      </c>
      <c r="B9632" s="13" t="s">
        <v>1319</v>
      </c>
      <c r="C9632" s="13" t="s">
        <v>1320</v>
      </c>
      <c r="D9632" s="15">
        <v>1.0</v>
      </c>
      <c r="E9632" s="67">
        <f t="shared" si="28"/>
        <v>250</v>
      </c>
      <c r="F9632" s="67"/>
    </row>
    <row r="9633" hidden="1">
      <c r="A9633" s="6" t="s">
        <v>107</v>
      </c>
      <c r="B9633" s="13" t="s">
        <v>1321</v>
      </c>
      <c r="C9633" s="13" t="s">
        <v>1322</v>
      </c>
      <c r="D9633" s="15">
        <v>6.0</v>
      </c>
      <c r="E9633" s="67">
        <f t="shared" si="28"/>
        <v>1500</v>
      </c>
      <c r="F9633" s="67"/>
    </row>
    <row r="9634" hidden="1">
      <c r="A9634" s="6" t="s">
        <v>107</v>
      </c>
      <c r="B9634" s="13" t="s">
        <v>1323</v>
      </c>
      <c r="C9634" s="13" t="s">
        <v>1324</v>
      </c>
      <c r="D9634" s="15">
        <v>0.0</v>
      </c>
      <c r="E9634" s="67"/>
      <c r="F9634" s="67"/>
    </row>
    <row r="9635" hidden="1">
      <c r="A9635" s="6" t="s">
        <v>107</v>
      </c>
      <c r="B9635" s="13" t="s">
        <v>522</v>
      </c>
      <c r="C9635" s="13" t="s">
        <v>523</v>
      </c>
      <c r="D9635" s="15">
        <v>2.0</v>
      </c>
      <c r="E9635" s="67">
        <f t="shared" ref="E9635:E9638" si="29">IF(D9635&lt;10, D9635*250, D9635*500)</f>
        <v>500</v>
      </c>
      <c r="F9635" s="67"/>
    </row>
    <row r="9636" hidden="1">
      <c r="A9636" s="6" t="s">
        <v>107</v>
      </c>
      <c r="B9636" s="13" t="s">
        <v>524</v>
      </c>
      <c r="C9636" s="13" t="s">
        <v>525</v>
      </c>
      <c r="D9636" s="15">
        <v>6.0</v>
      </c>
      <c r="E9636" s="67">
        <f t="shared" si="29"/>
        <v>1500</v>
      </c>
      <c r="F9636" s="67"/>
    </row>
    <row r="9637" hidden="1">
      <c r="A9637" s="6" t="s">
        <v>107</v>
      </c>
      <c r="B9637" s="13" t="s">
        <v>1325</v>
      </c>
      <c r="C9637" s="13" t="s">
        <v>1326</v>
      </c>
      <c r="D9637" s="15">
        <v>1.0</v>
      </c>
      <c r="E9637" s="67">
        <f t="shared" si="29"/>
        <v>250</v>
      </c>
      <c r="F9637" s="67"/>
    </row>
    <row r="9638" hidden="1">
      <c r="A9638" s="6" t="s">
        <v>107</v>
      </c>
      <c r="B9638" s="13" t="s">
        <v>1327</v>
      </c>
      <c r="C9638" s="13" t="s">
        <v>527</v>
      </c>
      <c r="D9638" s="15">
        <v>4.0</v>
      </c>
      <c r="E9638" s="67">
        <f t="shared" si="29"/>
        <v>1000</v>
      </c>
      <c r="F9638" s="67"/>
    </row>
    <row r="9639" hidden="1">
      <c r="A9639" s="6" t="s">
        <v>107</v>
      </c>
      <c r="B9639" s="13" t="s">
        <v>1328</v>
      </c>
      <c r="C9639" s="13" t="s">
        <v>1329</v>
      </c>
      <c r="D9639" s="15">
        <v>0.0</v>
      </c>
      <c r="E9639" s="67"/>
      <c r="F9639" s="67"/>
    </row>
    <row r="9640" hidden="1">
      <c r="A9640" s="6" t="s">
        <v>107</v>
      </c>
      <c r="B9640" s="13" t="s">
        <v>1330</v>
      </c>
      <c r="C9640" s="13" t="s">
        <v>529</v>
      </c>
      <c r="D9640" s="15">
        <v>1.0</v>
      </c>
      <c r="E9640" s="67">
        <f>IF(D9640&lt;10, D9640*250, D9640*500)</f>
        <v>250</v>
      </c>
      <c r="F9640" s="67"/>
    </row>
    <row r="9641" hidden="1">
      <c r="A9641" s="6" t="s">
        <v>107</v>
      </c>
      <c r="B9641" s="13" t="s">
        <v>3250</v>
      </c>
      <c r="C9641" s="13" t="s">
        <v>3251</v>
      </c>
      <c r="D9641" s="15">
        <v>0.0</v>
      </c>
      <c r="E9641" s="67"/>
      <c r="F9641" s="67"/>
    </row>
    <row r="9642" hidden="1">
      <c r="A9642" s="6" t="s">
        <v>107</v>
      </c>
      <c r="B9642" s="13" t="s">
        <v>3224</v>
      </c>
      <c r="C9642" s="13" t="s">
        <v>3225</v>
      </c>
      <c r="D9642" s="15">
        <v>2.0</v>
      </c>
      <c r="E9642" s="67">
        <f t="shared" ref="E9642:E9648" si="30">IF(D9642&lt;10, D9642*250, D9642*500)</f>
        <v>500</v>
      </c>
      <c r="F9642" s="67"/>
    </row>
    <row r="9643" hidden="1">
      <c r="A9643" s="6" t="s">
        <v>107</v>
      </c>
      <c r="B9643" s="13" t="s">
        <v>530</v>
      </c>
      <c r="C9643" s="13" t="s">
        <v>531</v>
      </c>
      <c r="D9643" s="15">
        <v>2.0</v>
      </c>
      <c r="E9643" s="67">
        <f t="shared" si="30"/>
        <v>500</v>
      </c>
      <c r="F9643" s="67"/>
    </row>
    <row r="9644" hidden="1">
      <c r="A9644" s="6" t="s">
        <v>107</v>
      </c>
      <c r="B9644" s="13" t="s">
        <v>532</v>
      </c>
      <c r="C9644" s="13" t="s">
        <v>533</v>
      </c>
      <c r="D9644" s="15">
        <v>7.0</v>
      </c>
      <c r="E9644" s="67">
        <f t="shared" si="30"/>
        <v>1750</v>
      </c>
      <c r="F9644" s="67"/>
    </row>
    <row r="9645" hidden="1">
      <c r="A9645" s="6" t="s">
        <v>107</v>
      </c>
      <c r="B9645" s="13" t="s">
        <v>1331</v>
      </c>
      <c r="C9645" s="13" t="s">
        <v>539</v>
      </c>
      <c r="D9645" s="15">
        <v>3.0</v>
      </c>
      <c r="E9645" s="67">
        <f t="shared" si="30"/>
        <v>750</v>
      </c>
      <c r="F9645" s="67"/>
    </row>
    <row r="9646" hidden="1">
      <c r="A9646" s="6" t="s">
        <v>107</v>
      </c>
      <c r="B9646" s="13" t="s">
        <v>540</v>
      </c>
      <c r="C9646" s="13" t="s">
        <v>541</v>
      </c>
      <c r="D9646" s="15">
        <v>16.0</v>
      </c>
      <c r="E9646" s="67">
        <f t="shared" si="30"/>
        <v>8000</v>
      </c>
      <c r="F9646" s="67"/>
    </row>
    <row r="9647" hidden="1">
      <c r="A9647" s="6" t="s">
        <v>107</v>
      </c>
      <c r="B9647" s="13" t="s">
        <v>3076</v>
      </c>
      <c r="C9647" s="13" t="s">
        <v>3077</v>
      </c>
      <c r="D9647" s="15">
        <v>1.0</v>
      </c>
      <c r="E9647" s="67">
        <f t="shared" si="30"/>
        <v>250</v>
      </c>
      <c r="F9647" s="67"/>
    </row>
    <row r="9648" hidden="1">
      <c r="A9648" s="6" t="s">
        <v>107</v>
      </c>
      <c r="B9648" s="13" t="s">
        <v>542</v>
      </c>
      <c r="C9648" s="13" t="s">
        <v>543</v>
      </c>
      <c r="D9648" s="15">
        <v>7.0</v>
      </c>
      <c r="E9648" s="67">
        <f t="shared" si="30"/>
        <v>1750</v>
      </c>
      <c r="F9648" s="67"/>
    </row>
    <row r="9649" hidden="1">
      <c r="A9649" s="6" t="s">
        <v>107</v>
      </c>
      <c r="B9649" s="13" t="s">
        <v>546</v>
      </c>
      <c r="C9649" s="13" t="s">
        <v>547</v>
      </c>
      <c r="D9649" s="15">
        <v>9.0</v>
      </c>
      <c r="E9649" s="83">
        <v>4500.0</v>
      </c>
      <c r="F9649" s="83"/>
    </row>
    <row r="9650" hidden="1">
      <c r="A9650" s="6" t="s">
        <v>107</v>
      </c>
      <c r="B9650" s="13" t="s">
        <v>1278</v>
      </c>
      <c r="C9650" s="13" t="s">
        <v>549</v>
      </c>
      <c r="D9650" s="15">
        <v>10.0</v>
      </c>
      <c r="E9650" s="67">
        <f t="shared" ref="E9650:E9651" si="31">IF(D9650&lt;10, D9650*250, D9650*500)</f>
        <v>5000</v>
      </c>
      <c r="F9650" s="67"/>
    </row>
    <row r="9651" hidden="1">
      <c r="A9651" s="6" t="s">
        <v>107</v>
      </c>
      <c r="B9651" s="13" t="s">
        <v>1333</v>
      </c>
      <c r="C9651" s="13" t="s">
        <v>551</v>
      </c>
      <c r="D9651" s="15">
        <v>4.0</v>
      </c>
      <c r="E9651" s="67">
        <f t="shared" si="31"/>
        <v>1000</v>
      </c>
      <c r="F9651" s="67"/>
    </row>
    <row r="9652" hidden="1">
      <c r="A9652" s="6" t="s">
        <v>107</v>
      </c>
      <c r="B9652" s="13" t="s">
        <v>1334</v>
      </c>
      <c r="C9652" s="13" t="s">
        <v>553</v>
      </c>
      <c r="D9652" s="15">
        <v>8.0</v>
      </c>
      <c r="E9652" s="83">
        <v>4000.0</v>
      </c>
      <c r="F9652" s="83"/>
    </row>
    <row r="9653" hidden="1">
      <c r="A9653" s="6" t="s">
        <v>107</v>
      </c>
      <c r="B9653" s="13" t="s">
        <v>3252</v>
      </c>
      <c r="C9653" s="13" t="s">
        <v>3253</v>
      </c>
      <c r="D9653" s="15">
        <v>0.0</v>
      </c>
      <c r="E9653" s="67"/>
      <c r="F9653" s="67"/>
    </row>
    <row r="9654" hidden="1">
      <c r="A9654" s="6" t="s">
        <v>107</v>
      </c>
      <c r="B9654" s="13" t="s">
        <v>1337</v>
      </c>
      <c r="C9654" s="13" t="s">
        <v>1338</v>
      </c>
      <c r="D9654" s="15">
        <v>1.0</v>
      </c>
      <c r="E9654" s="67">
        <f t="shared" ref="E9654:E9663" si="32">IF(D9654&lt;10, D9654*250, D9654*500)</f>
        <v>250</v>
      </c>
      <c r="F9654" s="67"/>
    </row>
    <row r="9655" hidden="1">
      <c r="A9655" s="6" t="s">
        <v>107</v>
      </c>
      <c r="B9655" s="13" t="s">
        <v>3204</v>
      </c>
      <c r="C9655" s="13" t="s">
        <v>3205</v>
      </c>
      <c r="D9655" s="15">
        <v>3.0</v>
      </c>
      <c r="E9655" s="67">
        <f t="shared" si="32"/>
        <v>750</v>
      </c>
      <c r="F9655" s="67"/>
    </row>
    <row r="9656" hidden="1">
      <c r="A9656" s="6" t="s">
        <v>107</v>
      </c>
      <c r="B9656" s="13" t="s">
        <v>560</v>
      </c>
      <c r="C9656" s="13" t="s">
        <v>561</v>
      </c>
      <c r="D9656" s="15">
        <v>4.0</v>
      </c>
      <c r="E9656" s="67">
        <f t="shared" si="32"/>
        <v>1000</v>
      </c>
      <c r="F9656" s="67"/>
    </row>
    <row r="9657" hidden="1">
      <c r="A9657" s="6" t="s">
        <v>107</v>
      </c>
      <c r="B9657" s="13" t="s">
        <v>566</v>
      </c>
      <c r="C9657" s="13" t="s">
        <v>567</v>
      </c>
      <c r="D9657" s="15">
        <v>3.0</v>
      </c>
      <c r="E9657" s="67">
        <f t="shared" si="32"/>
        <v>750</v>
      </c>
      <c r="F9657" s="67"/>
    </row>
    <row r="9658" hidden="1">
      <c r="A9658" s="6" t="s">
        <v>107</v>
      </c>
      <c r="B9658" s="13" t="s">
        <v>1344</v>
      </c>
      <c r="C9658" s="13" t="s">
        <v>569</v>
      </c>
      <c r="D9658" s="15">
        <v>5.0</v>
      </c>
      <c r="E9658" s="67">
        <f t="shared" si="32"/>
        <v>1250</v>
      </c>
      <c r="F9658" s="67"/>
    </row>
    <row r="9659" hidden="1">
      <c r="A9659" s="6" t="s">
        <v>107</v>
      </c>
      <c r="B9659" s="13" t="s">
        <v>1345</v>
      </c>
      <c r="C9659" s="13" t="s">
        <v>1346</v>
      </c>
      <c r="D9659" s="15">
        <v>1.0</v>
      </c>
      <c r="E9659" s="67">
        <f t="shared" si="32"/>
        <v>250</v>
      </c>
      <c r="F9659" s="67"/>
    </row>
    <row r="9660" hidden="1">
      <c r="A9660" s="6" t="s">
        <v>107</v>
      </c>
      <c r="B9660" s="13" t="s">
        <v>3226</v>
      </c>
      <c r="C9660" s="13" t="s">
        <v>3227</v>
      </c>
      <c r="D9660" s="15">
        <v>5.0</v>
      </c>
      <c r="E9660" s="67">
        <f t="shared" si="32"/>
        <v>1250</v>
      </c>
      <c r="F9660" s="67"/>
    </row>
    <row r="9661" hidden="1">
      <c r="A9661" s="6" t="s">
        <v>107</v>
      </c>
      <c r="B9661" s="13" t="s">
        <v>1349</v>
      </c>
      <c r="C9661" s="13" t="s">
        <v>1350</v>
      </c>
      <c r="D9661" s="15">
        <v>1.0</v>
      </c>
      <c r="E9661" s="67">
        <f t="shared" si="32"/>
        <v>250</v>
      </c>
      <c r="F9661" s="67"/>
    </row>
    <row r="9662" hidden="1">
      <c r="A9662" s="6" t="s">
        <v>107</v>
      </c>
      <c r="B9662" s="13" t="s">
        <v>1351</v>
      </c>
      <c r="C9662" s="13" t="s">
        <v>1352</v>
      </c>
      <c r="D9662" s="15">
        <v>3.0</v>
      </c>
      <c r="E9662" s="67">
        <f t="shared" si="32"/>
        <v>750</v>
      </c>
      <c r="F9662" s="67"/>
    </row>
    <row r="9663" hidden="1">
      <c r="A9663" s="6" t="s">
        <v>107</v>
      </c>
      <c r="B9663" s="13" t="s">
        <v>572</v>
      </c>
      <c r="C9663" s="13" t="s">
        <v>573</v>
      </c>
      <c r="D9663" s="15">
        <v>4.0</v>
      </c>
      <c r="E9663" s="67">
        <f t="shared" si="32"/>
        <v>1000</v>
      </c>
      <c r="F9663" s="67"/>
    </row>
    <row r="9664" hidden="1">
      <c r="A9664" s="6" t="s">
        <v>107</v>
      </c>
      <c r="B9664" s="13" t="s">
        <v>3254</v>
      </c>
      <c r="C9664" s="13" t="s">
        <v>3255</v>
      </c>
      <c r="D9664" s="15">
        <v>0.0</v>
      </c>
      <c r="E9664" s="67"/>
      <c r="F9664" s="67"/>
    </row>
    <row r="9665" hidden="1">
      <c r="A9665" s="6" t="s">
        <v>107</v>
      </c>
      <c r="B9665" s="13" t="s">
        <v>1353</v>
      </c>
      <c r="C9665" s="13" t="s">
        <v>1354</v>
      </c>
      <c r="D9665" s="15">
        <v>2.0</v>
      </c>
      <c r="E9665" s="67">
        <f>IF(D9665&lt;10, D9665*250, D9665*500)</f>
        <v>500</v>
      </c>
      <c r="F9665" s="67"/>
    </row>
    <row r="9666" hidden="1">
      <c r="A9666" s="6" t="s">
        <v>107</v>
      </c>
      <c r="B9666" s="13" t="s">
        <v>576</v>
      </c>
      <c r="C9666" s="13" t="s">
        <v>577</v>
      </c>
      <c r="D9666" s="15">
        <v>8.0</v>
      </c>
      <c r="E9666" s="83">
        <v>4000.0</v>
      </c>
      <c r="F9666" s="83"/>
    </row>
    <row r="9667" hidden="1">
      <c r="A9667" s="6" t="s">
        <v>107</v>
      </c>
      <c r="B9667" s="13" t="s">
        <v>1356</v>
      </c>
      <c r="C9667" s="13" t="s">
        <v>581</v>
      </c>
      <c r="D9667" s="15">
        <v>3.0</v>
      </c>
      <c r="E9667" s="67">
        <f t="shared" ref="E9667:E9668" si="33">IF(D9667&lt;10, D9667*250, D9667*500)</f>
        <v>750</v>
      </c>
      <c r="F9667" s="67"/>
    </row>
    <row r="9668" hidden="1">
      <c r="A9668" s="6" t="s">
        <v>107</v>
      </c>
      <c r="B9668" s="13" t="s">
        <v>582</v>
      </c>
      <c r="C9668" s="13" t="s">
        <v>583</v>
      </c>
      <c r="D9668" s="15">
        <v>6.0</v>
      </c>
      <c r="E9668" s="67">
        <f t="shared" si="33"/>
        <v>1500</v>
      </c>
      <c r="F9668" s="67"/>
    </row>
    <row r="9669" hidden="1">
      <c r="A9669" s="6" t="s">
        <v>107</v>
      </c>
      <c r="B9669" s="13" t="s">
        <v>1357</v>
      </c>
      <c r="C9669" s="13" t="s">
        <v>585</v>
      </c>
      <c r="D9669" s="15">
        <v>0.0</v>
      </c>
      <c r="E9669" s="67"/>
      <c r="F9669" s="67"/>
    </row>
    <row r="9670" hidden="1">
      <c r="A9670" s="6" t="s">
        <v>107</v>
      </c>
      <c r="B9670" s="13" t="s">
        <v>1359</v>
      </c>
      <c r="C9670" s="13" t="s">
        <v>1360</v>
      </c>
      <c r="D9670" s="15">
        <v>5.0</v>
      </c>
      <c r="E9670" s="67">
        <f t="shared" ref="E9670:E9671" si="34">IF(D9670&lt;10, D9670*250, D9670*500)</f>
        <v>1250</v>
      </c>
      <c r="F9670" s="67"/>
    </row>
    <row r="9671" hidden="1">
      <c r="A9671" s="6" t="s">
        <v>107</v>
      </c>
      <c r="B9671" s="13" t="s">
        <v>1361</v>
      </c>
      <c r="C9671" s="13" t="s">
        <v>589</v>
      </c>
      <c r="D9671" s="15">
        <v>5.0</v>
      </c>
      <c r="E9671" s="67">
        <f t="shared" si="34"/>
        <v>1250</v>
      </c>
      <c r="F9671" s="67"/>
    </row>
    <row r="9672" hidden="1">
      <c r="A9672" s="6" t="s">
        <v>107</v>
      </c>
      <c r="B9672" s="13" t="s">
        <v>590</v>
      </c>
      <c r="C9672" s="13" t="s">
        <v>591</v>
      </c>
      <c r="D9672" s="15">
        <v>8.0</v>
      </c>
      <c r="E9672" s="83">
        <v>4000.0</v>
      </c>
      <c r="F9672" s="83"/>
    </row>
    <row r="9673" hidden="1">
      <c r="A9673" s="6" t="s">
        <v>107</v>
      </c>
      <c r="B9673" s="13" t="s">
        <v>3006</v>
      </c>
      <c r="C9673" s="13" t="s">
        <v>3007</v>
      </c>
      <c r="D9673" s="15">
        <v>2.0</v>
      </c>
      <c r="E9673" s="67">
        <f t="shared" ref="E9673:E9676" si="35">IF(D9673&lt;10, D9673*250, D9673*500)</f>
        <v>500</v>
      </c>
      <c r="F9673" s="67"/>
    </row>
    <row r="9674" hidden="1">
      <c r="A9674" s="6" t="s">
        <v>107</v>
      </c>
      <c r="B9674" s="13" t="s">
        <v>1362</v>
      </c>
      <c r="C9674" s="13" t="s">
        <v>593</v>
      </c>
      <c r="D9674" s="15">
        <v>2.0</v>
      </c>
      <c r="E9674" s="67">
        <f t="shared" si="35"/>
        <v>500</v>
      </c>
      <c r="F9674" s="67"/>
    </row>
    <row r="9675" hidden="1">
      <c r="A9675" s="6" t="s">
        <v>107</v>
      </c>
      <c r="B9675" s="13" t="s">
        <v>596</v>
      </c>
      <c r="C9675" s="13" t="s">
        <v>597</v>
      </c>
      <c r="D9675" s="15">
        <v>2.0</v>
      </c>
      <c r="E9675" s="67">
        <f t="shared" si="35"/>
        <v>500</v>
      </c>
      <c r="F9675" s="67"/>
    </row>
    <row r="9676" hidden="1">
      <c r="A9676" s="6" t="s">
        <v>107</v>
      </c>
      <c r="B9676" s="13" t="s">
        <v>1365</v>
      </c>
      <c r="C9676" s="13" t="s">
        <v>1366</v>
      </c>
      <c r="D9676" s="15">
        <v>7.0</v>
      </c>
      <c r="E9676" s="67">
        <f t="shared" si="35"/>
        <v>1750</v>
      </c>
      <c r="F9676" s="67"/>
    </row>
    <row r="9677" hidden="1">
      <c r="A9677" s="6" t="s">
        <v>107</v>
      </c>
      <c r="B9677" s="13" t="s">
        <v>1055</v>
      </c>
      <c r="C9677" s="13" t="s">
        <v>3256</v>
      </c>
      <c r="D9677" s="15">
        <v>0.0</v>
      </c>
      <c r="E9677" s="67"/>
      <c r="F9677" s="67"/>
    </row>
    <row r="9678" hidden="1">
      <c r="A9678" s="6" t="s">
        <v>107</v>
      </c>
      <c r="B9678" s="13" t="s">
        <v>3004</v>
      </c>
      <c r="C9678" s="13" t="s">
        <v>3005</v>
      </c>
      <c r="D9678" s="15">
        <v>3.0</v>
      </c>
      <c r="E9678" s="67">
        <f t="shared" ref="E9678:E9679" si="36">IF(D9678&lt;10, D9678*250, D9678*500)</f>
        <v>750</v>
      </c>
      <c r="F9678" s="67"/>
    </row>
    <row r="9679" hidden="1">
      <c r="A9679" s="6" t="s">
        <v>107</v>
      </c>
      <c r="B9679" s="13" t="s">
        <v>602</v>
      </c>
      <c r="C9679" s="13" t="s">
        <v>603</v>
      </c>
      <c r="D9679" s="15">
        <v>3.0</v>
      </c>
      <c r="E9679" s="67">
        <f t="shared" si="36"/>
        <v>750</v>
      </c>
      <c r="F9679" s="67"/>
    </row>
    <row r="9680" hidden="1">
      <c r="A9680" s="6" t="s">
        <v>107</v>
      </c>
      <c r="B9680" s="13" t="s">
        <v>604</v>
      </c>
      <c r="C9680" s="13" t="s">
        <v>605</v>
      </c>
      <c r="D9680" s="15">
        <v>9.0</v>
      </c>
      <c r="E9680" s="83">
        <v>4500.0</v>
      </c>
      <c r="F9680" s="83"/>
    </row>
    <row r="9681" hidden="1">
      <c r="A9681" s="6" t="s">
        <v>107</v>
      </c>
      <c r="B9681" s="13" t="s">
        <v>606</v>
      </c>
      <c r="C9681" s="13" t="s">
        <v>607</v>
      </c>
      <c r="D9681" s="15">
        <v>1.0</v>
      </c>
      <c r="E9681" s="67">
        <f t="shared" ref="E9681:E9682" si="37">IF(D9681&lt;10, D9681*250, D9681*500)</f>
        <v>250</v>
      </c>
      <c r="F9681" s="67"/>
    </row>
    <row r="9682" hidden="1">
      <c r="A9682" s="6" t="s">
        <v>107</v>
      </c>
      <c r="B9682" s="13" t="s">
        <v>2576</v>
      </c>
      <c r="C9682" s="13" t="s">
        <v>2577</v>
      </c>
      <c r="D9682" s="15">
        <v>2.0</v>
      </c>
      <c r="E9682" s="67">
        <f t="shared" si="37"/>
        <v>500</v>
      </c>
      <c r="F9682" s="67"/>
    </row>
    <row r="9683" hidden="1">
      <c r="A9683" s="6" t="s">
        <v>107</v>
      </c>
      <c r="B9683" s="13" t="s">
        <v>3257</v>
      </c>
      <c r="C9683" s="13" t="s">
        <v>3258</v>
      </c>
      <c r="D9683" s="15">
        <v>0.0</v>
      </c>
      <c r="E9683" s="67"/>
      <c r="F9683" s="67"/>
    </row>
    <row r="9684" hidden="1">
      <c r="A9684" s="6" t="s">
        <v>107</v>
      </c>
      <c r="B9684" s="13" t="s">
        <v>3259</v>
      </c>
      <c r="C9684" s="13" t="s">
        <v>3260</v>
      </c>
      <c r="D9684" s="15">
        <v>0.0</v>
      </c>
      <c r="E9684" s="67"/>
      <c r="F9684" s="67"/>
    </row>
    <row r="9685" hidden="1">
      <c r="A9685" s="6" t="s">
        <v>107</v>
      </c>
      <c r="B9685" s="13" t="s">
        <v>620</v>
      </c>
      <c r="C9685" s="13" t="s">
        <v>621</v>
      </c>
      <c r="D9685" s="15">
        <v>9.0</v>
      </c>
      <c r="E9685" s="83">
        <v>4500.0</v>
      </c>
      <c r="F9685" s="83"/>
    </row>
    <row r="9686" hidden="1">
      <c r="A9686" s="6" t="s">
        <v>107</v>
      </c>
      <c r="B9686" s="13" t="s">
        <v>1369</v>
      </c>
      <c r="C9686" s="13" t="s">
        <v>1370</v>
      </c>
      <c r="D9686" s="15">
        <v>2.0</v>
      </c>
      <c r="E9686" s="67">
        <f t="shared" ref="E9686:E9695" si="38">IF(D9686&lt;10, D9686*250, D9686*500)</f>
        <v>500</v>
      </c>
      <c r="F9686" s="67"/>
    </row>
    <row r="9687" hidden="1">
      <c r="A9687" s="6" t="s">
        <v>107</v>
      </c>
      <c r="B9687" s="13" t="s">
        <v>622</v>
      </c>
      <c r="C9687" s="13" t="s">
        <v>623</v>
      </c>
      <c r="D9687" s="15">
        <v>11.0</v>
      </c>
      <c r="E9687" s="67">
        <f t="shared" si="38"/>
        <v>5500</v>
      </c>
      <c r="F9687" s="67"/>
    </row>
    <row r="9688" hidden="1">
      <c r="A9688" s="6" t="s">
        <v>107</v>
      </c>
      <c r="B9688" s="13" t="s">
        <v>624</v>
      </c>
      <c r="C9688" s="13" t="s">
        <v>625</v>
      </c>
      <c r="D9688" s="15">
        <v>7.0</v>
      </c>
      <c r="E9688" s="67">
        <f t="shared" si="38"/>
        <v>1750</v>
      </c>
      <c r="F9688" s="67"/>
    </row>
    <row r="9689" hidden="1">
      <c r="A9689" s="6" t="s">
        <v>107</v>
      </c>
      <c r="B9689" s="13" t="s">
        <v>626</v>
      </c>
      <c r="C9689" s="13" t="s">
        <v>627</v>
      </c>
      <c r="D9689" s="15">
        <v>4.0</v>
      </c>
      <c r="E9689" s="67">
        <f t="shared" si="38"/>
        <v>1000</v>
      </c>
      <c r="F9689" s="67"/>
    </row>
    <row r="9690" hidden="1">
      <c r="A9690" s="6" t="s">
        <v>107</v>
      </c>
      <c r="B9690" s="13" t="s">
        <v>628</v>
      </c>
      <c r="C9690" s="13" t="s">
        <v>629</v>
      </c>
      <c r="D9690" s="15">
        <v>12.0</v>
      </c>
      <c r="E9690" s="67">
        <f t="shared" si="38"/>
        <v>6000</v>
      </c>
      <c r="F9690" s="67"/>
    </row>
    <row r="9691" hidden="1">
      <c r="A9691" s="6" t="s">
        <v>107</v>
      </c>
      <c r="B9691" s="13" t="s">
        <v>3162</v>
      </c>
      <c r="C9691" s="13" t="s">
        <v>3163</v>
      </c>
      <c r="D9691" s="15">
        <v>3.0</v>
      </c>
      <c r="E9691" s="67">
        <f t="shared" si="38"/>
        <v>750</v>
      </c>
      <c r="F9691" s="67"/>
    </row>
    <row r="9692" hidden="1">
      <c r="A9692" s="6" t="s">
        <v>107</v>
      </c>
      <c r="B9692" s="13" t="s">
        <v>1371</v>
      </c>
      <c r="C9692" s="13" t="s">
        <v>633</v>
      </c>
      <c r="D9692" s="15">
        <v>3.0</v>
      </c>
      <c r="E9692" s="67">
        <f t="shared" si="38"/>
        <v>750</v>
      </c>
      <c r="F9692" s="67"/>
    </row>
    <row r="9693" hidden="1">
      <c r="A9693" s="6" t="s">
        <v>107</v>
      </c>
      <c r="B9693" s="13" t="s">
        <v>1372</v>
      </c>
      <c r="C9693" s="13" t="s">
        <v>637</v>
      </c>
      <c r="D9693" s="15">
        <v>1.0</v>
      </c>
      <c r="E9693" s="67">
        <f t="shared" si="38"/>
        <v>250</v>
      </c>
      <c r="F9693" s="67"/>
    </row>
    <row r="9694" hidden="1">
      <c r="A9694" s="6" t="s">
        <v>107</v>
      </c>
      <c r="B9694" s="13" t="s">
        <v>1177</v>
      </c>
      <c r="C9694" s="13" t="s">
        <v>639</v>
      </c>
      <c r="D9694" s="15">
        <v>1.0</v>
      </c>
      <c r="E9694" s="67">
        <f t="shared" si="38"/>
        <v>250</v>
      </c>
      <c r="F9694" s="67"/>
    </row>
    <row r="9695" hidden="1">
      <c r="A9695" s="6" t="s">
        <v>107</v>
      </c>
      <c r="B9695" s="13" t="s">
        <v>640</v>
      </c>
      <c r="C9695" s="13" t="s">
        <v>641</v>
      </c>
      <c r="D9695" s="15">
        <v>10.0</v>
      </c>
      <c r="E9695" s="67">
        <f t="shared" si="38"/>
        <v>5000</v>
      </c>
      <c r="F9695" s="67"/>
    </row>
    <row r="9696" hidden="1">
      <c r="A9696" s="6" t="s">
        <v>107</v>
      </c>
      <c r="B9696" s="13" t="s">
        <v>1373</v>
      </c>
      <c r="C9696" s="13" t="s">
        <v>1374</v>
      </c>
      <c r="D9696" s="15">
        <v>0.0</v>
      </c>
      <c r="E9696" s="67"/>
      <c r="F9696" s="67"/>
    </row>
    <row r="9697" hidden="1">
      <c r="A9697" s="6" t="s">
        <v>107</v>
      </c>
      <c r="B9697" s="13" t="s">
        <v>311</v>
      </c>
      <c r="C9697" s="13" t="s">
        <v>312</v>
      </c>
      <c r="D9697" s="15">
        <v>2.0</v>
      </c>
      <c r="E9697" s="67">
        <f t="shared" ref="E9697:E9704" si="39">IF(D9697&lt;10, D9697*250, D9697*500)</f>
        <v>500</v>
      </c>
      <c r="F9697" s="67"/>
    </row>
    <row r="9698" hidden="1">
      <c r="A9698" s="6" t="s">
        <v>107</v>
      </c>
      <c r="B9698" s="13" t="s">
        <v>644</v>
      </c>
      <c r="C9698" s="13" t="s">
        <v>645</v>
      </c>
      <c r="D9698" s="15">
        <v>29.0</v>
      </c>
      <c r="E9698" s="67">
        <f t="shared" si="39"/>
        <v>14500</v>
      </c>
      <c r="F9698" s="67"/>
    </row>
    <row r="9699" hidden="1">
      <c r="A9699" s="6" t="s">
        <v>107</v>
      </c>
      <c r="B9699" s="13" t="s">
        <v>1375</v>
      </c>
      <c r="C9699" s="13" t="s">
        <v>647</v>
      </c>
      <c r="D9699" s="15">
        <v>4.0</v>
      </c>
      <c r="E9699" s="67">
        <f t="shared" si="39"/>
        <v>1000</v>
      </c>
      <c r="F9699" s="67"/>
    </row>
    <row r="9700" hidden="1">
      <c r="A9700" s="6" t="s">
        <v>107</v>
      </c>
      <c r="B9700" s="13" t="s">
        <v>1376</v>
      </c>
      <c r="C9700" s="13" t="s">
        <v>649</v>
      </c>
      <c r="D9700" s="15">
        <v>3.0</v>
      </c>
      <c r="E9700" s="67">
        <f t="shared" si="39"/>
        <v>750</v>
      </c>
      <c r="F9700" s="67"/>
    </row>
    <row r="9701" hidden="1">
      <c r="A9701" s="6" t="s">
        <v>107</v>
      </c>
      <c r="B9701" s="13" t="s">
        <v>650</v>
      </c>
      <c r="C9701" s="13" t="s">
        <v>651</v>
      </c>
      <c r="D9701" s="15">
        <v>4.0</v>
      </c>
      <c r="E9701" s="67">
        <f t="shared" si="39"/>
        <v>1000</v>
      </c>
      <c r="F9701" s="67"/>
    </row>
    <row r="9702" hidden="1">
      <c r="A9702" s="6" t="s">
        <v>107</v>
      </c>
      <c r="B9702" s="13" t="s">
        <v>2640</v>
      </c>
      <c r="C9702" s="13" t="s">
        <v>2641</v>
      </c>
      <c r="D9702" s="15">
        <v>4.0</v>
      </c>
      <c r="E9702" s="67">
        <f t="shared" si="39"/>
        <v>1000</v>
      </c>
      <c r="F9702" s="67"/>
    </row>
    <row r="9703" hidden="1">
      <c r="A9703" s="6" t="s">
        <v>107</v>
      </c>
      <c r="B9703" s="13" t="s">
        <v>1377</v>
      </c>
      <c r="C9703" s="13" t="s">
        <v>1378</v>
      </c>
      <c r="D9703" s="15">
        <v>1.0</v>
      </c>
      <c r="E9703" s="67">
        <f t="shared" si="39"/>
        <v>250</v>
      </c>
      <c r="F9703" s="67"/>
    </row>
    <row r="9704" hidden="1">
      <c r="A9704" s="6" t="s">
        <v>107</v>
      </c>
      <c r="B9704" s="13" t="s">
        <v>1379</v>
      </c>
      <c r="C9704" s="13" t="s">
        <v>655</v>
      </c>
      <c r="D9704" s="15">
        <v>1.0</v>
      </c>
      <c r="E9704" s="67">
        <f t="shared" si="39"/>
        <v>250</v>
      </c>
      <c r="F9704" s="67"/>
    </row>
    <row r="9705" hidden="1">
      <c r="A9705" s="6" t="s">
        <v>107</v>
      </c>
      <c r="B9705" s="13" t="s">
        <v>2766</v>
      </c>
      <c r="C9705" s="13" t="s">
        <v>3261</v>
      </c>
      <c r="D9705" s="15">
        <v>0.0</v>
      </c>
      <c r="E9705" s="67"/>
      <c r="F9705" s="67"/>
    </row>
    <row r="9706" hidden="1">
      <c r="A9706" s="6" t="s">
        <v>107</v>
      </c>
      <c r="B9706" s="13" t="s">
        <v>1380</v>
      </c>
      <c r="C9706" s="13" t="s">
        <v>1381</v>
      </c>
      <c r="D9706" s="15">
        <v>4.0</v>
      </c>
      <c r="E9706" s="67">
        <f t="shared" ref="E9706:E9709" si="40">IF(D9706&lt;10, D9706*250, D9706*500)</f>
        <v>1000</v>
      </c>
      <c r="F9706" s="67"/>
    </row>
    <row r="9707" hidden="1">
      <c r="A9707" s="6" t="s">
        <v>107</v>
      </c>
      <c r="B9707" s="13" t="s">
        <v>1382</v>
      </c>
      <c r="C9707" s="13" t="s">
        <v>1383</v>
      </c>
      <c r="D9707" s="15">
        <v>6.0</v>
      </c>
      <c r="E9707" s="67">
        <f t="shared" si="40"/>
        <v>1500</v>
      </c>
      <c r="F9707" s="67"/>
    </row>
    <row r="9708" hidden="1">
      <c r="A9708" s="6" t="s">
        <v>107</v>
      </c>
      <c r="B9708" s="13" t="s">
        <v>1384</v>
      </c>
      <c r="C9708" s="13" t="s">
        <v>1385</v>
      </c>
      <c r="D9708" s="15">
        <v>2.0</v>
      </c>
      <c r="E9708" s="67">
        <f t="shared" si="40"/>
        <v>500</v>
      </c>
      <c r="F9708" s="67"/>
    </row>
    <row r="9709" hidden="1">
      <c r="A9709" s="6" t="s">
        <v>107</v>
      </c>
      <c r="B9709" s="13" t="s">
        <v>656</v>
      </c>
      <c r="C9709" s="13" t="s">
        <v>657</v>
      </c>
      <c r="D9709" s="15">
        <v>7.0</v>
      </c>
      <c r="E9709" s="67">
        <f t="shared" si="40"/>
        <v>1750</v>
      </c>
      <c r="F9709" s="67"/>
    </row>
    <row r="9710" hidden="1">
      <c r="A9710" s="6" t="s">
        <v>107</v>
      </c>
      <c r="B9710" s="13" t="s">
        <v>1387</v>
      </c>
      <c r="C9710" s="13" t="s">
        <v>1388</v>
      </c>
      <c r="D9710" s="15">
        <v>0.0</v>
      </c>
      <c r="E9710" s="67"/>
      <c r="F9710" s="67"/>
    </row>
    <row r="9711" hidden="1">
      <c r="A9711" s="6" t="s">
        <v>107</v>
      </c>
      <c r="B9711" s="13" t="s">
        <v>3262</v>
      </c>
      <c r="C9711" s="13" t="s">
        <v>3263</v>
      </c>
      <c r="D9711" s="15">
        <v>0.0</v>
      </c>
      <c r="E9711" s="67"/>
      <c r="F9711" s="67"/>
    </row>
    <row r="9712" hidden="1">
      <c r="A9712" s="6" t="s">
        <v>107</v>
      </c>
      <c r="B9712" s="13" t="s">
        <v>1391</v>
      </c>
      <c r="C9712" s="13" t="s">
        <v>1392</v>
      </c>
      <c r="D9712" s="15">
        <v>1.0</v>
      </c>
      <c r="E9712" s="67">
        <f>IF(D9712&lt;10, D9712*250, D9712*500)</f>
        <v>250</v>
      </c>
      <c r="F9712" s="67"/>
    </row>
    <row r="9713" hidden="1">
      <c r="A9713" s="6" t="s">
        <v>107</v>
      </c>
      <c r="B9713" s="13" t="s">
        <v>3264</v>
      </c>
      <c r="C9713" s="13" t="s">
        <v>3265</v>
      </c>
      <c r="D9713" s="15">
        <v>0.0</v>
      </c>
      <c r="E9713" s="67"/>
      <c r="F9713" s="67"/>
    </row>
    <row r="9714" hidden="1">
      <c r="A9714" s="6" t="s">
        <v>107</v>
      </c>
      <c r="B9714" s="13" t="s">
        <v>3266</v>
      </c>
      <c r="C9714" s="13" t="s">
        <v>3267</v>
      </c>
      <c r="D9714" s="15">
        <v>2.0</v>
      </c>
      <c r="E9714" s="67">
        <f t="shared" ref="E9714:E9726" si="41">IF(D9714&lt;10, D9714*250, D9714*500)</f>
        <v>500</v>
      </c>
      <c r="F9714" s="67"/>
    </row>
    <row r="9715" hidden="1">
      <c r="A9715" s="6" t="s">
        <v>107</v>
      </c>
      <c r="B9715" s="13" t="s">
        <v>1393</v>
      </c>
      <c r="C9715" s="13" t="s">
        <v>1394</v>
      </c>
      <c r="D9715" s="15">
        <v>6.0</v>
      </c>
      <c r="E9715" s="67">
        <f t="shared" si="41"/>
        <v>1500</v>
      </c>
      <c r="F9715" s="67"/>
    </row>
    <row r="9716" hidden="1">
      <c r="A9716" s="6" t="s">
        <v>107</v>
      </c>
      <c r="B9716" s="13" t="s">
        <v>262</v>
      </c>
      <c r="C9716" s="13" t="s">
        <v>290</v>
      </c>
      <c r="D9716" s="15">
        <v>1.0</v>
      </c>
      <c r="E9716" s="67">
        <f t="shared" si="41"/>
        <v>250</v>
      </c>
      <c r="F9716" s="67"/>
    </row>
    <row r="9717" hidden="1">
      <c r="A9717" s="6" t="s">
        <v>107</v>
      </c>
      <c r="B9717" s="13" t="s">
        <v>1998</v>
      </c>
      <c r="C9717" s="13" t="s">
        <v>1999</v>
      </c>
      <c r="D9717" s="15">
        <v>2.0</v>
      </c>
      <c r="E9717" s="67">
        <f t="shared" si="41"/>
        <v>500</v>
      </c>
      <c r="F9717" s="67"/>
    </row>
    <row r="9718" hidden="1">
      <c r="A9718" s="6" t="s">
        <v>107</v>
      </c>
      <c r="B9718" s="13" t="s">
        <v>1396</v>
      </c>
      <c r="C9718" s="13" t="s">
        <v>1397</v>
      </c>
      <c r="D9718" s="15">
        <v>2.0</v>
      </c>
      <c r="E9718" s="67">
        <f t="shared" si="41"/>
        <v>500</v>
      </c>
      <c r="F9718" s="67"/>
    </row>
    <row r="9719" hidden="1">
      <c r="A9719" s="6" t="s">
        <v>107</v>
      </c>
      <c r="B9719" s="13" t="s">
        <v>2885</v>
      </c>
      <c r="C9719" s="13" t="s">
        <v>2886</v>
      </c>
      <c r="D9719" s="15">
        <v>3.0</v>
      </c>
      <c r="E9719" s="67">
        <f t="shared" si="41"/>
        <v>750</v>
      </c>
      <c r="F9719" s="67"/>
    </row>
    <row r="9720" hidden="1">
      <c r="A9720" s="6" t="s">
        <v>107</v>
      </c>
      <c r="B9720" s="13" t="s">
        <v>1398</v>
      </c>
      <c r="C9720" s="13" t="s">
        <v>1399</v>
      </c>
      <c r="D9720" s="15">
        <v>1.0</v>
      </c>
      <c r="E9720" s="67">
        <f t="shared" si="41"/>
        <v>250</v>
      </c>
      <c r="F9720" s="67"/>
    </row>
    <row r="9721" hidden="1">
      <c r="A9721" s="6" t="s">
        <v>107</v>
      </c>
      <c r="B9721" s="13" t="s">
        <v>1400</v>
      </c>
      <c r="C9721" s="13" t="s">
        <v>1401</v>
      </c>
      <c r="D9721" s="15">
        <v>2.0</v>
      </c>
      <c r="E9721" s="67">
        <f t="shared" si="41"/>
        <v>500</v>
      </c>
      <c r="F9721" s="67"/>
    </row>
    <row r="9722" hidden="1">
      <c r="A9722" s="6" t="s">
        <v>107</v>
      </c>
      <c r="B9722" s="13" t="s">
        <v>672</v>
      </c>
      <c r="C9722" s="13" t="s">
        <v>673</v>
      </c>
      <c r="D9722" s="15">
        <v>2.0</v>
      </c>
      <c r="E9722" s="67">
        <f t="shared" si="41"/>
        <v>500</v>
      </c>
      <c r="F9722" s="67"/>
    </row>
    <row r="9723" hidden="1">
      <c r="A9723" s="6" t="s">
        <v>107</v>
      </c>
      <c r="B9723" s="13" t="s">
        <v>1404</v>
      </c>
      <c r="C9723" s="13" t="s">
        <v>1405</v>
      </c>
      <c r="D9723" s="15">
        <v>2.0</v>
      </c>
      <c r="E9723" s="67">
        <f t="shared" si="41"/>
        <v>500</v>
      </c>
      <c r="F9723" s="67"/>
    </row>
    <row r="9724" hidden="1">
      <c r="A9724" s="6" t="s">
        <v>107</v>
      </c>
      <c r="B9724" s="13" t="s">
        <v>1408</v>
      </c>
      <c r="C9724" s="13" t="s">
        <v>675</v>
      </c>
      <c r="D9724" s="15">
        <v>2.0</v>
      </c>
      <c r="E9724" s="67">
        <f t="shared" si="41"/>
        <v>500</v>
      </c>
      <c r="F9724" s="67"/>
    </row>
    <row r="9725" hidden="1">
      <c r="A9725" s="6" t="s">
        <v>107</v>
      </c>
      <c r="B9725" s="13" t="s">
        <v>1409</v>
      </c>
      <c r="C9725" s="13" t="s">
        <v>677</v>
      </c>
      <c r="D9725" s="15">
        <v>4.0</v>
      </c>
      <c r="E9725" s="67">
        <f t="shared" si="41"/>
        <v>1000</v>
      </c>
      <c r="F9725" s="67"/>
    </row>
    <row r="9726" hidden="1">
      <c r="A9726" s="6" t="s">
        <v>107</v>
      </c>
      <c r="B9726" s="13" t="s">
        <v>1410</v>
      </c>
      <c r="C9726" s="13" t="s">
        <v>1411</v>
      </c>
      <c r="D9726" s="15">
        <v>4.0</v>
      </c>
      <c r="E9726" s="67">
        <f t="shared" si="41"/>
        <v>1000</v>
      </c>
      <c r="F9726" s="67"/>
    </row>
    <row r="9727" hidden="1">
      <c r="A9727" s="6" t="s">
        <v>107</v>
      </c>
      <c r="B9727" s="13" t="s">
        <v>1412</v>
      </c>
      <c r="C9727" s="13" t="s">
        <v>679</v>
      </c>
      <c r="D9727" s="15">
        <v>0.0</v>
      </c>
      <c r="E9727" s="67"/>
      <c r="F9727" s="67"/>
    </row>
    <row r="9728" hidden="1">
      <c r="A9728" s="6" t="s">
        <v>107</v>
      </c>
      <c r="B9728" s="13" t="s">
        <v>680</v>
      </c>
      <c r="C9728" s="13" t="s">
        <v>681</v>
      </c>
      <c r="D9728" s="15">
        <v>7.0</v>
      </c>
      <c r="E9728" s="67">
        <f t="shared" ref="E9728:E9729" si="42">IF(D9728&lt;10, D9728*250, D9728*500)</f>
        <v>1750</v>
      </c>
      <c r="F9728" s="67"/>
    </row>
    <row r="9729" hidden="1">
      <c r="A9729" s="6" t="s">
        <v>107</v>
      </c>
      <c r="B9729" s="13" t="s">
        <v>3230</v>
      </c>
      <c r="C9729" s="13" t="s">
        <v>3231</v>
      </c>
      <c r="D9729" s="15">
        <v>2.0</v>
      </c>
      <c r="E9729" s="67">
        <f t="shared" si="42"/>
        <v>500</v>
      </c>
      <c r="F9729" s="67"/>
    </row>
    <row r="9730" hidden="1">
      <c r="A9730" s="6" t="s">
        <v>107</v>
      </c>
      <c r="B9730" s="13" t="s">
        <v>682</v>
      </c>
      <c r="C9730" s="13" t="s">
        <v>683</v>
      </c>
      <c r="D9730" s="15">
        <v>8.0</v>
      </c>
      <c r="E9730" s="83">
        <v>4000.0</v>
      </c>
      <c r="F9730" s="83"/>
    </row>
    <row r="9731" hidden="1">
      <c r="A9731" s="6" t="s">
        <v>107</v>
      </c>
      <c r="B9731" s="13" t="s">
        <v>684</v>
      </c>
      <c r="C9731" s="13" t="s">
        <v>685</v>
      </c>
      <c r="D9731" s="15">
        <v>5.0</v>
      </c>
      <c r="E9731" s="67">
        <f t="shared" ref="E9731:E9732" si="43">IF(D9731&lt;10, D9731*250, D9731*500)</f>
        <v>1250</v>
      </c>
      <c r="F9731" s="67"/>
    </row>
    <row r="9732" hidden="1">
      <c r="A9732" s="6" t="s">
        <v>107</v>
      </c>
      <c r="B9732" s="13" t="s">
        <v>688</v>
      </c>
      <c r="C9732" s="13" t="s">
        <v>689</v>
      </c>
      <c r="D9732" s="15">
        <v>1.0</v>
      </c>
      <c r="E9732" s="67">
        <f t="shared" si="43"/>
        <v>250</v>
      </c>
      <c r="F9732" s="67"/>
    </row>
    <row r="9733" hidden="1">
      <c r="A9733" s="6" t="s">
        <v>107</v>
      </c>
      <c r="B9733" s="13" t="s">
        <v>1415</v>
      </c>
      <c r="C9733" s="13" t="s">
        <v>1416</v>
      </c>
      <c r="D9733" s="15">
        <v>8.0</v>
      </c>
      <c r="E9733" s="83">
        <v>4000.0</v>
      </c>
      <c r="F9733" s="83"/>
    </row>
    <row r="9734" hidden="1">
      <c r="A9734" s="6" t="s">
        <v>107</v>
      </c>
      <c r="B9734" s="13" t="s">
        <v>3268</v>
      </c>
      <c r="C9734" s="13" t="s">
        <v>53</v>
      </c>
      <c r="D9734" s="15">
        <v>2.0</v>
      </c>
      <c r="E9734" s="67">
        <f t="shared" ref="E9734:E9737" si="44">IF(D9734&lt;10, D9734*250, D9734*500)</f>
        <v>500</v>
      </c>
      <c r="F9734" s="67"/>
    </row>
    <row r="9735" hidden="1">
      <c r="A9735" s="6" t="s">
        <v>107</v>
      </c>
      <c r="B9735" s="13" t="s">
        <v>3234</v>
      </c>
      <c r="C9735" s="13" t="s">
        <v>3235</v>
      </c>
      <c r="D9735" s="15">
        <v>1.0</v>
      </c>
      <c r="E9735" s="67">
        <f t="shared" si="44"/>
        <v>250</v>
      </c>
      <c r="F9735" s="67"/>
    </row>
    <row r="9736" hidden="1">
      <c r="A9736" s="6" t="s">
        <v>107</v>
      </c>
      <c r="B9736" s="13" t="s">
        <v>307</v>
      </c>
      <c r="C9736" s="13" t="s">
        <v>692</v>
      </c>
      <c r="D9736" s="15">
        <v>3.0</v>
      </c>
      <c r="E9736" s="67">
        <f t="shared" si="44"/>
        <v>750</v>
      </c>
      <c r="F9736" s="67"/>
    </row>
    <row r="9737" hidden="1">
      <c r="A9737" s="6" t="s">
        <v>107</v>
      </c>
      <c r="B9737" s="13" t="s">
        <v>3131</v>
      </c>
      <c r="C9737" s="13" t="s">
        <v>3132</v>
      </c>
      <c r="D9737" s="15">
        <v>2.0</v>
      </c>
      <c r="E9737" s="67">
        <f t="shared" si="44"/>
        <v>500</v>
      </c>
      <c r="F9737" s="67"/>
    </row>
    <row r="9738" hidden="1">
      <c r="A9738" s="6" t="s">
        <v>107</v>
      </c>
      <c r="B9738" s="13" t="s">
        <v>3269</v>
      </c>
      <c r="C9738" s="13" t="s">
        <v>3270</v>
      </c>
      <c r="D9738" s="15">
        <v>0.0</v>
      </c>
      <c r="E9738" s="67"/>
      <c r="F9738" s="67"/>
    </row>
    <row r="9739" hidden="1">
      <c r="A9739" s="6" t="s">
        <v>107</v>
      </c>
      <c r="B9739" s="13" t="s">
        <v>693</v>
      </c>
      <c r="C9739" s="13" t="s">
        <v>694</v>
      </c>
      <c r="D9739" s="15">
        <v>1.0</v>
      </c>
      <c r="E9739" s="67">
        <f t="shared" ref="E9739:E9740" si="45">IF(D9739&lt;10, D9739*250, D9739*500)</f>
        <v>250</v>
      </c>
      <c r="F9739" s="67"/>
    </row>
    <row r="9740" hidden="1">
      <c r="A9740" s="6" t="s">
        <v>107</v>
      </c>
      <c r="B9740" s="13" t="s">
        <v>699</v>
      </c>
      <c r="C9740" s="13" t="s">
        <v>700</v>
      </c>
      <c r="D9740" s="15">
        <v>6.0</v>
      </c>
      <c r="E9740" s="67">
        <f t="shared" si="45"/>
        <v>1500</v>
      </c>
      <c r="F9740" s="67"/>
    </row>
    <row r="9741" hidden="1">
      <c r="A9741" s="6" t="s">
        <v>107</v>
      </c>
      <c r="B9741" s="13" t="s">
        <v>3236</v>
      </c>
      <c r="C9741" s="13" t="s">
        <v>3237</v>
      </c>
      <c r="D9741" s="15">
        <v>8.0</v>
      </c>
      <c r="E9741" s="83">
        <v>4000.0</v>
      </c>
      <c r="F9741" s="83"/>
    </row>
    <row r="9742" hidden="1">
      <c r="A9742" s="6" t="s">
        <v>107</v>
      </c>
      <c r="B9742" s="13" t="s">
        <v>701</v>
      </c>
      <c r="C9742" s="13" t="s">
        <v>702</v>
      </c>
      <c r="D9742" s="15">
        <v>3.0</v>
      </c>
      <c r="E9742" s="67">
        <f>IF(D9742&lt;10, D9742*250, D9742*500)</f>
        <v>750</v>
      </c>
      <c r="F9742" s="67"/>
    </row>
    <row r="9743" hidden="1">
      <c r="A9743" s="6" t="s">
        <v>107</v>
      </c>
      <c r="B9743" s="13" t="s">
        <v>3271</v>
      </c>
      <c r="C9743" s="13" t="s">
        <v>3272</v>
      </c>
      <c r="D9743" s="15">
        <v>0.0</v>
      </c>
      <c r="E9743" s="67"/>
      <c r="F9743" s="67"/>
    </row>
    <row r="9744" hidden="1">
      <c r="A9744" s="6" t="s">
        <v>107</v>
      </c>
      <c r="B9744" s="13" t="s">
        <v>1418</v>
      </c>
      <c r="C9744" s="13" t="s">
        <v>708</v>
      </c>
      <c r="D9744" s="15">
        <v>1.0</v>
      </c>
      <c r="E9744" s="67">
        <f t="shared" ref="E9744:E9747" si="46">IF(D9744&lt;10, D9744*250, D9744*500)</f>
        <v>250</v>
      </c>
      <c r="F9744" s="67"/>
    </row>
    <row r="9745" hidden="1">
      <c r="A9745" s="6" t="s">
        <v>107</v>
      </c>
      <c r="B9745" s="13" t="s">
        <v>1419</v>
      </c>
      <c r="C9745" s="13" t="s">
        <v>1420</v>
      </c>
      <c r="D9745" s="15">
        <v>2.0</v>
      </c>
      <c r="E9745" s="67">
        <f t="shared" si="46"/>
        <v>500</v>
      </c>
      <c r="F9745" s="67"/>
    </row>
    <row r="9746" hidden="1">
      <c r="A9746" s="6" t="s">
        <v>107</v>
      </c>
      <c r="B9746" s="13" t="s">
        <v>1421</v>
      </c>
      <c r="C9746" s="13" t="s">
        <v>712</v>
      </c>
      <c r="D9746" s="15">
        <v>2.0</v>
      </c>
      <c r="E9746" s="67">
        <f t="shared" si="46"/>
        <v>500</v>
      </c>
      <c r="F9746" s="67"/>
    </row>
    <row r="9747" hidden="1">
      <c r="A9747" s="6" t="s">
        <v>107</v>
      </c>
      <c r="B9747" s="13" t="s">
        <v>1422</v>
      </c>
      <c r="C9747" s="13" t="s">
        <v>1423</v>
      </c>
      <c r="D9747" s="15">
        <v>2.0</v>
      </c>
      <c r="E9747" s="67">
        <f t="shared" si="46"/>
        <v>500</v>
      </c>
      <c r="F9747" s="67"/>
    </row>
    <row r="9748" hidden="1">
      <c r="A9748" s="6" t="s">
        <v>107</v>
      </c>
      <c r="B9748" s="13" t="s">
        <v>1424</v>
      </c>
      <c r="C9748" s="13" t="s">
        <v>1425</v>
      </c>
      <c r="D9748" s="15">
        <v>9.0</v>
      </c>
      <c r="E9748" s="83">
        <v>4500.0</v>
      </c>
      <c r="F9748" s="83"/>
    </row>
    <row r="9749" hidden="1">
      <c r="A9749" s="6" t="s">
        <v>107</v>
      </c>
      <c r="B9749" s="13" t="s">
        <v>719</v>
      </c>
      <c r="C9749" s="13" t="s">
        <v>720</v>
      </c>
      <c r="D9749" s="15">
        <v>5.0</v>
      </c>
      <c r="E9749" s="67">
        <f t="shared" ref="E9749:E9754" si="47">IF(D9749&lt;10, D9749*250, D9749*500)</f>
        <v>1250</v>
      </c>
      <c r="F9749" s="67"/>
    </row>
    <row r="9750" hidden="1">
      <c r="A9750" s="6" t="s">
        <v>107</v>
      </c>
      <c r="B9750" s="13" t="s">
        <v>721</v>
      </c>
      <c r="C9750" s="13" t="s">
        <v>722</v>
      </c>
      <c r="D9750" s="15">
        <v>4.0</v>
      </c>
      <c r="E9750" s="67">
        <f t="shared" si="47"/>
        <v>1000</v>
      </c>
      <c r="F9750" s="67"/>
    </row>
    <row r="9751" hidden="1">
      <c r="A9751" s="6" t="s">
        <v>107</v>
      </c>
      <c r="B9751" s="13" t="s">
        <v>723</v>
      </c>
      <c r="C9751" s="13" t="s">
        <v>724</v>
      </c>
      <c r="D9751" s="15">
        <v>17.0</v>
      </c>
      <c r="E9751" s="67">
        <f t="shared" si="47"/>
        <v>8500</v>
      </c>
      <c r="F9751" s="67"/>
    </row>
    <row r="9752" hidden="1">
      <c r="A9752" s="6" t="s">
        <v>107</v>
      </c>
      <c r="B9752" s="13" t="s">
        <v>725</v>
      </c>
      <c r="C9752" s="13" t="s">
        <v>726</v>
      </c>
      <c r="D9752" s="15">
        <v>10.0</v>
      </c>
      <c r="E9752" s="67">
        <f t="shared" si="47"/>
        <v>5000</v>
      </c>
      <c r="F9752" s="67"/>
    </row>
    <row r="9753" hidden="1">
      <c r="A9753" s="6" t="s">
        <v>107</v>
      </c>
      <c r="B9753" s="13" t="s">
        <v>3238</v>
      </c>
      <c r="C9753" s="13" t="s">
        <v>3239</v>
      </c>
      <c r="D9753" s="15">
        <v>3.0</v>
      </c>
      <c r="E9753" s="67">
        <f t="shared" si="47"/>
        <v>750</v>
      </c>
      <c r="F9753" s="67"/>
    </row>
    <row r="9754" hidden="1">
      <c r="A9754" s="6" t="s">
        <v>107</v>
      </c>
      <c r="B9754" s="13" t="s">
        <v>1426</v>
      </c>
      <c r="C9754" s="13" t="s">
        <v>1427</v>
      </c>
      <c r="D9754" s="15">
        <v>11.0</v>
      </c>
      <c r="E9754" s="67">
        <f t="shared" si="47"/>
        <v>5500</v>
      </c>
      <c r="F9754" s="67"/>
    </row>
    <row r="9755" hidden="1">
      <c r="A9755" s="6" t="s">
        <v>107</v>
      </c>
      <c r="B9755" s="13" t="s">
        <v>3177</v>
      </c>
      <c r="C9755" s="13" t="s">
        <v>3178</v>
      </c>
      <c r="D9755" s="15">
        <v>8.0</v>
      </c>
      <c r="E9755" s="83">
        <v>4000.0</v>
      </c>
      <c r="F9755" s="83"/>
    </row>
    <row r="9756" hidden="1">
      <c r="A9756" s="6" t="s">
        <v>107</v>
      </c>
      <c r="B9756" s="13" t="s">
        <v>1428</v>
      </c>
      <c r="C9756" s="13" t="s">
        <v>1429</v>
      </c>
      <c r="D9756" s="15">
        <v>2.0</v>
      </c>
      <c r="E9756" s="67">
        <f t="shared" ref="E9756:E9759" si="48">IF(D9756&lt;10, D9756*250, D9756*500)</f>
        <v>500</v>
      </c>
      <c r="F9756" s="67"/>
    </row>
    <row r="9757" hidden="1">
      <c r="A9757" s="6" t="s">
        <v>107</v>
      </c>
      <c r="B9757" s="13" t="s">
        <v>1430</v>
      </c>
      <c r="C9757" s="13" t="s">
        <v>1431</v>
      </c>
      <c r="D9757" s="15">
        <v>5.0</v>
      </c>
      <c r="E9757" s="67">
        <f t="shared" si="48"/>
        <v>1250</v>
      </c>
      <c r="F9757" s="67"/>
    </row>
    <row r="9758" hidden="1">
      <c r="A9758" s="6" t="s">
        <v>107</v>
      </c>
      <c r="B9758" s="13" t="s">
        <v>1897</v>
      </c>
      <c r="C9758" s="13" t="s">
        <v>2460</v>
      </c>
      <c r="D9758" s="15">
        <v>3.0</v>
      </c>
      <c r="E9758" s="67">
        <f t="shared" si="48"/>
        <v>750</v>
      </c>
      <c r="F9758" s="67"/>
    </row>
    <row r="9759" hidden="1">
      <c r="A9759" s="6" t="s">
        <v>107</v>
      </c>
      <c r="B9759" s="13" t="s">
        <v>1432</v>
      </c>
      <c r="C9759" s="13" t="s">
        <v>1433</v>
      </c>
      <c r="D9759" s="15">
        <v>6.0</v>
      </c>
      <c r="E9759" s="67">
        <f t="shared" si="48"/>
        <v>1500</v>
      </c>
      <c r="F9759" s="67"/>
    </row>
    <row r="9760" hidden="1">
      <c r="A9760" s="6" t="s">
        <v>107</v>
      </c>
      <c r="B9760" s="13" t="s">
        <v>3273</v>
      </c>
      <c r="C9760" s="13" t="s">
        <v>3274</v>
      </c>
      <c r="D9760" s="15">
        <v>0.0</v>
      </c>
      <c r="E9760" s="67"/>
      <c r="F9760" s="67"/>
    </row>
    <row r="9761" hidden="1">
      <c r="A9761" s="6" t="s">
        <v>107</v>
      </c>
      <c r="B9761" s="13" t="s">
        <v>1434</v>
      </c>
      <c r="C9761" s="13" t="s">
        <v>735</v>
      </c>
      <c r="D9761" s="15">
        <v>1.0</v>
      </c>
      <c r="E9761" s="67">
        <f t="shared" ref="E9761:E9771" si="49">IF(D9761&lt;10, D9761*250, D9761*500)</f>
        <v>250</v>
      </c>
      <c r="F9761" s="67"/>
    </row>
    <row r="9762" hidden="1">
      <c r="A9762" s="6" t="s">
        <v>107</v>
      </c>
      <c r="B9762" s="13" t="s">
        <v>3196</v>
      </c>
      <c r="C9762" s="13" t="s">
        <v>3197</v>
      </c>
      <c r="D9762" s="15">
        <v>1.0</v>
      </c>
      <c r="E9762" s="67">
        <f t="shared" si="49"/>
        <v>250</v>
      </c>
      <c r="F9762" s="67"/>
    </row>
    <row r="9763" hidden="1">
      <c r="A9763" s="6" t="s">
        <v>107</v>
      </c>
      <c r="B9763" s="13" t="s">
        <v>736</v>
      </c>
      <c r="C9763" s="13" t="s">
        <v>737</v>
      </c>
      <c r="D9763" s="15">
        <v>11.0</v>
      </c>
      <c r="E9763" s="67">
        <f t="shared" si="49"/>
        <v>5500</v>
      </c>
      <c r="F9763" s="67"/>
    </row>
    <row r="9764" hidden="1">
      <c r="A9764" s="6" t="s">
        <v>107</v>
      </c>
      <c r="B9764" s="13" t="s">
        <v>1279</v>
      </c>
      <c r="C9764" s="13" t="s">
        <v>739</v>
      </c>
      <c r="D9764" s="15">
        <v>1.0</v>
      </c>
      <c r="E9764" s="67">
        <f t="shared" si="49"/>
        <v>250</v>
      </c>
      <c r="F9764" s="67"/>
    </row>
    <row r="9765" hidden="1">
      <c r="A9765" s="6" t="s">
        <v>107</v>
      </c>
      <c r="B9765" s="13" t="s">
        <v>744</v>
      </c>
      <c r="C9765" s="13" t="s">
        <v>745</v>
      </c>
      <c r="D9765" s="15">
        <v>5.0</v>
      </c>
      <c r="E9765" s="67">
        <f t="shared" si="49"/>
        <v>1250</v>
      </c>
      <c r="F9765" s="67"/>
    </row>
    <row r="9766" hidden="1">
      <c r="A9766" s="6" t="s">
        <v>107</v>
      </c>
      <c r="B9766" s="13" t="s">
        <v>1438</v>
      </c>
      <c r="C9766" s="13" t="s">
        <v>1439</v>
      </c>
      <c r="D9766" s="15">
        <v>3.0</v>
      </c>
      <c r="E9766" s="67">
        <f t="shared" si="49"/>
        <v>750</v>
      </c>
      <c r="F9766" s="67"/>
    </row>
    <row r="9767" hidden="1">
      <c r="A9767" s="6" t="s">
        <v>107</v>
      </c>
      <c r="B9767" s="13" t="s">
        <v>1440</v>
      </c>
      <c r="C9767" s="13" t="s">
        <v>1441</v>
      </c>
      <c r="D9767" s="15">
        <v>7.0</v>
      </c>
      <c r="E9767" s="67">
        <f t="shared" si="49"/>
        <v>1750</v>
      </c>
      <c r="F9767" s="67"/>
    </row>
    <row r="9768" hidden="1">
      <c r="A9768" s="6" t="s">
        <v>107</v>
      </c>
      <c r="B9768" s="13" t="s">
        <v>746</v>
      </c>
      <c r="C9768" s="13" t="s">
        <v>747</v>
      </c>
      <c r="D9768" s="15">
        <v>19.0</v>
      </c>
      <c r="E9768" s="67">
        <f t="shared" si="49"/>
        <v>9500</v>
      </c>
      <c r="F9768" s="67"/>
    </row>
    <row r="9769" hidden="1">
      <c r="A9769" s="6" t="s">
        <v>107</v>
      </c>
      <c r="B9769" s="13" t="s">
        <v>1442</v>
      </c>
      <c r="C9769" s="13" t="s">
        <v>749</v>
      </c>
      <c r="D9769" s="15">
        <v>11.0</v>
      </c>
      <c r="E9769" s="67">
        <f t="shared" si="49"/>
        <v>5500</v>
      </c>
      <c r="F9769" s="67"/>
    </row>
    <row r="9770" hidden="1">
      <c r="A9770" s="6" t="s">
        <v>107</v>
      </c>
      <c r="B9770" s="13" t="s">
        <v>752</v>
      </c>
      <c r="C9770" s="13" t="s">
        <v>753</v>
      </c>
      <c r="D9770" s="15">
        <v>4.0</v>
      </c>
      <c r="E9770" s="67">
        <f t="shared" si="49"/>
        <v>1000</v>
      </c>
      <c r="F9770" s="67"/>
    </row>
    <row r="9771" hidden="1">
      <c r="A9771" s="6" t="s">
        <v>107</v>
      </c>
      <c r="B9771" s="13" t="s">
        <v>1443</v>
      </c>
      <c r="C9771" s="13" t="s">
        <v>755</v>
      </c>
      <c r="D9771" s="15">
        <v>1.0</v>
      </c>
      <c r="E9771" s="67">
        <f t="shared" si="49"/>
        <v>250</v>
      </c>
      <c r="F9771" s="67"/>
    </row>
    <row r="9772" hidden="1">
      <c r="A9772" s="6" t="s">
        <v>107</v>
      </c>
      <c r="B9772" s="13" t="s">
        <v>1444</v>
      </c>
      <c r="C9772" s="13" t="s">
        <v>1445</v>
      </c>
      <c r="D9772" s="15">
        <v>0.0</v>
      </c>
      <c r="E9772" s="67"/>
      <c r="F9772" s="67"/>
    </row>
    <row r="9773" hidden="1">
      <c r="A9773" s="6" t="s">
        <v>107</v>
      </c>
      <c r="B9773" s="13" t="s">
        <v>2299</v>
      </c>
      <c r="C9773" s="13" t="s">
        <v>2300</v>
      </c>
      <c r="D9773" s="15">
        <v>3.0</v>
      </c>
      <c r="E9773" s="67">
        <f t="shared" ref="E9773:E10158" si="50">IF(D9773&lt;10, D9773*250, D9773*500)</f>
        <v>750</v>
      </c>
      <c r="F9773" s="67"/>
    </row>
    <row r="9774" hidden="1">
      <c r="A9774" s="6" t="s">
        <v>107</v>
      </c>
      <c r="B9774" s="13" t="s">
        <v>764</v>
      </c>
      <c r="C9774" s="13" t="s">
        <v>765</v>
      </c>
      <c r="D9774" s="15">
        <v>11.0</v>
      </c>
      <c r="E9774" s="67">
        <f t="shared" si="50"/>
        <v>5500</v>
      </c>
      <c r="F9774" s="67"/>
    </row>
    <row r="9775" hidden="1">
      <c r="A9775" s="6" t="s">
        <v>107</v>
      </c>
      <c r="B9775" s="13" t="s">
        <v>900</v>
      </c>
      <c r="C9775" s="13" t="s">
        <v>901</v>
      </c>
      <c r="D9775" s="15">
        <v>3.0</v>
      </c>
      <c r="E9775" s="67">
        <f t="shared" si="50"/>
        <v>750</v>
      </c>
      <c r="F9775" s="67"/>
    </row>
    <row r="9776" hidden="1">
      <c r="A9776" s="6" t="s">
        <v>107</v>
      </c>
      <c r="B9776" s="13" t="s">
        <v>766</v>
      </c>
      <c r="C9776" s="13" t="s">
        <v>767</v>
      </c>
      <c r="D9776" s="15">
        <v>17.0</v>
      </c>
      <c r="E9776" s="67">
        <f t="shared" si="50"/>
        <v>8500</v>
      </c>
      <c r="F9776" s="67"/>
    </row>
    <row r="9777" hidden="1">
      <c r="A9777" s="6" t="s">
        <v>107</v>
      </c>
      <c r="B9777" s="13" t="s">
        <v>1448</v>
      </c>
      <c r="C9777" s="13" t="s">
        <v>1449</v>
      </c>
      <c r="D9777" s="15">
        <v>7.0</v>
      </c>
      <c r="E9777" s="67">
        <f t="shared" si="50"/>
        <v>1750</v>
      </c>
      <c r="F9777" s="67"/>
    </row>
    <row r="9778" hidden="1">
      <c r="A9778" s="6" t="s">
        <v>109</v>
      </c>
      <c r="B9778" s="13" t="s">
        <v>397</v>
      </c>
      <c r="C9778" s="13" t="s">
        <v>398</v>
      </c>
      <c r="D9778" s="15">
        <v>2.0</v>
      </c>
      <c r="E9778" s="67">
        <f t="shared" si="50"/>
        <v>500</v>
      </c>
      <c r="F9778" s="67"/>
    </row>
    <row r="9779" hidden="1">
      <c r="A9779" s="6" t="s">
        <v>109</v>
      </c>
      <c r="B9779" s="13" t="s">
        <v>3275</v>
      </c>
      <c r="C9779" s="13" t="s">
        <v>3276</v>
      </c>
      <c r="D9779" s="15">
        <v>3.0</v>
      </c>
      <c r="E9779" s="67">
        <f t="shared" si="50"/>
        <v>750</v>
      </c>
      <c r="F9779" s="67"/>
    </row>
    <row r="9780" hidden="1">
      <c r="A9780" s="6" t="s">
        <v>109</v>
      </c>
      <c r="B9780" s="13" t="s">
        <v>403</v>
      </c>
      <c r="C9780" s="13" t="s">
        <v>404</v>
      </c>
      <c r="D9780" s="15">
        <v>2.0</v>
      </c>
      <c r="E9780" s="67">
        <f t="shared" si="50"/>
        <v>500</v>
      </c>
      <c r="F9780" s="67"/>
    </row>
    <row r="9781" hidden="1">
      <c r="A9781" s="6" t="s">
        <v>109</v>
      </c>
      <c r="B9781" s="13" t="s">
        <v>405</v>
      </c>
      <c r="C9781" s="13" t="s">
        <v>406</v>
      </c>
      <c r="D9781" s="15">
        <v>3.0</v>
      </c>
      <c r="E9781" s="67">
        <f t="shared" si="50"/>
        <v>750</v>
      </c>
      <c r="F9781" s="67"/>
    </row>
    <row r="9782" hidden="1">
      <c r="A9782" s="6" t="s">
        <v>109</v>
      </c>
      <c r="B9782" s="13" t="s">
        <v>3277</v>
      </c>
      <c r="C9782" s="13" t="s">
        <v>1285</v>
      </c>
      <c r="D9782" s="15">
        <v>3.0</v>
      </c>
      <c r="E9782" s="67">
        <f t="shared" si="50"/>
        <v>750</v>
      </c>
      <c r="F9782" s="67"/>
    </row>
    <row r="9783" hidden="1">
      <c r="A9783" s="6" t="s">
        <v>109</v>
      </c>
      <c r="B9783" s="13" t="s">
        <v>407</v>
      </c>
      <c r="C9783" s="13" t="s">
        <v>408</v>
      </c>
      <c r="D9783" s="15">
        <v>2.0</v>
      </c>
      <c r="E9783" s="67">
        <f t="shared" si="50"/>
        <v>500</v>
      </c>
      <c r="F9783" s="67"/>
    </row>
    <row r="9784" hidden="1">
      <c r="A9784" s="6" t="s">
        <v>109</v>
      </c>
      <c r="B9784" s="13" t="s">
        <v>3278</v>
      </c>
      <c r="C9784" s="13" t="s">
        <v>1288</v>
      </c>
      <c r="D9784" s="15">
        <v>3.0</v>
      </c>
      <c r="E9784" s="67">
        <f t="shared" si="50"/>
        <v>750</v>
      </c>
      <c r="F9784" s="67"/>
    </row>
    <row r="9785" hidden="1">
      <c r="A9785" s="6" t="s">
        <v>109</v>
      </c>
      <c r="B9785" s="13" t="s">
        <v>411</v>
      </c>
      <c r="C9785" s="13" t="s">
        <v>412</v>
      </c>
      <c r="D9785" s="15">
        <v>7.0</v>
      </c>
      <c r="E9785" s="67">
        <f t="shared" si="50"/>
        <v>1750</v>
      </c>
      <c r="F9785" s="67"/>
    </row>
    <row r="9786" hidden="1">
      <c r="A9786" s="6" t="s">
        <v>109</v>
      </c>
      <c r="B9786" s="13" t="s">
        <v>413</v>
      </c>
      <c r="C9786" s="13" t="s">
        <v>414</v>
      </c>
      <c r="D9786" s="15">
        <v>5.0</v>
      </c>
      <c r="E9786" s="67">
        <f t="shared" si="50"/>
        <v>1250</v>
      </c>
      <c r="F9786" s="67"/>
    </row>
    <row r="9787" hidden="1">
      <c r="A9787" s="6" t="s">
        <v>109</v>
      </c>
      <c r="B9787" s="13" t="s">
        <v>417</v>
      </c>
      <c r="C9787" s="13" t="s">
        <v>418</v>
      </c>
      <c r="D9787" s="15">
        <v>3.0</v>
      </c>
      <c r="E9787" s="67">
        <f t="shared" si="50"/>
        <v>750</v>
      </c>
      <c r="F9787" s="67"/>
    </row>
    <row r="9788" hidden="1">
      <c r="A9788" s="6" t="s">
        <v>109</v>
      </c>
      <c r="B9788" s="13" t="s">
        <v>3279</v>
      </c>
      <c r="C9788" s="13" t="s">
        <v>1290</v>
      </c>
      <c r="D9788" s="15">
        <v>2.0</v>
      </c>
      <c r="E9788" s="67">
        <f t="shared" si="50"/>
        <v>500</v>
      </c>
      <c r="F9788" s="67"/>
    </row>
    <row r="9789" hidden="1">
      <c r="A9789" s="6" t="s">
        <v>109</v>
      </c>
      <c r="B9789" s="13" t="s">
        <v>421</v>
      </c>
      <c r="C9789" s="13" t="s">
        <v>422</v>
      </c>
      <c r="D9789" s="15">
        <v>4.0</v>
      </c>
      <c r="E9789" s="67">
        <f t="shared" si="50"/>
        <v>1000</v>
      </c>
      <c r="F9789" s="67"/>
    </row>
    <row r="9790" hidden="1">
      <c r="A9790" s="6" t="s">
        <v>109</v>
      </c>
      <c r="B9790" s="13" t="s">
        <v>423</v>
      </c>
      <c r="C9790" s="13" t="s">
        <v>424</v>
      </c>
      <c r="D9790" s="15">
        <v>0.0</v>
      </c>
      <c r="E9790" s="67">
        <f t="shared" si="50"/>
        <v>0</v>
      </c>
      <c r="F9790" s="67"/>
    </row>
    <row r="9791" hidden="1">
      <c r="A9791" s="6" t="s">
        <v>109</v>
      </c>
      <c r="B9791" s="13" t="s">
        <v>431</v>
      </c>
      <c r="C9791" s="13" t="s">
        <v>432</v>
      </c>
      <c r="D9791" s="15">
        <v>5.0</v>
      </c>
      <c r="E9791" s="67">
        <f t="shared" si="50"/>
        <v>1250</v>
      </c>
      <c r="F9791" s="67"/>
    </row>
    <row r="9792" hidden="1">
      <c r="A9792" s="6" t="s">
        <v>109</v>
      </c>
      <c r="B9792" s="13" t="s">
        <v>435</v>
      </c>
      <c r="C9792" s="13" t="s">
        <v>436</v>
      </c>
      <c r="D9792" s="15">
        <v>14.0</v>
      </c>
      <c r="E9792" s="67">
        <f t="shared" si="50"/>
        <v>7000</v>
      </c>
      <c r="F9792" s="67"/>
    </row>
    <row r="9793" hidden="1">
      <c r="A9793" s="6" t="s">
        <v>109</v>
      </c>
      <c r="B9793" s="13" t="s">
        <v>439</v>
      </c>
      <c r="C9793" s="13" t="s">
        <v>440</v>
      </c>
      <c r="D9793" s="15">
        <v>15.0</v>
      </c>
      <c r="E9793" s="67">
        <f t="shared" si="50"/>
        <v>7500</v>
      </c>
      <c r="F9793" s="67"/>
    </row>
    <row r="9794" hidden="1">
      <c r="A9794" s="6" t="s">
        <v>109</v>
      </c>
      <c r="B9794" s="13" t="s">
        <v>3280</v>
      </c>
      <c r="C9794" s="13" t="s">
        <v>3281</v>
      </c>
      <c r="D9794" s="15">
        <v>0.0</v>
      </c>
      <c r="E9794" s="67">
        <f t="shared" si="50"/>
        <v>0</v>
      </c>
      <c r="F9794" s="67"/>
    </row>
    <row r="9795" hidden="1">
      <c r="A9795" s="6" t="s">
        <v>109</v>
      </c>
      <c r="B9795" s="13" t="s">
        <v>3282</v>
      </c>
      <c r="C9795" s="13" t="s">
        <v>1294</v>
      </c>
      <c r="D9795" s="15">
        <v>2.0</v>
      </c>
      <c r="E9795" s="67">
        <f t="shared" si="50"/>
        <v>500</v>
      </c>
      <c r="F9795" s="67"/>
    </row>
    <row r="9796" hidden="1">
      <c r="A9796" s="6" t="s">
        <v>109</v>
      </c>
      <c r="B9796" s="13" t="s">
        <v>443</v>
      </c>
      <c r="C9796" s="13" t="s">
        <v>444</v>
      </c>
      <c r="D9796" s="15">
        <v>7.0</v>
      </c>
      <c r="E9796" s="67">
        <f t="shared" si="50"/>
        <v>1750</v>
      </c>
      <c r="F9796" s="67"/>
    </row>
    <row r="9797" hidden="1">
      <c r="A9797" s="6" t="s">
        <v>109</v>
      </c>
      <c r="B9797" s="13" t="s">
        <v>449</v>
      </c>
      <c r="C9797" s="13" t="s">
        <v>450</v>
      </c>
      <c r="D9797" s="15">
        <v>3.0</v>
      </c>
      <c r="E9797" s="67">
        <f t="shared" si="50"/>
        <v>750</v>
      </c>
      <c r="F9797" s="67"/>
    </row>
    <row r="9798" hidden="1">
      <c r="A9798" s="6" t="s">
        <v>109</v>
      </c>
      <c r="B9798" s="13" t="s">
        <v>451</v>
      </c>
      <c r="C9798" s="13" t="s">
        <v>452</v>
      </c>
      <c r="D9798" s="15">
        <v>4.0</v>
      </c>
      <c r="E9798" s="67">
        <f t="shared" si="50"/>
        <v>1000</v>
      </c>
      <c r="F9798" s="67"/>
    </row>
    <row r="9799" hidden="1">
      <c r="A9799" s="6" t="s">
        <v>109</v>
      </c>
      <c r="B9799" s="13" t="s">
        <v>453</v>
      </c>
      <c r="C9799" s="13" t="s">
        <v>454</v>
      </c>
      <c r="D9799" s="15">
        <v>3.0</v>
      </c>
      <c r="E9799" s="67">
        <f t="shared" si="50"/>
        <v>750</v>
      </c>
      <c r="F9799" s="67"/>
    </row>
    <row r="9800" hidden="1">
      <c r="A9800" s="6" t="s">
        <v>109</v>
      </c>
      <c r="B9800" s="13" t="s">
        <v>3283</v>
      </c>
      <c r="C9800" s="13" t="s">
        <v>1300</v>
      </c>
      <c r="D9800" s="15">
        <v>3.0</v>
      </c>
      <c r="E9800" s="67">
        <f t="shared" si="50"/>
        <v>750</v>
      </c>
      <c r="F9800" s="67"/>
    </row>
    <row r="9801" hidden="1">
      <c r="A9801" s="6" t="s">
        <v>109</v>
      </c>
      <c r="B9801" s="13" t="s">
        <v>319</v>
      </c>
      <c r="C9801" s="13" t="s">
        <v>459</v>
      </c>
      <c r="D9801" s="15">
        <v>1.0</v>
      </c>
      <c r="E9801" s="67">
        <f t="shared" si="50"/>
        <v>250</v>
      </c>
      <c r="F9801" s="67"/>
    </row>
    <row r="9802" hidden="1">
      <c r="A9802" s="6" t="s">
        <v>109</v>
      </c>
      <c r="B9802" s="13" t="s">
        <v>460</v>
      </c>
      <c r="C9802" s="13" t="s">
        <v>461</v>
      </c>
      <c r="D9802" s="15">
        <v>3.0</v>
      </c>
      <c r="E9802" s="67">
        <f t="shared" si="50"/>
        <v>750</v>
      </c>
      <c r="F9802" s="67"/>
    </row>
    <row r="9803" hidden="1">
      <c r="A9803" s="6" t="s">
        <v>109</v>
      </c>
      <c r="B9803" s="13" t="s">
        <v>462</v>
      </c>
      <c r="C9803" s="13" t="s">
        <v>463</v>
      </c>
      <c r="D9803" s="15">
        <v>1.0</v>
      </c>
      <c r="E9803" s="67">
        <f t="shared" si="50"/>
        <v>250</v>
      </c>
      <c r="F9803" s="67"/>
    </row>
    <row r="9804" hidden="1">
      <c r="A9804" s="6" t="s">
        <v>109</v>
      </c>
      <c r="B9804" s="13" t="s">
        <v>464</v>
      </c>
      <c r="C9804" s="13" t="s">
        <v>465</v>
      </c>
      <c r="D9804" s="15">
        <v>0.0</v>
      </c>
      <c r="E9804" s="67">
        <f t="shared" si="50"/>
        <v>0</v>
      </c>
      <c r="F9804" s="67"/>
    </row>
    <row r="9805" hidden="1">
      <c r="A9805" s="6" t="s">
        <v>109</v>
      </c>
      <c r="B9805" s="13" t="s">
        <v>466</v>
      </c>
      <c r="C9805" s="13" t="s">
        <v>467</v>
      </c>
      <c r="D9805" s="15">
        <v>2.0</v>
      </c>
      <c r="E9805" s="67">
        <f t="shared" si="50"/>
        <v>500</v>
      </c>
      <c r="F9805" s="67"/>
    </row>
    <row r="9806" hidden="1">
      <c r="A9806" s="6" t="s">
        <v>109</v>
      </c>
      <c r="B9806" s="13" t="s">
        <v>472</v>
      </c>
      <c r="C9806" s="13" t="s">
        <v>473</v>
      </c>
      <c r="D9806" s="15">
        <v>2.0</v>
      </c>
      <c r="E9806" s="67">
        <f t="shared" si="50"/>
        <v>500</v>
      </c>
      <c r="F9806" s="67"/>
    </row>
    <row r="9807" hidden="1">
      <c r="A9807" s="6" t="s">
        <v>109</v>
      </c>
      <c r="B9807" s="13" t="s">
        <v>476</v>
      </c>
      <c r="C9807" s="13" t="s">
        <v>477</v>
      </c>
      <c r="D9807" s="15">
        <v>44.0</v>
      </c>
      <c r="E9807" s="67">
        <f t="shared" si="50"/>
        <v>22000</v>
      </c>
      <c r="F9807" s="67"/>
    </row>
    <row r="9808" hidden="1">
      <c r="A9808" s="6" t="s">
        <v>109</v>
      </c>
      <c r="B9808" s="13" t="s">
        <v>482</v>
      </c>
      <c r="C9808" s="13" t="s">
        <v>483</v>
      </c>
      <c r="D9808" s="15">
        <v>3.0</v>
      </c>
      <c r="E9808" s="67">
        <f t="shared" si="50"/>
        <v>750</v>
      </c>
      <c r="F9808" s="67"/>
    </row>
    <row r="9809" hidden="1">
      <c r="A9809" s="6" t="s">
        <v>109</v>
      </c>
      <c r="B9809" s="13" t="s">
        <v>3284</v>
      </c>
      <c r="C9809" s="13" t="s">
        <v>1306</v>
      </c>
      <c r="D9809" s="15">
        <v>5.0</v>
      </c>
      <c r="E9809" s="67">
        <f t="shared" si="50"/>
        <v>1250</v>
      </c>
      <c r="F9809" s="67"/>
    </row>
    <row r="9810" hidden="1">
      <c r="A9810" s="6" t="s">
        <v>109</v>
      </c>
      <c r="B9810" s="13" t="s">
        <v>3285</v>
      </c>
      <c r="C9810" s="13" t="s">
        <v>1308</v>
      </c>
      <c r="D9810" s="15">
        <v>3.0</v>
      </c>
      <c r="E9810" s="67">
        <f t="shared" si="50"/>
        <v>750</v>
      </c>
      <c r="F9810" s="67"/>
    </row>
    <row r="9811" hidden="1">
      <c r="A9811" s="6" t="s">
        <v>109</v>
      </c>
      <c r="B9811" s="13" t="s">
        <v>484</v>
      </c>
      <c r="C9811" s="13" t="s">
        <v>485</v>
      </c>
      <c r="D9811" s="15">
        <v>1.0</v>
      </c>
      <c r="E9811" s="67">
        <f t="shared" si="50"/>
        <v>250</v>
      </c>
      <c r="F9811" s="67"/>
    </row>
    <row r="9812" hidden="1">
      <c r="A9812" s="6" t="s">
        <v>109</v>
      </c>
      <c r="B9812" s="13" t="s">
        <v>486</v>
      </c>
      <c r="C9812" s="13" t="s">
        <v>487</v>
      </c>
      <c r="D9812" s="15">
        <v>8.0</v>
      </c>
      <c r="E9812" s="67">
        <f t="shared" si="50"/>
        <v>2000</v>
      </c>
      <c r="F9812" s="67"/>
    </row>
    <row r="9813" hidden="1">
      <c r="A9813" s="6" t="s">
        <v>109</v>
      </c>
      <c r="B9813" s="13" t="s">
        <v>488</v>
      </c>
      <c r="C9813" s="13" t="s">
        <v>489</v>
      </c>
      <c r="D9813" s="15">
        <v>4.0</v>
      </c>
      <c r="E9813" s="67">
        <f t="shared" si="50"/>
        <v>1000</v>
      </c>
      <c r="F9813" s="67"/>
    </row>
    <row r="9814" hidden="1">
      <c r="A9814" s="6" t="s">
        <v>109</v>
      </c>
      <c r="B9814" s="13" t="s">
        <v>490</v>
      </c>
      <c r="C9814" s="13" t="s">
        <v>491</v>
      </c>
      <c r="D9814" s="15">
        <v>4.0</v>
      </c>
      <c r="E9814" s="67">
        <f t="shared" si="50"/>
        <v>1000</v>
      </c>
      <c r="F9814" s="67"/>
    </row>
    <row r="9815" hidden="1">
      <c r="A9815" s="6" t="s">
        <v>109</v>
      </c>
      <c r="B9815" s="13" t="s">
        <v>494</v>
      </c>
      <c r="C9815" s="13" t="s">
        <v>495</v>
      </c>
      <c r="D9815" s="15">
        <v>3.0</v>
      </c>
      <c r="E9815" s="67">
        <f t="shared" si="50"/>
        <v>750</v>
      </c>
      <c r="F9815" s="67"/>
    </row>
    <row r="9816" hidden="1">
      <c r="A9816" s="6" t="s">
        <v>109</v>
      </c>
      <c r="B9816" s="13" t="s">
        <v>3286</v>
      </c>
      <c r="C9816" s="13" t="s">
        <v>3287</v>
      </c>
      <c r="D9816" s="15">
        <v>0.0</v>
      </c>
      <c r="E9816" s="67">
        <f t="shared" si="50"/>
        <v>0</v>
      </c>
      <c r="F9816" s="67"/>
    </row>
    <row r="9817" hidden="1">
      <c r="A9817" s="6" t="s">
        <v>109</v>
      </c>
      <c r="B9817" s="13" t="s">
        <v>500</v>
      </c>
      <c r="C9817" s="13" t="s">
        <v>501</v>
      </c>
      <c r="D9817" s="15">
        <v>5.0</v>
      </c>
      <c r="E9817" s="67">
        <f t="shared" si="50"/>
        <v>1250</v>
      </c>
      <c r="F9817" s="67"/>
    </row>
    <row r="9818" hidden="1">
      <c r="A9818" s="6" t="s">
        <v>109</v>
      </c>
      <c r="B9818" s="13" t="s">
        <v>502</v>
      </c>
      <c r="C9818" s="13" t="s">
        <v>503</v>
      </c>
      <c r="D9818" s="15">
        <v>3.0</v>
      </c>
      <c r="E9818" s="67">
        <f t="shared" si="50"/>
        <v>750</v>
      </c>
      <c r="F9818" s="67"/>
    </row>
    <row r="9819" hidden="1">
      <c r="A9819" s="6" t="s">
        <v>109</v>
      </c>
      <c r="B9819" s="13" t="s">
        <v>504</v>
      </c>
      <c r="C9819" s="13" t="s">
        <v>505</v>
      </c>
      <c r="D9819" s="15">
        <v>0.0</v>
      </c>
      <c r="E9819" s="67">
        <f t="shared" si="50"/>
        <v>0</v>
      </c>
      <c r="F9819" s="67"/>
    </row>
    <row r="9820" hidden="1">
      <c r="A9820" s="6" t="s">
        <v>109</v>
      </c>
      <c r="B9820" s="13" t="s">
        <v>3288</v>
      </c>
      <c r="C9820" s="13" t="s">
        <v>1316</v>
      </c>
      <c r="D9820" s="15">
        <v>1.0</v>
      </c>
      <c r="E9820" s="67">
        <f t="shared" si="50"/>
        <v>250</v>
      </c>
      <c r="F9820" s="67"/>
    </row>
    <row r="9821" hidden="1">
      <c r="A9821" s="6" t="s">
        <v>109</v>
      </c>
      <c r="B9821" s="13" t="s">
        <v>3289</v>
      </c>
      <c r="C9821" s="13" t="s">
        <v>1318</v>
      </c>
      <c r="D9821" s="15">
        <v>4.0</v>
      </c>
      <c r="E9821" s="67">
        <f t="shared" si="50"/>
        <v>1000</v>
      </c>
      <c r="F9821" s="67"/>
    </row>
    <row r="9822" hidden="1">
      <c r="A9822" s="6" t="s">
        <v>109</v>
      </c>
      <c r="B9822" s="13" t="s">
        <v>510</v>
      </c>
      <c r="C9822" s="13" t="s">
        <v>511</v>
      </c>
      <c r="D9822" s="15">
        <v>10.0</v>
      </c>
      <c r="E9822" s="67">
        <f t="shared" si="50"/>
        <v>5000</v>
      </c>
      <c r="F9822" s="67"/>
    </row>
    <row r="9823" hidden="1">
      <c r="A9823" s="6" t="s">
        <v>109</v>
      </c>
      <c r="B9823" s="13" t="s">
        <v>514</v>
      </c>
      <c r="C9823" s="13" t="s">
        <v>515</v>
      </c>
      <c r="D9823" s="15">
        <v>2.0</v>
      </c>
      <c r="E9823" s="67">
        <f t="shared" si="50"/>
        <v>500</v>
      </c>
      <c r="F9823" s="67"/>
    </row>
    <row r="9824" hidden="1">
      <c r="A9824" s="6" t="s">
        <v>109</v>
      </c>
      <c r="B9824" s="13" t="s">
        <v>3290</v>
      </c>
      <c r="C9824" s="13" t="s">
        <v>3291</v>
      </c>
      <c r="D9824" s="15">
        <v>0.0</v>
      </c>
      <c r="E9824" s="67">
        <f t="shared" si="50"/>
        <v>0</v>
      </c>
      <c r="F9824" s="67"/>
    </row>
    <row r="9825" hidden="1">
      <c r="A9825" s="6" t="s">
        <v>109</v>
      </c>
      <c r="B9825" s="13" t="s">
        <v>516</v>
      </c>
      <c r="C9825" s="13" t="s">
        <v>517</v>
      </c>
      <c r="D9825" s="15">
        <v>0.0</v>
      </c>
      <c r="E9825" s="67">
        <f t="shared" si="50"/>
        <v>0</v>
      </c>
      <c r="F9825" s="67"/>
    </row>
    <row r="9826" hidden="1">
      <c r="A9826" s="6" t="s">
        <v>109</v>
      </c>
      <c r="B9826" s="13" t="s">
        <v>518</v>
      </c>
      <c r="C9826" s="13" t="s">
        <v>519</v>
      </c>
      <c r="D9826" s="15">
        <v>4.0</v>
      </c>
      <c r="E9826" s="67">
        <f t="shared" si="50"/>
        <v>1000</v>
      </c>
      <c r="F9826" s="67"/>
    </row>
    <row r="9827" hidden="1">
      <c r="A9827" s="6" t="s">
        <v>109</v>
      </c>
      <c r="B9827" s="13" t="s">
        <v>3292</v>
      </c>
      <c r="C9827" s="13" t="s">
        <v>1320</v>
      </c>
      <c r="D9827" s="15">
        <v>2.0</v>
      </c>
      <c r="E9827" s="67">
        <f t="shared" si="50"/>
        <v>500</v>
      </c>
      <c r="F9827" s="67"/>
    </row>
    <row r="9828" hidden="1">
      <c r="A9828" s="6" t="s">
        <v>109</v>
      </c>
      <c r="B9828" s="13" t="s">
        <v>520</v>
      </c>
      <c r="C9828" s="13" t="s">
        <v>521</v>
      </c>
      <c r="D9828" s="15">
        <v>1.0</v>
      </c>
      <c r="E9828" s="67">
        <f t="shared" si="50"/>
        <v>250</v>
      </c>
      <c r="F9828" s="67"/>
    </row>
    <row r="9829" hidden="1">
      <c r="A9829" s="6" t="s">
        <v>109</v>
      </c>
      <c r="B9829" s="13" t="s">
        <v>922</v>
      </c>
      <c r="C9829" s="13" t="s">
        <v>923</v>
      </c>
      <c r="D9829" s="15">
        <v>4.0</v>
      </c>
      <c r="E9829" s="67">
        <f t="shared" si="50"/>
        <v>1000</v>
      </c>
      <c r="F9829" s="67"/>
    </row>
    <row r="9830" hidden="1">
      <c r="A9830" s="6" t="s">
        <v>109</v>
      </c>
      <c r="B9830" s="13" t="s">
        <v>3293</v>
      </c>
      <c r="C9830" s="13" t="s">
        <v>1322</v>
      </c>
      <c r="D9830" s="15">
        <v>1.0</v>
      </c>
      <c r="E9830" s="67">
        <f t="shared" si="50"/>
        <v>250</v>
      </c>
      <c r="F9830" s="67"/>
    </row>
    <row r="9831" hidden="1">
      <c r="A9831" s="6" t="s">
        <v>109</v>
      </c>
      <c r="B9831" s="13" t="s">
        <v>522</v>
      </c>
      <c r="C9831" s="13" t="s">
        <v>523</v>
      </c>
      <c r="D9831" s="15">
        <v>4.0</v>
      </c>
      <c r="E9831" s="67">
        <f t="shared" si="50"/>
        <v>1000</v>
      </c>
      <c r="F9831" s="67"/>
    </row>
    <row r="9832" hidden="1">
      <c r="A9832" s="6" t="s">
        <v>109</v>
      </c>
      <c r="B9832" s="13" t="s">
        <v>524</v>
      </c>
      <c r="C9832" s="13" t="s">
        <v>525</v>
      </c>
      <c r="D9832" s="15">
        <v>3.0</v>
      </c>
      <c r="E9832" s="67">
        <f t="shared" si="50"/>
        <v>750</v>
      </c>
      <c r="F9832" s="67"/>
    </row>
    <row r="9833" hidden="1">
      <c r="A9833" s="6" t="s">
        <v>109</v>
      </c>
      <c r="B9833" s="13" t="s">
        <v>1450</v>
      </c>
      <c r="C9833" s="13" t="s">
        <v>1451</v>
      </c>
      <c r="D9833" s="15">
        <v>1.0</v>
      </c>
      <c r="E9833" s="67">
        <f t="shared" si="50"/>
        <v>250</v>
      </c>
      <c r="F9833" s="67"/>
    </row>
    <row r="9834" hidden="1">
      <c r="A9834" s="6" t="s">
        <v>109</v>
      </c>
      <c r="B9834" s="13" t="s">
        <v>3294</v>
      </c>
      <c r="C9834" s="13" t="s">
        <v>1326</v>
      </c>
      <c r="D9834" s="15">
        <v>4.0</v>
      </c>
      <c r="E9834" s="67">
        <f t="shared" si="50"/>
        <v>1000</v>
      </c>
      <c r="F9834" s="67"/>
    </row>
    <row r="9835" hidden="1">
      <c r="A9835" s="6" t="s">
        <v>109</v>
      </c>
      <c r="B9835" s="13" t="s">
        <v>526</v>
      </c>
      <c r="C9835" s="13" t="s">
        <v>527</v>
      </c>
      <c r="D9835" s="15">
        <v>0.0</v>
      </c>
      <c r="E9835" s="67">
        <f t="shared" si="50"/>
        <v>0</v>
      </c>
      <c r="F9835" s="67"/>
    </row>
    <row r="9836" hidden="1">
      <c r="A9836" s="6" t="s">
        <v>109</v>
      </c>
      <c r="B9836" s="13" t="s">
        <v>3295</v>
      </c>
      <c r="C9836" s="13" t="s">
        <v>1329</v>
      </c>
      <c r="D9836" s="15">
        <v>1.0</v>
      </c>
      <c r="E9836" s="67">
        <f t="shared" si="50"/>
        <v>250</v>
      </c>
      <c r="F9836" s="67"/>
    </row>
    <row r="9837" hidden="1">
      <c r="A9837" s="6" t="s">
        <v>109</v>
      </c>
      <c r="B9837" s="13" t="s">
        <v>528</v>
      </c>
      <c r="C9837" s="13" t="s">
        <v>529</v>
      </c>
      <c r="D9837" s="15">
        <v>0.0</v>
      </c>
      <c r="E9837" s="67">
        <f t="shared" si="50"/>
        <v>0</v>
      </c>
      <c r="F9837" s="67"/>
    </row>
    <row r="9838" hidden="1">
      <c r="A9838" s="6" t="s">
        <v>109</v>
      </c>
      <c r="B9838" s="13" t="s">
        <v>530</v>
      </c>
      <c r="C9838" s="13" t="s">
        <v>531</v>
      </c>
      <c r="D9838" s="15">
        <v>7.0</v>
      </c>
      <c r="E9838" s="67">
        <f t="shared" si="50"/>
        <v>1750</v>
      </c>
      <c r="F9838" s="67"/>
    </row>
    <row r="9839" hidden="1">
      <c r="A9839" s="6" t="s">
        <v>109</v>
      </c>
      <c r="B9839" s="13" t="s">
        <v>532</v>
      </c>
      <c r="C9839" s="13" t="s">
        <v>533</v>
      </c>
      <c r="D9839" s="15">
        <v>4.0</v>
      </c>
      <c r="E9839" s="67">
        <f t="shared" si="50"/>
        <v>1000</v>
      </c>
      <c r="F9839" s="67"/>
    </row>
    <row r="9840" hidden="1">
      <c r="A9840" s="6" t="s">
        <v>109</v>
      </c>
      <c r="B9840" s="13" t="s">
        <v>534</v>
      </c>
      <c r="C9840" s="13" t="s">
        <v>535</v>
      </c>
      <c r="D9840" s="15">
        <v>0.0</v>
      </c>
      <c r="E9840" s="67">
        <f t="shared" si="50"/>
        <v>0</v>
      </c>
      <c r="F9840" s="67"/>
    </row>
    <row r="9841" hidden="1">
      <c r="A9841" s="6" t="s">
        <v>109</v>
      </c>
      <c r="B9841" s="13" t="s">
        <v>536</v>
      </c>
      <c r="C9841" s="13" t="s">
        <v>537</v>
      </c>
      <c r="D9841" s="15">
        <v>0.0</v>
      </c>
      <c r="E9841" s="67">
        <f t="shared" si="50"/>
        <v>0</v>
      </c>
      <c r="F9841" s="67"/>
    </row>
    <row r="9842" hidden="1">
      <c r="A9842" s="6" t="s">
        <v>109</v>
      </c>
      <c r="B9842" s="13" t="s">
        <v>538</v>
      </c>
      <c r="C9842" s="13" t="s">
        <v>539</v>
      </c>
      <c r="D9842" s="15">
        <v>2.0</v>
      </c>
      <c r="E9842" s="67">
        <f t="shared" si="50"/>
        <v>500</v>
      </c>
      <c r="F9842" s="67"/>
    </row>
    <row r="9843" hidden="1">
      <c r="A9843" s="6" t="s">
        <v>109</v>
      </c>
      <c r="B9843" s="13" t="s">
        <v>540</v>
      </c>
      <c r="C9843" s="13" t="s">
        <v>541</v>
      </c>
      <c r="D9843" s="15">
        <v>16.0</v>
      </c>
      <c r="E9843" s="67">
        <f t="shared" si="50"/>
        <v>8000</v>
      </c>
      <c r="F9843" s="67"/>
    </row>
    <row r="9844" hidden="1">
      <c r="A9844" s="6" t="s">
        <v>109</v>
      </c>
      <c r="B9844" s="13" t="s">
        <v>542</v>
      </c>
      <c r="C9844" s="13" t="s">
        <v>543</v>
      </c>
      <c r="D9844" s="15">
        <v>5.0</v>
      </c>
      <c r="E9844" s="67">
        <f t="shared" si="50"/>
        <v>1250</v>
      </c>
      <c r="F9844" s="67"/>
    </row>
    <row r="9845" hidden="1">
      <c r="A9845" s="6" t="s">
        <v>109</v>
      </c>
      <c r="B9845" s="13" t="s">
        <v>544</v>
      </c>
      <c r="C9845" s="13" t="s">
        <v>545</v>
      </c>
      <c r="D9845" s="15">
        <v>1.0</v>
      </c>
      <c r="E9845" s="67">
        <f t="shared" si="50"/>
        <v>250</v>
      </c>
      <c r="F9845" s="67"/>
    </row>
    <row r="9846" hidden="1">
      <c r="A9846" s="6" t="s">
        <v>109</v>
      </c>
      <c r="B9846" s="13" t="s">
        <v>546</v>
      </c>
      <c r="C9846" s="13" t="s">
        <v>547</v>
      </c>
      <c r="D9846" s="15">
        <v>9.0</v>
      </c>
      <c r="E9846" s="67">
        <f t="shared" si="50"/>
        <v>2250</v>
      </c>
      <c r="F9846" s="67"/>
    </row>
    <row r="9847" hidden="1">
      <c r="A9847" s="6" t="s">
        <v>109</v>
      </c>
      <c r="B9847" s="13" t="s">
        <v>548</v>
      </c>
      <c r="C9847" s="13" t="s">
        <v>549</v>
      </c>
      <c r="D9847" s="15">
        <v>8.0</v>
      </c>
      <c r="E9847" s="67">
        <f t="shared" si="50"/>
        <v>2000</v>
      </c>
      <c r="F9847" s="67"/>
    </row>
    <row r="9848" hidden="1">
      <c r="A9848" s="6" t="s">
        <v>109</v>
      </c>
      <c r="B9848" s="13" t="s">
        <v>550</v>
      </c>
      <c r="C9848" s="13" t="s">
        <v>551</v>
      </c>
      <c r="D9848" s="15">
        <v>0.0</v>
      </c>
      <c r="E9848" s="67">
        <f t="shared" si="50"/>
        <v>0</v>
      </c>
      <c r="F9848" s="67"/>
    </row>
    <row r="9849" hidden="1">
      <c r="A9849" s="6" t="s">
        <v>109</v>
      </c>
      <c r="B9849" s="13" t="s">
        <v>552</v>
      </c>
      <c r="C9849" s="13" t="s">
        <v>553</v>
      </c>
      <c r="D9849" s="15">
        <v>6.0</v>
      </c>
      <c r="E9849" s="67">
        <f t="shared" si="50"/>
        <v>1500</v>
      </c>
      <c r="F9849" s="67"/>
    </row>
    <row r="9850" hidden="1">
      <c r="A9850" s="6" t="s">
        <v>109</v>
      </c>
      <c r="B9850" s="13" t="s">
        <v>3296</v>
      </c>
      <c r="C9850" s="13" t="s">
        <v>3297</v>
      </c>
      <c r="D9850" s="15">
        <v>1.0</v>
      </c>
      <c r="E9850" s="67">
        <f t="shared" si="50"/>
        <v>250</v>
      </c>
      <c r="F9850" s="67"/>
    </row>
    <row r="9851" hidden="1">
      <c r="A9851" s="6" t="s">
        <v>109</v>
      </c>
      <c r="B9851" s="13" t="s">
        <v>556</v>
      </c>
      <c r="C9851" s="13" t="s">
        <v>557</v>
      </c>
      <c r="D9851" s="15">
        <v>0.0</v>
      </c>
      <c r="E9851" s="67">
        <f t="shared" si="50"/>
        <v>0</v>
      </c>
      <c r="F9851" s="67"/>
    </row>
    <row r="9852" hidden="1">
      <c r="A9852" s="6" t="s">
        <v>109</v>
      </c>
      <c r="B9852" s="13" t="s">
        <v>560</v>
      </c>
      <c r="C9852" s="13" t="s">
        <v>561</v>
      </c>
      <c r="D9852" s="15">
        <v>10.0</v>
      </c>
      <c r="E9852" s="67">
        <f t="shared" si="50"/>
        <v>5000</v>
      </c>
      <c r="F9852" s="67"/>
    </row>
    <row r="9853" hidden="1">
      <c r="A9853" s="6" t="s">
        <v>109</v>
      </c>
      <c r="B9853" s="13" t="s">
        <v>562</v>
      </c>
      <c r="C9853" s="13" t="s">
        <v>563</v>
      </c>
      <c r="D9853" s="15">
        <v>0.0</v>
      </c>
      <c r="E9853" s="67">
        <f t="shared" si="50"/>
        <v>0</v>
      </c>
      <c r="F9853" s="67"/>
    </row>
    <row r="9854" hidden="1">
      <c r="A9854" s="6" t="s">
        <v>109</v>
      </c>
      <c r="B9854" s="13" t="s">
        <v>3298</v>
      </c>
      <c r="C9854" s="13" t="s">
        <v>1343</v>
      </c>
      <c r="D9854" s="15">
        <v>1.0</v>
      </c>
      <c r="E9854" s="67">
        <f t="shared" si="50"/>
        <v>250</v>
      </c>
      <c r="F9854" s="67"/>
    </row>
    <row r="9855" hidden="1">
      <c r="A9855" s="6" t="s">
        <v>109</v>
      </c>
      <c r="B9855" s="13" t="s">
        <v>566</v>
      </c>
      <c r="C9855" s="13" t="s">
        <v>567</v>
      </c>
      <c r="D9855" s="15">
        <v>1.0</v>
      </c>
      <c r="E9855" s="67">
        <f t="shared" si="50"/>
        <v>250</v>
      </c>
      <c r="F9855" s="67"/>
    </row>
    <row r="9856" hidden="1">
      <c r="A9856" s="6" t="s">
        <v>109</v>
      </c>
      <c r="B9856" s="13" t="s">
        <v>568</v>
      </c>
      <c r="C9856" s="13" t="s">
        <v>569</v>
      </c>
      <c r="D9856" s="15">
        <v>3.0</v>
      </c>
      <c r="E9856" s="67">
        <f t="shared" si="50"/>
        <v>750</v>
      </c>
      <c r="F9856" s="67"/>
    </row>
    <row r="9857" hidden="1">
      <c r="A9857" s="6" t="s">
        <v>109</v>
      </c>
      <c r="B9857" s="13" t="s">
        <v>3299</v>
      </c>
      <c r="C9857" s="13" t="s">
        <v>1346</v>
      </c>
      <c r="D9857" s="15">
        <v>2.0</v>
      </c>
      <c r="E9857" s="67">
        <f t="shared" si="50"/>
        <v>500</v>
      </c>
      <c r="F9857" s="67"/>
    </row>
    <row r="9858" hidden="1">
      <c r="A9858" s="6" t="s">
        <v>109</v>
      </c>
      <c r="B9858" s="13" t="s">
        <v>3300</v>
      </c>
      <c r="C9858" s="13" t="s">
        <v>1350</v>
      </c>
      <c r="D9858" s="15">
        <v>2.0</v>
      </c>
      <c r="E9858" s="67">
        <f t="shared" si="50"/>
        <v>500</v>
      </c>
      <c r="F9858" s="67"/>
    </row>
    <row r="9859" hidden="1">
      <c r="A9859" s="6" t="s">
        <v>109</v>
      </c>
      <c r="B9859" s="13" t="s">
        <v>3301</v>
      </c>
      <c r="C9859" s="13" t="s">
        <v>1352</v>
      </c>
      <c r="D9859" s="15">
        <v>2.0</v>
      </c>
      <c r="E9859" s="67">
        <f t="shared" si="50"/>
        <v>500</v>
      </c>
      <c r="F9859" s="67"/>
    </row>
    <row r="9860" hidden="1">
      <c r="A9860" s="6" t="s">
        <v>109</v>
      </c>
      <c r="B9860" s="13" t="s">
        <v>572</v>
      </c>
      <c r="C9860" s="13" t="s">
        <v>573</v>
      </c>
      <c r="D9860" s="15">
        <v>6.0</v>
      </c>
      <c r="E9860" s="67">
        <f t="shared" si="50"/>
        <v>1500</v>
      </c>
      <c r="F9860" s="67"/>
    </row>
    <row r="9861" hidden="1">
      <c r="A9861" s="6" t="s">
        <v>109</v>
      </c>
      <c r="B9861" s="13" t="s">
        <v>3302</v>
      </c>
      <c r="C9861" s="13" t="s">
        <v>1354</v>
      </c>
      <c r="D9861" s="15">
        <v>3.0</v>
      </c>
      <c r="E9861" s="67">
        <f t="shared" si="50"/>
        <v>750</v>
      </c>
      <c r="F9861" s="67"/>
    </row>
    <row r="9862" hidden="1">
      <c r="A9862" s="6" t="s">
        <v>109</v>
      </c>
      <c r="B9862" s="13" t="s">
        <v>576</v>
      </c>
      <c r="C9862" s="13" t="s">
        <v>577</v>
      </c>
      <c r="D9862" s="15">
        <v>4.0</v>
      </c>
      <c r="E9862" s="67">
        <f t="shared" si="50"/>
        <v>1000</v>
      </c>
      <c r="F9862" s="67"/>
    </row>
    <row r="9863" hidden="1">
      <c r="A9863" s="6" t="s">
        <v>109</v>
      </c>
      <c r="B9863" s="13" t="s">
        <v>578</v>
      </c>
      <c r="C9863" s="13" t="s">
        <v>579</v>
      </c>
      <c r="D9863" s="15">
        <v>1.0</v>
      </c>
      <c r="E9863" s="67">
        <f t="shared" si="50"/>
        <v>250</v>
      </c>
      <c r="F9863" s="67"/>
    </row>
    <row r="9864" hidden="1">
      <c r="A9864" s="6" t="s">
        <v>109</v>
      </c>
      <c r="B9864" s="13" t="s">
        <v>580</v>
      </c>
      <c r="C9864" s="13" t="s">
        <v>581</v>
      </c>
      <c r="D9864" s="15">
        <v>1.0</v>
      </c>
      <c r="E9864" s="67">
        <f t="shared" si="50"/>
        <v>250</v>
      </c>
      <c r="F9864" s="67"/>
    </row>
    <row r="9865" hidden="1">
      <c r="A9865" s="6" t="s">
        <v>109</v>
      </c>
      <c r="B9865" s="13" t="s">
        <v>1452</v>
      </c>
      <c r="C9865" s="13" t="s">
        <v>1453</v>
      </c>
      <c r="D9865" s="15">
        <v>7.0</v>
      </c>
      <c r="E9865" s="67">
        <f t="shared" si="50"/>
        <v>1750</v>
      </c>
      <c r="F9865" s="67"/>
    </row>
    <row r="9866" hidden="1">
      <c r="A9866" s="6" t="s">
        <v>109</v>
      </c>
      <c r="B9866" s="13" t="s">
        <v>582</v>
      </c>
      <c r="C9866" s="13" t="s">
        <v>583</v>
      </c>
      <c r="D9866" s="15">
        <v>2.0</v>
      </c>
      <c r="E9866" s="67">
        <f t="shared" si="50"/>
        <v>500</v>
      </c>
      <c r="F9866" s="67"/>
    </row>
    <row r="9867" hidden="1">
      <c r="A9867" s="6" t="s">
        <v>109</v>
      </c>
      <c r="B9867" s="13" t="s">
        <v>584</v>
      </c>
      <c r="C9867" s="13" t="s">
        <v>585</v>
      </c>
      <c r="D9867" s="15">
        <v>1.0</v>
      </c>
      <c r="E9867" s="67">
        <f t="shared" si="50"/>
        <v>250</v>
      </c>
      <c r="F9867" s="67"/>
    </row>
    <row r="9868" hidden="1">
      <c r="A9868" s="6" t="s">
        <v>109</v>
      </c>
      <c r="B9868" s="13" t="s">
        <v>586</v>
      </c>
      <c r="C9868" s="13" t="s">
        <v>587</v>
      </c>
      <c r="D9868" s="15">
        <v>2.0</v>
      </c>
      <c r="E9868" s="67">
        <f t="shared" si="50"/>
        <v>500</v>
      </c>
      <c r="F9868" s="67"/>
    </row>
    <row r="9869" hidden="1">
      <c r="A9869" s="6" t="s">
        <v>109</v>
      </c>
      <c r="B9869" s="13" t="s">
        <v>588</v>
      </c>
      <c r="C9869" s="13" t="s">
        <v>589</v>
      </c>
      <c r="D9869" s="15">
        <v>1.0</v>
      </c>
      <c r="E9869" s="67">
        <f t="shared" si="50"/>
        <v>250</v>
      </c>
      <c r="F9869" s="67"/>
    </row>
    <row r="9870" hidden="1">
      <c r="A9870" s="6" t="s">
        <v>109</v>
      </c>
      <c r="B9870" s="13" t="s">
        <v>590</v>
      </c>
      <c r="C9870" s="13" t="s">
        <v>591</v>
      </c>
      <c r="D9870" s="15">
        <v>8.0</v>
      </c>
      <c r="E9870" s="67">
        <f t="shared" si="50"/>
        <v>2000</v>
      </c>
      <c r="F9870" s="67"/>
    </row>
    <row r="9871" hidden="1">
      <c r="A9871" s="6" t="s">
        <v>109</v>
      </c>
      <c r="B9871" s="13" t="s">
        <v>592</v>
      </c>
      <c r="C9871" s="13" t="s">
        <v>593</v>
      </c>
      <c r="D9871" s="15">
        <v>0.0</v>
      </c>
      <c r="E9871" s="67">
        <f t="shared" si="50"/>
        <v>0</v>
      </c>
      <c r="F9871" s="67"/>
    </row>
    <row r="9872" hidden="1">
      <c r="A9872" s="6" t="s">
        <v>109</v>
      </c>
      <c r="B9872" s="13" t="s">
        <v>596</v>
      </c>
      <c r="C9872" s="13" t="s">
        <v>597</v>
      </c>
      <c r="D9872" s="15">
        <v>7.0</v>
      </c>
      <c r="E9872" s="67">
        <f t="shared" si="50"/>
        <v>1750</v>
      </c>
      <c r="F9872" s="67"/>
    </row>
    <row r="9873" hidden="1">
      <c r="A9873" s="6" t="s">
        <v>109</v>
      </c>
      <c r="B9873" s="13" t="s">
        <v>600</v>
      </c>
      <c r="C9873" s="13" t="s">
        <v>601</v>
      </c>
      <c r="D9873" s="15">
        <v>2.0</v>
      </c>
      <c r="E9873" s="67">
        <f t="shared" si="50"/>
        <v>500</v>
      </c>
      <c r="F9873" s="67"/>
    </row>
    <row r="9874" hidden="1">
      <c r="A9874" s="6" t="s">
        <v>109</v>
      </c>
      <c r="B9874" s="13" t="s">
        <v>602</v>
      </c>
      <c r="C9874" s="13" t="s">
        <v>603</v>
      </c>
      <c r="D9874" s="15">
        <v>2.0</v>
      </c>
      <c r="E9874" s="67">
        <f t="shared" si="50"/>
        <v>500</v>
      </c>
      <c r="F9874" s="67"/>
    </row>
    <row r="9875" hidden="1">
      <c r="A9875" s="6" t="s">
        <v>109</v>
      </c>
      <c r="B9875" s="13" t="s">
        <v>604</v>
      </c>
      <c r="C9875" s="13" t="s">
        <v>605</v>
      </c>
      <c r="D9875" s="15">
        <v>8.0</v>
      </c>
      <c r="E9875" s="67">
        <f t="shared" si="50"/>
        <v>2000</v>
      </c>
      <c r="F9875" s="67"/>
    </row>
    <row r="9876" hidden="1">
      <c r="A9876" s="6" t="s">
        <v>109</v>
      </c>
      <c r="B9876" s="13" t="s">
        <v>606</v>
      </c>
      <c r="C9876" s="13" t="s">
        <v>607</v>
      </c>
      <c r="D9876" s="15">
        <v>3.0</v>
      </c>
      <c r="E9876" s="67">
        <f t="shared" si="50"/>
        <v>750</v>
      </c>
      <c r="F9876" s="67"/>
    </row>
    <row r="9877" hidden="1">
      <c r="A9877" s="6" t="s">
        <v>109</v>
      </c>
      <c r="B9877" s="13" t="s">
        <v>3303</v>
      </c>
      <c r="C9877" s="13" t="s">
        <v>1368</v>
      </c>
      <c r="D9877" s="15">
        <v>2.0</v>
      </c>
      <c r="E9877" s="67">
        <f t="shared" si="50"/>
        <v>500</v>
      </c>
      <c r="F9877" s="67"/>
    </row>
    <row r="9878" hidden="1">
      <c r="A9878" s="6" t="s">
        <v>109</v>
      </c>
      <c r="B9878" s="13" t="s">
        <v>618</v>
      </c>
      <c r="C9878" s="13" t="s">
        <v>619</v>
      </c>
      <c r="D9878" s="15">
        <v>9.0</v>
      </c>
      <c r="E9878" s="67">
        <f t="shared" si="50"/>
        <v>2250</v>
      </c>
      <c r="F9878" s="67"/>
    </row>
    <row r="9879" hidden="1">
      <c r="A9879" s="6" t="s">
        <v>109</v>
      </c>
      <c r="B9879" s="13" t="s">
        <v>3304</v>
      </c>
      <c r="C9879" s="13" t="s">
        <v>3305</v>
      </c>
      <c r="D9879" s="15">
        <v>1.0</v>
      </c>
      <c r="E9879" s="67">
        <f t="shared" si="50"/>
        <v>250</v>
      </c>
      <c r="F9879" s="67"/>
    </row>
    <row r="9880" hidden="1">
      <c r="A9880" s="6" t="s">
        <v>109</v>
      </c>
      <c r="B9880" s="13" t="s">
        <v>620</v>
      </c>
      <c r="C9880" s="13" t="s">
        <v>621</v>
      </c>
      <c r="D9880" s="15">
        <v>5.0</v>
      </c>
      <c r="E9880" s="67">
        <f t="shared" si="50"/>
        <v>1250</v>
      </c>
      <c r="F9880" s="67"/>
    </row>
    <row r="9881" hidden="1">
      <c r="A9881" s="6" t="s">
        <v>109</v>
      </c>
      <c r="B9881" s="13" t="s">
        <v>622</v>
      </c>
      <c r="C9881" s="13" t="s">
        <v>623</v>
      </c>
      <c r="D9881" s="15">
        <v>2.0</v>
      </c>
      <c r="E9881" s="67">
        <f t="shared" si="50"/>
        <v>500</v>
      </c>
      <c r="F9881" s="67"/>
    </row>
    <row r="9882" hidden="1">
      <c r="A9882" s="6" t="s">
        <v>109</v>
      </c>
      <c r="B9882" s="13" t="s">
        <v>624</v>
      </c>
      <c r="C9882" s="13" t="s">
        <v>625</v>
      </c>
      <c r="D9882" s="15">
        <v>10.0</v>
      </c>
      <c r="E9882" s="67">
        <f t="shared" si="50"/>
        <v>5000</v>
      </c>
      <c r="F9882" s="67"/>
    </row>
    <row r="9883" hidden="1">
      <c r="A9883" s="6" t="s">
        <v>109</v>
      </c>
      <c r="B9883" s="13" t="s">
        <v>626</v>
      </c>
      <c r="C9883" s="13" t="s">
        <v>627</v>
      </c>
      <c r="D9883" s="15">
        <v>10.0</v>
      </c>
      <c r="E9883" s="67">
        <f t="shared" si="50"/>
        <v>5000</v>
      </c>
      <c r="F9883" s="67"/>
    </row>
    <row r="9884" hidden="1">
      <c r="A9884" s="6" t="s">
        <v>109</v>
      </c>
      <c r="B9884" s="13" t="s">
        <v>628</v>
      </c>
      <c r="C9884" s="13" t="s">
        <v>629</v>
      </c>
      <c r="D9884" s="15">
        <v>4.0</v>
      </c>
      <c r="E9884" s="67">
        <f t="shared" si="50"/>
        <v>1000</v>
      </c>
      <c r="F9884" s="67"/>
    </row>
    <row r="9885" hidden="1">
      <c r="A9885" s="6" t="s">
        <v>109</v>
      </c>
      <c r="B9885" s="13" t="s">
        <v>630</v>
      </c>
      <c r="C9885" s="13" t="s">
        <v>631</v>
      </c>
      <c r="D9885" s="15">
        <v>1.0</v>
      </c>
      <c r="E9885" s="67">
        <f t="shared" si="50"/>
        <v>250</v>
      </c>
      <c r="F9885" s="67"/>
    </row>
    <row r="9886" hidden="1">
      <c r="A9886" s="6" t="s">
        <v>109</v>
      </c>
      <c r="B9886" s="13" t="s">
        <v>632</v>
      </c>
      <c r="C9886" s="13" t="s">
        <v>633</v>
      </c>
      <c r="D9886" s="15">
        <v>0.0</v>
      </c>
      <c r="E9886" s="67">
        <f t="shared" si="50"/>
        <v>0</v>
      </c>
      <c r="F9886" s="67"/>
    </row>
    <row r="9887" hidden="1">
      <c r="A9887" s="6" t="s">
        <v>109</v>
      </c>
      <c r="B9887" s="13" t="s">
        <v>636</v>
      </c>
      <c r="C9887" s="13" t="s">
        <v>637</v>
      </c>
      <c r="D9887" s="15">
        <v>2.0</v>
      </c>
      <c r="E9887" s="67">
        <f t="shared" si="50"/>
        <v>500</v>
      </c>
      <c r="F9887" s="67"/>
    </row>
    <row r="9888" hidden="1">
      <c r="A9888" s="6" t="s">
        <v>109</v>
      </c>
      <c r="B9888" s="13" t="s">
        <v>638</v>
      </c>
      <c r="C9888" s="13" t="s">
        <v>639</v>
      </c>
      <c r="D9888" s="15">
        <v>3.0</v>
      </c>
      <c r="E9888" s="67">
        <f t="shared" si="50"/>
        <v>750</v>
      </c>
      <c r="F9888" s="67"/>
    </row>
    <row r="9889" hidden="1">
      <c r="A9889" s="6" t="s">
        <v>109</v>
      </c>
      <c r="B9889" s="13" t="s">
        <v>640</v>
      </c>
      <c r="C9889" s="13" t="s">
        <v>641</v>
      </c>
      <c r="D9889" s="15">
        <v>10.0</v>
      </c>
      <c r="E9889" s="67">
        <f t="shared" si="50"/>
        <v>5000</v>
      </c>
      <c r="F9889" s="67"/>
    </row>
    <row r="9890" hidden="1">
      <c r="A9890" s="6" t="s">
        <v>109</v>
      </c>
      <c r="B9890" s="13" t="s">
        <v>3306</v>
      </c>
      <c r="C9890" s="13" t="s">
        <v>3307</v>
      </c>
      <c r="D9890" s="15">
        <v>4.0</v>
      </c>
      <c r="E9890" s="67">
        <f t="shared" si="50"/>
        <v>1000</v>
      </c>
      <c r="F9890" s="67"/>
    </row>
    <row r="9891" hidden="1">
      <c r="A9891" s="6" t="s">
        <v>109</v>
      </c>
      <c r="B9891" s="13" t="s">
        <v>3308</v>
      </c>
      <c r="C9891" s="13" t="s">
        <v>1374</v>
      </c>
      <c r="D9891" s="15">
        <v>3.0</v>
      </c>
      <c r="E9891" s="67">
        <f t="shared" si="50"/>
        <v>750</v>
      </c>
      <c r="F9891" s="67"/>
    </row>
    <row r="9892" hidden="1">
      <c r="A9892" s="6" t="s">
        <v>109</v>
      </c>
      <c r="B9892" s="13" t="s">
        <v>311</v>
      </c>
      <c r="C9892" s="13" t="s">
        <v>312</v>
      </c>
      <c r="D9892" s="15">
        <v>2.0</v>
      </c>
      <c r="E9892" s="67">
        <f t="shared" si="50"/>
        <v>500</v>
      </c>
      <c r="F9892" s="67"/>
    </row>
    <row r="9893" hidden="1">
      <c r="A9893" s="6" t="s">
        <v>109</v>
      </c>
      <c r="B9893" s="13" t="s">
        <v>644</v>
      </c>
      <c r="C9893" s="13" t="s">
        <v>645</v>
      </c>
      <c r="D9893" s="15">
        <v>19.0</v>
      </c>
      <c r="E9893" s="67">
        <f t="shared" si="50"/>
        <v>9500</v>
      </c>
      <c r="F9893" s="67"/>
    </row>
    <row r="9894" hidden="1">
      <c r="A9894" s="6" t="s">
        <v>109</v>
      </c>
      <c r="B9894" s="13" t="s">
        <v>646</v>
      </c>
      <c r="C9894" s="13" t="s">
        <v>647</v>
      </c>
      <c r="D9894" s="15">
        <v>5.0</v>
      </c>
      <c r="E9894" s="67">
        <f t="shared" si="50"/>
        <v>1250</v>
      </c>
      <c r="F9894" s="67"/>
    </row>
    <row r="9895" hidden="1">
      <c r="A9895" s="6" t="s">
        <v>109</v>
      </c>
      <c r="B9895" s="13" t="s">
        <v>648</v>
      </c>
      <c r="C9895" s="13" t="s">
        <v>649</v>
      </c>
      <c r="D9895" s="15">
        <v>5.0</v>
      </c>
      <c r="E9895" s="67">
        <f t="shared" si="50"/>
        <v>1250</v>
      </c>
      <c r="F9895" s="67"/>
    </row>
    <row r="9896" hidden="1">
      <c r="A9896" s="6" t="s">
        <v>109</v>
      </c>
      <c r="B9896" s="13" t="s">
        <v>650</v>
      </c>
      <c r="C9896" s="13" t="s">
        <v>651</v>
      </c>
      <c r="D9896" s="15">
        <v>1.0</v>
      </c>
      <c r="E9896" s="67">
        <f t="shared" si="50"/>
        <v>250</v>
      </c>
      <c r="F9896" s="67"/>
    </row>
    <row r="9897" hidden="1">
      <c r="A9897" s="6" t="s">
        <v>109</v>
      </c>
      <c r="B9897" s="13" t="s">
        <v>3309</v>
      </c>
      <c r="C9897" s="13" t="s">
        <v>3310</v>
      </c>
      <c r="D9897" s="15">
        <v>0.0</v>
      </c>
      <c r="E9897" s="67">
        <f t="shared" si="50"/>
        <v>0</v>
      </c>
      <c r="F9897" s="67"/>
    </row>
    <row r="9898" hidden="1">
      <c r="A9898" s="6" t="s">
        <v>109</v>
      </c>
      <c r="B9898" s="13" t="s">
        <v>652</v>
      </c>
      <c r="C9898" s="13" t="s">
        <v>653</v>
      </c>
      <c r="D9898" s="15">
        <v>4.0</v>
      </c>
      <c r="E9898" s="67">
        <f t="shared" si="50"/>
        <v>1000</v>
      </c>
      <c r="F9898" s="67"/>
    </row>
    <row r="9899" hidden="1">
      <c r="A9899" s="6" t="s">
        <v>109</v>
      </c>
      <c r="B9899" s="13" t="s">
        <v>3311</v>
      </c>
      <c r="C9899" s="13" t="s">
        <v>655</v>
      </c>
      <c r="D9899" s="15">
        <v>0.0</v>
      </c>
      <c r="E9899" s="67">
        <f t="shared" si="50"/>
        <v>0</v>
      </c>
      <c r="F9899" s="67"/>
    </row>
    <row r="9900" hidden="1">
      <c r="A9900" s="6" t="s">
        <v>109</v>
      </c>
      <c r="B9900" s="13" t="s">
        <v>3312</v>
      </c>
      <c r="C9900" s="13" t="s">
        <v>1381</v>
      </c>
      <c r="D9900" s="15">
        <v>3.0</v>
      </c>
      <c r="E9900" s="67">
        <f t="shared" si="50"/>
        <v>750</v>
      </c>
      <c r="F9900" s="67"/>
    </row>
    <row r="9901" hidden="1">
      <c r="A9901" s="6" t="s">
        <v>109</v>
      </c>
      <c r="B9901" s="13" t="s">
        <v>3313</v>
      </c>
      <c r="C9901" s="13" t="s">
        <v>1383</v>
      </c>
      <c r="D9901" s="15">
        <v>3.0</v>
      </c>
      <c r="E9901" s="67">
        <f t="shared" si="50"/>
        <v>750</v>
      </c>
      <c r="F9901" s="67"/>
    </row>
    <row r="9902" hidden="1">
      <c r="A9902" s="6" t="s">
        <v>109</v>
      </c>
      <c r="B9902" s="13" t="s">
        <v>3314</v>
      </c>
      <c r="C9902" s="13" t="s">
        <v>1385</v>
      </c>
      <c r="D9902" s="15">
        <v>3.0</v>
      </c>
      <c r="E9902" s="67">
        <f t="shared" si="50"/>
        <v>750</v>
      </c>
      <c r="F9902" s="67"/>
    </row>
    <row r="9903" hidden="1">
      <c r="A9903" s="6" t="s">
        <v>109</v>
      </c>
      <c r="B9903" s="13" t="s">
        <v>3315</v>
      </c>
      <c r="C9903" s="13" t="s">
        <v>1386</v>
      </c>
      <c r="D9903" s="15">
        <v>2.0</v>
      </c>
      <c r="E9903" s="67">
        <f t="shared" si="50"/>
        <v>500</v>
      </c>
      <c r="F9903" s="67"/>
    </row>
    <row r="9904" hidden="1">
      <c r="A9904" s="6" t="s">
        <v>109</v>
      </c>
      <c r="B9904" s="13" t="s">
        <v>3316</v>
      </c>
      <c r="C9904" s="13" t="s">
        <v>3317</v>
      </c>
      <c r="D9904" s="15">
        <v>0.0</v>
      </c>
      <c r="E9904" s="67">
        <f t="shared" si="50"/>
        <v>0</v>
      </c>
      <c r="F9904" s="67"/>
    </row>
    <row r="9905" hidden="1">
      <c r="A9905" s="6" t="s">
        <v>109</v>
      </c>
      <c r="B9905" s="13" t="s">
        <v>656</v>
      </c>
      <c r="C9905" s="13" t="s">
        <v>657</v>
      </c>
      <c r="D9905" s="15">
        <v>4.0</v>
      </c>
      <c r="E9905" s="67">
        <f t="shared" si="50"/>
        <v>1000</v>
      </c>
      <c r="F9905" s="67"/>
    </row>
    <row r="9906" hidden="1">
      <c r="A9906" s="6" t="s">
        <v>109</v>
      </c>
      <c r="B9906" s="13" t="s">
        <v>3318</v>
      </c>
      <c r="C9906" s="13" t="s">
        <v>3319</v>
      </c>
      <c r="D9906" s="15">
        <v>9.0</v>
      </c>
      <c r="E9906" s="67">
        <f t="shared" si="50"/>
        <v>2250</v>
      </c>
      <c r="F9906" s="67"/>
    </row>
    <row r="9907" hidden="1">
      <c r="A9907" s="6" t="s">
        <v>109</v>
      </c>
      <c r="B9907" s="13" t="s">
        <v>3320</v>
      </c>
      <c r="C9907" s="13" t="s">
        <v>1392</v>
      </c>
      <c r="D9907" s="15">
        <v>3.0</v>
      </c>
      <c r="E9907" s="67">
        <f t="shared" si="50"/>
        <v>750</v>
      </c>
      <c r="F9907" s="67"/>
    </row>
    <row r="9908" hidden="1">
      <c r="A9908" s="6" t="s">
        <v>109</v>
      </c>
      <c r="B9908" s="13" t="s">
        <v>664</v>
      </c>
      <c r="C9908" s="13" t="s">
        <v>665</v>
      </c>
      <c r="D9908" s="15">
        <v>1.0</v>
      </c>
      <c r="E9908" s="67">
        <f t="shared" si="50"/>
        <v>250</v>
      </c>
      <c r="F9908" s="67"/>
    </row>
    <row r="9909" hidden="1">
      <c r="A9909" s="6" t="s">
        <v>109</v>
      </c>
      <c r="B9909" s="13" t="s">
        <v>668</v>
      </c>
      <c r="C9909" s="13" t="s">
        <v>669</v>
      </c>
      <c r="D9909" s="15">
        <v>1.0</v>
      </c>
      <c r="E9909" s="67">
        <f t="shared" si="50"/>
        <v>250</v>
      </c>
      <c r="F9909" s="67"/>
    </row>
    <row r="9910" hidden="1">
      <c r="A9910" s="6" t="s">
        <v>109</v>
      </c>
      <c r="B9910" s="13" t="s">
        <v>3321</v>
      </c>
      <c r="C9910" s="13" t="s">
        <v>1401</v>
      </c>
      <c r="D9910" s="15">
        <v>2.0</v>
      </c>
      <c r="E9910" s="67">
        <f t="shared" si="50"/>
        <v>500</v>
      </c>
      <c r="F9910" s="67"/>
    </row>
    <row r="9911" hidden="1">
      <c r="A9911" s="6" t="s">
        <v>109</v>
      </c>
      <c r="B9911" s="13" t="s">
        <v>672</v>
      </c>
      <c r="C9911" s="13" t="s">
        <v>673</v>
      </c>
      <c r="D9911" s="15">
        <v>3.0</v>
      </c>
      <c r="E9911" s="67">
        <f t="shared" si="50"/>
        <v>750</v>
      </c>
      <c r="F9911" s="67"/>
    </row>
    <row r="9912" hidden="1">
      <c r="A9912" s="6" t="s">
        <v>109</v>
      </c>
      <c r="B9912" s="13" t="s">
        <v>3322</v>
      </c>
      <c r="C9912" s="13" t="s">
        <v>1405</v>
      </c>
      <c r="D9912" s="15">
        <v>3.0</v>
      </c>
      <c r="E9912" s="67">
        <f t="shared" si="50"/>
        <v>750</v>
      </c>
      <c r="F9912" s="67"/>
    </row>
    <row r="9913" hidden="1">
      <c r="A9913" s="6" t="s">
        <v>109</v>
      </c>
      <c r="B9913" s="13" t="s">
        <v>3323</v>
      </c>
      <c r="C9913" s="13" t="s">
        <v>1407</v>
      </c>
      <c r="D9913" s="15">
        <v>1.0</v>
      </c>
      <c r="E9913" s="67">
        <f t="shared" si="50"/>
        <v>250</v>
      </c>
      <c r="F9913" s="67"/>
    </row>
    <row r="9914" hidden="1">
      <c r="A9914" s="6" t="s">
        <v>109</v>
      </c>
      <c r="B9914" s="13" t="s">
        <v>674</v>
      </c>
      <c r="C9914" s="13" t="s">
        <v>675</v>
      </c>
      <c r="D9914" s="15">
        <v>0.0</v>
      </c>
      <c r="E9914" s="67">
        <f t="shared" si="50"/>
        <v>0</v>
      </c>
      <c r="F9914" s="67"/>
    </row>
    <row r="9915" hidden="1">
      <c r="A9915" s="6" t="s">
        <v>109</v>
      </c>
      <c r="B9915" s="13" t="s">
        <v>676</v>
      </c>
      <c r="C9915" s="13" t="s">
        <v>677</v>
      </c>
      <c r="D9915" s="15">
        <v>7.0</v>
      </c>
      <c r="E9915" s="67">
        <f t="shared" si="50"/>
        <v>1750</v>
      </c>
      <c r="F9915" s="67"/>
    </row>
    <row r="9916" hidden="1">
      <c r="A9916" s="6" t="s">
        <v>109</v>
      </c>
      <c r="B9916" s="13" t="s">
        <v>3324</v>
      </c>
      <c r="C9916" s="13" t="s">
        <v>1411</v>
      </c>
      <c r="D9916" s="15">
        <v>1.0</v>
      </c>
      <c r="E9916" s="67">
        <f t="shared" si="50"/>
        <v>250</v>
      </c>
      <c r="F9916" s="67"/>
    </row>
    <row r="9917" hidden="1">
      <c r="A9917" s="6" t="s">
        <v>109</v>
      </c>
      <c r="B9917" s="13" t="s">
        <v>678</v>
      </c>
      <c r="C9917" s="13" t="s">
        <v>679</v>
      </c>
      <c r="D9917" s="15">
        <v>0.0</v>
      </c>
      <c r="E9917" s="67">
        <f t="shared" si="50"/>
        <v>0</v>
      </c>
      <c r="F9917" s="67"/>
    </row>
    <row r="9918" hidden="1">
      <c r="A9918" s="6" t="s">
        <v>109</v>
      </c>
      <c r="B9918" s="13" t="s">
        <v>680</v>
      </c>
      <c r="C9918" s="13" t="s">
        <v>681</v>
      </c>
      <c r="D9918" s="15">
        <v>9.0</v>
      </c>
      <c r="E9918" s="67">
        <f t="shared" si="50"/>
        <v>2250</v>
      </c>
      <c r="F9918" s="67"/>
    </row>
    <row r="9919" hidden="1">
      <c r="A9919" s="6" t="s">
        <v>109</v>
      </c>
      <c r="B9919" s="13" t="s">
        <v>3325</v>
      </c>
      <c r="C9919" s="13" t="s">
        <v>3326</v>
      </c>
      <c r="D9919" s="15">
        <v>0.0</v>
      </c>
      <c r="E9919" s="67">
        <f t="shared" si="50"/>
        <v>0</v>
      </c>
      <c r="F9919" s="67"/>
    </row>
    <row r="9920" hidden="1">
      <c r="A9920" s="6" t="s">
        <v>109</v>
      </c>
      <c r="B9920" s="13" t="s">
        <v>3327</v>
      </c>
      <c r="C9920" s="13" t="s">
        <v>1414</v>
      </c>
      <c r="D9920" s="15">
        <v>1.0</v>
      </c>
      <c r="E9920" s="67">
        <f t="shared" si="50"/>
        <v>250</v>
      </c>
      <c r="F9920" s="67"/>
    </row>
    <row r="9921" hidden="1">
      <c r="A9921" s="6" t="s">
        <v>109</v>
      </c>
      <c r="B9921" s="13" t="s">
        <v>682</v>
      </c>
      <c r="C9921" s="13" t="s">
        <v>683</v>
      </c>
      <c r="D9921" s="15">
        <v>6.0</v>
      </c>
      <c r="E9921" s="67">
        <f t="shared" si="50"/>
        <v>1500</v>
      </c>
      <c r="F9921" s="67"/>
    </row>
    <row r="9922" hidden="1">
      <c r="A9922" s="6" t="s">
        <v>109</v>
      </c>
      <c r="B9922" s="13" t="s">
        <v>684</v>
      </c>
      <c r="C9922" s="13" t="s">
        <v>685</v>
      </c>
      <c r="D9922" s="15">
        <v>3.0</v>
      </c>
      <c r="E9922" s="67">
        <f t="shared" si="50"/>
        <v>750</v>
      </c>
      <c r="F9922" s="67"/>
    </row>
    <row r="9923" hidden="1">
      <c r="A9923" s="6" t="s">
        <v>109</v>
      </c>
      <c r="B9923" s="13" t="s">
        <v>688</v>
      </c>
      <c r="C9923" s="13" t="s">
        <v>689</v>
      </c>
      <c r="D9923" s="15">
        <v>3.0</v>
      </c>
      <c r="E9923" s="67">
        <f t="shared" si="50"/>
        <v>750</v>
      </c>
      <c r="F9923" s="67"/>
    </row>
    <row r="9924" hidden="1">
      <c r="A9924" s="6" t="s">
        <v>109</v>
      </c>
      <c r="B9924" s="13" t="s">
        <v>3328</v>
      </c>
      <c r="C9924" s="13" t="s">
        <v>1416</v>
      </c>
      <c r="D9924" s="15">
        <v>4.0</v>
      </c>
      <c r="E9924" s="67">
        <f t="shared" si="50"/>
        <v>1000</v>
      </c>
      <c r="F9924" s="67"/>
    </row>
    <row r="9925" hidden="1">
      <c r="A9925" s="6" t="s">
        <v>109</v>
      </c>
      <c r="B9925" s="13" t="s">
        <v>690</v>
      </c>
      <c r="C9925" s="13" t="s">
        <v>691</v>
      </c>
      <c r="D9925" s="15">
        <v>3.0</v>
      </c>
      <c r="E9925" s="67">
        <f t="shared" si="50"/>
        <v>750</v>
      </c>
      <c r="F9925" s="67"/>
    </row>
    <row r="9926" hidden="1">
      <c r="A9926" s="6" t="s">
        <v>109</v>
      </c>
      <c r="B9926" s="13" t="s">
        <v>307</v>
      </c>
      <c r="C9926" s="13" t="s">
        <v>692</v>
      </c>
      <c r="D9926" s="15">
        <v>3.0</v>
      </c>
      <c r="E9926" s="67">
        <f t="shared" si="50"/>
        <v>750</v>
      </c>
      <c r="F9926" s="67"/>
    </row>
    <row r="9927" hidden="1">
      <c r="A9927" s="6" t="s">
        <v>109</v>
      </c>
      <c r="B9927" s="13" t="s">
        <v>693</v>
      </c>
      <c r="C9927" s="13" t="s">
        <v>694</v>
      </c>
      <c r="D9927" s="15">
        <v>4.0</v>
      </c>
      <c r="E9927" s="67">
        <f t="shared" si="50"/>
        <v>1000</v>
      </c>
      <c r="F9927" s="67"/>
    </row>
    <row r="9928" hidden="1">
      <c r="A9928" s="6" t="s">
        <v>109</v>
      </c>
      <c r="B9928" s="13" t="s">
        <v>699</v>
      </c>
      <c r="C9928" s="13" t="s">
        <v>700</v>
      </c>
      <c r="D9928" s="15">
        <v>6.0</v>
      </c>
      <c r="E9928" s="67">
        <f t="shared" si="50"/>
        <v>1500</v>
      </c>
      <c r="F9928" s="67"/>
    </row>
    <row r="9929" hidden="1">
      <c r="A9929" s="6" t="s">
        <v>109</v>
      </c>
      <c r="B9929" s="13" t="s">
        <v>701</v>
      </c>
      <c r="C9929" s="13" t="s">
        <v>702</v>
      </c>
      <c r="D9929" s="15">
        <v>4.0</v>
      </c>
      <c r="E9929" s="67">
        <f t="shared" si="50"/>
        <v>1000</v>
      </c>
      <c r="F9929" s="67"/>
    </row>
    <row r="9930" hidden="1">
      <c r="A9930" s="6" t="s">
        <v>109</v>
      </c>
      <c r="B9930" s="13" t="s">
        <v>707</v>
      </c>
      <c r="C9930" s="13" t="s">
        <v>708</v>
      </c>
      <c r="D9930" s="15">
        <v>2.0</v>
      </c>
      <c r="E9930" s="67">
        <f t="shared" si="50"/>
        <v>500</v>
      </c>
      <c r="F9930" s="67"/>
    </row>
    <row r="9931" hidden="1">
      <c r="A9931" s="6" t="s">
        <v>109</v>
      </c>
      <c r="B9931" s="13" t="s">
        <v>711</v>
      </c>
      <c r="C9931" s="13" t="s">
        <v>712</v>
      </c>
      <c r="D9931" s="15">
        <v>4.0</v>
      </c>
      <c r="E9931" s="67">
        <f t="shared" si="50"/>
        <v>1000</v>
      </c>
      <c r="F9931" s="67"/>
    </row>
    <row r="9932" hidden="1">
      <c r="A9932" s="6" t="s">
        <v>109</v>
      </c>
      <c r="B9932" s="13" t="s">
        <v>3329</v>
      </c>
      <c r="C9932" s="13" t="s">
        <v>1425</v>
      </c>
      <c r="D9932" s="15">
        <v>2.0</v>
      </c>
      <c r="E9932" s="67">
        <f t="shared" si="50"/>
        <v>500</v>
      </c>
      <c r="F9932" s="67"/>
    </row>
    <row r="9933" hidden="1">
      <c r="A9933" s="6" t="s">
        <v>109</v>
      </c>
      <c r="B9933" s="13" t="s">
        <v>719</v>
      </c>
      <c r="C9933" s="13" t="s">
        <v>720</v>
      </c>
      <c r="D9933" s="15">
        <v>6.0</v>
      </c>
      <c r="E9933" s="67">
        <f t="shared" si="50"/>
        <v>1500</v>
      </c>
      <c r="F9933" s="67"/>
    </row>
    <row r="9934" hidden="1">
      <c r="A9934" s="6" t="s">
        <v>109</v>
      </c>
      <c r="B9934" s="13" t="s">
        <v>721</v>
      </c>
      <c r="C9934" s="13" t="s">
        <v>722</v>
      </c>
      <c r="D9934" s="15">
        <v>2.0</v>
      </c>
      <c r="E9934" s="67">
        <f t="shared" si="50"/>
        <v>500</v>
      </c>
      <c r="F9934" s="67"/>
    </row>
    <row r="9935" hidden="1">
      <c r="A9935" s="6" t="s">
        <v>109</v>
      </c>
      <c r="B9935" s="13" t="s">
        <v>723</v>
      </c>
      <c r="C9935" s="13" t="s">
        <v>724</v>
      </c>
      <c r="D9935" s="15">
        <v>15.0</v>
      </c>
      <c r="E9935" s="67">
        <f t="shared" si="50"/>
        <v>7500</v>
      </c>
      <c r="F9935" s="67"/>
    </row>
    <row r="9936" hidden="1">
      <c r="A9936" s="6" t="s">
        <v>109</v>
      </c>
      <c r="B9936" s="13" t="s">
        <v>725</v>
      </c>
      <c r="C9936" s="13" t="s">
        <v>726</v>
      </c>
      <c r="D9936" s="15">
        <v>2.0</v>
      </c>
      <c r="E9936" s="67">
        <f t="shared" si="50"/>
        <v>500</v>
      </c>
      <c r="F9936" s="67"/>
    </row>
    <row r="9937" hidden="1">
      <c r="A9937" s="6" t="s">
        <v>109</v>
      </c>
      <c r="B9937" s="13" t="s">
        <v>3330</v>
      </c>
      <c r="C9937" s="13" t="s">
        <v>3331</v>
      </c>
      <c r="D9937" s="15">
        <v>0.0</v>
      </c>
      <c r="E9937" s="67">
        <f t="shared" si="50"/>
        <v>0</v>
      </c>
      <c r="F9937" s="67"/>
    </row>
    <row r="9938" hidden="1">
      <c r="A9938" s="6" t="s">
        <v>109</v>
      </c>
      <c r="B9938" s="13" t="s">
        <v>3332</v>
      </c>
      <c r="C9938" s="13" t="s">
        <v>1427</v>
      </c>
      <c r="D9938" s="15">
        <v>12.0</v>
      </c>
      <c r="E9938" s="67">
        <f t="shared" si="50"/>
        <v>6000</v>
      </c>
      <c r="F9938" s="67"/>
    </row>
    <row r="9939" hidden="1">
      <c r="A9939" s="6" t="s">
        <v>109</v>
      </c>
      <c r="B9939" s="13" t="s">
        <v>3333</v>
      </c>
      <c r="C9939" s="13" t="s">
        <v>2009</v>
      </c>
      <c r="D9939" s="15">
        <v>3.0</v>
      </c>
      <c r="E9939" s="67">
        <f t="shared" si="50"/>
        <v>750</v>
      </c>
      <c r="F9939" s="67"/>
    </row>
    <row r="9940" hidden="1">
      <c r="A9940" s="6" t="s">
        <v>109</v>
      </c>
      <c r="B9940" s="13" t="s">
        <v>729</v>
      </c>
      <c r="C9940" s="13" t="s">
        <v>730</v>
      </c>
      <c r="D9940" s="15">
        <v>2.0</v>
      </c>
      <c r="E9940" s="67">
        <f t="shared" si="50"/>
        <v>500</v>
      </c>
      <c r="F9940" s="67"/>
    </row>
    <row r="9941" hidden="1">
      <c r="A9941" s="6" t="s">
        <v>109</v>
      </c>
      <c r="B9941" s="13" t="s">
        <v>731</v>
      </c>
      <c r="C9941" s="13" t="s">
        <v>732</v>
      </c>
      <c r="D9941" s="15">
        <v>1.0</v>
      </c>
      <c r="E9941" s="67">
        <f t="shared" si="50"/>
        <v>250</v>
      </c>
      <c r="F9941" s="67"/>
    </row>
    <row r="9942" hidden="1">
      <c r="A9942" s="6" t="s">
        <v>109</v>
      </c>
      <c r="B9942" s="13" t="s">
        <v>3334</v>
      </c>
      <c r="C9942" s="13" t="s">
        <v>3335</v>
      </c>
      <c r="D9942" s="15">
        <v>0.0</v>
      </c>
      <c r="E9942" s="67">
        <f t="shared" si="50"/>
        <v>0</v>
      </c>
      <c r="F9942" s="67"/>
    </row>
    <row r="9943" hidden="1">
      <c r="A9943" s="6" t="s">
        <v>109</v>
      </c>
      <c r="B9943" s="13" t="s">
        <v>3336</v>
      </c>
      <c r="C9943" s="13" t="s">
        <v>1433</v>
      </c>
      <c r="D9943" s="15">
        <v>3.0</v>
      </c>
      <c r="E9943" s="67">
        <f t="shared" si="50"/>
        <v>750</v>
      </c>
      <c r="F9943" s="67"/>
    </row>
    <row r="9944" hidden="1">
      <c r="A9944" s="6" t="s">
        <v>109</v>
      </c>
      <c r="B9944" s="13" t="s">
        <v>734</v>
      </c>
      <c r="C9944" s="13" t="s">
        <v>735</v>
      </c>
      <c r="D9944" s="15">
        <v>2.0</v>
      </c>
      <c r="E9944" s="67">
        <f t="shared" si="50"/>
        <v>500</v>
      </c>
      <c r="F9944" s="67"/>
    </row>
    <row r="9945" hidden="1">
      <c r="A9945" s="6" t="s">
        <v>109</v>
      </c>
      <c r="B9945" s="13" t="s">
        <v>736</v>
      </c>
      <c r="C9945" s="13" t="s">
        <v>737</v>
      </c>
      <c r="D9945" s="15">
        <v>3.0</v>
      </c>
      <c r="E9945" s="67">
        <f t="shared" si="50"/>
        <v>750</v>
      </c>
      <c r="F9945" s="67"/>
    </row>
    <row r="9946" hidden="1">
      <c r="A9946" s="6" t="s">
        <v>109</v>
      </c>
      <c r="B9946" s="13" t="s">
        <v>1033</v>
      </c>
      <c r="C9946" s="13" t="s">
        <v>1034</v>
      </c>
      <c r="D9946" s="15">
        <v>1.0</v>
      </c>
      <c r="E9946" s="67">
        <f t="shared" si="50"/>
        <v>250</v>
      </c>
      <c r="F9946" s="67"/>
    </row>
    <row r="9947" hidden="1">
      <c r="A9947" s="6" t="s">
        <v>109</v>
      </c>
      <c r="B9947" s="13" t="s">
        <v>738</v>
      </c>
      <c r="C9947" s="13" t="s">
        <v>739</v>
      </c>
      <c r="D9947" s="15">
        <v>2.0</v>
      </c>
      <c r="E9947" s="67">
        <f t="shared" si="50"/>
        <v>500</v>
      </c>
      <c r="F9947" s="67"/>
    </row>
    <row r="9948" hidden="1">
      <c r="A9948" s="6" t="s">
        <v>109</v>
      </c>
      <c r="B9948" s="13" t="s">
        <v>740</v>
      </c>
      <c r="C9948" s="13" t="s">
        <v>741</v>
      </c>
      <c r="D9948" s="15">
        <v>2.0</v>
      </c>
      <c r="E9948" s="67">
        <f t="shared" si="50"/>
        <v>500</v>
      </c>
      <c r="F9948" s="67"/>
    </row>
    <row r="9949" hidden="1">
      <c r="A9949" s="6" t="s">
        <v>109</v>
      </c>
      <c r="B9949" s="13" t="s">
        <v>744</v>
      </c>
      <c r="C9949" s="13" t="s">
        <v>745</v>
      </c>
      <c r="D9949" s="15">
        <v>3.0</v>
      </c>
      <c r="E9949" s="67">
        <f t="shared" si="50"/>
        <v>750</v>
      </c>
      <c r="F9949" s="67"/>
    </row>
    <row r="9950" hidden="1">
      <c r="A9950" s="6" t="s">
        <v>109</v>
      </c>
      <c r="B9950" s="13" t="s">
        <v>746</v>
      </c>
      <c r="C9950" s="13" t="s">
        <v>747</v>
      </c>
      <c r="D9950" s="15">
        <v>10.0</v>
      </c>
      <c r="E9950" s="67">
        <f t="shared" si="50"/>
        <v>5000</v>
      </c>
      <c r="F9950" s="67"/>
    </row>
    <row r="9951" hidden="1">
      <c r="A9951" s="6" t="s">
        <v>109</v>
      </c>
      <c r="B9951" s="13" t="s">
        <v>748</v>
      </c>
      <c r="C9951" s="13" t="s">
        <v>749</v>
      </c>
      <c r="D9951" s="15">
        <v>2.0</v>
      </c>
      <c r="E9951" s="67">
        <f t="shared" si="50"/>
        <v>500</v>
      </c>
      <c r="F9951" s="67"/>
    </row>
    <row r="9952" hidden="1">
      <c r="A9952" s="6" t="s">
        <v>109</v>
      </c>
      <c r="B9952" s="13" t="s">
        <v>3337</v>
      </c>
      <c r="C9952" s="13" t="s">
        <v>3338</v>
      </c>
      <c r="D9952" s="15">
        <v>0.0</v>
      </c>
      <c r="E9952" s="67">
        <f t="shared" si="50"/>
        <v>0</v>
      </c>
      <c r="F9952" s="67"/>
    </row>
    <row r="9953" hidden="1">
      <c r="A9953" s="6" t="s">
        <v>109</v>
      </c>
      <c r="B9953" s="13" t="s">
        <v>752</v>
      </c>
      <c r="C9953" s="13" t="s">
        <v>753</v>
      </c>
      <c r="D9953" s="15">
        <v>8.0</v>
      </c>
      <c r="E9953" s="67">
        <f t="shared" si="50"/>
        <v>2000</v>
      </c>
      <c r="F9953" s="67"/>
    </row>
    <row r="9954" hidden="1">
      <c r="A9954" s="6" t="s">
        <v>109</v>
      </c>
      <c r="B9954" s="13" t="s">
        <v>754</v>
      </c>
      <c r="C9954" s="13" t="s">
        <v>755</v>
      </c>
      <c r="D9954" s="15">
        <v>2.0</v>
      </c>
      <c r="E9954" s="67">
        <f t="shared" si="50"/>
        <v>500</v>
      </c>
      <c r="F9954" s="67"/>
    </row>
    <row r="9955" hidden="1">
      <c r="A9955" s="6" t="s">
        <v>109</v>
      </c>
      <c r="B9955" s="13" t="s">
        <v>756</v>
      </c>
      <c r="C9955" s="13" t="s">
        <v>757</v>
      </c>
      <c r="D9955" s="15">
        <v>5.0</v>
      </c>
      <c r="E9955" s="67">
        <f t="shared" si="50"/>
        <v>1250</v>
      </c>
      <c r="F9955" s="67"/>
    </row>
    <row r="9956" hidden="1">
      <c r="A9956" s="6" t="s">
        <v>109</v>
      </c>
      <c r="B9956" s="13" t="s">
        <v>3339</v>
      </c>
      <c r="C9956" s="13" t="s">
        <v>1445</v>
      </c>
      <c r="D9956" s="15">
        <v>3.0</v>
      </c>
      <c r="E9956" s="67">
        <f t="shared" si="50"/>
        <v>750</v>
      </c>
      <c r="F9956" s="67"/>
    </row>
    <row r="9957" hidden="1">
      <c r="A9957" s="6" t="s">
        <v>109</v>
      </c>
      <c r="B9957" s="13" t="s">
        <v>762</v>
      </c>
      <c r="C9957" s="13" t="s">
        <v>763</v>
      </c>
      <c r="D9957" s="15">
        <v>2.0</v>
      </c>
      <c r="E9957" s="67">
        <f t="shared" si="50"/>
        <v>500</v>
      </c>
      <c r="F9957" s="67"/>
    </row>
    <row r="9958" hidden="1">
      <c r="A9958" s="6" t="s">
        <v>109</v>
      </c>
      <c r="B9958" s="13" t="s">
        <v>3340</v>
      </c>
      <c r="C9958" s="13" t="s">
        <v>3341</v>
      </c>
      <c r="D9958" s="15">
        <v>8.0</v>
      </c>
      <c r="E9958" s="67">
        <f t="shared" si="50"/>
        <v>2000</v>
      </c>
      <c r="F9958" s="67"/>
    </row>
    <row r="9959" hidden="1">
      <c r="A9959" s="6" t="s">
        <v>109</v>
      </c>
      <c r="B9959" s="13" t="s">
        <v>764</v>
      </c>
      <c r="C9959" s="13" t="s">
        <v>765</v>
      </c>
      <c r="D9959" s="15">
        <v>5.0</v>
      </c>
      <c r="E9959" s="67">
        <f t="shared" si="50"/>
        <v>1250</v>
      </c>
      <c r="F9959" s="67"/>
    </row>
    <row r="9960" hidden="1">
      <c r="A9960" s="6" t="s">
        <v>109</v>
      </c>
      <c r="B9960" s="13" t="s">
        <v>900</v>
      </c>
      <c r="C9960" s="13" t="s">
        <v>901</v>
      </c>
      <c r="D9960" s="15">
        <v>1.0</v>
      </c>
      <c r="E9960" s="67">
        <f t="shared" si="50"/>
        <v>250</v>
      </c>
      <c r="F9960" s="67"/>
    </row>
    <row r="9961" hidden="1">
      <c r="A9961" s="6" t="s">
        <v>109</v>
      </c>
      <c r="B9961" s="13" t="s">
        <v>766</v>
      </c>
      <c r="C9961" s="13" t="s">
        <v>767</v>
      </c>
      <c r="D9961" s="15">
        <v>8.0</v>
      </c>
      <c r="E9961" s="67">
        <f t="shared" si="50"/>
        <v>2000</v>
      </c>
      <c r="F9961" s="67"/>
    </row>
    <row r="9962" hidden="1">
      <c r="A9962" s="6" t="s">
        <v>109</v>
      </c>
      <c r="B9962" s="13" t="s">
        <v>3342</v>
      </c>
      <c r="C9962" s="13" t="s">
        <v>1449</v>
      </c>
      <c r="D9962" s="15">
        <v>1.0</v>
      </c>
      <c r="E9962" s="67">
        <f t="shared" si="50"/>
        <v>250</v>
      </c>
      <c r="F9962" s="67"/>
    </row>
    <row r="9963" hidden="1">
      <c r="A9963" s="6" t="s">
        <v>109</v>
      </c>
      <c r="B9963" s="13" t="s">
        <v>3343</v>
      </c>
      <c r="C9963" s="13" t="s">
        <v>2061</v>
      </c>
      <c r="D9963" s="15">
        <v>0.0</v>
      </c>
      <c r="E9963" s="67">
        <f t="shared" si="50"/>
        <v>0</v>
      </c>
      <c r="F9963" s="67"/>
    </row>
    <row r="9964" hidden="1">
      <c r="A9964" s="6" t="s">
        <v>110</v>
      </c>
      <c r="B9964" s="25" t="s">
        <v>397</v>
      </c>
      <c r="C9964" s="25" t="s">
        <v>398</v>
      </c>
      <c r="D9964" s="25">
        <v>0.0</v>
      </c>
      <c r="E9964" s="67">
        <f t="shared" si="50"/>
        <v>0</v>
      </c>
      <c r="F9964" s="67"/>
    </row>
    <row r="9965" hidden="1">
      <c r="A9965" s="6" t="s">
        <v>110</v>
      </c>
      <c r="B9965" s="25" t="s">
        <v>3275</v>
      </c>
      <c r="C9965" s="25" t="s">
        <v>3276</v>
      </c>
      <c r="D9965" s="25">
        <v>7.0</v>
      </c>
      <c r="E9965" s="67">
        <f t="shared" si="50"/>
        <v>1750</v>
      </c>
      <c r="F9965" s="67"/>
    </row>
    <row r="9966" hidden="1">
      <c r="A9966" s="6" t="s">
        <v>110</v>
      </c>
      <c r="B9966" s="25" t="s">
        <v>3344</v>
      </c>
      <c r="C9966" s="25" t="s">
        <v>3345</v>
      </c>
      <c r="D9966" s="25">
        <v>0.0</v>
      </c>
      <c r="E9966" s="67">
        <f t="shared" si="50"/>
        <v>0</v>
      </c>
      <c r="F9966" s="67"/>
    </row>
    <row r="9967" hidden="1">
      <c r="A9967" s="6" t="s">
        <v>110</v>
      </c>
      <c r="B9967" s="25" t="s">
        <v>403</v>
      </c>
      <c r="C9967" s="25" t="s">
        <v>404</v>
      </c>
      <c r="D9967" s="25">
        <v>3.0</v>
      </c>
      <c r="E9967" s="67">
        <f t="shared" si="50"/>
        <v>750</v>
      </c>
      <c r="F9967" s="67"/>
    </row>
    <row r="9968" hidden="1">
      <c r="A9968" s="6" t="s">
        <v>110</v>
      </c>
      <c r="B9968" s="25" t="s">
        <v>405</v>
      </c>
      <c r="C9968" s="25" t="s">
        <v>406</v>
      </c>
      <c r="D9968" s="25">
        <v>5.0</v>
      </c>
      <c r="E9968" s="67">
        <f t="shared" si="50"/>
        <v>1250</v>
      </c>
      <c r="F9968" s="67"/>
    </row>
    <row r="9969" hidden="1">
      <c r="A9969" s="6" t="s">
        <v>110</v>
      </c>
      <c r="B9969" s="25" t="s">
        <v>407</v>
      </c>
      <c r="C9969" s="25" t="s">
        <v>408</v>
      </c>
      <c r="D9969" s="25">
        <v>3.0</v>
      </c>
      <c r="E9969" s="67">
        <f t="shared" si="50"/>
        <v>750</v>
      </c>
      <c r="F9969" s="67"/>
    </row>
    <row r="9970" hidden="1">
      <c r="A9970" s="6" t="s">
        <v>110</v>
      </c>
      <c r="B9970" s="25" t="s">
        <v>409</v>
      </c>
      <c r="C9970" s="25" t="s">
        <v>410</v>
      </c>
      <c r="D9970" s="25">
        <v>3.0</v>
      </c>
      <c r="E9970" s="67">
        <f t="shared" si="50"/>
        <v>750</v>
      </c>
      <c r="F9970" s="67"/>
    </row>
    <row r="9971" hidden="1">
      <c r="A9971" s="6" t="s">
        <v>110</v>
      </c>
      <c r="B9971" s="25" t="s">
        <v>3278</v>
      </c>
      <c r="C9971" s="25" t="s">
        <v>1288</v>
      </c>
      <c r="D9971" s="25">
        <v>1.0</v>
      </c>
      <c r="E9971" s="67">
        <f t="shared" si="50"/>
        <v>250</v>
      </c>
      <c r="F9971" s="67"/>
    </row>
    <row r="9972" hidden="1">
      <c r="A9972" s="6" t="s">
        <v>110</v>
      </c>
      <c r="B9972" s="25" t="s">
        <v>411</v>
      </c>
      <c r="C9972" s="25" t="s">
        <v>412</v>
      </c>
      <c r="D9972" s="25">
        <v>12.0</v>
      </c>
      <c r="E9972" s="67">
        <f t="shared" si="50"/>
        <v>6000</v>
      </c>
      <c r="F9972" s="67"/>
    </row>
    <row r="9973" hidden="1">
      <c r="A9973" s="6" t="s">
        <v>110</v>
      </c>
      <c r="B9973" s="25" t="s">
        <v>413</v>
      </c>
      <c r="C9973" s="25" t="s">
        <v>414</v>
      </c>
      <c r="D9973" s="25">
        <v>4.0</v>
      </c>
      <c r="E9973" s="67">
        <f t="shared" si="50"/>
        <v>1000</v>
      </c>
      <c r="F9973" s="67"/>
    </row>
    <row r="9974" hidden="1">
      <c r="A9974" s="6" t="s">
        <v>110</v>
      </c>
      <c r="B9974" s="25" t="s">
        <v>415</v>
      </c>
      <c r="C9974" s="25" t="s">
        <v>416</v>
      </c>
      <c r="D9974" s="25">
        <v>6.0</v>
      </c>
      <c r="E9974" s="67">
        <f t="shared" si="50"/>
        <v>1500</v>
      </c>
      <c r="F9974" s="67"/>
    </row>
    <row r="9975" hidden="1">
      <c r="A9975" s="6" t="s">
        <v>110</v>
      </c>
      <c r="B9975" s="25" t="s">
        <v>417</v>
      </c>
      <c r="C9975" s="25" t="s">
        <v>418</v>
      </c>
      <c r="D9975" s="25">
        <v>4.0</v>
      </c>
      <c r="E9975" s="67">
        <f t="shared" si="50"/>
        <v>1000</v>
      </c>
      <c r="F9975" s="67"/>
    </row>
    <row r="9976" hidden="1">
      <c r="A9976" s="6" t="s">
        <v>110</v>
      </c>
      <c r="B9976" s="25" t="s">
        <v>419</v>
      </c>
      <c r="C9976" s="25" t="s">
        <v>420</v>
      </c>
      <c r="D9976" s="25">
        <v>3.0</v>
      </c>
      <c r="E9976" s="67">
        <f t="shared" si="50"/>
        <v>750</v>
      </c>
      <c r="F9976" s="67"/>
    </row>
    <row r="9977" hidden="1">
      <c r="A9977" s="6" t="s">
        <v>110</v>
      </c>
      <c r="B9977" s="25" t="s">
        <v>421</v>
      </c>
      <c r="C9977" s="25" t="s">
        <v>422</v>
      </c>
      <c r="D9977" s="25">
        <v>3.0</v>
      </c>
      <c r="E9977" s="67">
        <f t="shared" si="50"/>
        <v>750</v>
      </c>
      <c r="F9977" s="67"/>
    </row>
    <row r="9978" hidden="1">
      <c r="A9978" s="6" t="s">
        <v>110</v>
      </c>
      <c r="B9978" s="25" t="s">
        <v>423</v>
      </c>
      <c r="C9978" s="25" t="s">
        <v>424</v>
      </c>
      <c r="D9978" s="25">
        <v>6.0</v>
      </c>
      <c r="E9978" s="67">
        <f t="shared" si="50"/>
        <v>1500</v>
      </c>
      <c r="F9978" s="67"/>
    </row>
    <row r="9979" hidden="1">
      <c r="A9979" s="6" t="s">
        <v>110</v>
      </c>
      <c r="B9979" s="25" t="s">
        <v>429</v>
      </c>
      <c r="C9979" s="25" t="s">
        <v>430</v>
      </c>
      <c r="D9979" s="25">
        <v>1.0</v>
      </c>
      <c r="E9979" s="67">
        <f t="shared" si="50"/>
        <v>250</v>
      </c>
      <c r="F9979" s="67"/>
    </row>
    <row r="9980" hidden="1">
      <c r="A9980" s="6" t="s">
        <v>110</v>
      </c>
      <c r="B9980" s="25" t="s">
        <v>431</v>
      </c>
      <c r="C9980" s="25" t="s">
        <v>432</v>
      </c>
      <c r="D9980" s="25">
        <v>2.0</v>
      </c>
      <c r="E9980" s="67">
        <f t="shared" si="50"/>
        <v>500</v>
      </c>
      <c r="F9980" s="67"/>
    </row>
    <row r="9981" hidden="1">
      <c r="A9981" s="6" t="s">
        <v>110</v>
      </c>
      <c r="B9981" s="25" t="s">
        <v>435</v>
      </c>
      <c r="C9981" s="25" t="s">
        <v>436</v>
      </c>
      <c r="D9981" s="25">
        <v>11.0</v>
      </c>
      <c r="E9981" s="67">
        <f t="shared" si="50"/>
        <v>5500</v>
      </c>
      <c r="F9981" s="67"/>
    </row>
    <row r="9982" hidden="1">
      <c r="A9982" s="6" t="s">
        <v>110</v>
      </c>
      <c r="B9982" s="25" t="s">
        <v>439</v>
      </c>
      <c r="C9982" s="25" t="s">
        <v>440</v>
      </c>
      <c r="D9982" s="25">
        <v>6.0</v>
      </c>
      <c r="E9982" s="67">
        <f t="shared" si="50"/>
        <v>1500</v>
      </c>
      <c r="F9982" s="67"/>
    </row>
    <row r="9983" hidden="1">
      <c r="A9983" s="6" t="s">
        <v>110</v>
      </c>
      <c r="B9983" s="25" t="s">
        <v>3282</v>
      </c>
      <c r="C9983" s="25" t="s">
        <v>1294</v>
      </c>
      <c r="D9983" s="25">
        <v>3.0</v>
      </c>
      <c r="E9983" s="67">
        <f t="shared" si="50"/>
        <v>750</v>
      </c>
      <c r="F9983" s="67"/>
    </row>
    <row r="9984" hidden="1">
      <c r="A9984" s="6" t="s">
        <v>110</v>
      </c>
      <c r="B9984" s="25" t="s">
        <v>441</v>
      </c>
      <c r="C9984" s="25" t="s">
        <v>442</v>
      </c>
      <c r="D9984" s="25">
        <v>0.0</v>
      </c>
      <c r="E9984" s="67">
        <f t="shared" si="50"/>
        <v>0</v>
      </c>
      <c r="F9984" s="67"/>
    </row>
    <row r="9985" hidden="1">
      <c r="A9985" s="6" t="s">
        <v>110</v>
      </c>
      <c r="B9985" s="25" t="s">
        <v>443</v>
      </c>
      <c r="C9985" s="25" t="s">
        <v>444</v>
      </c>
      <c r="D9985" s="25">
        <v>7.0</v>
      </c>
      <c r="E9985" s="67">
        <f t="shared" si="50"/>
        <v>1750</v>
      </c>
      <c r="F9985" s="67"/>
    </row>
    <row r="9986" hidden="1">
      <c r="A9986" s="6" t="s">
        <v>110</v>
      </c>
      <c r="B9986" s="25" t="s">
        <v>445</v>
      </c>
      <c r="C9986" s="25" t="s">
        <v>446</v>
      </c>
      <c r="D9986" s="25">
        <v>1.0</v>
      </c>
      <c r="E9986" s="67">
        <f t="shared" si="50"/>
        <v>250</v>
      </c>
      <c r="F9986" s="67"/>
    </row>
    <row r="9987" hidden="1">
      <c r="A9987" s="6" t="s">
        <v>110</v>
      </c>
      <c r="B9987" s="25" t="s">
        <v>3346</v>
      </c>
      <c r="C9987" s="25" t="s">
        <v>3347</v>
      </c>
      <c r="D9987" s="25">
        <v>5.0</v>
      </c>
      <c r="E9987" s="67">
        <f t="shared" si="50"/>
        <v>1250</v>
      </c>
      <c r="F9987" s="67"/>
    </row>
    <row r="9988" hidden="1">
      <c r="A9988" s="6" t="s">
        <v>110</v>
      </c>
      <c r="B9988" s="25" t="s">
        <v>449</v>
      </c>
      <c r="C9988" s="25" t="s">
        <v>450</v>
      </c>
      <c r="D9988" s="25">
        <v>0.0</v>
      </c>
      <c r="E9988" s="67">
        <f t="shared" si="50"/>
        <v>0</v>
      </c>
      <c r="F9988" s="67"/>
    </row>
    <row r="9989" hidden="1">
      <c r="A9989" s="6" t="s">
        <v>110</v>
      </c>
      <c r="B9989" s="25" t="s">
        <v>451</v>
      </c>
      <c r="C9989" s="25" t="s">
        <v>452</v>
      </c>
      <c r="D9989" s="25">
        <v>0.0</v>
      </c>
      <c r="E9989" s="67">
        <f t="shared" si="50"/>
        <v>0</v>
      </c>
      <c r="F9989" s="67"/>
    </row>
    <row r="9990" hidden="1">
      <c r="A9990" s="6" t="s">
        <v>110</v>
      </c>
      <c r="B9990" s="25" t="s">
        <v>453</v>
      </c>
      <c r="C9990" s="25" t="s">
        <v>454</v>
      </c>
      <c r="D9990" s="25">
        <v>1.0</v>
      </c>
      <c r="E9990" s="67">
        <f t="shared" si="50"/>
        <v>250</v>
      </c>
      <c r="F9990" s="67"/>
    </row>
    <row r="9991" hidden="1">
      <c r="A9991" s="6" t="s">
        <v>110</v>
      </c>
      <c r="B9991" s="25" t="s">
        <v>457</v>
      </c>
      <c r="C9991" s="25" t="s">
        <v>458</v>
      </c>
      <c r="D9991" s="25">
        <v>9.0</v>
      </c>
      <c r="E9991" s="67">
        <f t="shared" si="50"/>
        <v>2250</v>
      </c>
      <c r="F9991" s="67"/>
    </row>
    <row r="9992" hidden="1">
      <c r="A9992" s="6" t="s">
        <v>110</v>
      </c>
      <c r="B9992" s="25" t="s">
        <v>319</v>
      </c>
      <c r="C9992" s="25" t="s">
        <v>459</v>
      </c>
      <c r="D9992" s="25">
        <v>6.0</v>
      </c>
      <c r="E9992" s="67">
        <f t="shared" si="50"/>
        <v>1500</v>
      </c>
      <c r="F9992" s="67"/>
    </row>
    <row r="9993" hidden="1">
      <c r="A9993" s="6" t="s">
        <v>110</v>
      </c>
      <c r="B9993" s="25" t="s">
        <v>460</v>
      </c>
      <c r="C9993" s="25" t="s">
        <v>461</v>
      </c>
      <c r="D9993" s="25">
        <v>4.0</v>
      </c>
      <c r="E9993" s="67">
        <f t="shared" si="50"/>
        <v>1000</v>
      </c>
      <c r="F9993" s="67"/>
    </row>
    <row r="9994" hidden="1">
      <c r="A9994" s="6" t="s">
        <v>110</v>
      </c>
      <c r="B9994" s="25" t="s">
        <v>462</v>
      </c>
      <c r="C9994" s="25" t="s">
        <v>463</v>
      </c>
      <c r="D9994" s="25">
        <v>4.0</v>
      </c>
      <c r="E9994" s="67">
        <f t="shared" si="50"/>
        <v>1000</v>
      </c>
      <c r="F9994" s="67"/>
    </row>
    <row r="9995" hidden="1">
      <c r="A9995" s="6" t="s">
        <v>110</v>
      </c>
      <c r="B9995" s="25" t="s">
        <v>464</v>
      </c>
      <c r="C9995" s="25" t="s">
        <v>465</v>
      </c>
      <c r="D9995" s="25">
        <v>1.0</v>
      </c>
      <c r="E9995" s="67">
        <f t="shared" si="50"/>
        <v>250</v>
      </c>
      <c r="F9995" s="67"/>
    </row>
    <row r="9996" hidden="1">
      <c r="A9996" s="6" t="s">
        <v>110</v>
      </c>
      <c r="B9996" s="25" t="s">
        <v>466</v>
      </c>
      <c r="C9996" s="25" t="s">
        <v>467</v>
      </c>
      <c r="D9996" s="25">
        <v>2.0</v>
      </c>
      <c r="E9996" s="67">
        <f t="shared" si="50"/>
        <v>500</v>
      </c>
      <c r="F9996" s="67"/>
    </row>
    <row r="9997" hidden="1">
      <c r="A9997" s="6" t="s">
        <v>110</v>
      </c>
      <c r="B9997" s="25" t="s">
        <v>468</v>
      </c>
      <c r="C9997" s="25" t="s">
        <v>469</v>
      </c>
      <c r="D9997" s="25">
        <v>0.0</v>
      </c>
      <c r="E9997" s="67">
        <f t="shared" si="50"/>
        <v>0</v>
      </c>
      <c r="F9997" s="67"/>
    </row>
    <row r="9998" hidden="1">
      <c r="A9998" s="6" t="s">
        <v>110</v>
      </c>
      <c r="B9998" s="25" t="s">
        <v>470</v>
      </c>
      <c r="C9998" s="25" t="s">
        <v>471</v>
      </c>
      <c r="D9998" s="25">
        <v>1.0</v>
      </c>
      <c r="E9998" s="67">
        <f t="shared" si="50"/>
        <v>250</v>
      </c>
      <c r="F9998" s="67"/>
    </row>
    <row r="9999" hidden="1">
      <c r="A9999" s="6" t="s">
        <v>110</v>
      </c>
      <c r="B9999" s="25" t="s">
        <v>472</v>
      </c>
      <c r="C9999" s="25" t="s">
        <v>473</v>
      </c>
      <c r="D9999" s="25">
        <v>1.0</v>
      </c>
      <c r="E9999" s="67">
        <f t="shared" si="50"/>
        <v>250</v>
      </c>
      <c r="F9999" s="67"/>
    </row>
    <row r="10000" hidden="1">
      <c r="A10000" s="6" t="s">
        <v>110</v>
      </c>
      <c r="B10000" s="25" t="s">
        <v>476</v>
      </c>
      <c r="C10000" s="25" t="s">
        <v>477</v>
      </c>
      <c r="D10000" s="25">
        <v>42.0</v>
      </c>
      <c r="E10000" s="67">
        <f t="shared" si="50"/>
        <v>21000</v>
      </c>
      <c r="F10000" s="67"/>
    </row>
    <row r="10001" hidden="1">
      <c r="A10001" s="6" t="s">
        <v>110</v>
      </c>
      <c r="B10001" s="25" t="s">
        <v>482</v>
      </c>
      <c r="C10001" s="25" t="s">
        <v>483</v>
      </c>
      <c r="D10001" s="25">
        <v>3.0</v>
      </c>
      <c r="E10001" s="67">
        <f t="shared" si="50"/>
        <v>750</v>
      </c>
      <c r="F10001" s="67"/>
    </row>
    <row r="10002" hidden="1">
      <c r="A10002" s="6" t="s">
        <v>110</v>
      </c>
      <c r="B10002" s="25" t="s">
        <v>3284</v>
      </c>
      <c r="C10002" s="25" t="s">
        <v>1306</v>
      </c>
      <c r="D10002" s="25">
        <v>8.0</v>
      </c>
      <c r="E10002" s="67">
        <f t="shared" si="50"/>
        <v>2000</v>
      </c>
      <c r="F10002" s="67"/>
    </row>
    <row r="10003" hidden="1">
      <c r="A10003" s="6" t="s">
        <v>110</v>
      </c>
      <c r="B10003" s="25" t="s">
        <v>484</v>
      </c>
      <c r="C10003" s="25" t="s">
        <v>485</v>
      </c>
      <c r="D10003" s="25">
        <v>1.0</v>
      </c>
      <c r="E10003" s="67">
        <f t="shared" si="50"/>
        <v>250</v>
      </c>
      <c r="F10003" s="67"/>
    </row>
    <row r="10004" hidden="1">
      <c r="A10004" s="6" t="s">
        <v>110</v>
      </c>
      <c r="B10004" s="25" t="s">
        <v>486</v>
      </c>
      <c r="C10004" s="25" t="s">
        <v>487</v>
      </c>
      <c r="D10004" s="25">
        <v>11.0</v>
      </c>
      <c r="E10004" s="67">
        <f t="shared" si="50"/>
        <v>5500</v>
      </c>
      <c r="F10004" s="67"/>
    </row>
    <row r="10005" hidden="1">
      <c r="A10005" s="6" t="s">
        <v>110</v>
      </c>
      <c r="B10005" s="25" t="s">
        <v>488</v>
      </c>
      <c r="C10005" s="25" t="s">
        <v>489</v>
      </c>
      <c r="D10005" s="25">
        <v>3.0</v>
      </c>
      <c r="E10005" s="67">
        <f t="shared" si="50"/>
        <v>750</v>
      </c>
      <c r="F10005" s="67"/>
    </row>
    <row r="10006" hidden="1">
      <c r="A10006" s="6" t="s">
        <v>110</v>
      </c>
      <c r="B10006" s="25" t="s">
        <v>774</v>
      </c>
      <c r="C10006" s="25" t="s">
        <v>3348</v>
      </c>
      <c r="D10006" s="25">
        <v>0.0</v>
      </c>
      <c r="E10006" s="67">
        <f t="shared" si="50"/>
        <v>0</v>
      </c>
      <c r="F10006" s="67"/>
    </row>
    <row r="10007" hidden="1">
      <c r="A10007" s="6" t="s">
        <v>110</v>
      </c>
      <c r="B10007" s="25" t="s">
        <v>490</v>
      </c>
      <c r="C10007" s="25" t="s">
        <v>491</v>
      </c>
      <c r="D10007" s="25">
        <v>8.0</v>
      </c>
      <c r="E10007" s="67">
        <f t="shared" si="50"/>
        <v>2000</v>
      </c>
      <c r="F10007" s="67"/>
    </row>
    <row r="10008" hidden="1">
      <c r="A10008" s="6" t="s">
        <v>110</v>
      </c>
      <c r="B10008" s="25" t="s">
        <v>494</v>
      </c>
      <c r="C10008" s="25" t="s">
        <v>495</v>
      </c>
      <c r="D10008" s="25">
        <v>2.0</v>
      </c>
      <c r="E10008" s="67">
        <f t="shared" si="50"/>
        <v>500</v>
      </c>
      <c r="F10008" s="67"/>
    </row>
    <row r="10009" hidden="1">
      <c r="A10009" s="6" t="s">
        <v>110</v>
      </c>
      <c r="B10009" s="25" t="s">
        <v>496</v>
      </c>
      <c r="C10009" s="25" t="s">
        <v>497</v>
      </c>
      <c r="D10009" s="25">
        <v>0.0</v>
      </c>
      <c r="E10009" s="67">
        <f t="shared" si="50"/>
        <v>0</v>
      </c>
      <c r="F10009" s="67"/>
    </row>
    <row r="10010" hidden="1">
      <c r="A10010" s="6" t="s">
        <v>110</v>
      </c>
      <c r="B10010" s="25" t="s">
        <v>500</v>
      </c>
      <c r="C10010" s="25" t="s">
        <v>501</v>
      </c>
      <c r="D10010" s="25">
        <v>8.0</v>
      </c>
      <c r="E10010" s="67">
        <f t="shared" si="50"/>
        <v>2000</v>
      </c>
      <c r="F10010" s="67"/>
    </row>
    <row r="10011" hidden="1">
      <c r="A10011" s="6" t="s">
        <v>110</v>
      </c>
      <c r="B10011" s="25" t="s">
        <v>502</v>
      </c>
      <c r="C10011" s="25" t="s">
        <v>503</v>
      </c>
      <c r="D10011" s="25">
        <v>4.0</v>
      </c>
      <c r="E10011" s="67">
        <f t="shared" si="50"/>
        <v>1000</v>
      </c>
      <c r="F10011" s="67"/>
    </row>
    <row r="10012" hidden="1">
      <c r="A10012" s="6" t="s">
        <v>110</v>
      </c>
      <c r="B10012" s="25" t="s">
        <v>504</v>
      </c>
      <c r="C10012" s="25" t="s">
        <v>505</v>
      </c>
      <c r="D10012" s="25">
        <v>3.0</v>
      </c>
      <c r="E10012" s="67">
        <f t="shared" si="50"/>
        <v>750</v>
      </c>
      <c r="F10012" s="67"/>
    </row>
    <row r="10013" hidden="1">
      <c r="A10013" s="6" t="s">
        <v>110</v>
      </c>
      <c r="B10013" s="25" t="s">
        <v>3289</v>
      </c>
      <c r="C10013" s="25" t="s">
        <v>1318</v>
      </c>
      <c r="D10013" s="25">
        <v>2.0</v>
      </c>
      <c r="E10013" s="67">
        <f t="shared" si="50"/>
        <v>500</v>
      </c>
      <c r="F10013" s="67"/>
    </row>
    <row r="10014" hidden="1">
      <c r="A10014" s="6" t="s">
        <v>110</v>
      </c>
      <c r="B10014" s="25" t="s">
        <v>510</v>
      </c>
      <c r="C10014" s="25" t="s">
        <v>511</v>
      </c>
      <c r="D10014" s="25">
        <v>10.0</v>
      </c>
      <c r="E10014" s="67">
        <f t="shared" si="50"/>
        <v>5000</v>
      </c>
      <c r="F10014" s="67"/>
    </row>
    <row r="10015" hidden="1">
      <c r="A10015" s="6" t="s">
        <v>110</v>
      </c>
      <c r="B10015" s="25" t="s">
        <v>514</v>
      </c>
      <c r="C10015" s="25" t="s">
        <v>515</v>
      </c>
      <c r="D10015" s="25">
        <v>10.0</v>
      </c>
      <c r="E10015" s="67">
        <f t="shared" si="50"/>
        <v>5000</v>
      </c>
      <c r="F10015" s="67"/>
    </row>
    <row r="10016" hidden="1">
      <c r="A10016" s="6" t="s">
        <v>110</v>
      </c>
      <c r="B10016" s="25" t="s">
        <v>516</v>
      </c>
      <c r="C10016" s="25" t="s">
        <v>517</v>
      </c>
      <c r="D10016" s="25">
        <v>10.0</v>
      </c>
      <c r="E10016" s="67">
        <f t="shared" si="50"/>
        <v>5000</v>
      </c>
      <c r="F10016" s="67"/>
    </row>
    <row r="10017" hidden="1">
      <c r="A10017" s="6" t="s">
        <v>110</v>
      </c>
      <c r="B10017" s="25" t="s">
        <v>518</v>
      </c>
      <c r="C10017" s="25" t="s">
        <v>519</v>
      </c>
      <c r="D10017" s="25">
        <v>2.0</v>
      </c>
      <c r="E10017" s="67">
        <f t="shared" si="50"/>
        <v>500</v>
      </c>
      <c r="F10017" s="67"/>
    </row>
    <row r="10018" hidden="1">
      <c r="A10018" s="6" t="s">
        <v>110</v>
      </c>
      <c r="B10018" s="25" t="s">
        <v>3292</v>
      </c>
      <c r="C10018" s="25" t="s">
        <v>1320</v>
      </c>
      <c r="D10018" s="25">
        <v>1.0</v>
      </c>
      <c r="E10018" s="67">
        <f t="shared" si="50"/>
        <v>250</v>
      </c>
      <c r="F10018" s="67"/>
    </row>
    <row r="10019" hidden="1">
      <c r="A10019" s="6" t="s">
        <v>110</v>
      </c>
      <c r="B10019" s="25" t="s">
        <v>3349</v>
      </c>
      <c r="C10019" s="25" t="s">
        <v>3350</v>
      </c>
      <c r="D10019" s="25">
        <v>0.0</v>
      </c>
      <c r="E10019" s="67">
        <f t="shared" si="50"/>
        <v>0</v>
      </c>
      <c r="F10019" s="67"/>
    </row>
    <row r="10020" hidden="1">
      <c r="A10020" s="6" t="s">
        <v>110</v>
      </c>
      <c r="B10020" s="25" t="s">
        <v>520</v>
      </c>
      <c r="C10020" s="25" t="s">
        <v>521</v>
      </c>
      <c r="D10020" s="25">
        <v>6.0</v>
      </c>
      <c r="E10020" s="67">
        <f t="shared" si="50"/>
        <v>1500</v>
      </c>
      <c r="F10020" s="67"/>
    </row>
    <row r="10021" hidden="1">
      <c r="A10021" s="6" t="s">
        <v>110</v>
      </c>
      <c r="B10021" s="25" t="s">
        <v>522</v>
      </c>
      <c r="C10021" s="25" t="s">
        <v>523</v>
      </c>
      <c r="D10021" s="25">
        <v>4.0</v>
      </c>
      <c r="E10021" s="67">
        <f t="shared" si="50"/>
        <v>1000</v>
      </c>
      <c r="F10021" s="67"/>
    </row>
    <row r="10022" hidden="1">
      <c r="A10022" s="6" t="s">
        <v>110</v>
      </c>
      <c r="B10022" s="25" t="s">
        <v>524</v>
      </c>
      <c r="C10022" s="25" t="s">
        <v>525</v>
      </c>
      <c r="D10022" s="25">
        <v>12.0</v>
      </c>
      <c r="E10022" s="67">
        <f t="shared" si="50"/>
        <v>6000</v>
      </c>
      <c r="F10022" s="67"/>
    </row>
    <row r="10023" hidden="1">
      <c r="A10023" s="6" t="s">
        <v>110</v>
      </c>
      <c r="B10023" s="25" t="s">
        <v>526</v>
      </c>
      <c r="C10023" s="25" t="s">
        <v>527</v>
      </c>
      <c r="D10023" s="25">
        <v>4.0</v>
      </c>
      <c r="E10023" s="67">
        <f t="shared" si="50"/>
        <v>1000</v>
      </c>
      <c r="F10023" s="67"/>
    </row>
    <row r="10024" hidden="1">
      <c r="A10024" s="6" t="s">
        <v>110</v>
      </c>
      <c r="B10024" s="25" t="s">
        <v>3295</v>
      </c>
      <c r="C10024" s="25" t="s">
        <v>1329</v>
      </c>
      <c r="D10024" s="25">
        <v>2.0</v>
      </c>
      <c r="E10024" s="67">
        <f t="shared" si="50"/>
        <v>500</v>
      </c>
      <c r="F10024" s="67"/>
    </row>
    <row r="10025" hidden="1">
      <c r="A10025" s="6" t="s">
        <v>110</v>
      </c>
      <c r="B10025" s="25" t="s">
        <v>528</v>
      </c>
      <c r="C10025" s="25" t="s">
        <v>529</v>
      </c>
      <c r="D10025" s="25">
        <v>3.0</v>
      </c>
      <c r="E10025" s="67">
        <f t="shared" si="50"/>
        <v>750</v>
      </c>
      <c r="F10025" s="67"/>
    </row>
    <row r="10026" hidden="1">
      <c r="A10026" s="6" t="s">
        <v>110</v>
      </c>
      <c r="B10026" s="25" t="s">
        <v>530</v>
      </c>
      <c r="C10026" s="25" t="s">
        <v>531</v>
      </c>
      <c r="D10026" s="25">
        <v>2.0</v>
      </c>
      <c r="E10026" s="67">
        <f t="shared" si="50"/>
        <v>500</v>
      </c>
      <c r="F10026" s="67"/>
    </row>
    <row r="10027" hidden="1">
      <c r="A10027" s="6" t="s">
        <v>110</v>
      </c>
      <c r="B10027" s="25" t="s">
        <v>532</v>
      </c>
      <c r="C10027" s="25" t="s">
        <v>533</v>
      </c>
      <c r="D10027" s="25">
        <v>3.0</v>
      </c>
      <c r="E10027" s="67">
        <f t="shared" si="50"/>
        <v>750</v>
      </c>
      <c r="F10027" s="67"/>
    </row>
    <row r="10028" hidden="1">
      <c r="A10028" s="6" t="s">
        <v>110</v>
      </c>
      <c r="B10028" s="25" t="s">
        <v>534</v>
      </c>
      <c r="C10028" s="25" t="s">
        <v>535</v>
      </c>
      <c r="D10028" s="25">
        <v>2.0</v>
      </c>
      <c r="E10028" s="67">
        <f t="shared" si="50"/>
        <v>500</v>
      </c>
      <c r="F10028" s="67"/>
    </row>
    <row r="10029" hidden="1">
      <c r="A10029" s="6" t="s">
        <v>110</v>
      </c>
      <c r="B10029" s="25" t="s">
        <v>536</v>
      </c>
      <c r="C10029" s="25" t="s">
        <v>537</v>
      </c>
      <c r="D10029" s="25">
        <v>2.0</v>
      </c>
      <c r="E10029" s="67">
        <f t="shared" si="50"/>
        <v>500</v>
      </c>
      <c r="F10029" s="67"/>
    </row>
    <row r="10030" hidden="1">
      <c r="A10030" s="6" t="s">
        <v>110</v>
      </c>
      <c r="B10030" s="25" t="s">
        <v>538</v>
      </c>
      <c r="C10030" s="25" t="s">
        <v>539</v>
      </c>
      <c r="D10030" s="25">
        <v>0.0</v>
      </c>
      <c r="E10030" s="67">
        <f t="shared" si="50"/>
        <v>0</v>
      </c>
      <c r="F10030" s="67"/>
    </row>
    <row r="10031" hidden="1">
      <c r="A10031" s="6" t="s">
        <v>110</v>
      </c>
      <c r="B10031" s="25" t="s">
        <v>540</v>
      </c>
      <c r="C10031" s="25" t="s">
        <v>541</v>
      </c>
      <c r="D10031" s="25">
        <v>13.0</v>
      </c>
      <c r="E10031" s="67">
        <f t="shared" si="50"/>
        <v>6500</v>
      </c>
      <c r="F10031" s="67"/>
    </row>
    <row r="10032" hidden="1">
      <c r="A10032" s="6" t="s">
        <v>110</v>
      </c>
      <c r="B10032" s="25" t="s">
        <v>3351</v>
      </c>
      <c r="C10032" s="25" t="s">
        <v>3352</v>
      </c>
      <c r="D10032" s="25">
        <v>1.0</v>
      </c>
      <c r="E10032" s="67">
        <f t="shared" si="50"/>
        <v>250</v>
      </c>
      <c r="F10032" s="67"/>
    </row>
    <row r="10033" hidden="1">
      <c r="A10033" s="6" t="s">
        <v>110</v>
      </c>
      <c r="B10033" s="25" t="s">
        <v>542</v>
      </c>
      <c r="C10033" s="25" t="s">
        <v>543</v>
      </c>
      <c r="D10033" s="25">
        <v>9.0</v>
      </c>
      <c r="E10033" s="67">
        <f t="shared" si="50"/>
        <v>2250</v>
      </c>
      <c r="F10033" s="67"/>
    </row>
    <row r="10034" hidden="1">
      <c r="A10034" s="6" t="s">
        <v>110</v>
      </c>
      <c r="B10034" s="25" t="s">
        <v>544</v>
      </c>
      <c r="C10034" s="25" t="s">
        <v>545</v>
      </c>
      <c r="D10034" s="25">
        <v>4.0</v>
      </c>
      <c r="E10034" s="67">
        <f t="shared" si="50"/>
        <v>1000</v>
      </c>
      <c r="F10034" s="67"/>
    </row>
    <row r="10035" hidden="1">
      <c r="A10035" s="6" t="s">
        <v>110</v>
      </c>
      <c r="B10035" s="25" t="s">
        <v>546</v>
      </c>
      <c r="C10035" s="25" t="s">
        <v>547</v>
      </c>
      <c r="D10035" s="25">
        <v>5.0</v>
      </c>
      <c r="E10035" s="67">
        <f t="shared" si="50"/>
        <v>1250</v>
      </c>
      <c r="F10035" s="67"/>
    </row>
    <row r="10036" hidden="1">
      <c r="A10036" s="6" t="s">
        <v>110</v>
      </c>
      <c r="B10036" s="25" t="s">
        <v>548</v>
      </c>
      <c r="C10036" s="25" t="s">
        <v>549</v>
      </c>
      <c r="D10036" s="25">
        <v>7.0</v>
      </c>
      <c r="E10036" s="67">
        <f t="shared" si="50"/>
        <v>1750</v>
      </c>
      <c r="F10036" s="67"/>
    </row>
    <row r="10037" hidden="1">
      <c r="A10037" s="6" t="s">
        <v>110</v>
      </c>
      <c r="B10037" s="25" t="s">
        <v>550</v>
      </c>
      <c r="C10037" s="25" t="s">
        <v>551</v>
      </c>
      <c r="D10037" s="25">
        <v>8.0</v>
      </c>
      <c r="E10037" s="67">
        <f t="shared" si="50"/>
        <v>2000</v>
      </c>
      <c r="F10037" s="67"/>
    </row>
    <row r="10038" hidden="1">
      <c r="A10038" s="6" t="s">
        <v>110</v>
      </c>
      <c r="B10038" s="25" t="s">
        <v>552</v>
      </c>
      <c r="C10038" s="25" t="s">
        <v>553</v>
      </c>
      <c r="D10038" s="25">
        <v>6.0</v>
      </c>
      <c r="E10038" s="67">
        <f t="shared" si="50"/>
        <v>1500</v>
      </c>
      <c r="F10038" s="67"/>
    </row>
    <row r="10039" hidden="1">
      <c r="A10039" s="6" t="s">
        <v>110</v>
      </c>
      <c r="B10039" s="25" t="s">
        <v>3296</v>
      </c>
      <c r="C10039" s="25" t="s">
        <v>3297</v>
      </c>
      <c r="D10039" s="25">
        <v>1.0</v>
      </c>
      <c r="E10039" s="67">
        <f t="shared" si="50"/>
        <v>250</v>
      </c>
      <c r="F10039" s="67"/>
    </row>
    <row r="10040" hidden="1">
      <c r="A10040" s="6" t="s">
        <v>110</v>
      </c>
      <c r="B10040" s="25" t="s">
        <v>556</v>
      </c>
      <c r="C10040" s="25" t="s">
        <v>557</v>
      </c>
      <c r="D10040" s="25">
        <v>2.0</v>
      </c>
      <c r="E10040" s="67">
        <f t="shared" si="50"/>
        <v>500</v>
      </c>
      <c r="F10040" s="67"/>
    </row>
    <row r="10041" hidden="1">
      <c r="A10041" s="6" t="s">
        <v>110</v>
      </c>
      <c r="B10041" s="25" t="s">
        <v>560</v>
      </c>
      <c r="C10041" s="25" t="s">
        <v>561</v>
      </c>
      <c r="D10041" s="25">
        <v>2.0</v>
      </c>
      <c r="E10041" s="67">
        <f t="shared" si="50"/>
        <v>500</v>
      </c>
      <c r="F10041" s="67"/>
    </row>
    <row r="10042" hidden="1">
      <c r="A10042" s="6" t="s">
        <v>110</v>
      </c>
      <c r="B10042" s="25" t="s">
        <v>562</v>
      </c>
      <c r="C10042" s="25" t="s">
        <v>563</v>
      </c>
      <c r="D10042" s="25">
        <v>1.0</v>
      </c>
      <c r="E10042" s="67">
        <f t="shared" si="50"/>
        <v>250</v>
      </c>
      <c r="F10042" s="67"/>
    </row>
    <row r="10043" hidden="1">
      <c r="A10043" s="6" t="s">
        <v>110</v>
      </c>
      <c r="B10043" s="25" t="s">
        <v>566</v>
      </c>
      <c r="C10043" s="25" t="s">
        <v>567</v>
      </c>
      <c r="D10043" s="25">
        <v>3.0</v>
      </c>
      <c r="E10043" s="67">
        <f t="shared" si="50"/>
        <v>750</v>
      </c>
      <c r="F10043" s="67"/>
    </row>
    <row r="10044" hidden="1">
      <c r="A10044" s="6" t="s">
        <v>110</v>
      </c>
      <c r="B10044" s="25" t="s">
        <v>568</v>
      </c>
      <c r="C10044" s="25" t="s">
        <v>569</v>
      </c>
      <c r="D10044" s="25">
        <v>2.0</v>
      </c>
      <c r="E10044" s="67">
        <f t="shared" si="50"/>
        <v>500</v>
      </c>
      <c r="F10044" s="67"/>
    </row>
    <row r="10045" hidden="1">
      <c r="A10045" s="6" t="s">
        <v>110</v>
      </c>
      <c r="B10045" s="25" t="s">
        <v>570</v>
      </c>
      <c r="C10045" s="25" t="s">
        <v>571</v>
      </c>
      <c r="D10045" s="25">
        <v>0.0</v>
      </c>
      <c r="E10045" s="67">
        <f t="shared" si="50"/>
        <v>0</v>
      </c>
      <c r="F10045" s="67"/>
    </row>
    <row r="10046" hidden="1">
      <c r="A10046" s="6" t="s">
        <v>110</v>
      </c>
      <c r="B10046" s="25" t="s">
        <v>572</v>
      </c>
      <c r="C10046" s="25" t="s">
        <v>573</v>
      </c>
      <c r="D10046" s="25">
        <v>2.0</v>
      </c>
      <c r="E10046" s="67">
        <f t="shared" si="50"/>
        <v>500</v>
      </c>
      <c r="F10046" s="67"/>
    </row>
    <row r="10047" hidden="1">
      <c r="A10047" s="6" t="s">
        <v>110</v>
      </c>
      <c r="B10047" s="25" t="s">
        <v>3302</v>
      </c>
      <c r="C10047" s="25" t="s">
        <v>1354</v>
      </c>
      <c r="D10047" s="25">
        <v>2.0</v>
      </c>
      <c r="E10047" s="67">
        <f t="shared" si="50"/>
        <v>500</v>
      </c>
      <c r="F10047" s="67"/>
    </row>
    <row r="10048" hidden="1">
      <c r="A10048" s="6" t="s">
        <v>110</v>
      </c>
      <c r="B10048" s="25" t="s">
        <v>576</v>
      </c>
      <c r="C10048" s="25" t="s">
        <v>577</v>
      </c>
      <c r="D10048" s="25">
        <v>4.0</v>
      </c>
      <c r="E10048" s="67">
        <f t="shared" si="50"/>
        <v>1000</v>
      </c>
      <c r="F10048" s="67"/>
    </row>
    <row r="10049" hidden="1">
      <c r="A10049" s="6" t="s">
        <v>110</v>
      </c>
      <c r="B10049" s="25" t="s">
        <v>578</v>
      </c>
      <c r="C10049" s="25" t="s">
        <v>579</v>
      </c>
      <c r="D10049" s="25">
        <v>2.0</v>
      </c>
      <c r="E10049" s="67">
        <f t="shared" si="50"/>
        <v>500</v>
      </c>
      <c r="F10049" s="67"/>
    </row>
    <row r="10050" hidden="1">
      <c r="A10050" s="6" t="s">
        <v>110</v>
      </c>
      <c r="B10050" s="25" t="s">
        <v>580</v>
      </c>
      <c r="C10050" s="25" t="s">
        <v>581</v>
      </c>
      <c r="D10050" s="25">
        <v>2.0</v>
      </c>
      <c r="E10050" s="67">
        <f t="shared" si="50"/>
        <v>500</v>
      </c>
      <c r="F10050" s="67"/>
    </row>
    <row r="10051" hidden="1">
      <c r="A10051" s="6" t="s">
        <v>110</v>
      </c>
      <c r="B10051" s="25" t="s">
        <v>582</v>
      </c>
      <c r="C10051" s="25" t="s">
        <v>583</v>
      </c>
      <c r="D10051" s="25">
        <v>4.0</v>
      </c>
      <c r="E10051" s="67">
        <f t="shared" si="50"/>
        <v>1000</v>
      </c>
      <c r="F10051" s="67"/>
    </row>
    <row r="10052" hidden="1">
      <c r="A10052" s="6" t="s">
        <v>110</v>
      </c>
      <c r="B10052" s="25" t="s">
        <v>584</v>
      </c>
      <c r="C10052" s="25" t="s">
        <v>585</v>
      </c>
      <c r="D10052" s="25">
        <v>0.0</v>
      </c>
      <c r="E10052" s="67">
        <f t="shared" si="50"/>
        <v>0</v>
      </c>
      <c r="F10052" s="67"/>
    </row>
    <row r="10053" hidden="1">
      <c r="A10053" s="6" t="s">
        <v>110</v>
      </c>
      <c r="B10053" s="25" t="s">
        <v>586</v>
      </c>
      <c r="C10053" s="25" t="s">
        <v>587</v>
      </c>
      <c r="D10053" s="25">
        <v>1.0</v>
      </c>
      <c r="E10053" s="67">
        <f t="shared" si="50"/>
        <v>250</v>
      </c>
      <c r="F10053" s="67"/>
    </row>
    <row r="10054" hidden="1">
      <c r="A10054" s="6" t="s">
        <v>110</v>
      </c>
      <c r="B10054" s="25" t="s">
        <v>588</v>
      </c>
      <c r="C10054" s="25" t="s">
        <v>589</v>
      </c>
      <c r="D10054" s="25">
        <v>0.0</v>
      </c>
      <c r="E10054" s="67">
        <f t="shared" si="50"/>
        <v>0</v>
      </c>
      <c r="F10054" s="67"/>
    </row>
    <row r="10055" hidden="1">
      <c r="A10055" s="6" t="s">
        <v>110</v>
      </c>
      <c r="B10055" s="25" t="s">
        <v>590</v>
      </c>
      <c r="C10055" s="25" t="s">
        <v>591</v>
      </c>
      <c r="D10055" s="25">
        <v>8.0</v>
      </c>
      <c r="E10055" s="67">
        <f t="shared" si="50"/>
        <v>2000</v>
      </c>
      <c r="F10055" s="67"/>
    </row>
    <row r="10056" hidden="1">
      <c r="A10056" s="6" t="s">
        <v>110</v>
      </c>
      <c r="B10056" s="25" t="s">
        <v>592</v>
      </c>
      <c r="C10056" s="25" t="s">
        <v>593</v>
      </c>
      <c r="D10056" s="25">
        <v>2.0</v>
      </c>
      <c r="E10056" s="67">
        <f t="shared" si="50"/>
        <v>500</v>
      </c>
      <c r="F10056" s="67"/>
    </row>
    <row r="10057" hidden="1">
      <c r="A10057" s="6" t="s">
        <v>110</v>
      </c>
      <c r="B10057" s="25" t="s">
        <v>596</v>
      </c>
      <c r="C10057" s="25" t="s">
        <v>597</v>
      </c>
      <c r="D10057" s="25">
        <v>2.0</v>
      </c>
      <c r="E10057" s="67">
        <f t="shared" si="50"/>
        <v>500</v>
      </c>
      <c r="F10057" s="67"/>
    </row>
    <row r="10058" hidden="1">
      <c r="A10058" s="6" t="s">
        <v>110</v>
      </c>
      <c r="B10058" s="25" t="s">
        <v>600</v>
      </c>
      <c r="C10058" s="25" t="s">
        <v>601</v>
      </c>
      <c r="D10058" s="25">
        <v>3.0</v>
      </c>
      <c r="E10058" s="67">
        <f t="shared" si="50"/>
        <v>750</v>
      </c>
      <c r="F10058" s="67"/>
    </row>
    <row r="10059" hidden="1">
      <c r="A10059" s="6" t="s">
        <v>110</v>
      </c>
      <c r="B10059" s="25" t="s">
        <v>602</v>
      </c>
      <c r="C10059" s="25" t="s">
        <v>603</v>
      </c>
      <c r="D10059" s="25">
        <v>2.0</v>
      </c>
      <c r="E10059" s="67">
        <f t="shared" si="50"/>
        <v>500</v>
      </c>
      <c r="F10059" s="67"/>
    </row>
    <row r="10060" hidden="1">
      <c r="A10060" s="6" t="s">
        <v>110</v>
      </c>
      <c r="B10060" s="25" t="s">
        <v>604</v>
      </c>
      <c r="C10060" s="25" t="s">
        <v>605</v>
      </c>
      <c r="D10060" s="25">
        <v>5.0</v>
      </c>
      <c r="E10060" s="67">
        <f t="shared" si="50"/>
        <v>1250</v>
      </c>
      <c r="F10060" s="67"/>
    </row>
    <row r="10061" hidden="1">
      <c r="A10061" s="6" t="s">
        <v>110</v>
      </c>
      <c r="B10061" s="25" t="s">
        <v>606</v>
      </c>
      <c r="C10061" s="25" t="s">
        <v>607</v>
      </c>
      <c r="D10061" s="25">
        <v>3.0</v>
      </c>
      <c r="E10061" s="67">
        <f t="shared" si="50"/>
        <v>750</v>
      </c>
      <c r="F10061" s="67"/>
    </row>
    <row r="10062" hidden="1">
      <c r="A10062" s="6" t="s">
        <v>110</v>
      </c>
      <c r="B10062" s="25" t="s">
        <v>610</v>
      </c>
      <c r="C10062" s="25" t="s">
        <v>611</v>
      </c>
      <c r="D10062" s="25">
        <v>2.0</v>
      </c>
      <c r="E10062" s="67">
        <f t="shared" si="50"/>
        <v>500</v>
      </c>
      <c r="F10062" s="67"/>
    </row>
    <row r="10063" hidden="1">
      <c r="A10063" s="6" t="s">
        <v>110</v>
      </c>
      <c r="B10063" s="25" t="s">
        <v>612</v>
      </c>
      <c r="C10063" s="25" t="s">
        <v>613</v>
      </c>
      <c r="D10063" s="25">
        <v>3.0</v>
      </c>
      <c r="E10063" s="67">
        <f t="shared" si="50"/>
        <v>750</v>
      </c>
      <c r="F10063" s="67"/>
    </row>
    <row r="10064" hidden="1">
      <c r="A10064" s="6" t="s">
        <v>110</v>
      </c>
      <c r="B10064" s="25" t="s">
        <v>3303</v>
      </c>
      <c r="C10064" s="25" t="s">
        <v>1368</v>
      </c>
      <c r="D10064" s="25">
        <v>1.0</v>
      </c>
      <c r="E10064" s="67">
        <f t="shared" si="50"/>
        <v>250</v>
      </c>
      <c r="F10064" s="67"/>
    </row>
    <row r="10065" hidden="1">
      <c r="A10065" s="6" t="s">
        <v>110</v>
      </c>
      <c r="B10065" s="25" t="s">
        <v>3353</v>
      </c>
      <c r="C10065" s="25" t="s">
        <v>3260</v>
      </c>
      <c r="D10065" s="25">
        <v>0.0</v>
      </c>
      <c r="E10065" s="67">
        <f t="shared" si="50"/>
        <v>0</v>
      </c>
      <c r="F10065" s="67"/>
    </row>
    <row r="10066" hidden="1">
      <c r="A10066" s="6" t="s">
        <v>110</v>
      </c>
      <c r="B10066" s="25" t="s">
        <v>618</v>
      </c>
      <c r="C10066" s="25" t="s">
        <v>619</v>
      </c>
      <c r="D10066" s="25">
        <v>7.0</v>
      </c>
      <c r="E10066" s="67">
        <f t="shared" si="50"/>
        <v>1750</v>
      </c>
      <c r="F10066" s="67"/>
    </row>
    <row r="10067" hidden="1">
      <c r="A10067" s="6" t="s">
        <v>110</v>
      </c>
      <c r="B10067" s="25" t="s">
        <v>3304</v>
      </c>
      <c r="C10067" s="25" t="s">
        <v>3305</v>
      </c>
      <c r="D10067" s="25">
        <v>4.0</v>
      </c>
      <c r="E10067" s="67">
        <f t="shared" si="50"/>
        <v>1000</v>
      </c>
      <c r="F10067" s="67"/>
    </row>
    <row r="10068" hidden="1">
      <c r="A10068" s="6" t="s">
        <v>110</v>
      </c>
      <c r="B10068" s="25" t="s">
        <v>620</v>
      </c>
      <c r="C10068" s="25" t="s">
        <v>621</v>
      </c>
      <c r="D10068" s="25">
        <v>5.0</v>
      </c>
      <c r="E10068" s="67">
        <f t="shared" si="50"/>
        <v>1250</v>
      </c>
      <c r="F10068" s="67"/>
    </row>
    <row r="10069" hidden="1">
      <c r="A10069" s="6" t="s">
        <v>110</v>
      </c>
      <c r="B10069" s="25" t="s">
        <v>3354</v>
      </c>
      <c r="C10069" s="25" t="s">
        <v>3355</v>
      </c>
      <c r="D10069" s="25">
        <v>0.0</v>
      </c>
      <c r="E10069" s="67">
        <f t="shared" si="50"/>
        <v>0</v>
      </c>
      <c r="F10069" s="67"/>
    </row>
    <row r="10070" hidden="1">
      <c r="A10070" s="6" t="s">
        <v>110</v>
      </c>
      <c r="B10070" s="25" t="s">
        <v>622</v>
      </c>
      <c r="C10070" s="25" t="s">
        <v>623</v>
      </c>
      <c r="D10070" s="25">
        <v>7.0</v>
      </c>
      <c r="E10070" s="67">
        <f t="shared" si="50"/>
        <v>1750</v>
      </c>
      <c r="F10070" s="67"/>
    </row>
    <row r="10071" hidden="1">
      <c r="A10071" s="6" t="s">
        <v>110</v>
      </c>
      <c r="B10071" s="25" t="s">
        <v>624</v>
      </c>
      <c r="C10071" s="25" t="s">
        <v>625</v>
      </c>
      <c r="D10071" s="25">
        <v>7.0</v>
      </c>
      <c r="E10071" s="67">
        <f t="shared" si="50"/>
        <v>1750</v>
      </c>
      <c r="F10071" s="67"/>
    </row>
    <row r="10072" hidden="1">
      <c r="A10072" s="6" t="s">
        <v>110</v>
      </c>
      <c r="B10072" s="25" t="s">
        <v>626</v>
      </c>
      <c r="C10072" s="25" t="s">
        <v>627</v>
      </c>
      <c r="D10072" s="25">
        <v>2.0</v>
      </c>
      <c r="E10072" s="67">
        <f t="shared" si="50"/>
        <v>500</v>
      </c>
      <c r="F10072" s="67"/>
    </row>
    <row r="10073" hidden="1">
      <c r="A10073" s="6" t="s">
        <v>110</v>
      </c>
      <c r="B10073" s="25" t="s">
        <v>628</v>
      </c>
      <c r="C10073" s="25" t="s">
        <v>629</v>
      </c>
      <c r="D10073" s="25">
        <v>4.0</v>
      </c>
      <c r="E10073" s="67">
        <f t="shared" si="50"/>
        <v>1000</v>
      </c>
      <c r="F10073" s="67"/>
    </row>
    <row r="10074" hidden="1">
      <c r="A10074" s="6" t="s">
        <v>110</v>
      </c>
      <c r="B10074" s="25" t="s">
        <v>630</v>
      </c>
      <c r="C10074" s="25" t="s">
        <v>631</v>
      </c>
      <c r="D10074" s="25">
        <v>1.0</v>
      </c>
      <c r="E10074" s="67">
        <f t="shared" si="50"/>
        <v>250</v>
      </c>
      <c r="F10074" s="67"/>
    </row>
    <row r="10075" hidden="1">
      <c r="A10075" s="6" t="s">
        <v>110</v>
      </c>
      <c r="B10075" s="25" t="s">
        <v>632</v>
      </c>
      <c r="C10075" s="25" t="s">
        <v>633</v>
      </c>
      <c r="D10075" s="25">
        <v>4.0</v>
      </c>
      <c r="E10075" s="67">
        <f t="shared" si="50"/>
        <v>1000</v>
      </c>
      <c r="F10075" s="67"/>
    </row>
    <row r="10076" hidden="1">
      <c r="A10076" s="6" t="s">
        <v>110</v>
      </c>
      <c r="B10076" s="25" t="s">
        <v>636</v>
      </c>
      <c r="C10076" s="25" t="s">
        <v>637</v>
      </c>
      <c r="D10076" s="25">
        <v>4.0</v>
      </c>
      <c r="E10076" s="67">
        <f t="shared" si="50"/>
        <v>1000</v>
      </c>
      <c r="F10076" s="67"/>
    </row>
    <row r="10077" hidden="1">
      <c r="A10077" s="6" t="s">
        <v>110</v>
      </c>
      <c r="B10077" s="25" t="s">
        <v>638</v>
      </c>
      <c r="C10077" s="25" t="s">
        <v>639</v>
      </c>
      <c r="D10077" s="25">
        <v>2.0</v>
      </c>
      <c r="E10077" s="67">
        <f t="shared" si="50"/>
        <v>500</v>
      </c>
      <c r="F10077" s="67"/>
    </row>
    <row r="10078" hidden="1">
      <c r="A10078" s="6" t="s">
        <v>110</v>
      </c>
      <c r="B10078" s="25" t="s">
        <v>640</v>
      </c>
      <c r="C10078" s="25" t="s">
        <v>641</v>
      </c>
      <c r="D10078" s="25">
        <v>16.0</v>
      </c>
      <c r="E10078" s="67">
        <f t="shared" si="50"/>
        <v>8000</v>
      </c>
      <c r="F10078" s="67"/>
    </row>
    <row r="10079" hidden="1">
      <c r="A10079" s="6" t="s">
        <v>110</v>
      </c>
      <c r="B10079" s="25" t="s">
        <v>3306</v>
      </c>
      <c r="C10079" s="25" t="s">
        <v>3307</v>
      </c>
      <c r="D10079" s="25">
        <v>4.0</v>
      </c>
      <c r="E10079" s="67">
        <f t="shared" si="50"/>
        <v>1000</v>
      </c>
      <c r="F10079" s="67"/>
    </row>
    <row r="10080" hidden="1">
      <c r="A10080" s="6" t="s">
        <v>110</v>
      </c>
      <c r="B10080" s="25" t="s">
        <v>3308</v>
      </c>
      <c r="C10080" s="25" t="s">
        <v>1374</v>
      </c>
      <c r="D10080" s="25">
        <v>3.0</v>
      </c>
      <c r="E10080" s="67">
        <f t="shared" si="50"/>
        <v>750</v>
      </c>
      <c r="F10080" s="67"/>
    </row>
    <row r="10081" hidden="1">
      <c r="A10081" s="6" t="s">
        <v>110</v>
      </c>
      <c r="B10081" s="25" t="s">
        <v>311</v>
      </c>
      <c r="C10081" s="25" t="s">
        <v>312</v>
      </c>
      <c r="D10081" s="25">
        <v>4.0</v>
      </c>
      <c r="E10081" s="67">
        <f t="shared" si="50"/>
        <v>1000</v>
      </c>
      <c r="F10081" s="67"/>
    </row>
    <row r="10082" hidden="1">
      <c r="A10082" s="6" t="s">
        <v>110</v>
      </c>
      <c r="B10082" s="25" t="s">
        <v>642</v>
      </c>
      <c r="C10082" s="25" t="s">
        <v>643</v>
      </c>
      <c r="D10082" s="25">
        <v>0.0</v>
      </c>
      <c r="E10082" s="67">
        <f t="shared" si="50"/>
        <v>0</v>
      </c>
      <c r="F10082" s="67"/>
    </row>
    <row r="10083" hidden="1">
      <c r="A10083" s="6" t="s">
        <v>110</v>
      </c>
      <c r="B10083" s="25" t="s">
        <v>644</v>
      </c>
      <c r="C10083" s="25" t="s">
        <v>645</v>
      </c>
      <c r="D10083" s="25">
        <v>18.0</v>
      </c>
      <c r="E10083" s="67">
        <f t="shared" si="50"/>
        <v>9000</v>
      </c>
      <c r="F10083" s="67"/>
    </row>
    <row r="10084" hidden="1">
      <c r="A10084" s="6" t="s">
        <v>110</v>
      </c>
      <c r="B10084" s="25" t="s">
        <v>646</v>
      </c>
      <c r="C10084" s="25" t="s">
        <v>647</v>
      </c>
      <c r="D10084" s="25">
        <v>3.0</v>
      </c>
      <c r="E10084" s="67">
        <f t="shared" si="50"/>
        <v>750</v>
      </c>
      <c r="F10084" s="67"/>
    </row>
    <row r="10085" hidden="1">
      <c r="A10085" s="6" t="s">
        <v>110</v>
      </c>
      <c r="B10085" s="25" t="s">
        <v>648</v>
      </c>
      <c r="C10085" s="25" t="s">
        <v>649</v>
      </c>
      <c r="D10085" s="25">
        <v>3.0</v>
      </c>
      <c r="E10085" s="67">
        <f t="shared" si="50"/>
        <v>750</v>
      </c>
      <c r="F10085" s="67"/>
    </row>
    <row r="10086" hidden="1">
      <c r="A10086" s="6" t="s">
        <v>110</v>
      </c>
      <c r="B10086" s="25" t="s">
        <v>650</v>
      </c>
      <c r="C10086" s="25" t="s">
        <v>651</v>
      </c>
      <c r="D10086" s="25">
        <v>1.0</v>
      </c>
      <c r="E10086" s="67">
        <f t="shared" si="50"/>
        <v>250</v>
      </c>
      <c r="F10086" s="67"/>
    </row>
    <row r="10087" hidden="1">
      <c r="A10087" s="6" t="s">
        <v>110</v>
      </c>
      <c r="B10087" s="25" t="s">
        <v>3309</v>
      </c>
      <c r="C10087" s="25" t="s">
        <v>3310</v>
      </c>
      <c r="D10087" s="25">
        <v>1.0</v>
      </c>
      <c r="E10087" s="67">
        <f t="shared" si="50"/>
        <v>250</v>
      </c>
      <c r="F10087" s="67"/>
    </row>
    <row r="10088" hidden="1">
      <c r="A10088" s="6" t="s">
        <v>110</v>
      </c>
      <c r="B10088" s="25" t="s">
        <v>652</v>
      </c>
      <c r="C10088" s="25" t="s">
        <v>653</v>
      </c>
      <c r="D10088" s="25">
        <v>3.0</v>
      </c>
      <c r="E10088" s="67">
        <f t="shared" si="50"/>
        <v>750</v>
      </c>
      <c r="F10088" s="67"/>
    </row>
    <row r="10089" hidden="1">
      <c r="A10089" s="6" t="s">
        <v>110</v>
      </c>
      <c r="B10089" s="25" t="s">
        <v>654</v>
      </c>
      <c r="C10089" s="25" t="s">
        <v>655</v>
      </c>
      <c r="D10089" s="25">
        <v>2.0</v>
      </c>
      <c r="E10089" s="67">
        <f t="shared" si="50"/>
        <v>500</v>
      </c>
      <c r="F10089" s="67"/>
    </row>
    <row r="10090" hidden="1">
      <c r="A10090" s="6" t="s">
        <v>110</v>
      </c>
      <c r="B10090" s="25" t="s">
        <v>3312</v>
      </c>
      <c r="C10090" s="25" t="s">
        <v>1381</v>
      </c>
      <c r="D10090" s="25">
        <v>4.0</v>
      </c>
      <c r="E10090" s="67">
        <f t="shared" si="50"/>
        <v>1000</v>
      </c>
      <c r="F10090" s="67"/>
    </row>
    <row r="10091" hidden="1">
      <c r="A10091" s="6" t="s">
        <v>110</v>
      </c>
      <c r="B10091" s="25" t="s">
        <v>3315</v>
      </c>
      <c r="C10091" s="25" t="s">
        <v>1386</v>
      </c>
      <c r="D10091" s="25">
        <v>1.0</v>
      </c>
      <c r="E10091" s="67">
        <f t="shared" si="50"/>
        <v>250</v>
      </c>
      <c r="F10091" s="67"/>
    </row>
    <row r="10092" hidden="1">
      <c r="A10092" s="6" t="s">
        <v>110</v>
      </c>
      <c r="B10092" s="25" t="s">
        <v>656</v>
      </c>
      <c r="C10092" s="25" t="s">
        <v>657</v>
      </c>
      <c r="D10092" s="25">
        <v>3.0</v>
      </c>
      <c r="E10092" s="67">
        <f t="shared" si="50"/>
        <v>750</v>
      </c>
      <c r="F10092" s="67"/>
    </row>
    <row r="10093" hidden="1">
      <c r="A10093" s="6" t="s">
        <v>110</v>
      </c>
      <c r="B10093" s="25" t="s">
        <v>658</v>
      </c>
      <c r="C10093" s="25" t="s">
        <v>659</v>
      </c>
      <c r="D10093" s="25">
        <v>0.0</v>
      </c>
      <c r="E10093" s="67">
        <f t="shared" si="50"/>
        <v>0</v>
      </c>
      <c r="F10093" s="67"/>
    </row>
    <row r="10094" hidden="1">
      <c r="A10094" s="6" t="s">
        <v>110</v>
      </c>
      <c r="B10094" s="25" t="s">
        <v>660</v>
      </c>
      <c r="C10094" s="25" t="s">
        <v>661</v>
      </c>
      <c r="D10094" s="25">
        <v>5.0</v>
      </c>
      <c r="E10094" s="67">
        <f t="shared" si="50"/>
        <v>1250</v>
      </c>
      <c r="F10094" s="67"/>
    </row>
    <row r="10095" hidden="1">
      <c r="A10095" s="6" t="s">
        <v>110</v>
      </c>
      <c r="B10095" s="25" t="s">
        <v>662</v>
      </c>
      <c r="C10095" s="25" t="s">
        <v>663</v>
      </c>
      <c r="D10095" s="25">
        <v>0.0</v>
      </c>
      <c r="E10095" s="67">
        <f t="shared" si="50"/>
        <v>0</v>
      </c>
      <c r="F10095" s="67"/>
    </row>
    <row r="10096" hidden="1">
      <c r="A10096" s="6" t="s">
        <v>110</v>
      </c>
      <c r="B10096" s="25" t="s">
        <v>664</v>
      </c>
      <c r="C10096" s="25" t="s">
        <v>665</v>
      </c>
      <c r="D10096" s="25">
        <v>1.0</v>
      </c>
      <c r="E10096" s="67">
        <f t="shared" si="50"/>
        <v>250</v>
      </c>
      <c r="F10096" s="67"/>
    </row>
    <row r="10097" hidden="1">
      <c r="A10097" s="6" t="s">
        <v>110</v>
      </c>
      <c r="B10097" s="25" t="s">
        <v>668</v>
      </c>
      <c r="C10097" s="25" t="s">
        <v>669</v>
      </c>
      <c r="D10097" s="25">
        <v>2.0</v>
      </c>
      <c r="E10097" s="67">
        <f t="shared" si="50"/>
        <v>500</v>
      </c>
      <c r="F10097" s="67"/>
    </row>
    <row r="10098" hidden="1">
      <c r="A10098" s="6" t="s">
        <v>110</v>
      </c>
      <c r="B10098" s="25" t="s">
        <v>3356</v>
      </c>
      <c r="C10098" s="25" t="s">
        <v>3357</v>
      </c>
      <c r="D10098" s="25">
        <v>1.0</v>
      </c>
      <c r="E10098" s="67">
        <f t="shared" si="50"/>
        <v>250</v>
      </c>
      <c r="F10098" s="67"/>
    </row>
    <row r="10099" hidden="1">
      <c r="A10099" s="6" t="s">
        <v>110</v>
      </c>
      <c r="B10099" s="25" t="s">
        <v>672</v>
      </c>
      <c r="C10099" s="25" t="s">
        <v>673</v>
      </c>
      <c r="D10099" s="25">
        <v>5.0</v>
      </c>
      <c r="E10099" s="67">
        <f t="shared" si="50"/>
        <v>1250</v>
      </c>
      <c r="F10099" s="67"/>
    </row>
    <row r="10100" hidden="1">
      <c r="A10100" s="6" t="s">
        <v>110</v>
      </c>
      <c r="B10100" s="25" t="s">
        <v>674</v>
      </c>
      <c r="C10100" s="25" t="s">
        <v>675</v>
      </c>
      <c r="D10100" s="25">
        <v>3.0</v>
      </c>
      <c r="E10100" s="67">
        <f t="shared" si="50"/>
        <v>750</v>
      </c>
      <c r="F10100" s="67"/>
    </row>
    <row r="10101" hidden="1">
      <c r="A10101" s="6" t="s">
        <v>110</v>
      </c>
      <c r="B10101" s="25" t="s">
        <v>676</v>
      </c>
      <c r="C10101" s="25" t="s">
        <v>677</v>
      </c>
      <c r="D10101" s="25">
        <v>10.0</v>
      </c>
      <c r="E10101" s="67">
        <f t="shared" si="50"/>
        <v>5000</v>
      </c>
      <c r="F10101" s="67"/>
    </row>
    <row r="10102" hidden="1">
      <c r="A10102" s="6" t="s">
        <v>110</v>
      </c>
      <c r="B10102" s="25" t="s">
        <v>678</v>
      </c>
      <c r="C10102" s="25" t="s">
        <v>679</v>
      </c>
      <c r="D10102" s="25">
        <v>5.0</v>
      </c>
      <c r="E10102" s="67">
        <f t="shared" si="50"/>
        <v>1250</v>
      </c>
      <c r="F10102" s="67"/>
    </row>
    <row r="10103" hidden="1">
      <c r="A10103" s="6" t="s">
        <v>110</v>
      </c>
      <c r="B10103" s="25" t="s">
        <v>680</v>
      </c>
      <c r="C10103" s="25" t="s">
        <v>681</v>
      </c>
      <c r="D10103" s="25">
        <v>4.0</v>
      </c>
      <c r="E10103" s="67">
        <f t="shared" si="50"/>
        <v>1000</v>
      </c>
      <c r="F10103" s="67"/>
    </row>
    <row r="10104" hidden="1">
      <c r="A10104" s="6" t="s">
        <v>110</v>
      </c>
      <c r="B10104" s="25" t="s">
        <v>3325</v>
      </c>
      <c r="C10104" s="25" t="s">
        <v>3326</v>
      </c>
      <c r="D10104" s="25">
        <v>1.0</v>
      </c>
      <c r="E10104" s="67">
        <f t="shared" si="50"/>
        <v>250</v>
      </c>
      <c r="F10104" s="67"/>
    </row>
    <row r="10105" hidden="1">
      <c r="A10105" s="6" t="s">
        <v>110</v>
      </c>
      <c r="B10105" s="25" t="s">
        <v>682</v>
      </c>
      <c r="C10105" s="25" t="s">
        <v>683</v>
      </c>
      <c r="D10105" s="25">
        <v>13.0</v>
      </c>
      <c r="E10105" s="67">
        <f t="shared" si="50"/>
        <v>6500</v>
      </c>
      <c r="F10105" s="67"/>
    </row>
    <row r="10106" hidden="1">
      <c r="A10106" s="6" t="s">
        <v>110</v>
      </c>
      <c r="B10106" s="25" t="s">
        <v>684</v>
      </c>
      <c r="C10106" s="25" t="s">
        <v>685</v>
      </c>
      <c r="D10106" s="25">
        <v>5.0</v>
      </c>
      <c r="E10106" s="67">
        <f t="shared" si="50"/>
        <v>1250</v>
      </c>
      <c r="F10106" s="67"/>
    </row>
    <row r="10107" hidden="1">
      <c r="A10107" s="6" t="s">
        <v>110</v>
      </c>
      <c r="B10107" s="25" t="s">
        <v>688</v>
      </c>
      <c r="C10107" s="25" t="s">
        <v>689</v>
      </c>
      <c r="D10107" s="25">
        <v>2.0</v>
      </c>
      <c r="E10107" s="67">
        <f t="shared" si="50"/>
        <v>500</v>
      </c>
      <c r="F10107" s="67"/>
    </row>
    <row r="10108" hidden="1">
      <c r="A10108" s="6" t="s">
        <v>110</v>
      </c>
      <c r="B10108" s="25" t="s">
        <v>3328</v>
      </c>
      <c r="C10108" s="25" t="s">
        <v>1416</v>
      </c>
      <c r="D10108" s="25">
        <v>3.0</v>
      </c>
      <c r="E10108" s="67">
        <f t="shared" si="50"/>
        <v>750</v>
      </c>
      <c r="F10108" s="67"/>
    </row>
    <row r="10109" hidden="1">
      <c r="A10109" s="6" t="s">
        <v>110</v>
      </c>
      <c r="B10109" s="25" t="s">
        <v>690</v>
      </c>
      <c r="C10109" s="25" t="s">
        <v>691</v>
      </c>
      <c r="D10109" s="25">
        <v>1.0</v>
      </c>
      <c r="E10109" s="67">
        <f t="shared" si="50"/>
        <v>250</v>
      </c>
      <c r="F10109" s="67"/>
    </row>
    <row r="10110" hidden="1">
      <c r="A10110" s="6" t="s">
        <v>110</v>
      </c>
      <c r="B10110" s="25" t="s">
        <v>307</v>
      </c>
      <c r="C10110" s="25" t="s">
        <v>692</v>
      </c>
      <c r="D10110" s="25">
        <v>1.0</v>
      </c>
      <c r="E10110" s="67">
        <f t="shared" si="50"/>
        <v>250</v>
      </c>
      <c r="F10110" s="67"/>
    </row>
    <row r="10111" hidden="1">
      <c r="A10111" s="6" t="s">
        <v>110</v>
      </c>
      <c r="B10111" s="25" t="s">
        <v>693</v>
      </c>
      <c r="C10111" s="25" t="s">
        <v>694</v>
      </c>
      <c r="D10111" s="25">
        <v>7.0</v>
      </c>
      <c r="E10111" s="67">
        <f t="shared" si="50"/>
        <v>1750</v>
      </c>
      <c r="F10111" s="67"/>
    </row>
    <row r="10112" hidden="1">
      <c r="A10112" s="6" t="s">
        <v>110</v>
      </c>
      <c r="B10112" s="25" t="s">
        <v>697</v>
      </c>
      <c r="C10112" s="25" t="s">
        <v>698</v>
      </c>
      <c r="D10112" s="25">
        <v>1.0</v>
      </c>
      <c r="E10112" s="67">
        <f t="shared" si="50"/>
        <v>250</v>
      </c>
      <c r="F10112" s="67"/>
    </row>
    <row r="10113" hidden="1">
      <c r="A10113" s="6" t="s">
        <v>110</v>
      </c>
      <c r="B10113" s="25" t="s">
        <v>699</v>
      </c>
      <c r="C10113" s="25" t="s">
        <v>700</v>
      </c>
      <c r="D10113" s="25">
        <v>8.0</v>
      </c>
      <c r="E10113" s="67">
        <f t="shared" si="50"/>
        <v>2000</v>
      </c>
      <c r="F10113" s="67"/>
    </row>
    <row r="10114" hidden="1">
      <c r="A10114" s="6" t="s">
        <v>110</v>
      </c>
      <c r="B10114" s="25" t="s">
        <v>701</v>
      </c>
      <c r="C10114" s="25" t="s">
        <v>702</v>
      </c>
      <c r="D10114" s="25">
        <v>5.0</v>
      </c>
      <c r="E10114" s="67">
        <f t="shared" si="50"/>
        <v>1250</v>
      </c>
      <c r="F10114" s="67"/>
    </row>
    <row r="10115" hidden="1">
      <c r="A10115" s="6" t="s">
        <v>110</v>
      </c>
      <c r="B10115" s="25" t="s">
        <v>703</v>
      </c>
      <c r="C10115" s="25" t="s">
        <v>704</v>
      </c>
      <c r="D10115" s="25">
        <v>4.0</v>
      </c>
      <c r="E10115" s="67">
        <f t="shared" si="50"/>
        <v>1000</v>
      </c>
      <c r="F10115" s="67"/>
    </row>
    <row r="10116" hidden="1">
      <c r="A10116" s="6" t="s">
        <v>110</v>
      </c>
      <c r="B10116" s="25" t="s">
        <v>707</v>
      </c>
      <c r="C10116" s="25" t="s">
        <v>708</v>
      </c>
      <c r="D10116" s="25">
        <v>1.0</v>
      </c>
      <c r="E10116" s="67">
        <f t="shared" si="50"/>
        <v>250</v>
      </c>
      <c r="F10116" s="67"/>
    </row>
    <row r="10117" hidden="1">
      <c r="A10117" s="6" t="s">
        <v>110</v>
      </c>
      <c r="B10117" s="25" t="s">
        <v>709</v>
      </c>
      <c r="C10117" s="25" t="s">
        <v>710</v>
      </c>
      <c r="D10117" s="25">
        <v>1.0</v>
      </c>
      <c r="E10117" s="67">
        <f t="shared" si="50"/>
        <v>250</v>
      </c>
      <c r="F10117" s="67"/>
    </row>
    <row r="10118" hidden="1">
      <c r="A10118" s="6" t="s">
        <v>110</v>
      </c>
      <c r="B10118" s="25" t="s">
        <v>711</v>
      </c>
      <c r="C10118" s="25" t="s">
        <v>712</v>
      </c>
      <c r="D10118" s="25">
        <v>5.0</v>
      </c>
      <c r="E10118" s="67">
        <f t="shared" si="50"/>
        <v>1250</v>
      </c>
      <c r="F10118" s="67"/>
    </row>
    <row r="10119" hidden="1">
      <c r="A10119" s="6" t="s">
        <v>110</v>
      </c>
      <c r="B10119" s="25" t="s">
        <v>715</v>
      </c>
      <c r="C10119" s="25" t="s">
        <v>716</v>
      </c>
      <c r="D10119" s="25">
        <v>1.0</v>
      </c>
      <c r="E10119" s="67">
        <f t="shared" si="50"/>
        <v>250</v>
      </c>
      <c r="F10119" s="67"/>
    </row>
    <row r="10120" hidden="1">
      <c r="A10120" s="6" t="s">
        <v>110</v>
      </c>
      <c r="B10120" s="25" t="s">
        <v>719</v>
      </c>
      <c r="C10120" s="25" t="s">
        <v>720</v>
      </c>
      <c r="D10120" s="25">
        <v>4.0</v>
      </c>
      <c r="E10120" s="67">
        <f t="shared" si="50"/>
        <v>1000</v>
      </c>
      <c r="F10120" s="67"/>
    </row>
    <row r="10121" hidden="1">
      <c r="A10121" s="6" t="s">
        <v>110</v>
      </c>
      <c r="B10121" s="25" t="s">
        <v>721</v>
      </c>
      <c r="C10121" s="25" t="s">
        <v>722</v>
      </c>
      <c r="D10121" s="25">
        <v>3.0</v>
      </c>
      <c r="E10121" s="67">
        <f t="shared" si="50"/>
        <v>750</v>
      </c>
      <c r="F10121" s="67"/>
    </row>
    <row r="10122" hidden="1">
      <c r="A10122" s="6" t="s">
        <v>110</v>
      </c>
      <c r="B10122" s="25" t="s">
        <v>723</v>
      </c>
      <c r="C10122" s="25" t="s">
        <v>724</v>
      </c>
      <c r="D10122" s="25">
        <v>20.0</v>
      </c>
      <c r="E10122" s="67">
        <f t="shared" si="50"/>
        <v>10000</v>
      </c>
      <c r="F10122" s="67"/>
    </row>
    <row r="10123" hidden="1">
      <c r="A10123" s="6" t="s">
        <v>110</v>
      </c>
      <c r="B10123" s="25" t="s">
        <v>725</v>
      </c>
      <c r="C10123" s="25" t="s">
        <v>726</v>
      </c>
      <c r="D10123" s="25">
        <v>5.0</v>
      </c>
      <c r="E10123" s="67">
        <f t="shared" si="50"/>
        <v>1250</v>
      </c>
      <c r="F10123" s="67"/>
    </row>
    <row r="10124" hidden="1">
      <c r="A10124" s="6" t="s">
        <v>110</v>
      </c>
      <c r="B10124" s="25" t="s">
        <v>3332</v>
      </c>
      <c r="C10124" s="25" t="s">
        <v>1427</v>
      </c>
      <c r="D10124" s="25">
        <v>7.0</v>
      </c>
      <c r="E10124" s="67">
        <f t="shared" si="50"/>
        <v>1750</v>
      </c>
      <c r="F10124" s="67"/>
    </row>
    <row r="10125" hidden="1">
      <c r="A10125" s="6" t="s">
        <v>110</v>
      </c>
      <c r="B10125" s="25" t="s">
        <v>727</v>
      </c>
      <c r="C10125" s="25" t="s">
        <v>728</v>
      </c>
      <c r="D10125" s="25">
        <v>1.0</v>
      </c>
      <c r="E10125" s="67">
        <f t="shared" si="50"/>
        <v>250</v>
      </c>
      <c r="F10125" s="67"/>
    </row>
    <row r="10126" hidden="1">
      <c r="A10126" s="6" t="s">
        <v>110</v>
      </c>
      <c r="B10126" s="25" t="s">
        <v>3333</v>
      </c>
      <c r="C10126" s="25" t="s">
        <v>2009</v>
      </c>
      <c r="D10126" s="25">
        <v>3.0</v>
      </c>
      <c r="E10126" s="67">
        <f t="shared" si="50"/>
        <v>750</v>
      </c>
      <c r="F10126" s="67"/>
    </row>
    <row r="10127" hidden="1">
      <c r="A10127" s="6" t="s">
        <v>110</v>
      </c>
      <c r="B10127" s="25" t="s">
        <v>729</v>
      </c>
      <c r="C10127" s="25" t="s">
        <v>730</v>
      </c>
      <c r="D10127" s="25">
        <v>2.0</v>
      </c>
      <c r="E10127" s="67">
        <f t="shared" si="50"/>
        <v>500</v>
      </c>
      <c r="F10127" s="67"/>
    </row>
    <row r="10128" hidden="1">
      <c r="A10128" s="6" t="s">
        <v>110</v>
      </c>
      <c r="B10128" s="25" t="s">
        <v>731</v>
      </c>
      <c r="C10128" s="25" t="s">
        <v>732</v>
      </c>
      <c r="D10128" s="25">
        <v>0.0</v>
      </c>
      <c r="E10128" s="67">
        <f t="shared" si="50"/>
        <v>0</v>
      </c>
      <c r="F10128" s="67"/>
    </row>
    <row r="10129" hidden="1">
      <c r="A10129" s="6" t="s">
        <v>110</v>
      </c>
      <c r="B10129" s="25" t="s">
        <v>3358</v>
      </c>
      <c r="C10129" s="25" t="s">
        <v>3359</v>
      </c>
      <c r="D10129" s="25">
        <v>3.0</v>
      </c>
      <c r="E10129" s="67">
        <f t="shared" si="50"/>
        <v>750</v>
      </c>
      <c r="F10129" s="67"/>
    </row>
    <row r="10130" hidden="1">
      <c r="A10130" s="6" t="s">
        <v>110</v>
      </c>
      <c r="B10130" s="25" t="s">
        <v>3336</v>
      </c>
      <c r="C10130" s="25" t="s">
        <v>1433</v>
      </c>
      <c r="D10130" s="25">
        <v>2.0</v>
      </c>
      <c r="E10130" s="67">
        <f t="shared" si="50"/>
        <v>500</v>
      </c>
      <c r="F10130" s="67"/>
    </row>
    <row r="10131" hidden="1">
      <c r="A10131" s="6" t="s">
        <v>110</v>
      </c>
      <c r="B10131" s="25" t="s">
        <v>302</v>
      </c>
      <c r="C10131" s="25" t="s">
        <v>733</v>
      </c>
      <c r="D10131" s="25">
        <v>0.0</v>
      </c>
      <c r="E10131" s="67">
        <f t="shared" si="50"/>
        <v>0</v>
      </c>
      <c r="F10131" s="67"/>
    </row>
    <row r="10132" hidden="1">
      <c r="A10132" s="6" t="s">
        <v>110</v>
      </c>
      <c r="B10132" s="25" t="s">
        <v>734</v>
      </c>
      <c r="C10132" s="25" t="s">
        <v>735</v>
      </c>
      <c r="D10132" s="25">
        <v>3.0</v>
      </c>
      <c r="E10132" s="67">
        <f t="shared" si="50"/>
        <v>750</v>
      </c>
      <c r="F10132" s="67"/>
    </row>
    <row r="10133" hidden="1">
      <c r="A10133" s="6" t="s">
        <v>110</v>
      </c>
      <c r="B10133" s="25" t="s">
        <v>736</v>
      </c>
      <c r="C10133" s="25" t="s">
        <v>737</v>
      </c>
      <c r="D10133" s="25">
        <v>8.0</v>
      </c>
      <c r="E10133" s="67">
        <f t="shared" si="50"/>
        <v>2000</v>
      </c>
      <c r="F10133" s="67"/>
    </row>
    <row r="10134" hidden="1">
      <c r="A10134" s="6" t="s">
        <v>110</v>
      </c>
      <c r="B10134" s="25" t="s">
        <v>738</v>
      </c>
      <c r="C10134" s="25" t="s">
        <v>739</v>
      </c>
      <c r="D10134" s="25">
        <v>3.0</v>
      </c>
      <c r="E10134" s="67">
        <f t="shared" si="50"/>
        <v>750</v>
      </c>
      <c r="F10134" s="67"/>
    </row>
    <row r="10135" hidden="1">
      <c r="A10135" s="6" t="s">
        <v>110</v>
      </c>
      <c r="B10135" s="25" t="s">
        <v>740</v>
      </c>
      <c r="C10135" s="25" t="s">
        <v>741</v>
      </c>
      <c r="D10135" s="25">
        <v>7.0</v>
      </c>
      <c r="E10135" s="67">
        <f t="shared" si="50"/>
        <v>1750</v>
      </c>
      <c r="F10135" s="67"/>
    </row>
    <row r="10136" hidden="1">
      <c r="A10136" s="6" t="s">
        <v>110</v>
      </c>
      <c r="B10136" s="25" t="s">
        <v>744</v>
      </c>
      <c r="C10136" s="25" t="s">
        <v>745</v>
      </c>
      <c r="D10136" s="25">
        <v>4.0</v>
      </c>
      <c r="E10136" s="67">
        <f t="shared" si="50"/>
        <v>1000</v>
      </c>
      <c r="F10136" s="67"/>
    </row>
    <row r="10137" hidden="1">
      <c r="A10137" s="6" t="s">
        <v>110</v>
      </c>
      <c r="B10137" s="25" t="s">
        <v>746</v>
      </c>
      <c r="C10137" s="25" t="s">
        <v>747</v>
      </c>
      <c r="D10137" s="25">
        <v>14.0</v>
      </c>
      <c r="E10137" s="67">
        <f t="shared" si="50"/>
        <v>7000</v>
      </c>
      <c r="F10137" s="67"/>
    </row>
    <row r="10138" hidden="1">
      <c r="A10138" s="6" t="s">
        <v>110</v>
      </c>
      <c r="B10138" s="25" t="s">
        <v>748</v>
      </c>
      <c r="C10138" s="25" t="s">
        <v>749</v>
      </c>
      <c r="D10138" s="25">
        <v>8.0</v>
      </c>
      <c r="E10138" s="67">
        <f t="shared" si="50"/>
        <v>2000</v>
      </c>
      <c r="F10138" s="67"/>
    </row>
    <row r="10139" hidden="1">
      <c r="A10139" s="6" t="s">
        <v>110</v>
      </c>
      <c r="B10139" s="25" t="s">
        <v>752</v>
      </c>
      <c r="C10139" s="25" t="s">
        <v>753</v>
      </c>
      <c r="D10139" s="25">
        <v>4.0</v>
      </c>
      <c r="E10139" s="67">
        <f t="shared" si="50"/>
        <v>1000</v>
      </c>
      <c r="F10139" s="67"/>
    </row>
    <row r="10140" hidden="1">
      <c r="A10140" s="6" t="s">
        <v>110</v>
      </c>
      <c r="B10140" s="25" t="s">
        <v>754</v>
      </c>
      <c r="C10140" s="25" t="s">
        <v>755</v>
      </c>
      <c r="D10140" s="25">
        <v>1.0</v>
      </c>
      <c r="E10140" s="67">
        <f t="shared" si="50"/>
        <v>250</v>
      </c>
      <c r="F10140" s="67"/>
    </row>
    <row r="10141" hidden="1">
      <c r="A10141" s="6" t="s">
        <v>110</v>
      </c>
      <c r="B10141" s="25" t="s">
        <v>756</v>
      </c>
      <c r="C10141" s="25" t="s">
        <v>757</v>
      </c>
      <c r="D10141" s="25">
        <v>2.0</v>
      </c>
      <c r="E10141" s="67">
        <f t="shared" si="50"/>
        <v>500</v>
      </c>
      <c r="F10141" s="67"/>
    </row>
    <row r="10142" hidden="1">
      <c r="A10142" s="6" t="s">
        <v>110</v>
      </c>
      <c r="B10142" s="25" t="s">
        <v>758</v>
      </c>
      <c r="C10142" s="25" t="s">
        <v>759</v>
      </c>
      <c r="D10142" s="25">
        <v>4.0</v>
      </c>
      <c r="E10142" s="67">
        <f t="shared" si="50"/>
        <v>1000</v>
      </c>
      <c r="F10142" s="67"/>
    </row>
    <row r="10143" hidden="1">
      <c r="A10143" s="6" t="s">
        <v>110</v>
      </c>
      <c r="B10143" s="25" t="s">
        <v>762</v>
      </c>
      <c r="C10143" s="25" t="s">
        <v>763</v>
      </c>
      <c r="D10143" s="25">
        <v>2.0</v>
      </c>
      <c r="E10143" s="67">
        <f t="shared" si="50"/>
        <v>500</v>
      </c>
      <c r="F10143" s="67"/>
    </row>
    <row r="10144" hidden="1">
      <c r="A10144" s="6" t="s">
        <v>110</v>
      </c>
      <c r="B10144" s="25" t="s">
        <v>764</v>
      </c>
      <c r="C10144" s="25" t="s">
        <v>765</v>
      </c>
      <c r="D10144" s="25">
        <v>6.0</v>
      </c>
      <c r="E10144" s="67">
        <f t="shared" si="50"/>
        <v>1500</v>
      </c>
      <c r="F10144" s="67"/>
    </row>
    <row r="10145" hidden="1">
      <c r="A10145" s="6" t="s">
        <v>110</v>
      </c>
      <c r="B10145" s="25" t="s">
        <v>900</v>
      </c>
      <c r="C10145" s="25" t="s">
        <v>901</v>
      </c>
      <c r="D10145" s="25">
        <v>2.0</v>
      </c>
      <c r="E10145" s="67">
        <f t="shared" si="50"/>
        <v>500</v>
      </c>
      <c r="F10145" s="67"/>
    </row>
    <row r="10146" hidden="1">
      <c r="A10146" s="6" t="s">
        <v>110</v>
      </c>
      <c r="B10146" s="25" t="s">
        <v>766</v>
      </c>
      <c r="C10146" s="25" t="s">
        <v>767</v>
      </c>
      <c r="D10146" s="25">
        <v>19.0</v>
      </c>
      <c r="E10146" s="67">
        <f t="shared" si="50"/>
        <v>9500</v>
      </c>
      <c r="F10146" s="67"/>
    </row>
    <row r="10147" hidden="1">
      <c r="A10147" s="6" t="s">
        <v>110</v>
      </c>
      <c r="B10147" s="25" t="s">
        <v>3343</v>
      </c>
      <c r="C10147" s="25" t="s">
        <v>2061</v>
      </c>
      <c r="D10147" s="25">
        <v>4.0</v>
      </c>
      <c r="E10147" s="67">
        <f t="shared" si="50"/>
        <v>1000</v>
      </c>
      <c r="F10147" s="67"/>
    </row>
    <row r="10148" hidden="1">
      <c r="A10148" s="6" t="s">
        <v>85</v>
      </c>
      <c r="B10148" s="25" t="s">
        <v>2677</v>
      </c>
      <c r="C10148" s="25" t="s">
        <v>2678</v>
      </c>
      <c r="D10148" s="25">
        <v>1.0</v>
      </c>
      <c r="E10148" s="67">
        <f t="shared" si="50"/>
        <v>250</v>
      </c>
      <c r="F10148" s="67" t="str">
        <f t="shared" ref="F10148:F10158" si="51">D10148 &amp; " LeadGen Set Appointments"</f>
        <v>1 LeadGen Set Appointments</v>
      </c>
    </row>
    <row r="10149" hidden="1">
      <c r="A10149" s="6" t="s">
        <v>85</v>
      </c>
      <c r="B10149" s="7" t="s">
        <v>2477</v>
      </c>
      <c r="C10149" s="7" t="s">
        <v>2478</v>
      </c>
      <c r="D10149" s="34">
        <v>1.0</v>
      </c>
      <c r="E10149" s="67">
        <f t="shared" si="50"/>
        <v>250</v>
      </c>
      <c r="F10149" s="67" t="str">
        <f t="shared" si="51"/>
        <v>1 LeadGen Set Appointments</v>
      </c>
    </row>
    <row r="10150" hidden="1">
      <c r="A10150" s="6" t="s">
        <v>85</v>
      </c>
      <c r="B10150" s="7" t="s">
        <v>2681</v>
      </c>
      <c r="C10150" s="7" t="s">
        <v>2682</v>
      </c>
      <c r="D10150" s="34">
        <v>1.0</v>
      </c>
      <c r="E10150" s="67">
        <f t="shared" si="50"/>
        <v>250</v>
      </c>
      <c r="F10150" s="67" t="str">
        <f t="shared" si="51"/>
        <v>1 LeadGen Set Appointments</v>
      </c>
    </row>
    <row r="10151" hidden="1">
      <c r="A10151" s="6" t="s">
        <v>85</v>
      </c>
      <c r="B10151" s="7" t="s">
        <v>1351</v>
      </c>
      <c r="C10151" s="7" t="s">
        <v>1352</v>
      </c>
      <c r="D10151" s="34">
        <v>1.0</v>
      </c>
      <c r="E10151" s="67">
        <f t="shared" si="50"/>
        <v>250</v>
      </c>
      <c r="F10151" s="67" t="str">
        <f t="shared" si="51"/>
        <v>1 LeadGen Set Appointments</v>
      </c>
    </row>
    <row r="10152" hidden="1">
      <c r="A10152" s="6" t="s">
        <v>85</v>
      </c>
      <c r="B10152" s="25" t="s">
        <v>2665</v>
      </c>
      <c r="C10152" s="25" t="s">
        <v>2666</v>
      </c>
      <c r="D10152" s="25">
        <v>3.0</v>
      </c>
      <c r="E10152" s="67">
        <f t="shared" si="50"/>
        <v>750</v>
      </c>
      <c r="F10152" s="67" t="str">
        <f t="shared" si="51"/>
        <v>3 LeadGen Set Appointments</v>
      </c>
    </row>
    <row r="10153" hidden="1">
      <c r="A10153" s="6" t="s">
        <v>85</v>
      </c>
      <c r="B10153" s="25" t="s">
        <v>2685</v>
      </c>
      <c r="C10153" s="25" t="s">
        <v>2686</v>
      </c>
      <c r="D10153" s="25">
        <v>2.0</v>
      </c>
      <c r="E10153" s="67">
        <f t="shared" si="50"/>
        <v>500</v>
      </c>
      <c r="F10153" s="67" t="str">
        <f t="shared" si="51"/>
        <v>2 LeadGen Set Appointments</v>
      </c>
    </row>
    <row r="10154" hidden="1">
      <c r="A10154" s="6" t="s">
        <v>85</v>
      </c>
      <c r="B10154" s="25" t="s">
        <v>1748</v>
      </c>
      <c r="C10154" s="25" t="s">
        <v>1749</v>
      </c>
      <c r="D10154" s="25">
        <v>1.0</v>
      </c>
      <c r="E10154" s="67">
        <f t="shared" si="50"/>
        <v>250</v>
      </c>
      <c r="F10154" s="67" t="str">
        <f t="shared" si="51"/>
        <v>1 LeadGen Set Appointments</v>
      </c>
    </row>
    <row r="10155" hidden="1">
      <c r="A10155" s="6" t="s">
        <v>85</v>
      </c>
      <c r="B10155" s="25" t="s">
        <v>1790</v>
      </c>
      <c r="C10155" s="25" t="s">
        <v>1791</v>
      </c>
      <c r="D10155" s="25">
        <v>1.0</v>
      </c>
      <c r="E10155" s="67">
        <f t="shared" si="50"/>
        <v>250</v>
      </c>
      <c r="F10155" s="67" t="str">
        <f t="shared" si="51"/>
        <v>1 LeadGen Set Appointments</v>
      </c>
    </row>
    <row r="10156" hidden="1">
      <c r="A10156" s="6" t="s">
        <v>85</v>
      </c>
      <c r="B10156" s="25" t="s">
        <v>3360</v>
      </c>
      <c r="C10156" s="25" t="s">
        <v>3361</v>
      </c>
      <c r="D10156" s="25">
        <v>1.0</v>
      </c>
      <c r="E10156" s="67">
        <f t="shared" si="50"/>
        <v>250</v>
      </c>
      <c r="F10156" s="67" t="str">
        <f t="shared" si="51"/>
        <v>1 LeadGen Set Appointments</v>
      </c>
    </row>
    <row r="10157" hidden="1">
      <c r="A10157" s="6" t="s">
        <v>85</v>
      </c>
      <c r="B10157" s="25" t="s">
        <v>2675</v>
      </c>
      <c r="C10157" s="25" t="s">
        <v>2676</v>
      </c>
      <c r="D10157" s="25">
        <v>3.0</v>
      </c>
      <c r="E10157" s="67">
        <f t="shared" si="50"/>
        <v>750</v>
      </c>
      <c r="F10157" s="67" t="str">
        <f t="shared" si="51"/>
        <v>3 LeadGen Set Appointments</v>
      </c>
    </row>
    <row r="10158" hidden="1">
      <c r="A10158" s="6" t="s">
        <v>85</v>
      </c>
      <c r="B10158" s="25" t="s">
        <v>1931</v>
      </c>
      <c r="C10158" s="25" t="s">
        <v>1932</v>
      </c>
      <c r="D10158" s="25">
        <v>5.0</v>
      </c>
      <c r="E10158" s="67">
        <f t="shared" si="50"/>
        <v>1250</v>
      </c>
      <c r="F10158" s="67" t="str">
        <f t="shared" si="51"/>
        <v>5 LeadGen Set Appointments</v>
      </c>
    </row>
  </sheetData>
  <autoFilter ref="$A$1:$F$10158">
    <filterColumn colId="0">
      <filters>
        <filter val="Week 3/22/26 - 3/28/26"/>
      </filters>
    </filterColumn>
    <sortState ref="A1:F10158">
      <sortCondition descending="1" ref="D1:D10158"/>
    </sortState>
  </autoFilter>
  <dataValidations>
    <dataValidation type="list" allowBlank="1" showErrorMessage="1" sqref="A8119:A8296">
      <formula1>"Week 8/17/25 - 8/23/25"</formula1>
    </dataValidation>
    <dataValidation type="list" allowBlank="1" showErrorMessage="1" sqref="A540:A1677">
      <formula1>"Week 3/16/25 - 3/22/25,Week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2169:A2350">
      <formula1>"Week 3/22/26 - 3/28/26"</formula1>
    </dataValidation>
    <dataValidation type="list" allowBlank="1" showErrorMessage="1" sqref="A5894:A6080">
      <formula1>"Week 11/2/25 - 11/8/25"</formula1>
    </dataValidation>
    <dataValidation type="list" allowBlank="1" showErrorMessage="1" sqref="A9127:A9345">
      <formula1>"Week 7/13/25 - 7/19/25"</formula1>
    </dataValidation>
    <dataValidation type="list" allowBlank="1" showErrorMessage="1" sqref="A7531:A7734">
      <formula1>"Week 9/07/25 - 9/13/25"</formula1>
    </dataValidation>
    <dataValidation type="list" allowBlank="1" showErrorMessage="1" sqref="A7111:A7316">
      <formula1>"Week 9/21/25 - 9/27/25"</formula1>
    </dataValidation>
    <dataValidation type="list" allowBlank="1" showErrorMessage="1" sqref="A7317:A7530">
      <formula1>"Week 9/14/25 - 9/20/25"</formula1>
    </dataValidation>
    <dataValidation type="list" allowBlank="1" showErrorMessage="1" sqref="A8492:A8710">
      <formula1>"Week 8/3/25 - 8/9/25"</formula1>
    </dataValidation>
    <dataValidation type="list" allowBlank="1" showErrorMessage="1" sqref="A7735:A7934">
      <formula1>"Week 8/31/25 - 9/06/25"</formula1>
    </dataValidation>
    <dataValidation type="list" allowBlank="1" showErrorMessage="1" sqref="A1678:A1981">
      <formula1>"Week 3/16/25 - 3/22/25,Week 3/23/25 - 3/29/25"</formula1>
    </dataValidation>
    <dataValidation type="list" allowBlank="1" showErrorMessage="1" sqref="A5203:A5391">
      <formula1>"Week 11/30/25 - 12/6/25"</formula1>
    </dataValidation>
    <dataValidation type="list" allowBlank="1" showErrorMessage="1" sqref="A9778:A9963">
      <formula1>"Week 6/15/25 - 6/21/25"</formula1>
    </dataValidation>
    <dataValidation type="list" allowBlank="1" showErrorMessage="1" sqref="A3310:A3488">
      <formula1>"Week 2/8/26 - 2/14/26"</formula1>
    </dataValidation>
    <dataValidation type="list" allowBlank="1" showErrorMessage="1" sqref="A2544:A2738">
      <formula1>"Week 3/8/26 - 3/14/26"</formula1>
    </dataValidation>
    <dataValidation type="list" allowBlank="1" showErrorMessage="1" sqref="A4358:A4548">
      <formula1>"Week 1/4/26 - 1/10/26"</formula1>
    </dataValidation>
    <dataValidation type="list" allowBlank="1" showErrorMessage="1" sqref="A8297:A8491">
      <formula1>"Week 8/10/25 - 8/16/25 "</formula1>
    </dataValidation>
    <dataValidation type="list" allowBlank="1" showErrorMessage="1" sqref="A7935:A8118">
      <formula1>"Week 8/24/25 - 8/30/25"</formula1>
    </dataValidation>
    <dataValidation type="list" allowBlank="1" showErrorMessage="1" sqref="A9964:A10147">
      <formula1>"Week 6/8/25 - 6/14/25"</formula1>
    </dataValidation>
    <dataValidation type="list" allowBlank="1" showErrorMessage="1" sqref="A3489:A3695">
      <formula1>"Week 2/1/26 - 2/7/26"</formula1>
    </dataValidation>
    <dataValidation type="list" allowBlank="1" showErrorMessage="1" sqref="A3:A190">
      <formula1>"Week 6/1/25 - 6/7/25"</formula1>
    </dataValidation>
    <dataValidation type="list" allowBlank="1" showErrorMessage="1" sqref="A8924:A9126">
      <formula1>"Week 7/20/25 - 7/26/25"</formula1>
    </dataValidation>
    <dataValidation type="list" allowBlank="1" showErrorMessage="1" sqref="A4701:A4817">
      <formula1>"Week 12/21/25 - 12/27/25 "</formula1>
    </dataValidation>
    <dataValidation type="list" allowBlank="1" showErrorMessage="1" sqref="A191:A366">
      <formula1>"Week 5/25/25 - 5/31/25"</formula1>
    </dataValidation>
    <dataValidation type="list" allowBlank="1" showErrorMessage="1" sqref="A2739:A2927">
      <formula1>"Week 3/1/26 - 3/7/26"</formula1>
    </dataValidation>
    <dataValidation type="list" allowBlank="1" showErrorMessage="1" sqref="A8711:A8923">
      <formula1>"Week 7/27/25 - 8/2/25"</formula1>
    </dataValidation>
    <dataValidation type="list" allowBlank="1" showErrorMessage="1" sqref="A6905:A7110 A10148:A10158">
      <formula1>"Week 9/28/25 - 10/4/25"</formula1>
    </dataValidation>
    <dataValidation type="list" allowBlank="1" showErrorMessage="1" sqref="A6274:A6475">
      <formula1>"Week 10/19/25 - 10/25/25"</formula1>
    </dataValidation>
    <dataValidation type="list" allowBlank="1" showErrorMessage="1" sqref="A1982:A2168">
      <formula1>"Week 6/22/25 - 6/28/25"</formula1>
    </dataValidation>
    <dataValidation type="list" allowBlank="1" showErrorMessage="1" sqref="A4163:A4357">
      <formula1>"Week 1/11/26 - 1/17/26"</formula1>
    </dataValidation>
    <dataValidation type="list" allowBlank="1" showErrorMessage="1" sqref="A6686:A6904">
      <formula1>"Week 10/5/25 - 10/11/25"</formula1>
    </dataValidation>
    <dataValidation type="list" allowBlank="1" showErrorMessage="1" sqref="A2928:A3111">
      <formula1>"Week 2/22/26 - 2/28/26"</formula1>
    </dataValidation>
    <dataValidation type="list" allowBlank="1" showErrorMessage="1" sqref="A3910:A4162">
      <formula1>"Week 1/18/26 - 1/24/26"</formula1>
    </dataValidation>
    <dataValidation type="list" allowBlank="1" showErrorMessage="1" sqref="A5718:A5893">
      <formula1>"Week 11/9/25 - 11/15/25"</formula1>
    </dataValidation>
    <dataValidation type="list" allowBlank="1" showErrorMessage="1" sqref="A9346:A9567">
      <formula1>"Week 7/6/25 - 7/12/25 "</formula1>
    </dataValidation>
    <dataValidation type="list" allowBlank="1" showErrorMessage="1" sqref="A5392:A5545">
      <formula1>"Week 11/23/25 - 11/29/25"</formula1>
    </dataValidation>
    <dataValidation type="list" allowBlank="1" showErrorMessage="1" sqref="A367:A539">
      <formula1>"Week 5/18/25 - 5/24/25"</formula1>
    </dataValidation>
    <dataValidation type="list" allowBlank="1" showErrorMessage="1" sqref="A9568:A9777">
      <formula1>"Week 6/29/25 - 7/5/25"</formula1>
    </dataValidation>
    <dataValidation type="list" allowBlank="1" showErrorMessage="1" sqref="A2351:A2543">
      <formula1>"Week 3/15/26 - 3/21/26"</formula1>
    </dataValidation>
    <dataValidation type="list" allowBlank="1" showErrorMessage="1" sqref="A3112:A3309">
      <formula1>"Week 2/15/26 - 2/21/26"</formula1>
    </dataValidation>
    <dataValidation type="list" allowBlank="1" showErrorMessage="1" sqref="A3696:A3909">
      <formula1>"Week 1/25/26 - 1/31/26"</formula1>
    </dataValidation>
    <dataValidation type="list" allowBlank="1" showErrorMessage="1" sqref="A4818:A5005">
      <formula1>"Week 12/14/25 - 12/20/25"</formula1>
    </dataValidation>
    <dataValidation type="list" allowBlank="1" showErrorMessage="1" sqref="A4549:A4700">
      <formula1>"Week 12/28/25 - 1/3/25 "</formula1>
    </dataValidation>
    <dataValidation type="list" allowBlank="1" showErrorMessage="1" sqref="A6081:A6273">
      <formula1>"Week 10/26/25 - 11/1/25"</formula1>
    </dataValidation>
    <dataValidation type="list" allowBlank="1" showErrorMessage="1" sqref="A5006:A5202">
      <formula1>"Week 12/7/25 - 12/13/25"</formula1>
    </dataValidation>
    <dataValidation type="list" allowBlank="1" showErrorMessage="1" sqref="A5546:A5717">
      <formula1>"Week 11/16/25 - 11/22/25"</formula1>
    </dataValidation>
    <dataValidation type="list" allowBlank="1" showErrorMessage="1" sqref="A6476:A6685">
      <formula1>"Week 10/12/25 - 10/18/25"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2" t="s">
        <v>3362</v>
      </c>
    </row>
    <row r="2">
      <c r="A2" s="2" t="s">
        <v>3363</v>
      </c>
    </row>
    <row r="3">
      <c r="A3" s="25" t="s">
        <v>395</v>
      </c>
      <c r="B3" s="25" t="s">
        <v>3364</v>
      </c>
      <c r="C3" s="25" t="s">
        <v>3365</v>
      </c>
      <c r="D3" s="25" t="s">
        <v>3366</v>
      </c>
      <c r="E3" s="25" t="s">
        <v>3367</v>
      </c>
    </row>
    <row r="4">
      <c r="A4" s="6" t="s">
        <v>29</v>
      </c>
      <c r="B4" s="7" t="s">
        <v>3368</v>
      </c>
      <c r="C4" s="84">
        <v>987.0</v>
      </c>
      <c r="D4" s="15">
        <v>0.0</v>
      </c>
      <c r="E4" s="62">
        <f t="shared" ref="E4:E57" si="1">sum(C4*0.25)+(D4*30)</f>
        <v>246.75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idden="1">
      <c r="A5" s="6" t="s">
        <v>38</v>
      </c>
      <c r="B5" s="7" t="s">
        <v>3368</v>
      </c>
      <c r="C5" s="84">
        <v>1142.0</v>
      </c>
      <c r="D5" s="15">
        <v>0.0</v>
      </c>
      <c r="E5" s="62">
        <f t="shared" si="1"/>
        <v>285.5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idden="1">
      <c r="A6" s="6" t="s">
        <v>40</v>
      </c>
      <c r="B6" s="7" t="s">
        <v>3368</v>
      </c>
      <c r="C6" s="84">
        <v>1108.0</v>
      </c>
      <c r="D6" s="34">
        <v>0.0</v>
      </c>
      <c r="E6" s="62">
        <f t="shared" si="1"/>
        <v>277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idden="1">
      <c r="A7" s="6" t="s">
        <v>42</v>
      </c>
      <c r="B7" s="7" t="s">
        <v>3368</v>
      </c>
      <c r="C7" s="84">
        <v>1202.0</v>
      </c>
      <c r="D7" s="15">
        <v>0.0</v>
      </c>
      <c r="E7" s="62">
        <f t="shared" si="1"/>
        <v>300.5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idden="1">
      <c r="A8" s="6" t="s">
        <v>44</v>
      </c>
      <c r="B8" s="7" t="s">
        <v>3368</v>
      </c>
      <c r="C8" s="84">
        <v>901.0</v>
      </c>
      <c r="D8" s="15">
        <v>0.0</v>
      </c>
      <c r="E8" s="62">
        <f t="shared" si="1"/>
        <v>225.25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idden="1">
      <c r="A9" s="6" t="s">
        <v>46</v>
      </c>
      <c r="B9" s="7" t="s">
        <v>3368</v>
      </c>
      <c r="C9" s="84">
        <v>1249.0</v>
      </c>
      <c r="D9" s="15">
        <v>0.0</v>
      </c>
      <c r="E9" s="62">
        <f t="shared" si="1"/>
        <v>312.25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idden="1">
      <c r="A10" s="6" t="s">
        <v>48</v>
      </c>
      <c r="B10" s="7" t="s">
        <v>3368</v>
      </c>
      <c r="C10" s="84">
        <v>1109.0</v>
      </c>
      <c r="D10" s="15">
        <v>0.0</v>
      </c>
      <c r="E10" s="62">
        <f t="shared" si="1"/>
        <v>277.25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idden="1">
      <c r="A11" s="6" t="s">
        <v>50</v>
      </c>
      <c r="B11" s="7" t="s">
        <v>3368</v>
      </c>
      <c r="C11" s="84">
        <v>1136.0</v>
      </c>
      <c r="D11" s="15">
        <v>0.0</v>
      </c>
      <c r="E11" s="62">
        <f t="shared" si="1"/>
        <v>284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idden="1">
      <c r="A12" s="6" t="s">
        <v>52</v>
      </c>
      <c r="B12" s="7" t="s">
        <v>3368</v>
      </c>
      <c r="C12" s="84">
        <v>1065.0</v>
      </c>
      <c r="D12" s="15">
        <v>0.0</v>
      </c>
      <c r="E12" s="62">
        <f t="shared" si="1"/>
        <v>266.25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idden="1">
      <c r="A13" s="6" t="s">
        <v>55</v>
      </c>
      <c r="B13" s="7" t="s">
        <v>3368</v>
      </c>
      <c r="C13" s="84">
        <v>1155.0</v>
      </c>
      <c r="D13" s="15">
        <v>0.0</v>
      </c>
      <c r="E13" s="62">
        <f t="shared" si="1"/>
        <v>288.75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idden="1">
      <c r="A14" s="6" t="s">
        <v>57</v>
      </c>
      <c r="B14" s="7" t="s">
        <v>3368</v>
      </c>
      <c r="C14" s="84">
        <v>1115.0</v>
      </c>
      <c r="D14" s="15">
        <v>0.0</v>
      </c>
      <c r="E14" s="62">
        <f t="shared" si="1"/>
        <v>278.75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idden="1">
      <c r="A15" s="6" t="s">
        <v>59</v>
      </c>
      <c r="B15" s="7" t="s">
        <v>3368</v>
      </c>
      <c r="C15" s="84">
        <v>1282.0</v>
      </c>
      <c r="D15" s="15">
        <v>0.0</v>
      </c>
      <c r="E15" s="62">
        <f t="shared" si="1"/>
        <v>320.5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idden="1">
      <c r="A16" s="6" t="s">
        <v>62</v>
      </c>
      <c r="B16" s="7" t="s">
        <v>3368</v>
      </c>
      <c r="C16" s="84">
        <v>630.0</v>
      </c>
      <c r="D16" s="15">
        <v>1.0</v>
      </c>
      <c r="E16" s="62">
        <f t="shared" si="1"/>
        <v>187.5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idden="1">
      <c r="A17" s="6" t="s">
        <v>63</v>
      </c>
      <c r="B17" s="7" t="s">
        <v>3368</v>
      </c>
      <c r="C17" s="84">
        <v>309.0</v>
      </c>
      <c r="D17" s="15">
        <v>0.0</v>
      </c>
      <c r="E17" s="62">
        <f t="shared" si="1"/>
        <v>77.25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idden="1">
      <c r="A18" s="6" t="s">
        <v>65</v>
      </c>
      <c r="B18" s="7" t="s">
        <v>3368</v>
      </c>
      <c r="C18" s="84">
        <v>1036.0</v>
      </c>
      <c r="D18" s="15">
        <v>1.0</v>
      </c>
      <c r="E18" s="62">
        <f t="shared" si="1"/>
        <v>289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idden="1">
      <c r="A19" s="6" t="s">
        <v>67</v>
      </c>
      <c r="B19" s="7" t="s">
        <v>3368</v>
      </c>
      <c r="C19" s="84">
        <v>1129.0</v>
      </c>
      <c r="D19" s="15">
        <v>1.0</v>
      </c>
      <c r="E19" s="62">
        <f t="shared" si="1"/>
        <v>312.25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idden="1">
      <c r="A20" s="6" t="s">
        <v>69</v>
      </c>
      <c r="B20" s="7" t="s">
        <v>3368</v>
      </c>
      <c r="C20" s="84">
        <v>1212.0</v>
      </c>
      <c r="D20" s="15">
        <v>0.0</v>
      </c>
      <c r="E20" s="62">
        <f t="shared" si="1"/>
        <v>303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idden="1">
      <c r="A21" s="6" t="s">
        <v>71</v>
      </c>
      <c r="B21" s="7" t="s">
        <v>3368</v>
      </c>
      <c r="C21" s="84">
        <v>574.0</v>
      </c>
      <c r="D21" s="15">
        <v>0.0</v>
      </c>
      <c r="E21" s="62">
        <f t="shared" si="1"/>
        <v>143.5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idden="1">
      <c r="A22" s="6" t="s">
        <v>73</v>
      </c>
      <c r="B22" s="7" t="s">
        <v>3368</v>
      </c>
      <c r="C22" s="84">
        <v>1065.0</v>
      </c>
      <c r="D22" s="15">
        <v>1.0</v>
      </c>
      <c r="E22" s="62">
        <f t="shared" si="1"/>
        <v>296.25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idden="1">
      <c r="A23" s="16" t="s">
        <v>74</v>
      </c>
      <c r="B23" s="7" t="s">
        <v>3368</v>
      </c>
      <c r="C23" s="84">
        <v>1093.0</v>
      </c>
      <c r="D23" s="15">
        <v>0.0</v>
      </c>
      <c r="E23" s="62">
        <f t="shared" si="1"/>
        <v>273.25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idden="1">
      <c r="A24" s="6" t="s">
        <v>75</v>
      </c>
      <c r="B24" s="7" t="s">
        <v>3368</v>
      </c>
      <c r="C24" s="84">
        <v>1148.0</v>
      </c>
      <c r="D24" s="15">
        <v>0.0</v>
      </c>
      <c r="E24" s="62">
        <f t="shared" si="1"/>
        <v>287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idden="1">
      <c r="A25" s="6" t="s">
        <v>77</v>
      </c>
      <c r="B25" s="7" t="s">
        <v>3368</v>
      </c>
      <c r="C25" s="84">
        <v>1213.0</v>
      </c>
      <c r="D25" s="15">
        <v>0.0</v>
      </c>
      <c r="E25" s="62">
        <f t="shared" si="1"/>
        <v>303.25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idden="1">
      <c r="A26" s="6" t="s">
        <v>79</v>
      </c>
      <c r="B26" s="7" t="s">
        <v>3368</v>
      </c>
      <c r="C26" s="84">
        <v>1291.0</v>
      </c>
      <c r="D26" s="15">
        <v>1.0</v>
      </c>
      <c r="E26" s="62">
        <f t="shared" si="1"/>
        <v>352.75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idden="1">
      <c r="A27" s="6" t="s">
        <v>81</v>
      </c>
      <c r="B27" s="7" t="s">
        <v>3368</v>
      </c>
      <c r="C27" s="84">
        <v>1306.0</v>
      </c>
      <c r="D27" s="15">
        <v>0.0</v>
      </c>
      <c r="E27" s="62">
        <f t="shared" si="1"/>
        <v>326.5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idden="1">
      <c r="A28" s="6" t="s">
        <v>83</v>
      </c>
      <c r="B28" s="7" t="s">
        <v>3368</v>
      </c>
      <c r="C28" s="84">
        <v>1367.0</v>
      </c>
      <c r="D28" s="15">
        <v>0.0</v>
      </c>
      <c r="E28" s="62">
        <f t="shared" si="1"/>
        <v>341.75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idden="1">
      <c r="A29" s="6" t="s">
        <v>85</v>
      </c>
      <c r="B29" s="7" t="s">
        <v>3368</v>
      </c>
      <c r="C29" s="84">
        <v>1291.0</v>
      </c>
      <c r="D29" s="15">
        <v>0.0</v>
      </c>
      <c r="E29" s="62">
        <f t="shared" si="1"/>
        <v>322.75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idden="1">
      <c r="A30" s="6" t="s">
        <v>87</v>
      </c>
      <c r="B30" s="7" t="s">
        <v>3368</v>
      </c>
      <c r="C30" s="84">
        <v>1283.0</v>
      </c>
      <c r="D30" s="15">
        <v>1.0</v>
      </c>
      <c r="E30" s="62">
        <f t="shared" si="1"/>
        <v>350.75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idden="1">
      <c r="A31" s="6" t="s">
        <v>89</v>
      </c>
      <c r="B31" s="7" t="s">
        <v>3368</v>
      </c>
      <c r="C31" s="84">
        <v>1319.0</v>
      </c>
      <c r="D31" s="15">
        <v>0.0</v>
      </c>
      <c r="E31" s="62">
        <f t="shared" si="1"/>
        <v>329.75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idden="1">
      <c r="A32" s="6" t="s">
        <v>92</v>
      </c>
      <c r="B32" s="7" t="s">
        <v>3368</v>
      </c>
      <c r="C32" s="84">
        <v>1333.0</v>
      </c>
      <c r="D32" s="15">
        <v>1.0</v>
      </c>
      <c r="E32" s="62">
        <f t="shared" si="1"/>
        <v>363.25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idden="1">
      <c r="A33" s="6" t="s">
        <v>95</v>
      </c>
      <c r="B33" s="7" t="s">
        <v>3368</v>
      </c>
      <c r="C33" s="84">
        <v>1134.0</v>
      </c>
      <c r="D33" s="15">
        <v>0.0</v>
      </c>
      <c r="E33" s="62">
        <f t="shared" si="1"/>
        <v>283.5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idden="1">
      <c r="A34" s="6" t="s">
        <v>97</v>
      </c>
      <c r="B34" s="7" t="s">
        <v>3368</v>
      </c>
      <c r="C34" s="84">
        <v>1374.0</v>
      </c>
      <c r="D34" s="15">
        <v>0.0</v>
      </c>
      <c r="E34" s="62">
        <f t="shared" si="1"/>
        <v>343.5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idden="1">
      <c r="A35" s="6" t="s">
        <v>98</v>
      </c>
      <c r="B35" s="7" t="s">
        <v>3368</v>
      </c>
      <c r="C35" s="84">
        <v>1122.0</v>
      </c>
      <c r="D35" s="15">
        <v>0.0</v>
      </c>
      <c r="E35" s="62">
        <f t="shared" si="1"/>
        <v>280.5</v>
      </c>
      <c r="F35" s="46">
        <v>280.5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idden="1">
      <c r="A36" s="6" t="s">
        <v>99</v>
      </c>
      <c r="B36" s="7" t="s">
        <v>3368</v>
      </c>
      <c r="C36" s="84">
        <v>1141.0</v>
      </c>
      <c r="D36" s="15">
        <v>0.0</v>
      </c>
      <c r="E36" s="62">
        <f t="shared" si="1"/>
        <v>285.25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idden="1">
      <c r="A37" s="6" t="s">
        <v>100</v>
      </c>
      <c r="B37" s="7" t="s">
        <v>3368</v>
      </c>
      <c r="C37" s="84">
        <v>1359.0</v>
      </c>
      <c r="D37" s="15">
        <v>0.0</v>
      </c>
      <c r="E37" s="62">
        <f t="shared" si="1"/>
        <v>339.75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idden="1">
      <c r="A38" s="6" t="s">
        <v>102</v>
      </c>
      <c r="B38" s="7" t="s">
        <v>3368</v>
      </c>
      <c r="C38" s="84">
        <v>1370.0</v>
      </c>
      <c r="D38" s="15">
        <v>0.0</v>
      </c>
      <c r="E38" s="62">
        <f t="shared" si="1"/>
        <v>342.5</v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idden="1">
      <c r="A39" s="6" t="s">
        <v>104</v>
      </c>
      <c r="B39" s="7" t="s">
        <v>3368</v>
      </c>
      <c r="C39" s="84">
        <v>1334.0</v>
      </c>
      <c r="D39" s="15">
        <v>0.0</v>
      </c>
      <c r="E39" s="62">
        <f t="shared" si="1"/>
        <v>333.5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idden="1">
      <c r="A40" s="6" t="s">
        <v>105</v>
      </c>
      <c r="B40" s="7" t="s">
        <v>3368</v>
      </c>
      <c r="C40" s="84">
        <v>1239.0</v>
      </c>
      <c r="D40" s="15">
        <v>0.0</v>
      </c>
      <c r="E40" s="62">
        <f t="shared" si="1"/>
        <v>309.75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idden="1">
      <c r="A41" s="6" t="s">
        <v>3369</v>
      </c>
      <c r="B41" s="7" t="s">
        <v>3368</v>
      </c>
      <c r="C41" s="84">
        <v>1437.0</v>
      </c>
      <c r="D41" s="15">
        <v>1.0</v>
      </c>
      <c r="E41" s="62">
        <f t="shared" si="1"/>
        <v>389.25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idden="1">
      <c r="A42" s="6" t="s">
        <v>107</v>
      </c>
      <c r="B42" s="7" t="s">
        <v>3368</v>
      </c>
      <c r="C42" s="84">
        <v>1038.0</v>
      </c>
      <c r="D42" s="15">
        <v>1.0</v>
      </c>
      <c r="E42" s="62">
        <f t="shared" si="1"/>
        <v>289.5</v>
      </c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idden="1">
      <c r="A43" s="6" t="s">
        <v>108</v>
      </c>
      <c r="B43" s="7" t="s">
        <v>3368</v>
      </c>
      <c r="C43" s="84">
        <v>1156.0</v>
      </c>
      <c r="D43" s="15">
        <v>1.0</v>
      </c>
      <c r="E43" s="62">
        <f t="shared" si="1"/>
        <v>319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idden="1">
      <c r="A44" s="6" t="s">
        <v>109</v>
      </c>
      <c r="B44" s="7" t="s">
        <v>3368</v>
      </c>
      <c r="C44" s="84">
        <v>832.0</v>
      </c>
      <c r="D44" s="15">
        <v>1.0</v>
      </c>
      <c r="E44" s="62">
        <f t="shared" si="1"/>
        <v>238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idden="1">
      <c r="A45" s="6" t="s">
        <v>110</v>
      </c>
      <c r="B45" s="7" t="s">
        <v>3368</v>
      </c>
      <c r="C45" s="84">
        <v>929.0</v>
      </c>
      <c r="D45" s="15">
        <v>1.0</v>
      </c>
      <c r="E45" s="62">
        <f t="shared" si="1"/>
        <v>262.25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idden="1">
      <c r="A46" s="6" t="s">
        <v>10</v>
      </c>
      <c r="B46" s="7" t="s">
        <v>3368</v>
      </c>
      <c r="C46" s="84">
        <v>869.0</v>
      </c>
      <c r="D46" s="15">
        <v>1.0</v>
      </c>
      <c r="E46" s="62">
        <f t="shared" si="1"/>
        <v>247.25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idden="1">
      <c r="A47" s="6" t="s">
        <v>24</v>
      </c>
      <c r="B47" s="7" t="s">
        <v>3368</v>
      </c>
      <c r="C47" s="84">
        <v>687.0</v>
      </c>
      <c r="D47" s="15">
        <v>0.0</v>
      </c>
      <c r="E47" s="62">
        <f t="shared" si="1"/>
        <v>171.75</v>
      </c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idden="1">
      <c r="A48" s="6" t="s">
        <v>25</v>
      </c>
      <c r="B48" s="7" t="s">
        <v>3368</v>
      </c>
      <c r="C48" s="84">
        <v>952.0</v>
      </c>
      <c r="D48" s="15">
        <v>1.0</v>
      </c>
      <c r="E48" s="62">
        <f t="shared" si="1"/>
        <v>268</v>
      </c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idden="1">
      <c r="A49" s="6" t="s">
        <v>26</v>
      </c>
      <c r="B49" s="7" t="s">
        <v>3368</v>
      </c>
      <c r="C49" s="84">
        <v>963.0</v>
      </c>
      <c r="D49" s="15">
        <v>0.0</v>
      </c>
      <c r="E49" s="62">
        <f t="shared" si="1"/>
        <v>240.75</v>
      </c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idden="1">
      <c r="A50" s="6" t="s">
        <v>27</v>
      </c>
      <c r="B50" s="7" t="s">
        <v>3368</v>
      </c>
      <c r="C50" s="84">
        <v>1004.0</v>
      </c>
      <c r="D50" s="15">
        <v>0.0</v>
      </c>
      <c r="E50" s="62">
        <f t="shared" si="1"/>
        <v>251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idden="1">
      <c r="A51" s="6" t="s">
        <v>28</v>
      </c>
      <c r="B51" s="7" t="s">
        <v>3368</v>
      </c>
      <c r="C51" s="84">
        <v>1011.0</v>
      </c>
      <c r="D51" s="15">
        <v>1.0</v>
      </c>
      <c r="E51" s="62">
        <f t="shared" si="1"/>
        <v>282.75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idden="1">
      <c r="A52" s="20" t="s">
        <v>111</v>
      </c>
      <c r="B52" s="7" t="s">
        <v>3368</v>
      </c>
      <c r="C52" s="84">
        <v>933.0</v>
      </c>
      <c r="D52" s="15">
        <v>1.0</v>
      </c>
      <c r="E52" s="62">
        <f t="shared" si="1"/>
        <v>263.25</v>
      </c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idden="1">
      <c r="A53" s="20" t="s">
        <v>112</v>
      </c>
      <c r="B53" s="7" t="s">
        <v>3368</v>
      </c>
      <c r="C53" s="84">
        <v>967.0</v>
      </c>
      <c r="D53" s="34">
        <v>1.0</v>
      </c>
      <c r="E53" s="62">
        <f t="shared" si="1"/>
        <v>271.75</v>
      </c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idden="1">
      <c r="A54" s="20" t="s">
        <v>114</v>
      </c>
      <c r="B54" s="7" t="s">
        <v>3368</v>
      </c>
      <c r="C54" s="84">
        <v>1106.0</v>
      </c>
      <c r="D54" s="34">
        <v>1.0</v>
      </c>
      <c r="E54" s="62">
        <f t="shared" si="1"/>
        <v>306.5</v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idden="1">
      <c r="A55" s="24" t="s">
        <v>383</v>
      </c>
      <c r="B55" s="25" t="s">
        <v>3368</v>
      </c>
      <c r="C55" s="25">
        <v>999.0</v>
      </c>
      <c r="D55" s="25">
        <v>1.0</v>
      </c>
      <c r="E55" s="1">
        <f t="shared" si="1"/>
        <v>279.75</v>
      </c>
    </row>
    <row r="56" hidden="1">
      <c r="A56" s="24" t="s">
        <v>116</v>
      </c>
      <c r="B56" s="25" t="s">
        <v>3368</v>
      </c>
      <c r="C56" s="25">
        <v>807.0</v>
      </c>
      <c r="D56" s="25">
        <v>1.0</v>
      </c>
      <c r="E56" s="1">
        <f t="shared" si="1"/>
        <v>231.75</v>
      </c>
    </row>
    <row r="57" hidden="1">
      <c r="A57" s="24" t="s">
        <v>119</v>
      </c>
      <c r="B57" s="25" t="s">
        <v>3368</v>
      </c>
      <c r="C57" s="25">
        <v>905.0</v>
      </c>
      <c r="D57" s="25">
        <v>1.0</v>
      </c>
      <c r="E57" s="1">
        <f t="shared" si="1"/>
        <v>256.25</v>
      </c>
      <c r="F57" s="85"/>
    </row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</sheetData>
  <autoFilter ref="$A$3:$E$1052">
    <filterColumn colId="0">
      <filters>
        <filter val="Week 3/22/26 - 3/28/26"/>
      </filters>
    </filterColumn>
  </autoFilter>
  <dataValidations>
    <dataValidation type="list" allowBlank="1" showErrorMessage="1" sqref="A35">
      <formula1>"Week 8/17/25 - 8/23/25"</formula1>
    </dataValidation>
    <dataValidation type="list" allowBlank="1" showErrorMessage="1" sqref="A4">
      <formula1>"Week 3/22/26 - 3/28/26"</formula1>
    </dataValidation>
    <dataValidation type="list" allowBlank="1" showErrorMessage="1" sqref="A49:A57">
      <formula1>"Week 3/16/25 - 3/22/25,Week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24">
      <formula1>"Week 11/2/25 - 11/8/25"</formula1>
    </dataValidation>
    <dataValidation type="list" allowBlank="1" showErrorMessage="1" sqref="A40">
      <formula1>"Week 7/13/25 - 7/19/25"</formula1>
    </dataValidation>
    <dataValidation type="list" allowBlank="1" showErrorMessage="1" sqref="A32">
      <formula1>"Week 9/07/25 - 9/13/25"</formula1>
    </dataValidation>
    <dataValidation type="list" allowBlank="1" showErrorMessage="1" sqref="A30">
      <formula1>"Week 9/21/25 - 9/27/25"</formula1>
    </dataValidation>
    <dataValidation type="list" allowBlank="1" showErrorMessage="1" sqref="A31">
      <formula1>"Week 9/14/25 - 9/20/25"</formula1>
    </dataValidation>
    <dataValidation type="list" allowBlank="1" showErrorMessage="1" sqref="A37">
      <formula1>"Week 8/3/25 - 8/9/25"</formula1>
    </dataValidation>
    <dataValidation type="list" allowBlank="1" showErrorMessage="1" sqref="A33">
      <formula1>"Week 8/31/25 - 9/06/25"</formula1>
    </dataValidation>
    <dataValidation type="list" allowBlank="1" showErrorMessage="1" sqref="A20">
      <formula1>"Week 11/30/25 - 12/6/25"</formula1>
    </dataValidation>
    <dataValidation type="list" allowBlank="1" showErrorMessage="1" sqref="A44">
      <formula1>"Week 6/15/25 - 6/21/25"</formula1>
    </dataValidation>
    <dataValidation type="list" allowBlank="1" showErrorMessage="1" sqref="A10">
      <formula1>"Week 2/8/26 - 2/14/26"</formula1>
    </dataValidation>
    <dataValidation type="list" allowBlank="1" showErrorMessage="1" sqref="A6">
      <formula1>"Week 3/8/26 - 3/14/26"</formula1>
    </dataValidation>
    <dataValidation type="list" allowBlank="1" showErrorMessage="1" sqref="A15">
      <formula1>"Week 1/4/26 - 1/10/26"</formula1>
    </dataValidation>
    <dataValidation type="list" allowBlank="1" showErrorMessage="1" sqref="A36">
      <formula1>"Week 8/10/25 - 8/16/25 "</formula1>
    </dataValidation>
    <dataValidation type="list" allowBlank="1" showErrorMessage="1" sqref="A34">
      <formula1>"Week 8/24/25 - 8/30/25"</formula1>
    </dataValidation>
    <dataValidation type="list" allowBlank="1" showErrorMessage="1" sqref="A45">
      <formula1>"Week 6/8/25 - 6/14/25"</formula1>
    </dataValidation>
    <dataValidation type="list" allowBlank="1" showErrorMessage="1" sqref="A11">
      <formula1>"Week 2/1/26 - 2/7/26"</formula1>
    </dataValidation>
    <dataValidation type="list" allowBlank="1" showErrorMessage="1" sqref="A46">
      <formula1>"Week 6/1/25 - 6/7/25"</formula1>
    </dataValidation>
    <dataValidation type="list" allowBlank="1" showErrorMessage="1" sqref="A39">
      <formula1>"Week 7/20/25 - 7/26/25"</formula1>
    </dataValidation>
    <dataValidation type="list" allowBlank="1" showErrorMessage="1" sqref="A17">
      <formula1>"Week 12/21/25 - 12/27/25 "</formula1>
    </dataValidation>
    <dataValidation type="list" allowBlank="1" showErrorMessage="1" sqref="A41">
      <formula1>"Week 7/6/25 - 7/12/25 All Dept"</formula1>
    </dataValidation>
    <dataValidation type="list" allowBlank="1" showErrorMessage="1" sqref="A7">
      <formula1>"Week 3/1/26 - 3/7/26"</formula1>
    </dataValidation>
    <dataValidation type="list" allowBlank="1" showErrorMessage="1" sqref="A38">
      <formula1>"Week 7/27/25 - 8/2/25"</formula1>
    </dataValidation>
    <dataValidation type="list" allowBlank="1" showErrorMessage="1" sqref="A47:A48">
      <formula1>"Week 5/25/25 - 5/31/25"</formula1>
    </dataValidation>
    <dataValidation type="list" allowBlank="1" showErrorMessage="1" sqref="A29">
      <formula1>"Week 9/28/25 - 10/4/25"</formula1>
    </dataValidation>
    <dataValidation type="list" allowBlank="1" showErrorMessage="1" sqref="A26">
      <formula1>"Week 10/19/25 - 10/25/25"</formula1>
    </dataValidation>
    <dataValidation type="list" allowBlank="1" showErrorMessage="1" sqref="A43">
      <formula1>"Week 6/22/25 - 6/28/25"</formula1>
    </dataValidation>
    <dataValidation type="list" allowBlank="1" showErrorMessage="1" sqref="A14">
      <formula1>"Week 1/11/26 - 1/17/26"</formula1>
    </dataValidation>
    <dataValidation type="list" allowBlank="1" showErrorMessage="1" sqref="A28">
      <formula1>"Week 10/5/25 - 10/11/25"</formula1>
    </dataValidation>
    <dataValidation type="list" allowBlank="1" showErrorMessage="1" sqref="A8">
      <formula1>"Week 2/22/26 - 2/28/26"</formula1>
    </dataValidation>
    <dataValidation type="list" allowBlank="1" showErrorMessage="1" sqref="A13">
      <formula1>"Week 1/18/26 - 1/24/26"</formula1>
    </dataValidation>
    <dataValidation type="list" allowBlank="1" showErrorMessage="1" sqref="A23">
      <formula1>"Week 11/9/25 - 11/15/25"</formula1>
    </dataValidation>
    <dataValidation type="list" allowBlank="1" showErrorMessage="1" sqref="A21">
      <formula1>"Week 11/23/25 - 11/29/25"</formula1>
    </dataValidation>
    <dataValidation type="list" allowBlank="1" showErrorMessage="1" sqref="A42">
      <formula1>"Week 6/29/25 - 7/5/25"</formula1>
    </dataValidation>
    <dataValidation type="list" allowBlank="1" showErrorMessage="1" sqref="A5">
      <formula1>"Week 3/15/26 - 3/21/26"</formula1>
    </dataValidation>
    <dataValidation type="list" allowBlank="1" showErrorMessage="1" sqref="A9">
      <formula1>"Week 2/15/26 - 2/21/26"</formula1>
    </dataValidation>
    <dataValidation type="list" allowBlank="1" showErrorMessage="1" sqref="A12">
      <formula1>"Week 1/25/26 - 1/31/26"</formula1>
    </dataValidation>
    <dataValidation type="list" allowBlank="1" showErrorMessage="1" sqref="A18">
      <formula1>"Week 12/14/25 - 12/20/25"</formula1>
    </dataValidation>
    <dataValidation type="list" allowBlank="1" showErrorMessage="1" sqref="A16">
      <formula1>"Week 12/28/25 - 1/3/25 "</formula1>
    </dataValidation>
    <dataValidation type="list" allowBlank="1" showErrorMessage="1" sqref="A25">
      <formula1>"Week 10/26/25 - 11/1/25"</formula1>
    </dataValidation>
    <dataValidation type="list" allowBlank="1" showErrorMessage="1" sqref="A19">
      <formula1>"Week 12/7/25 - 12/13/25"</formula1>
    </dataValidation>
    <dataValidation type="list" allowBlank="1" showErrorMessage="1" sqref="A22">
      <formula1>"Week 11/16/25 - 11/22/25"</formula1>
    </dataValidation>
    <dataValidation type="list" allowBlank="1" showErrorMessage="1" sqref="A27">
      <formula1>"Week 10/12/25 - 10/18/25"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13"/>
    <col customWidth="1" min="2" max="2" width="17.38"/>
    <col customWidth="1" min="3" max="3" width="25.63"/>
  </cols>
  <sheetData>
    <row r="1">
      <c r="A1" s="77" t="s">
        <v>3370</v>
      </c>
      <c r="B1" s="25"/>
      <c r="C1" s="25"/>
      <c r="D1" s="25"/>
      <c r="E1" s="86"/>
    </row>
    <row r="2">
      <c r="A2" s="60" t="s">
        <v>3371</v>
      </c>
      <c r="B2" s="25"/>
      <c r="C2" s="25"/>
      <c r="D2" s="25"/>
      <c r="E2" s="86"/>
    </row>
    <row r="3">
      <c r="A3" s="4" t="s">
        <v>2</v>
      </c>
      <c r="B3" s="4" t="s">
        <v>121</v>
      </c>
      <c r="C3" s="4" t="s">
        <v>122</v>
      </c>
      <c r="D3" s="4" t="s">
        <v>396</v>
      </c>
      <c r="E3" s="66" t="s">
        <v>3372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>
      <c r="A4" s="6" t="s">
        <v>29</v>
      </c>
      <c r="B4" s="13" t="s">
        <v>1724</v>
      </c>
      <c r="C4" s="8" t="s">
        <v>1725</v>
      </c>
      <c r="D4" s="15">
        <v>31.0</v>
      </c>
      <c r="E4" s="51">
        <f t="shared" ref="E4:E689" si="1">D4*50</f>
        <v>1550</v>
      </c>
      <c r="F4" s="88" t="str">
        <f t="shared" ref="F4:F452" si="2">D4 &amp; " Callback Appointments"</f>
        <v>31 Callback Appointments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6" t="s">
        <v>29</v>
      </c>
      <c r="B5" s="13" t="s">
        <v>3373</v>
      </c>
      <c r="C5" s="13" t="s">
        <v>3374</v>
      </c>
      <c r="D5" s="15">
        <v>2.0</v>
      </c>
      <c r="E5" s="45">
        <f t="shared" si="1"/>
        <v>100</v>
      </c>
      <c r="F5" s="46" t="str">
        <f t="shared" si="2"/>
        <v>2 Callback Appointments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6" t="s">
        <v>29</v>
      </c>
      <c r="B6" s="8" t="s">
        <v>1784</v>
      </c>
      <c r="C6" s="8" t="s">
        <v>1785</v>
      </c>
      <c r="D6" s="9">
        <v>2.0</v>
      </c>
      <c r="E6" s="51">
        <f t="shared" si="1"/>
        <v>100</v>
      </c>
      <c r="F6" s="88" t="str">
        <f t="shared" si="2"/>
        <v>2 Callback Appointments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6" t="s">
        <v>29</v>
      </c>
      <c r="B7" s="13" t="s">
        <v>922</v>
      </c>
      <c r="C7" s="8" t="s">
        <v>923</v>
      </c>
      <c r="D7" s="15">
        <v>20.0</v>
      </c>
      <c r="E7" s="51">
        <f t="shared" si="1"/>
        <v>1000</v>
      </c>
      <c r="F7" s="46" t="str">
        <f t="shared" si="2"/>
        <v>20 Callback Appointments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hidden="1">
      <c r="A8" s="6" t="s">
        <v>29</v>
      </c>
      <c r="B8" s="44" t="s">
        <v>1081</v>
      </c>
      <c r="C8" s="44" t="s">
        <v>1082</v>
      </c>
      <c r="D8" s="14">
        <v>7.0</v>
      </c>
      <c r="E8" s="51">
        <f t="shared" si="1"/>
        <v>350</v>
      </c>
      <c r="F8" s="88" t="str">
        <f t="shared" si="2"/>
        <v>7 Callback Appointments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>
      <c r="A9" s="16" t="s">
        <v>29</v>
      </c>
      <c r="B9" s="13" t="s">
        <v>2393</v>
      </c>
      <c r="C9" s="8" t="s">
        <v>2394</v>
      </c>
      <c r="D9" s="8">
        <v>1.0</v>
      </c>
      <c r="E9" s="51">
        <f t="shared" si="1"/>
        <v>50</v>
      </c>
      <c r="F9" s="88" t="str">
        <f t="shared" si="2"/>
        <v>1 Callback Appointments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6" t="s">
        <v>29</v>
      </c>
      <c r="B10" s="13" t="s">
        <v>606</v>
      </c>
      <c r="C10" s="8" t="s">
        <v>607</v>
      </c>
      <c r="D10" s="15">
        <v>14.0</v>
      </c>
      <c r="E10" s="51">
        <f t="shared" si="1"/>
        <v>700</v>
      </c>
      <c r="F10" s="88" t="str">
        <f t="shared" si="2"/>
        <v>14 Callback Appointments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6" t="s">
        <v>29</v>
      </c>
      <c r="B11" s="13" t="s">
        <v>1772</v>
      </c>
      <c r="C11" s="13" t="s">
        <v>1773</v>
      </c>
      <c r="D11" s="15">
        <v>0.0</v>
      </c>
      <c r="E11" s="51">
        <f t="shared" si="1"/>
        <v>0</v>
      </c>
      <c r="F11" s="46" t="str">
        <f t="shared" si="2"/>
        <v>0 Callback Appointments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6" t="s">
        <v>29</v>
      </c>
      <c r="B12" s="8" t="s">
        <v>1181</v>
      </c>
      <c r="C12" s="8" t="s">
        <v>1182</v>
      </c>
      <c r="D12" s="9">
        <v>16.0</v>
      </c>
      <c r="E12" s="51">
        <f t="shared" si="1"/>
        <v>800</v>
      </c>
      <c r="F12" s="88" t="str">
        <f t="shared" si="2"/>
        <v>16 Callback Appointments</v>
      </c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</row>
    <row r="13">
      <c r="A13" s="6" t="s">
        <v>29</v>
      </c>
      <c r="B13" s="13" t="s">
        <v>3375</v>
      </c>
      <c r="C13" s="8" t="s">
        <v>3376</v>
      </c>
      <c r="D13" s="9">
        <v>4.0</v>
      </c>
      <c r="E13" s="51">
        <f t="shared" si="1"/>
        <v>200</v>
      </c>
      <c r="F13" s="88" t="str">
        <f t="shared" si="2"/>
        <v>4 Callback Appointments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40" t="s">
        <v>29</v>
      </c>
      <c r="B14" s="77" t="s">
        <v>1081</v>
      </c>
      <c r="C14" s="77" t="s">
        <v>1082</v>
      </c>
      <c r="D14" s="78">
        <v>15.0</v>
      </c>
      <c r="E14" s="58">
        <f t="shared" si="1"/>
        <v>750</v>
      </c>
      <c r="F14" s="61" t="str">
        <f t="shared" si="2"/>
        <v>15 Callback Appointments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6" t="s">
        <v>29</v>
      </c>
      <c r="B15" s="13" t="s">
        <v>3377</v>
      </c>
      <c r="C15" s="8" t="s">
        <v>3378</v>
      </c>
      <c r="D15" s="9">
        <v>0.0</v>
      </c>
      <c r="E15" s="51">
        <f t="shared" si="1"/>
        <v>0</v>
      </c>
      <c r="F15" s="88" t="str">
        <f t="shared" si="2"/>
        <v>0 Callback Appointments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6" t="s">
        <v>29</v>
      </c>
      <c r="B16" s="13" t="s">
        <v>1033</v>
      </c>
      <c r="C16" s="13" t="s">
        <v>1034</v>
      </c>
      <c r="D16" s="15">
        <v>33.0</v>
      </c>
      <c r="E16" s="51">
        <f t="shared" si="1"/>
        <v>1650</v>
      </c>
      <c r="F16" s="88" t="str">
        <f t="shared" si="2"/>
        <v>33 Callback Appointments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6" t="s">
        <v>29</v>
      </c>
      <c r="B17" s="13" t="s">
        <v>1435</v>
      </c>
      <c r="C17" s="13" t="s">
        <v>741</v>
      </c>
      <c r="D17" s="15">
        <v>43.0</v>
      </c>
      <c r="E17" s="45">
        <f t="shared" si="1"/>
        <v>2150</v>
      </c>
      <c r="F17" s="46" t="str">
        <f t="shared" si="2"/>
        <v>43 Callback Appointments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6" t="s">
        <v>29</v>
      </c>
      <c r="B18" s="8" t="s">
        <v>900</v>
      </c>
      <c r="C18" s="8" t="s">
        <v>901</v>
      </c>
      <c r="D18" s="9">
        <v>22.0</v>
      </c>
      <c r="E18" s="51">
        <f t="shared" si="1"/>
        <v>1100</v>
      </c>
      <c r="F18" s="88" t="str">
        <f t="shared" si="2"/>
        <v>22 Callback Appointments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</row>
    <row r="19" hidden="1">
      <c r="A19" s="6" t="s">
        <v>38</v>
      </c>
      <c r="B19" s="13" t="s">
        <v>1724</v>
      </c>
      <c r="C19" s="8" t="s">
        <v>1725</v>
      </c>
      <c r="D19" s="9">
        <v>32.0</v>
      </c>
      <c r="E19" s="51">
        <f t="shared" si="1"/>
        <v>1600</v>
      </c>
      <c r="F19" s="88" t="str">
        <f t="shared" si="2"/>
        <v>32 Callback Appointments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idden="1">
      <c r="A20" s="6" t="s">
        <v>38</v>
      </c>
      <c r="B20" s="8" t="s">
        <v>3373</v>
      </c>
      <c r="C20" s="8" t="s">
        <v>3374</v>
      </c>
      <c r="D20" s="9">
        <v>1.0</v>
      </c>
      <c r="E20" s="51">
        <f t="shared" si="1"/>
        <v>50</v>
      </c>
      <c r="F20" s="88" t="str">
        <f t="shared" si="2"/>
        <v>1 Callback Appointments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 hidden="1">
      <c r="A21" s="6" t="s">
        <v>38</v>
      </c>
      <c r="B21" s="13" t="s">
        <v>1081</v>
      </c>
      <c r="C21" s="13" t="s">
        <v>1082</v>
      </c>
      <c r="D21" s="15">
        <v>7.0</v>
      </c>
      <c r="E21" s="51">
        <f t="shared" si="1"/>
        <v>350</v>
      </c>
      <c r="F21" s="88" t="str">
        <f t="shared" si="2"/>
        <v>7 Callback Appointments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idden="1">
      <c r="A22" s="6" t="s">
        <v>38</v>
      </c>
      <c r="B22" s="13" t="s">
        <v>1784</v>
      </c>
      <c r="C22" s="8" t="s">
        <v>1785</v>
      </c>
      <c r="D22" s="9">
        <v>1.0</v>
      </c>
      <c r="E22" s="51">
        <f t="shared" si="1"/>
        <v>50</v>
      </c>
      <c r="F22" s="88" t="str">
        <f t="shared" si="2"/>
        <v>1 Callback Appointments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idden="1">
      <c r="A23" s="6" t="s">
        <v>38</v>
      </c>
      <c r="B23" s="8" t="s">
        <v>1081</v>
      </c>
      <c r="C23" s="8" t="s">
        <v>1082</v>
      </c>
      <c r="D23" s="9">
        <v>7.0</v>
      </c>
      <c r="E23" s="51">
        <f t="shared" si="1"/>
        <v>350</v>
      </c>
      <c r="F23" s="88" t="str">
        <f t="shared" si="2"/>
        <v>7 Callback Appointments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</row>
    <row r="24" hidden="1">
      <c r="A24" s="6" t="s">
        <v>38</v>
      </c>
      <c r="B24" s="8" t="s">
        <v>922</v>
      </c>
      <c r="C24" s="8" t="s">
        <v>923</v>
      </c>
      <c r="D24" s="9">
        <v>19.0</v>
      </c>
      <c r="E24" s="51">
        <f t="shared" si="1"/>
        <v>950</v>
      </c>
      <c r="F24" s="88" t="str">
        <f t="shared" si="2"/>
        <v>19 Callback Appointments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idden="1">
      <c r="A25" s="6" t="s">
        <v>38</v>
      </c>
      <c r="B25" s="13" t="s">
        <v>1772</v>
      </c>
      <c r="C25" s="13" t="s">
        <v>1773</v>
      </c>
      <c r="D25" s="15">
        <v>0.0</v>
      </c>
      <c r="E25" s="51">
        <f t="shared" si="1"/>
        <v>0</v>
      </c>
      <c r="F25" s="46" t="str">
        <f t="shared" si="2"/>
        <v>0 Callback Appointments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idden="1">
      <c r="A26" s="6" t="s">
        <v>38</v>
      </c>
      <c r="B26" s="25" t="s">
        <v>2393</v>
      </c>
      <c r="C26" s="25" t="s">
        <v>2394</v>
      </c>
      <c r="D26" s="25">
        <v>1.0</v>
      </c>
      <c r="E26" s="45">
        <f t="shared" si="1"/>
        <v>50</v>
      </c>
      <c r="F26" s="46" t="str">
        <f t="shared" si="2"/>
        <v>1 Callback Appointments</v>
      </c>
    </row>
    <row r="27" hidden="1">
      <c r="A27" s="6" t="s">
        <v>38</v>
      </c>
      <c r="B27" s="13" t="s">
        <v>606</v>
      </c>
      <c r="C27" s="8" t="s">
        <v>607</v>
      </c>
      <c r="D27" s="15">
        <v>21.0</v>
      </c>
      <c r="E27" s="51">
        <f t="shared" si="1"/>
        <v>1050</v>
      </c>
      <c r="F27" s="46" t="str">
        <f t="shared" si="2"/>
        <v>21 Callback Appointments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idden="1">
      <c r="A28" s="6" t="s">
        <v>38</v>
      </c>
      <c r="B28" s="8" t="s">
        <v>1181</v>
      </c>
      <c r="C28" s="8" t="s">
        <v>1182</v>
      </c>
      <c r="D28" s="9">
        <v>24.0</v>
      </c>
      <c r="E28" s="51">
        <f t="shared" si="1"/>
        <v>1200</v>
      </c>
      <c r="F28" s="88" t="str">
        <f t="shared" si="2"/>
        <v>24 Callback Appointments</v>
      </c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 hidden="1">
      <c r="A29" s="6" t="s">
        <v>38</v>
      </c>
      <c r="B29" s="13" t="s">
        <v>3375</v>
      </c>
      <c r="C29" s="13" t="s">
        <v>3376</v>
      </c>
      <c r="D29" s="15">
        <v>4.0</v>
      </c>
      <c r="E29" s="51">
        <f t="shared" si="1"/>
        <v>200</v>
      </c>
      <c r="F29" s="88" t="str">
        <f t="shared" si="2"/>
        <v>4 Callback Appointments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hidden="1">
      <c r="A30" s="6" t="s">
        <v>38</v>
      </c>
      <c r="B30" s="8" t="s">
        <v>3377</v>
      </c>
      <c r="C30" s="8" t="s">
        <v>3378</v>
      </c>
      <c r="D30" s="9">
        <v>8.0</v>
      </c>
      <c r="E30" s="51">
        <f t="shared" si="1"/>
        <v>400</v>
      </c>
      <c r="F30" s="88" t="str">
        <f t="shared" si="2"/>
        <v>8 Callback Appointments</v>
      </c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</row>
    <row r="31" hidden="1">
      <c r="A31" s="6" t="s">
        <v>38</v>
      </c>
      <c r="B31" s="13" t="s">
        <v>1033</v>
      </c>
      <c r="C31" s="8" t="s">
        <v>1034</v>
      </c>
      <c r="D31" s="15">
        <v>39.0</v>
      </c>
      <c r="E31" s="51">
        <f t="shared" si="1"/>
        <v>1950</v>
      </c>
      <c r="F31" s="88" t="str">
        <f t="shared" si="2"/>
        <v>39 Callback Appointments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idden="1">
      <c r="A32" s="6" t="s">
        <v>38</v>
      </c>
      <c r="B32" s="13" t="s">
        <v>1435</v>
      </c>
      <c r="C32" s="13" t="s">
        <v>741</v>
      </c>
      <c r="D32" s="15">
        <v>36.0</v>
      </c>
      <c r="E32" s="45">
        <f t="shared" si="1"/>
        <v>1800</v>
      </c>
      <c r="F32" s="46" t="str">
        <f t="shared" si="2"/>
        <v>36 Callback Appointments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idden="1">
      <c r="A33" s="6" t="s">
        <v>38</v>
      </c>
      <c r="B33" s="13" t="s">
        <v>900</v>
      </c>
      <c r="C33" s="8" t="s">
        <v>901</v>
      </c>
      <c r="D33" s="15">
        <v>17.0</v>
      </c>
      <c r="E33" s="51">
        <f t="shared" si="1"/>
        <v>850</v>
      </c>
      <c r="F33" s="88" t="str">
        <f t="shared" si="2"/>
        <v>17 Callback Appointments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idden="1">
      <c r="A34" s="6" t="s">
        <v>40</v>
      </c>
      <c r="B34" s="25" t="s">
        <v>1724</v>
      </c>
      <c r="C34" s="25" t="s">
        <v>1725</v>
      </c>
      <c r="D34" s="25">
        <v>7.0</v>
      </c>
      <c r="E34" s="45">
        <f t="shared" si="1"/>
        <v>350</v>
      </c>
      <c r="F34" s="46" t="str">
        <f t="shared" si="2"/>
        <v>7 Callback Appointments</v>
      </c>
    </row>
    <row r="35" hidden="1">
      <c r="A35" s="6" t="s">
        <v>40</v>
      </c>
      <c r="B35" s="8" t="s">
        <v>3373</v>
      </c>
      <c r="C35" s="8" t="s">
        <v>3374</v>
      </c>
      <c r="D35" s="9">
        <v>4.0</v>
      </c>
      <c r="E35" s="51">
        <f t="shared" si="1"/>
        <v>200</v>
      </c>
      <c r="F35" s="88" t="str">
        <f t="shared" si="2"/>
        <v>4 Callback Appointments</v>
      </c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</row>
    <row r="36" hidden="1">
      <c r="A36" s="6" t="s">
        <v>40</v>
      </c>
      <c r="B36" s="13" t="s">
        <v>1784</v>
      </c>
      <c r="C36" s="13" t="s">
        <v>1785</v>
      </c>
      <c r="D36" s="15">
        <v>1.0</v>
      </c>
      <c r="E36" s="51">
        <f t="shared" si="1"/>
        <v>50</v>
      </c>
      <c r="F36" s="88" t="str">
        <f t="shared" si="2"/>
        <v>1 Callback Appointments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idden="1">
      <c r="A37" s="6" t="s">
        <v>40</v>
      </c>
      <c r="B37" s="13" t="s">
        <v>922</v>
      </c>
      <c r="C37" s="13" t="s">
        <v>923</v>
      </c>
      <c r="D37" s="15">
        <v>15.0</v>
      </c>
      <c r="E37" s="51">
        <f t="shared" si="1"/>
        <v>750</v>
      </c>
      <c r="F37" s="88" t="str">
        <f t="shared" si="2"/>
        <v>15 Callback Appointments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idden="1">
      <c r="A38" s="6" t="s">
        <v>40</v>
      </c>
      <c r="B38" s="13" t="s">
        <v>2393</v>
      </c>
      <c r="C38" s="8" t="s">
        <v>2394</v>
      </c>
      <c r="D38" s="9">
        <v>5.0</v>
      </c>
      <c r="E38" s="51">
        <f t="shared" si="1"/>
        <v>250</v>
      </c>
      <c r="F38" s="88" t="str">
        <f t="shared" si="2"/>
        <v>5 Callback Appointments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idden="1">
      <c r="A39" s="6" t="s">
        <v>40</v>
      </c>
      <c r="B39" s="13" t="s">
        <v>606</v>
      </c>
      <c r="C39" s="13" t="s">
        <v>607</v>
      </c>
      <c r="D39" s="15">
        <v>18.0</v>
      </c>
      <c r="E39" s="51">
        <f t="shared" si="1"/>
        <v>900</v>
      </c>
      <c r="F39" s="46" t="str">
        <f t="shared" si="2"/>
        <v>18 Callback Appointments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hidden="1">
      <c r="A40" s="6" t="s">
        <v>40</v>
      </c>
      <c r="B40" s="8" t="s">
        <v>1181</v>
      </c>
      <c r="C40" s="8" t="s">
        <v>1182</v>
      </c>
      <c r="D40" s="9">
        <v>22.0</v>
      </c>
      <c r="E40" s="51">
        <f t="shared" si="1"/>
        <v>1100</v>
      </c>
      <c r="F40" s="88" t="str">
        <f t="shared" si="2"/>
        <v>22 Callback Appointments</v>
      </c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</row>
    <row r="41" hidden="1">
      <c r="A41" s="6" t="s">
        <v>40</v>
      </c>
      <c r="B41" s="8" t="s">
        <v>3375</v>
      </c>
      <c r="C41" s="8" t="s">
        <v>3376</v>
      </c>
      <c r="D41" s="9">
        <v>5.0</v>
      </c>
      <c r="E41" s="51">
        <f t="shared" si="1"/>
        <v>250</v>
      </c>
      <c r="F41" s="88" t="str">
        <f t="shared" si="2"/>
        <v>5 Callback Appointments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hidden="1">
      <c r="A42" s="6" t="s">
        <v>40</v>
      </c>
      <c r="B42" s="13" t="s">
        <v>1081</v>
      </c>
      <c r="C42" s="77" t="s">
        <v>1082</v>
      </c>
      <c r="D42" s="78">
        <v>22.0</v>
      </c>
      <c r="E42" s="58">
        <f t="shared" si="1"/>
        <v>1100</v>
      </c>
      <c r="F42" s="61" t="str">
        <f t="shared" si="2"/>
        <v>22 Callback Appointments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hidden="1">
      <c r="A43" s="6" t="s">
        <v>40</v>
      </c>
      <c r="B43" s="8" t="s">
        <v>3377</v>
      </c>
      <c r="C43" s="8" t="s">
        <v>3378</v>
      </c>
      <c r="D43" s="9">
        <v>1.0</v>
      </c>
      <c r="E43" s="51">
        <f t="shared" si="1"/>
        <v>50</v>
      </c>
      <c r="F43" s="88" t="str">
        <f t="shared" si="2"/>
        <v>1 Callback Appointments</v>
      </c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 hidden="1">
      <c r="A44" s="6" t="s">
        <v>40</v>
      </c>
      <c r="B44" s="13" t="s">
        <v>1033</v>
      </c>
      <c r="C44" s="8" t="s">
        <v>1034</v>
      </c>
      <c r="D44" s="15">
        <v>39.0</v>
      </c>
      <c r="E44" s="51">
        <f t="shared" si="1"/>
        <v>1950</v>
      </c>
      <c r="F44" s="46" t="str">
        <f t="shared" si="2"/>
        <v>39 Callback Appointments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hidden="1">
      <c r="A45" s="6" t="s">
        <v>40</v>
      </c>
      <c r="B45" s="13" t="s">
        <v>1435</v>
      </c>
      <c r="C45" s="13" t="s">
        <v>741</v>
      </c>
      <c r="D45" s="15">
        <v>36.0</v>
      </c>
      <c r="E45" s="45">
        <f t="shared" si="1"/>
        <v>1800</v>
      </c>
      <c r="F45" s="46" t="str">
        <f t="shared" si="2"/>
        <v>36 Callback Appointments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hidden="1">
      <c r="A46" s="6" t="s">
        <v>42</v>
      </c>
      <c r="B46" s="8" t="s">
        <v>3373</v>
      </c>
      <c r="C46" s="8" t="s">
        <v>3374</v>
      </c>
      <c r="D46" s="9">
        <v>2.0</v>
      </c>
      <c r="E46" s="51">
        <f t="shared" si="1"/>
        <v>100</v>
      </c>
      <c r="F46" s="88" t="str">
        <f t="shared" si="2"/>
        <v>2 Callback Appointments</v>
      </c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 hidden="1">
      <c r="A47" s="6" t="s">
        <v>42</v>
      </c>
      <c r="B47" s="8" t="s">
        <v>922</v>
      </c>
      <c r="C47" s="8" t="s">
        <v>923</v>
      </c>
      <c r="D47" s="9">
        <v>16.0</v>
      </c>
      <c r="E47" s="51">
        <f t="shared" si="1"/>
        <v>800</v>
      </c>
      <c r="F47" s="88" t="str">
        <f t="shared" si="2"/>
        <v>16 Callback Appointments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idden="1">
      <c r="A48" s="6" t="s">
        <v>42</v>
      </c>
      <c r="B48" s="13" t="s">
        <v>2393</v>
      </c>
      <c r="C48" s="13" t="s">
        <v>2394</v>
      </c>
      <c r="D48" s="15">
        <v>3.0</v>
      </c>
      <c r="E48" s="51">
        <f t="shared" si="1"/>
        <v>150</v>
      </c>
      <c r="F48" s="46" t="str">
        <f t="shared" si="2"/>
        <v>3 Callback Appointments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idden="1">
      <c r="A49" s="6" t="s">
        <v>42</v>
      </c>
      <c r="B49" s="13" t="s">
        <v>606</v>
      </c>
      <c r="C49" s="8" t="s">
        <v>607</v>
      </c>
      <c r="D49" s="9">
        <v>26.0</v>
      </c>
      <c r="E49" s="51">
        <f t="shared" si="1"/>
        <v>1300</v>
      </c>
      <c r="F49" s="88" t="str">
        <f t="shared" si="2"/>
        <v>26 Callback Appointments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idden="1">
      <c r="A50" s="6" t="s">
        <v>42</v>
      </c>
      <c r="B50" s="8" t="s">
        <v>1059</v>
      </c>
      <c r="C50" s="8" t="s">
        <v>1060</v>
      </c>
      <c r="D50" s="9">
        <v>4.0</v>
      </c>
      <c r="E50" s="51">
        <f t="shared" si="1"/>
        <v>200</v>
      </c>
      <c r="F50" s="88" t="str">
        <f t="shared" si="2"/>
        <v>4 Callback Appointments</v>
      </c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 hidden="1">
      <c r="A51" s="6" t="s">
        <v>42</v>
      </c>
      <c r="B51" s="13" t="s">
        <v>1181</v>
      </c>
      <c r="C51" s="13" t="s">
        <v>1182</v>
      </c>
      <c r="D51" s="15">
        <v>26.0</v>
      </c>
      <c r="E51" s="51">
        <f t="shared" si="1"/>
        <v>1300</v>
      </c>
      <c r="F51" s="88" t="str">
        <f t="shared" si="2"/>
        <v>26 Callback Appointments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idden="1">
      <c r="A52" s="6" t="s">
        <v>42</v>
      </c>
      <c r="B52" s="13" t="s">
        <v>3375</v>
      </c>
      <c r="C52" s="13" t="s">
        <v>3376</v>
      </c>
      <c r="D52" s="15">
        <v>2.0</v>
      </c>
      <c r="E52" s="51">
        <f t="shared" si="1"/>
        <v>100</v>
      </c>
      <c r="F52" s="88" t="str">
        <f t="shared" si="2"/>
        <v>2 Callback Appointments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hidden="1">
      <c r="A53" s="6" t="s">
        <v>42</v>
      </c>
      <c r="B53" s="8" t="s">
        <v>1081</v>
      </c>
      <c r="C53" s="77" t="s">
        <v>1082</v>
      </c>
      <c r="D53" s="78">
        <v>17.0</v>
      </c>
      <c r="E53" s="58">
        <f t="shared" si="1"/>
        <v>850</v>
      </c>
      <c r="F53" s="61" t="str">
        <f t="shared" si="2"/>
        <v>17 Callback Appointments</v>
      </c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</row>
    <row r="54" hidden="1">
      <c r="A54" s="6" t="s">
        <v>42</v>
      </c>
      <c r="B54" s="13" t="s">
        <v>3377</v>
      </c>
      <c r="C54" s="8" t="s">
        <v>3378</v>
      </c>
      <c r="D54" s="15">
        <v>3.0</v>
      </c>
      <c r="E54" s="51">
        <f t="shared" si="1"/>
        <v>150</v>
      </c>
      <c r="F54" s="46" t="str">
        <f t="shared" si="2"/>
        <v>3 Callback Appointments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hidden="1">
      <c r="A55" s="6" t="s">
        <v>42</v>
      </c>
      <c r="B55" s="13" t="s">
        <v>1033</v>
      </c>
      <c r="C55" s="8" t="s">
        <v>1034</v>
      </c>
      <c r="D55" s="9">
        <v>35.0</v>
      </c>
      <c r="E55" s="51">
        <f t="shared" si="1"/>
        <v>1750</v>
      </c>
      <c r="F55" s="88" t="str">
        <f t="shared" si="2"/>
        <v>35 Callback Appointments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hidden="1">
      <c r="A56" s="6" t="s">
        <v>42</v>
      </c>
      <c r="B56" s="13" t="s">
        <v>1435</v>
      </c>
      <c r="C56" s="13" t="s">
        <v>741</v>
      </c>
      <c r="D56" s="15">
        <v>31.0</v>
      </c>
      <c r="E56" s="51">
        <f t="shared" si="1"/>
        <v>1550</v>
      </c>
      <c r="F56" s="46" t="str">
        <f t="shared" si="2"/>
        <v>31 Callback Appointments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hidden="1">
      <c r="A57" s="6" t="s">
        <v>42</v>
      </c>
      <c r="B57" s="13" t="s">
        <v>900</v>
      </c>
      <c r="C57" s="13" t="s">
        <v>901</v>
      </c>
      <c r="D57" s="15">
        <v>15.0</v>
      </c>
      <c r="E57" s="45">
        <f t="shared" si="1"/>
        <v>750</v>
      </c>
      <c r="F57" s="46" t="str">
        <f t="shared" si="2"/>
        <v>15 Callback Appointments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hidden="1">
      <c r="A58" s="6" t="s">
        <v>44</v>
      </c>
      <c r="B58" s="8" t="s">
        <v>3373</v>
      </c>
      <c r="C58" s="8" t="s">
        <v>3374</v>
      </c>
      <c r="D58" s="9">
        <v>1.0</v>
      </c>
      <c r="E58" s="51">
        <f t="shared" si="1"/>
        <v>50</v>
      </c>
      <c r="F58" s="88" t="str">
        <f t="shared" si="2"/>
        <v>1 Callback Appointments</v>
      </c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</row>
    <row r="59" hidden="1">
      <c r="A59" s="6" t="s">
        <v>44</v>
      </c>
      <c r="B59" s="8" t="s">
        <v>922</v>
      </c>
      <c r="C59" s="8" t="s">
        <v>923</v>
      </c>
      <c r="D59" s="9">
        <v>14.0</v>
      </c>
      <c r="E59" s="51">
        <f t="shared" si="1"/>
        <v>700</v>
      </c>
      <c r="F59" s="88" t="str">
        <f t="shared" si="2"/>
        <v>14 Callback Appointments</v>
      </c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</row>
    <row r="60" hidden="1">
      <c r="A60" s="6" t="s">
        <v>44</v>
      </c>
      <c r="B60" s="13" t="s">
        <v>596</v>
      </c>
      <c r="C60" s="13" t="s">
        <v>597</v>
      </c>
      <c r="D60" s="15">
        <v>14.0</v>
      </c>
      <c r="E60" s="51">
        <f t="shared" si="1"/>
        <v>700</v>
      </c>
      <c r="F60" s="88" t="str">
        <f t="shared" si="2"/>
        <v>14 Callback Appointments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idden="1">
      <c r="A61" s="6" t="s">
        <v>44</v>
      </c>
      <c r="B61" s="8" t="s">
        <v>2393</v>
      </c>
      <c r="C61" s="8" t="s">
        <v>2394</v>
      </c>
      <c r="D61" s="9">
        <v>0.0</v>
      </c>
      <c r="E61" s="51">
        <f t="shared" si="1"/>
        <v>0</v>
      </c>
      <c r="F61" s="88" t="str">
        <f t="shared" si="2"/>
        <v>0 Callback Appointments</v>
      </c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</row>
    <row r="62" hidden="1">
      <c r="A62" s="6" t="s">
        <v>44</v>
      </c>
      <c r="B62" s="13" t="s">
        <v>606</v>
      </c>
      <c r="C62" s="13" t="s">
        <v>607</v>
      </c>
      <c r="D62" s="15">
        <v>18.0</v>
      </c>
      <c r="E62" s="51">
        <f t="shared" si="1"/>
        <v>900</v>
      </c>
      <c r="F62" s="46" t="str">
        <f t="shared" si="2"/>
        <v>18 Callback Appointments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idden="1">
      <c r="A63" s="6" t="s">
        <v>44</v>
      </c>
      <c r="B63" s="13" t="s">
        <v>1059</v>
      </c>
      <c r="C63" s="8" t="s">
        <v>1060</v>
      </c>
      <c r="D63" s="15">
        <v>1.0</v>
      </c>
      <c r="E63" s="51">
        <f t="shared" si="1"/>
        <v>50</v>
      </c>
      <c r="F63" s="46" t="str">
        <f t="shared" si="2"/>
        <v>1 Callback Appointments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idden="1">
      <c r="A64" s="6" t="s">
        <v>44</v>
      </c>
      <c r="B64" s="8" t="s">
        <v>1181</v>
      </c>
      <c r="C64" s="8" t="s">
        <v>1182</v>
      </c>
      <c r="D64" s="9">
        <v>42.0</v>
      </c>
      <c r="E64" s="51">
        <f t="shared" si="1"/>
        <v>2100</v>
      </c>
      <c r="F64" s="88" t="str">
        <f t="shared" si="2"/>
        <v>42 Callback Appointments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hidden="1">
      <c r="A65" s="6" t="s">
        <v>44</v>
      </c>
      <c r="B65" s="13" t="s">
        <v>3375</v>
      </c>
      <c r="C65" s="13" t="s">
        <v>3376</v>
      </c>
      <c r="D65" s="15">
        <v>3.0</v>
      </c>
      <c r="E65" s="51">
        <f t="shared" si="1"/>
        <v>150</v>
      </c>
      <c r="F65" s="88" t="str">
        <f t="shared" si="2"/>
        <v>3 Callback Appointments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hidden="1">
      <c r="A66" s="6" t="s">
        <v>44</v>
      </c>
      <c r="B66" s="13" t="s">
        <v>1081</v>
      </c>
      <c r="C66" s="77" t="s">
        <v>1082</v>
      </c>
      <c r="D66" s="78">
        <v>8.0</v>
      </c>
      <c r="E66" s="58">
        <f t="shared" si="1"/>
        <v>400</v>
      </c>
      <c r="F66" s="61" t="str">
        <f t="shared" si="2"/>
        <v>8 Callback Appointments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hidden="1">
      <c r="A67" s="6" t="s">
        <v>44</v>
      </c>
      <c r="B67" s="13" t="s">
        <v>3377</v>
      </c>
      <c r="C67" s="13" t="s">
        <v>3378</v>
      </c>
      <c r="D67" s="15">
        <v>1.0</v>
      </c>
      <c r="E67" s="45">
        <f t="shared" si="1"/>
        <v>50</v>
      </c>
      <c r="F67" s="46" t="str">
        <f t="shared" si="2"/>
        <v>1 Callback Appointments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hidden="1">
      <c r="A68" s="6" t="s">
        <v>44</v>
      </c>
      <c r="B68" s="13" t="s">
        <v>1033</v>
      </c>
      <c r="C68" s="8" t="s">
        <v>1034</v>
      </c>
      <c r="D68" s="9">
        <v>50.0</v>
      </c>
      <c r="E68" s="51">
        <f t="shared" si="1"/>
        <v>2500</v>
      </c>
      <c r="F68" s="88" t="str">
        <f t="shared" si="2"/>
        <v>50 Callback Appointments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hidden="1">
      <c r="A69" s="6" t="s">
        <v>44</v>
      </c>
      <c r="B69" s="13" t="s">
        <v>1435</v>
      </c>
      <c r="C69" s="13" t="s">
        <v>741</v>
      </c>
      <c r="D69" s="15">
        <v>30.0</v>
      </c>
      <c r="E69" s="51">
        <f t="shared" si="1"/>
        <v>1500</v>
      </c>
      <c r="F69" s="46" t="str">
        <f t="shared" si="2"/>
        <v>30 Callback Appointments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hidden="1">
      <c r="A70" s="6" t="s">
        <v>44</v>
      </c>
      <c r="B70" s="13" t="s">
        <v>900</v>
      </c>
      <c r="C70" s="8" t="s">
        <v>901</v>
      </c>
      <c r="D70" s="15">
        <v>23.0</v>
      </c>
      <c r="E70" s="51">
        <f t="shared" si="1"/>
        <v>1150</v>
      </c>
      <c r="F70" s="46" t="str">
        <f t="shared" si="2"/>
        <v>23 Callback Appointments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hidden="1">
      <c r="A71" s="6" t="s">
        <v>46</v>
      </c>
      <c r="B71" s="8" t="s">
        <v>3373</v>
      </c>
      <c r="C71" s="8" t="s">
        <v>3374</v>
      </c>
      <c r="D71" s="9">
        <v>0.0</v>
      </c>
      <c r="E71" s="51">
        <f t="shared" si="1"/>
        <v>0</v>
      </c>
      <c r="F71" s="88" t="str">
        <f t="shared" si="2"/>
        <v>0 Callback Appointments</v>
      </c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 hidden="1">
      <c r="A72" s="6" t="s">
        <v>46</v>
      </c>
      <c r="B72" s="13" t="s">
        <v>922</v>
      </c>
      <c r="C72" s="8" t="s">
        <v>923</v>
      </c>
      <c r="D72" s="15">
        <v>14.0</v>
      </c>
      <c r="E72" s="51">
        <f t="shared" si="1"/>
        <v>700</v>
      </c>
      <c r="F72" s="46" t="str">
        <f t="shared" si="2"/>
        <v>14 Callback Appointments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idden="1">
      <c r="A73" s="6" t="s">
        <v>46</v>
      </c>
      <c r="B73" s="13" t="s">
        <v>596</v>
      </c>
      <c r="C73" s="13" t="s">
        <v>597</v>
      </c>
      <c r="D73" s="15">
        <v>19.0</v>
      </c>
      <c r="E73" s="51">
        <f t="shared" si="1"/>
        <v>950</v>
      </c>
      <c r="F73" s="88" t="str">
        <f t="shared" si="2"/>
        <v>19 Callback Appointments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idden="1">
      <c r="A74" s="6" t="s">
        <v>46</v>
      </c>
      <c r="B74" s="13" t="s">
        <v>2393</v>
      </c>
      <c r="C74" s="13" t="s">
        <v>2394</v>
      </c>
      <c r="D74" s="15">
        <v>0.0</v>
      </c>
      <c r="E74" s="51">
        <f t="shared" si="1"/>
        <v>0</v>
      </c>
      <c r="F74" s="46" t="str">
        <f t="shared" si="2"/>
        <v>0 Callback Appointments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idden="1">
      <c r="A75" s="6" t="s">
        <v>46</v>
      </c>
      <c r="B75" s="8" t="s">
        <v>606</v>
      </c>
      <c r="C75" s="8" t="s">
        <v>607</v>
      </c>
      <c r="D75" s="9">
        <v>20.0</v>
      </c>
      <c r="E75" s="51">
        <f t="shared" si="1"/>
        <v>1000</v>
      </c>
      <c r="F75" s="88" t="str">
        <f t="shared" si="2"/>
        <v>20 Callback Appointments</v>
      </c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 hidden="1">
      <c r="A76" s="6" t="s">
        <v>46</v>
      </c>
      <c r="B76" s="13" t="s">
        <v>1059</v>
      </c>
      <c r="C76" s="13" t="s">
        <v>1060</v>
      </c>
      <c r="D76" s="15">
        <v>0.0</v>
      </c>
      <c r="E76" s="45">
        <f t="shared" si="1"/>
        <v>0</v>
      </c>
      <c r="F76" s="46" t="str">
        <f t="shared" si="2"/>
        <v>0 Callback Appointments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idden="1">
      <c r="A77" s="6" t="s">
        <v>46</v>
      </c>
      <c r="B77" s="8" t="s">
        <v>1181</v>
      </c>
      <c r="C77" s="8" t="s">
        <v>1182</v>
      </c>
      <c r="D77" s="9">
        <v>40.0</v>
      </c>
      <c r="E77" s="51">
        <f t="shared" si="1"/>
        <v>2000</v>
      </c>
      <c r="F77" s="88" t="str">
        <f t="shared" si="2"/>
        <v>40 Callback Appointments</v>
      </c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  <row r="78" hidden="1">
      <c r="A78" s="6" t="s">
        <v>46</v>
      </c>
      <c r="B78" s="8" t="s">
        <v>3375</v>
      </c>
      <c r="C78" s="8" t="s">
        <v>3376</v>
      </c>
      <c r="D78" s="9">
        <v>1.0</v>
      </c>
      <c r="E78" s="51">
        <f t="shared" si="1"/>
        <v>50</v>
      </c>
      <c r="F78" s="88" t="str">
        <f t="shared" si="2"/>
        <v>1 Callback Appointments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hidden="1">
      <c r="A79" s="6" t="s">
        <v>46</v>
      </c>
      <c r="B79" s="13" t="s">
        <v>1081</v>
      </c>
      <c r="C79" s="77" t="s">
        <v>1082</v>
      </c>
      <c r="D79" s="78">
        <v>6.0</v>
      </c>
      <c r="E79" s="58">
        <f t="shared" si="1"/>
        <v>300</v>
      </c>
      <c r="F79" s="61" t="str">
        <f t="shared" si="2"/>
        <v>6 Callback Appointments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hidden="1">
      <c r="A80" s="6" t="s">
        <v>46</v>
      </c>
      <c r="B80" s="13" t="s">
        <v>3377</v>
      </c>
      <c r="C80" s="8" t="s">
        <v>3378</v>
      </c>
      <c r="D80" s="15">
        <v>1.0</v>
      </c>
      <c r="E80" s="51">
        <f t="shared" si="1"/>
        <v>50</v>
      </c>
      <c r="F80" s="46" t="str">
        <f t="shared" si="2"/>
        <v>1 Callback Appointments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hidden="1">
      <c r="A81" s="6" t="s">
        <v>46</v>
      </c>
      <c r="B81" s="13" t="s">
        <v>1033</v>
      </c>
      <c r="C81" s="13" t="s">
        <v>1034</v>
      </c>
      <c r="D81" s="15">
        <v>46.0</v>
      </c>
      <c r="E81" s="51">
        <f t="shared" si="1"/>
        <v>2300</v>
      </c>
      <c r="F81" s="88" t="str">
        <f t="shared" si="2"/>
        <v>46 Callback Appointments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hidden="1">
      <c r="A82" s="6" t="s">
        <v>46</v>
      </c>
      <c r="B82" s="13" t="s">
        <v>1435</v>
      </c>
      <c r="C82" s="13" t="s">
        <v>741</v>
      </c>
      <c r="D82" s="15">
        <v>32.0</v>
      </c>
      <c r="E82" s="51">
        <f t="shared" si="1"/>
        <v>1600</v>
      </c>
      <c r="F82" s="46" t="str">
        <f t="shared" si="2"/>
        <v>32 Callback Appointments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hidden="1">
      <c r="A83" s="6" t="s">
        <v>46</v>
      </c>
      <c r="B83" s="13" t="s">
        <v>900</v>
      </c>
      <c r="C83" s="13" t="s">
        <v>901</v>
      </c>
      <c r="D83" s="15">
        <v>18.0</v>
      </c>
      <c r="E83" s="51">
        <f t="shared" si="1"/>
        <v>900</v>
      </c>
      <c r="F83" s="46" t="str">
        <f t="shared" si="2"/>
        <v>18 Callback Appointments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hidden="1">
      <c r="A84" s="6" t="s">
        <v>48</v>
      </c>
      <c r="B84" s="8" t="s">
        <v>3373</v>
      </c>
      <c r="C84" s="8" t="s">
        <v>3374</v>
      </c>
      <c r="D84" s="9">
        <v>2.0</v>
      </c>
      <c r="E84" s="51">
        <f t="shared" si="1"/>
        <v>100</v>
      </c>
      <c r="F84" s="88" t="str">
        <f t="shared" si="2"/>
        <v>2 Callback Appointments</v>
      </c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</row>
    <row r="85" hidden="1">
      <c r="A85" s="6" t="s">
        <v>48</v>
      </c>
      <c r="B85" s="13" t="s">
        <v>922</v>
      </c>
      <c r="C85" s="13" t="s">
        <v>923</v>
      </c>
      <c r="D85" s="15">
        <v>15.0</v>
      </c>
      <c r="E85" s="45">
        <f t="shared" si="1"/>
        <v>750</v>
      </c>
      <c r="F85" s="46" t="str">
        <f t="shared" si="2"/>
        <v>15 Callback Appointments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hidden="1">
      <c r="A86" s="6" t="s">
        <v>48</v>
      </c>
      <c r="B86" s="8" t="s">
        <v>596</v>
      </c>
      <c r="C86" s="8" t="s">
        <v>597</v>
      </c>
      <c r="D86" s="9">
        <v>24.0</v>
      </c>
      <c r="E86" s="51">
        <f t="shared" si="1"/>
        <v>1200</v>
      </c>
      <c r="F86" s="88" t="str">
        <f t="shared" si="2"/>
        <v>24 Callback Appointments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hidden="1">
      <c r="A87" s="6" t="s">
        <v>48</v>
      </c>
      <c r="B87" s="13" t="s">
        <v>2393</v>
      </c>
      <c r="C87" s="13" t="s">
        <v>2394</v>
      </c>
      <c r="D87" s="15">
        <v>1.0</v>
      </c>
      <c r="E87" s="51">
        <f t="shared" si="1"/>
        <v>50</v>
      </c>
      <c r="F87" s="46" t="str">
        <f t="shared" si="2"/>
        <v>1 Callback Appointments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hidden="1">
      <c r="A88" s="6" t="s">
        <v>48</v>
      </c>
      <c r="B88" s="13" t="s">
        <v>606</v>
      </c>
      <c r="C88" s="13" t="s">
        <v>607</v>
      </c>
      <c r="D88" s="15">
        <v>16.0</v>
      </c>
      <c r="E88" s="51">
        <f t="shared" si="1"/>
        <v>800</v>
      </c>
      <c r="F88" s="46" t="str">
        <f t="shared" si="2"/>
        <v>16 Callback Appointments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hidden="1">
      <c r="A89" s="6" t="s">
        <v>48</v>
      </c>
      <c r="B89" s="13" t="s">
        <v>1059</v>
      </c>
      <c r="C89" s="8" t="s">
        <v>1060</v>
      </c>
      <c r="D89" s="15">
        <v>2.0</v>
      </c>
      <c r="E89" s="51">
        <f t="shared" si="1"/>
        <v>100</v>
      </c>
      <c r="F89" s="46" t="str">
        <f t="shared" si="2"/>
        <v>2 Callback Appointments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hidden="1">
      <c r="A90" s="6" t="s">
        <v>48</v>
      </c>
      <c r="B90" s="13" t="s">
        <v>1181</v>
      </c>
      <c r="C90" s="8" t="s">
        <v>1182</v>
      </c>
      <c r="D90" s="15">
        <v>12.0</v>
      </c>
      <c r="E90" s="51">
        <f t="shared" si="1"/>
        <v>600</v>
      </c>
      <c r="F90" s="46" t="str">
        <f t="shared" si="2"/>
        <v>12 Callback Appointments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hidden="1">
      <c r="A91" s="6" t="s">
        <v>48</v>
      </c>
      <c r="B91" s="8" t="s">
        <v>3375</v>
      </c>
      <c r="C91" s="8" t="s">
        <v>3376</v>
      </c>
      <c r="D91" s="9">
        <v>1.0</v>
      </c>
      <c r="E91" s="51">
        <f t="shared" si="1"/>
        <v>50</v>
      </c>
      <c r="F91" s="88" t="str">
        <f t="shared" si="2"/>
        <v>1 Callback Appointments</v>
      </c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 hidden="1">
      <c r="A92" s="6" t="s">
        <v>48</v>
      </c>
      <c r="B92" s="13" t="s">
        <v>1081</v>
      </c>
      <c r="C92" s="13" t="s">
        <v>1082</v>
      </c>
      <c r="D92" s="15">
        <v>7.0</v>
      </c>
      <c r="E92" s="58">
        <f t="shared" si="1"/>
        <v>350</v>
      </c>
      <c r="F92" s="61" t="str">
        <f t="shared" si="2"/>
        <v>7 Callback Appointments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hidden="1">
      <c r="A93" s="6" t="s">
        <v>48</v>
      </c>
      <c r="B93" s="13" t="s">
        <v>3377</v>
      </c>
      <c r="C93" s="13" t="s">
        <v>3378</v>
      </c>
      <c r="D93" s="15">
        <v>1.0</v>
      </c>
      <c r="E93" s="51">
        <f t="shared" si="1"/>
        <v>50</v>
      </c>
      <c r="F93" s="46" t="str">
        <f t="shared" si="2"/>
        <v>1 Callback Appointments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hidden="1">
      <c r="A94" s="6" t="s">
        <v>48</v>
      </c>
      <c r="B94" s="13" t="s">
        <v>1033</v>
      </c>
      <c r="C94" s="13" t="s">
        <v>1034</v>
      </c>
      <c r="D94" s="15">
        <v>54.0</v>
      </c>
      <c r="E94" s="51">
        <f t="shared" si="1"/>
        <v>2700</v>
      </c>
      <c r="F94" s="88" t="str">
        <f t="shared" si="2"/>
        <v>54 Callback Appointments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hidden="1">
      <c r="A95" s="6" t="s">
        <v>48</v>
      </c>
      <c r="B95" s="8" t="s">
        <v>1435</v>
      </c>
      <c r="C95" s="8" t="s">
        <v>741</v>
      </c>
      <c r="D95" s="9">
        <v>31.0</v>
      </c>
      <c r="E95" s="51">
        <f t="shared" si="1"/>
        <v>1550</v>
      </c>
      <c r="F95" s="88" t="str">
        <f t="shared" si="2"/>
        <v>31 Callback Appointments</v>
      </c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 hidden="1">
      <c r="A96" s="6" t="s">
        <v>48</v>
      </c>
      <c r="B96" s="13" t="s">
        <v>900</v>
      </c>
      <c r="C96" s="13" t="s">
        <v>901</v>
      </c>
      <c r="D96" s="15">
        <v>18.0</v>
      </c>
      <c r="E96" s="51">
        <f t="shared" si="1"/>
        <v>900</v>
      </c>
      <c r="F96" s="46" t="str">
        <f t="shared" si="2"/>
        <v>18 Callback Appointments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hidden="1">
      <c r="A97" s="6" t="s">
        <v>50</v>
      </c>
      <c r="B97" s="8" t="s">
        <v>3373</v>
      </c>
      <c r="C97" s="8" t="s">
        <v>3374</v>
      </c>
      <c r="D97" s="9">
        <v>1.0</v>
      </c>
      <c r="E97" s="51">
        <f t="shared" si="1"/>
        <v>50</v>
      </c>
      <c r="F97" s="88" t="str">
        <f t="shared" si="2"/>
        <v>1 Callback Appointments</v>
      </c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 hidden="1">
      <c r="A98" s="6" t="s">
        <v>50</v>
      </c>
      <c r="B98" s="13" t="s">
        <v>922</v>
      </c>
      <c r="C98" s="8" t="s">
        <v>923</v>
      </c>
      <c r="D98" s="15">
        <v>9.0</v>
      </c>
      <c r="E98" s="51">
        <f t="shared" si="1"/>
        <v>450</v>
      </c>
      <c r="F98" s="46" t="str">
        <f t="shared" si="2"/>
        <v>9 Callback Appointments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hidden="1">
      <c r="A99" s="6" t="s">
        <v>50</v>
      </c>
      <c r="B99" s="8" t="s">
        <v>596</v>
      </c>
      <c r="C99" s="8" t="s">
        <v>597</v>
      </c>
      <c r="D99" s="9">
        <v>26.0</v>
      </c>
      <c r="E99" s="51">
        <f t="shared" si="1"/>
        <v>1300</v>
      </c>
      <c r="F99" s="88" t="str">
        <f t="shared" si="2"/>
        <v>26 Callback Appointments</v>
      </c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  <row r="100" hidden="1">
      <c r="A100" s="6" t="s">
        <v>50</v>
      </c>
      <c r="B100" s="13" t="s">
        <v>2393</v>
      </c>
      <c r="C100" s="13" t="s">
        <v>2394</v>
      </c>
      <c r="D100" s="15">
        <v>1.0</v>
      </c>
      <c r="E100" s="51">
        <f t="shared" si="1"/>
        <v>50</v>
      </c>
      <c r="F100" s="46" t="str">
        <f t="shared" si="2"/>
        <v>1 Callback Appointments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hidden="1">
      <c r="A101" s="6" t="s">
        <v>50</v>
      </c>
      <c r="B101" s="13" t="s">
        <v>606</v>
      </c>
      <c r="C101" s="13" t="s">
        <v>607</v>
      </c>
      <c r="D101" s="15">
        <v>26.0</v>
      </c>
      <c r="E101" s="51">
        <f t="shared" si="1"/>
        <v>1300</v>
      </c>
      <c r="F101" s="46" t="str">
        <f t="shared" si="2"/>
        <v>26 Callback Appointments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hidden="1">
      <c r="A102" s="6" t="s">
        <v>50</v>
      </c>
      <c r="B102" s="13" t="s">
        <v>1059</v>
      </c>
      <c r="C102" s="13" t="s">
        <v>1060</v>
      </c>
      <c r="D102" s="15">
        <v>1.0</v>
      </c>
      <c r="E102" s="51">
        <f t="shared" si="1"/>
        <v>50</v>
      </c>
      <c r="F102" s="46" t="str">
        <f t="shared" si="2"/>
        <v>1 Callback Appointments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hidden="1">
      <c r="A103" s="6" t="s">
        <v>50</v>
      </c>
      <c r="B103" s="13" t="s">
        <v>1181</v>
      </c>
      <c r="C103" s="13" t="s">
        <v>1182</v>
      </c>
      <c r="D103" s="15">
        <v>23.0</v>
      </c>
      <c r="E103" s="45">
        <f t="shared" si="1"/>
        <v>1150</v>
      </c>
      <c r="F103" s="46" t="str">
        <f t="shared" si="2"/>
        <v>23 Callback Appointments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hidden="1">
      <c r="A104" s="6" t="s">
        <v>50</v>
      </c>
      <c r="B104" s="13" t="s">
        <v>3375</v>
      </c>
      <c r="C104" s="8" t="s">
        <v>3376</v>
      </c>
      <c r="D104" s="15">
        <v>1.0</v>
      </c>
      <c r="E104" s="51">
        <f t="shared" si="1"/>
        <v>50</v>
      </c>
      <c r="F104" s="46" t="str">
        <f t="shared" si="2"/>
        <v>1 Callback Appointments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hidden="1">
      <c r="A105" s="6" t="s">
        <v>50</v>
      </c>
      <c r="B105" s="13" t="s">
        <v>1081</v>
      </c>
      <c r="C105" s="13" t="s">
        <v>1082</v>
      </c>
      <c r="D105" s="15">
        <v>6.0</v>
      </c>
      <c r="E105" s="58">
        <f t="shared" si="1"/>
        <v>300</v>
      </c>
      <c r="F105" s="61" t="str">
        <f t="shared" si="2"/>
        <v>6 Callback Appointments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hidden="1">
      <c r="A106" s="6" t="s">
        <v>50</v>
      </c>
      <c r="B106" s="13" t="s">
        <v>3377</v>
      </c>
      <c r="C106" s="13" t="s">
        <v>3378</v>
      </c>
      <c r="D106" s="15">
        <v>2.0</v>
      </c>
      <c r="E106" s="51">
        <f t="shared" si="1"/>
        <v>100</v>
      </c>
      <c r="F106" s="46" t="str">
        <f t="shared" si="2"/>
        <v>2 Callback Appointments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hidden="1">
      <c r="A107" s="6" t="s">
        <v>50</v>
      </c>
      <c r="B107" s="8" t="s">
        <v>1033</v>
      </c>
      <c r="C107" s="8" t="s">
        <v>1034</v>
      </c>
      <c r="D107" s="9">
        <v>40.0</v>
      </c>
      <c r="E107" s="51">
        <f t="shared" si="1"/>
        <v>2000</v>
      </c>
      <c r="F107" s="88" t="str">
        <f t="shared" si="2"/>
        <v>40 Callback Appointments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hidden="1">
      <c r="A108" s="6" t="s">
        <v>50</v>
      </c>
      <c r="B108" s="13" t="s">
        <v>1435</v>
      </c>
      <c r="C108" s="13" t="s">
        <v>741</v>
      </c>
      <c r="D108" s="15">
        <v>35.0</v>
      </c>
      <c r="E108" s="51">
        <f t="shared" si="1"/>
        <v>1750</v>
      </c>
      <c r="F108" s="46" t="str">
        <f t="shared" si="2"/>
        <v>35 Callback Appointments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hidden="1">
      <c r="A109" s="6" t="s">
        <v>50</v>
      </c>
      <c r="B109" s="8" t="s">
        <v>900</v>
      </c>
      <c r="C109" s="8" t="s">
        <v>901</v>
      </c>
      <c r="D109" s="9">
        <v>20.0</v>
      </c>
      <c r="E109" s="51">
        <f t="shared" si="1"/>
        <v>1000</v>
      </c>
      <c r="F109" s="88" t="str">
        <f t="shared" si="2"/>
        <v>20 Callback Appointments</v>
      </c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</row>
    <row r="110" hidden="1">
      <c r="A110" s="6" t="s">
        <v>52</v>
      </c>
      <c r="B110" s="8" t="s">
        <v>433</v>
      </c>
      <c r="C110" s="8" t="s">
        <v>434</v>
      </c>
      <c r="D110" s="9">
        <v>17.0</v>
      </c>
      <c r="E110" s="51">
        <f t="shared" si="1"/>
        <v>850</v>
      </c>
      <c r="F110" s="88" t="str">
        <f t="shared" si="2"/>
        <v>17 Callback Appointments</v>
      </c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</row>
    <row r="111" hidden="1">
      <c r="A111" s="6" t="s">
        <v>52</v>
      </c>
      <c r="B111" s="13" t="s">
        <v>3373</v>
      </c>
      <c r="C111" s="13" t="s">
        <v>3374</v>
      </c>
      <c r="D111" s="15">
        <v>3.0</v>
      </c>
      <c r="E111" s="51">
        <f t="shared" si="1"/>
        <v>150</v>
      </c>
      <c r="F111" s="46" t="str">
        <f t="shared" si="2"/>
        <v>3 Callback Appointments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hidden="1">
      <c r="A112" s="6" t="s">
        <v>52</v>
      </c>
      <c r="B112" s="13" t="s">
        <v>922</v>
      </c>
      <c r="C112" s="8" t="s">
        <v>923</v>
      </c>
      <c r="D112" s="15">
        <v>15.0</v>
      </c>
      <c r="E112" s="51">
        <f t="shared" si="1"/>
        <v>750</v>
      </c>
      <c r="F112" s="46" t="str">
        <f t="shared" si="2"/>
        <v>15 Callback Appointments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hidden="1">
      <c r="A113" s="6" t="s">
        <v>52</v>
      </c>
      <c r="B113" s="13" t="s">
        <v>596</v>
      </c>
      <c r="C113" s="13" t="s">
        <v>597</v>
      </c>
      <c r="D113" s="15">
        <v>28.0</v>
      </c>
      <c r="E113" s="51">
        <f t="shared" si="1"/>
        <v>1400</v>
      </c>
      <c r="F113" s="46" t="str">
        <f t="shared" si="2"/>
        <v>28 Callback Appointments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hidden="1">
      <c r="A114" s="6" t="s">
        <v>52</v>
      </c>
      <c r="B114" s="13" t="s">
        <v>2393</v>
      </c>
      <c r="C114" s="13" t="s">
        <v>2394</v>
      </c>
      <c r="D114" s="15">
        <v>2.0</v>
      </c>
      <c r="E114" s="51">
        <f t="shared" si="1"/>
        <v>100</v>
      </c>
      <c r="F114" s="46" t="str">
        <f t="shared" si="2"/>
        <v>2 Callback Appointments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hidden="1">
      <c r="A115" s="6" t="s">
        <v>52</v>
      </c>
      <c r="B115" s="13" t="s">
        <v>606</v>
      </c>
      <c r="C115" s="13" t="s">
        <v>607</v>
      </c>
      <c r="D115" s="15">
        <v>18.0</v>
      </c>
      <c r="E115" s="51">
        <f t="shared" si="1"/>
        <v>900</v>
      </c>
      <c r="F115" s="46" t="str">
        <f t="shared" si="2"/>
        <v>18 Callback Appointments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hidden="1">
      <c r="A116" s="6" t="s">
        <v>52</v>
      </c>
      <c r="B116" s="13" t="s">
        <v>1059</v>
      </c>
      <c r="C116" s="8" t="s">
        <v>1060</v>
      </c>
      <c r="D116" s="15">
        <v>0.0</v>
      </c>
      <c r="E116" s="51">
        <f t="shared" si="1"/>
        <v>0</v>
      </c>
      <c r="F116" s="46" t="str">
        <f t="shared" si="2"/>
        <v>0 Callback Appointments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hidden="1">
      <c r="A117" s="6" t="s">
        <v>52</v>
      </c>
      <c r="B117" s="13" t="s">
        <v>1181</v>
      </c>
      <c r="C117" s="13" t="s">
        <v>1182</v>
      </c>
      <c r="D117" s="15">
        <v>17.0</v>
      </c>
      <c r="E117" s="45">
        <f t="shared" si="1"/>
        <v>850</v>
      </c>
      <c r="F117" s="46" t="str">
        <f t="shared" si="2"/>
        <v>17 Callback Appointments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hidden="1">
      <c r="A118" s="6" t="s">
        <v>52</v>
      </c>
      <c r="B118" s="8" t="s">
        <v>3375</v>
      </c>
      <c r="C118" s="8" t="s">
        <v>3376</v>
      </c>
      <c r="D118" s="9">
        <v>2.0</v>
      </c>
      <c r="E118" s="51">
        <f t="shared" si="1"/>
        <v>100</v>
      </c>
      <c r="F118" s="88" t="str">
        <f t="shared" si="2"/>
        <v>2 Callback Appointments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hidden="1">
      <c r="A119" s="40" t="s">
        <v>52</v>
      </c>
      <c r="B119" s="77" t="s">
        <v>1081</v>
      </c>
      <c r="C119" s="77" t="s">
        <v>1082</v>
      </c>
      <c r="D119" s="78">
        <v>10.0</v>
      </c>
      <c r="E119" s="58">
        <f t="shared" si="1"/>
        <v>500</v>
      </c>
      <c r="F119" s="61" t="str">
        <f t="shared" si="2"/>
        <v>10 Callback Appointments</v>
      </c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hidden="1">
      <c r="A120" s="6" t="s">
        <v>52</v>
      </c>
      <c r="B120" s="8" t="s">
        <v>3377</v>
      </c>
      <c r="C120" s="8" t="s">
        <v>3378</v>
      </c>
      <c r="D120" s="9">
        <v>0.0</v>
      </c>
      <c r="E120" s="51">
        <f t="shared" si="1"/>
        <v>0</v>
      </c>
      <c r="F120" s="88" t="str">
        <f t="shared" si="2"/>
        <v>0 Callback Appointments</v>
      </c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 hidden="1">
      <c r="A121" s="6" t="s">
        <v>52</v>
      </c>
      <c r="B121" s="13" t="s">
        <v>1033</v>
      </c>
      <c r="C121" s="13" t="s">
        <v>1034</v>
      </c>
      <c r="D121" s="15">
        <v>35.0</v>
      </c>
      <c r="E121" s="51">
        <f t="shared" si="1"/>
        <v>1750</v>
      </c>
      <c r="F121" s="46" t="str">
        <f t="shared" si="2"/>
        <v>35 Callback Appointments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hidden="1">
      <c r="A122" s="6" t="s">
        <v>52</v>
      </c>
      <c r="B122" s="13" t="s">
        <v>1435</v>
      </c>
      <c r="C122" s="13" t="s">
        <v>741</v>
      </c>
      <c r="D122" s="15">
        <v>30.0</v>
      </c>
      <c r="E122" s="51">
        <f t="shared" si="1"/>
        <v>1500</v>
      </c>
      <c r="F122" s="46" t="str">
        <f t="shared" si="2"/>
        <v>30 Callback Appointments</v>
      </c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hidden="1">
      <c r="A123" s="6" t="s">
        <v>52</v>
      </c>
      <c r="B123" s="8" t="s">
        <v>900</v>
      </c>
      <c r="C123" s="8" t="s">
        <v>901</v>
      </c>
      <c r="D123" s="9">
        <v>18.0</v>
      </c>
      <c r="E123" s="51">
        <f t="shared" si="1"/>
        <v>900</v>
      </c>
      <c r="F123" s="88" t="str">
        <f t="shared" si="2"/>
        <v>18 Callback Appointments</v>
      </c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 hidden="1">
      <c r="A124" s="6" t="s">
        <v>55</v>
      </c>
      <c r="B124" s="13" t="s">
        <v>433</v>
      </c>
      <c r="C124" s="13" t="s">
        <v>434</v>
      </c>
      <c r="D124" s="15">
        <v>11.0</v>
      </c>
      <c r="E124" s="51">
        <f t="shared" si="1"/>
        <v>550</v>
      </c>
      <c r="F124" s="46" t="str">
        <f t="shared" si="2"/>
        <v>11 Callback Appointments</v>
      </c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hidden="1">
      <c r="A125" s="6" t="s">
        <v>55</v>
      </c>
      <c r="B125" s="13" t="s">
        <v>3373</v>
      </c>
      <c r="C125" s="8" t="s">
        <v>3374</v>
      </c>
      <c r="D125" s="15">
        <v>2.0</v>
      </c>
      <c r="E125" s="51">
        <f t="shared" si="1"/>
        <v>100</v>
      </c>
      <c r="F125" s="46" t="str">
        <f t="shared" si="2"/>
        <v>2 Callback Appointments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hidden="1">
      <c r="A126" s="6" t="s">
        <v>55</v>
      </c>
      <c r="B126" s="13" t="s">
        <v>922</v>
      </c>
      <c r="C126" s="8" t="s">
        <v>923</v>
      </c>
      <c r="D126" s="15">
        <v>19.0</v>
      </c>
      <c r="E126" s="51">
        <f t="shared" si="1"/>
        <v>950</v>
      </c>
      <c r="F126" s="46" t="str">
        <f t="shared" si="2"/>
        <v>19 Callback Appointments</v>
      </c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hidden="1">
      <c r="A127" s="6" t="s">
        <v>55</v>
      </c>
      <c r="B127" s="13" t="s">
        <v>596</v>
      </c>
      <c r="C127" s="13" t="s">
        <v>597</v>
      </c>
      <c r="D127" s="15">
        <v>0.0</v>
      </c>
      <c r="E127" s="45">
        <f t="shared" si="1"/>
        <v>0</v>
      </c>
      <c r="F127" s="46" t="str">
        <f t="shared" si="2"/>
        <v>0 Callback Appointments</v>
      </c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hidden="1">
      <c r="A128" s="6" t="s">
        <v>55</v>
      </c>
      <c r="B128" s="8" t="s">
        <v>2393</v>
      </c>
      <c r="C128" s="8" t="s">
        <v>2394</v>
      </c>
      <c r="D128" s="9">
        <v>4.0</v>
      </c>
      <c r="E128" s="51">
        <f t="shared" si="1"/>
        <v>200</v>
      </c>
      <c r="F128" s="88" t="str">
        <f t="shared" si="2"/>
        <v>4 Callback Appointments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hidden="1">
      <c r="A129" s="6" t="s">
        <v>55</v>
      </c>
      <c r="B129" s="13" t="s">
        <v>606</v>
      </c>
      <c r="C129" s="13" t="s">
        <v>607</v>
      </c>
      <c r="D129" s="15">
        <v>17.0</v>
      </c>
      <c r="E129" s="45">
        <f t="shared" si="1"/>
        <v>850</v>
      </c>
      <c r="F129" s="46" t="str">
        <f t="shared" si="2"/>
        <v>17 Callback Appointments</v>
      </c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hidden="1">
      <c r="A130" s="6" t="s">
        <v>55</v>
      </c>
      <c r="B130" s="13" t="s">
        <v>1059</v>
      </c>
      <c r="C130" s="13" t="s">
        <v>1060</v>
      </c>
      <c r="D130" s="15">
        <v>1.0</v>
      </c>
      <c r="E130" s="51">
        <f t="shared" si="1"/>
        <v>50</v>
      </c>
      <c r="F130" s="46" t="str">
        <f t="shared" si="2"/>
        <v>1 Callback Appointments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hidden="1">
      <c r="A131" s="6" t="s">
        <v>55</v>
      </c>
      <c r="B131" s="8" t="s">
        <v>1181</v>
      </c>
      <c r="C131" s="8" t="s">
        <v>1182</v>
      </c>
      <c r="D131" s="9">
        <v>37.0</v>
      </c>
      <c r="E131" s="51">
        <f t="shared" si="1"/>
        <v>1850</v>
      </c>
      <c r="F131" s="88" t="str">
        <f t="shared" si="2"/>
        <v>37 Callback Appointments</v>
      </c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 hidden="1">
      <c r="A132" s="6" t="s">
        <v>55</v>
      </c>
      <c r="B132" s="13" t="s">
        <v>3375</v>
      </c>
      <c r="C132" s="13" t="s">
        <v>3376</v>
      </c>
      <c r="D132" s="15">
        <v>2.0</v>
      </c>
      <c r="E132" s="51">
        <f t="shared" si="1"/>
        <v>100</v>
      </c>
      <c r="F132" s="46" t="str">
        <f t="shared" si="2"/>
        <v>2 Callback Appointments</v>
      </c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hidden="1">
      <c r="A133" s="40" t="s">
        <v>55</v>
      </c>
      <c r="B133" s="77" t="s">
        <v>1081</v>
      </c>
      <c r="C133" s="77" t="s">
        <v>1082</v>
      </c>
      <c r="D133" s="78">
        <v>4.0</v>
      </c>
      <c r="E133" s="58">
        <f t="shared" si="1"/>
        <v>200</v>
      </c>
      <c r="F133" s="61" t="str">
        <f t="shared" si="2"/>
        <v>4 Callback Appointments</v>
      </c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hidden="1">
      <c r="A134" s="6" t="s">
        <v>55</v>
      </c>
      <c r="B134" s="13" t="s">
        <v>3377</v>
      </c>
      <c r="C134" s="13" t="s">
        <v>3378</v>
      </c>
      <c r="D134" s="15">
        <v>1.0</v>
      </c>
      <c r="E134" s="51">
        <f t="shared" si="1"/>
        <v>50</v>
      </c>
      <c r="F134" s="46" t="str">
        <f t="shared" si="2"/>
        <v>1 Callback Appointments</v>
      </c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hidden="1">
      <c r="A135" s="6" t="s">
        <v>55</v>
      </c>
      <c r="B135" s="13" t="s">
        <v>1033</v>
      </c>
      <c r="C135" s="13" t="s">
        <v>1034</v>
      </c>
      <c r="D135" s="15">
        <v>44.0</v>
      </c>
      <c r="E135" s="51">
        <f t="shared" si="1"/>
        <v>2200</v>
      </c>
      <c r="F135" s="46" t="str">
        <f t="shared" si="2"/>
        <v>44 Callback Appointments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hidden="1">
      <c r="A136" s="6" t="s">
        <v>55</v>
      </c>
      <c r="B136" s="13" t="s">
        <v>1435</v>
      </c>
      <c r="C136" s="13" t="s">
        <v>741</v>
      </c>
      <c r="D136" s="15">
        <v>40.0</v>
      </c>
      <c r="E136" s="51">
        <f t="shared" si="1"/>
        <v>2000</v>
      </c>
      <c r="F136" s="46" t="str">
        <f t="shared" si="2"/>
        <v>40 Callback Appointments</v>
      </c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hidden="1">
      <c r="A137" s="6" t="s">
        <v>55</v>
      </c>
      <c r="B137" s="8" t="s">
        <v>900</v>
      </c>
      <c r="C137" s="8" t="s">
        <v>901</v>
      </c>
      <c r="D137" s="9">
        <v>19.0</v>
      </c>
      <c r="E137" s="51">
        <f t="shared" si="1"/>
        <v>950</v>
      </c>
      <c r="F137" s="88" t="str">
        <f t="shared" si="2"/>
        <v>19 Callback Appointments</v>
      </c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 hidden="1">
      <c r="A138" s="6" t="s">
        <v>57</v>
      </c>
      <c r="B138" s="13" t="s">
        <v>3373</v>
      </c>
      <c r="C138" s="8" t="s">
        <v>3374</v>
      </c>
      <c r="D138" s="15">
        <v>0.0</v>
      </c>
      <c r="E138" s="51">
        <f t="shared" si="1"/>
        <v>0</v>
      </c>
      <c r="F138" s="46" t="str">
        <f t="shared" si="2"/>
        <v>0 Callback Appointments</v>
      </c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hidden="1">
      <c r="A139" s="6" t="s">
        <v>57</v>
      </c>
      <c r="B139" s="13" t="s">
        <v>922</v>
      </c>
      <c r="C139" s="13" t="s">
        <v>923</v>
      </c>
      <c r="D139" s="15">
        <v>17.0</v>
      </c>
      <c r="E139" s="51">
        <f t="shared" si="1"/>
        <v>850</v>
      </c>
      <c r="F139" s="46" t="str">
        <f t="shared" si="2"/>
        <v>17 Callback Appointments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hidden="1">
      <c r="A140" s="6" t="s">
        <v>57</v>
      </c>
      <c r="B140" s="8" t="s">
        <v>596</v>
      </c>
      <c r="C140" s="8" t="s">
        <v>597</v>
      </c>
      <c r="D140" s="9">
        <v>26.0</v>
      </c>
      <c r="E140" s="51">
        <f t="shared" si="1"/>
        <v>1300</v>
      </c>
      <c r="F140" s="88" t="str">
        <f t="shared" si="2"/>
        <v>26 Callback Appointments</v>
      </c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 hidden="1">
      <c r="A141" s="6" t="s">
        <v>57</v>
      </c>
      <c r="B141" s="13" t="s">
        <v>2393</v>
      </c>
      <c r="C141" s="13" t="s">
        <v>2394</v>
      </c>
      <c r="D141" s="15">
        <v>0.0</v>
      </c>
      <c r="E141" s="51">
        <f t="shared" si="1"/>
        <v>0</v>
      </c>
      <c r="F141" s="46" t="str">
        <f t="shared" si="2"/>
        <v>0 Callback Appointments</v>
      </c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hidden="1">
      <c r="A142" s="6" t="s">
        <v>57</v>
      </c>
      <c r="B142" s="13" t="s">
        <v>606</v>
      </c>
      <c r="C142" s="13" t="s">
        <v>607</v>
      </c>
      <c r="D142" s="15">
        <v>12.0</v>
      </c>
      <c r="E142" s="51">
        <f t="shared" si="1"/>
        <v>600</v>
      </c>
      <c r="F142" s="46" t="str">
        <f t="shared" si="2"/>
        <v>12 Callback Appointments</v>
      </c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hidden="1">
      <c r="A143" s="6" t="s">
        <v>57</v>
      </c>
      <c r="B143" s="8" t="s">
        <v>1059</v>
      </c>
      <c r="C143" s="8" t="s">
        <v>1060</v>
      </c>
      <c r="D143" s="9">
        <v>0.0</v>
      </c>
      <c r="E143" s="51">
        <f t="shared" si="1"/>
        <v>0</v>
      </c>
      <c r="F143" s="88" t="str">
        <f t="shared" si="2"/>
        <v>0 Callback Appointments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hidden="1">
      <c r="A144" s="6" t="s">
        <v>57</v>
      </c>
      <c r="B144" s="13" t="s">
        <v>1181</v>
      </c>
      <c r="C144" s="13" t="s">
        <v>1182</v>
      </c>
      <c r="D144" s="15">
        <v>25.0</v>
      </c>
      <c r="E144" s="51">
        <f t="shared" si="1"/>
        <v>1250</v>
      </c>
      <c r="F144" s="46" t="str">
        <f t="shared" si="2"/>
        <v>25 Callback Appointments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hidden="1">
      <c r="A145" s="6" t="s">
        <v>57</v>
      </c>
      <c r="B145" s="13" t="s">
        <v>3375</v>
      </c>
      <c r="C145" s="13" t="s">
        <v>3376</v>
      </c>
      <c r="D145" s="15">
        <v>0.0</v>
      </c>
      <c r="E145" s="51">
        <f t="shared" si="1"/>
        <v>0</v>
      </c>
      <c r="F145" s="46" t="str">
        <f t="shared" si="2"/>
        <v>0 Callback Appointments</v>
      </c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hidden="1">
      <c r="A146" s="40" t="s">
        <v>57</v>
      </c>
      <c r="B146" s="77" t="s">
        <v>1081</v>
      </c>
      <c r="C146" s="77" t="s">
        <v>1082</v>
      </c>
      <c r="D146" s="78">
        <v>9.0</v>
      </c>
      <c r="E146" s="58">
        <f t="shared" si="1"/>
        <v>450</v>
      </c>
      <c r="F146" s="61" t="str">
        <f t="shared" si="2"/>
        <v>9 Callback Appointments</v>
      </c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hidden="1">
      <c r="A147" s="6" t="s">
        <v>57</v>
      </c>
      <c r="B147" s="13" t="s">
        <v>3377</v>
      </c>
      <c r="C147" s="13" t="s">
        <v>3378</v>
      </c>
      <c r="D147" s="15">
        <v>1.0</v>
      </c>
      <c r="E147" s="45">
        <f t="shared" si="1"/>
        <v>50</v>
      </c>
      <c r="F147" s="46" t="str">
        <f t="shared" si="2"/>
        <v>1 Callback Appointments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hidden="1">
      <c r="A148" s="71" t="s">
        <v>57</v>
      </c>
      <c r="B148" s="13" t="s">
        <v>1033</v>
      </c>
      <c r="C148" s="13" t="s">
        <v>1034</v>
      </c>
      <c r="D148" s="15">
        <v>48.0</v>
      </c>
      <c r="E148" s="45">
        <f t="shared" si="1"/>
        <v>2400</v>
      </c>
      <c r="F148" s="46" t="str">
        <f t="shared" si="2"/>
        <v>48 Callback Appointments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hidden="1">
      <c r="A149" s="6" t="s">
        <v>57</v>
      </c>
      <c r="B149" s="13" t="s">
        <v>1435</v>
      </c>
      <c r="C149" s="13" t="s">
        <v>741</v>
      </c>
      <c r="D149" s="15">
        <v>25.0</v>
      </c>
      <c r="E149" s="51">
        <f t="shared" si="1"/>
        <v>1250</v>
      </c>
      <c r="F149" s="46" t="str">
        <f t="shared" si="2"/>
        <v>25 Callback Appointments</v>
      </c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hidden="1">
      <c r="A150" s="6" t="s">
        <v>57</v>
      </c>
      <c r="B150" s="13" t="s">
        <v>900</v>
      </c>
      <c r="C150" s="13" t="s">
        <v>901</v>
      </c>
      <c r="D150" s="15">
        <v>21.0</v>
      </c>
      <c r="E150" s="51">
        <f t="shared" si="1"/>
        <v>1050</v>
      </c>
      <c r="F150" s="46" t="str">
        <f t="shared" si="2"/>
        <v>21 Callback Appointments</v>
      </c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hidden="1">
      <c r="A151" s="6" t="s">
        <v>59</v>
      </c>
      <c r="B151" s="13" t="s">
        <v>3373</v>
      </c>
      <c r="C151" s="8" t="s">
        <v>3374</v>
      </c>
      <c r="D151" s="15">
        <v>0.0</v>
      </c>
      <c r="E151" s="51">
        <f t="shared" si="1"/>
        <v>0</v>
      </c>
      <c r="F151" s="46" t="str">
        <f t="shared" si="2"/>
        <v>0 Callback Appointments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hidden="1">
      <c r="A152" s="6" t="s">
        <v>59</v>
      </c>
      <c r="B152" s="13" t="s">
        <v>922</v>
      </c>
      <c r="C152" s="13" t="s">
        <v>923</v>
      </c>
      <c r="D152" s="15">
        <v>20.0</v>
      </c>
      <c r="E152" s="51">
        <f t="shared" si="1"/>
        <v>1000</v>
      </c>
      <c r="F152" s="46" t="str">
        <f t="shared" si="2"/>
        <v>20 Callback Appointments</v>
      </c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hidden="1">
      <c r="A153" s="6" t="s">
        <v>59</v>
      </c>
      <c r="B153" s="8" t="s">
        <v>596</v>
      </c>
      <c r="C153" s="8" t="s">
        <v>597</v>
      </c>
      <c r="D153" s="9">
        <v>24.0</v>
      </c>
      <c r="E153" s="51">
        <f t="shared" si="1"/>
        <v>1200</v>
      </c>
      <c r="F153" s="88" t="str">
        <f t="shared" si="2"/>
        <v>24 Callback Appointments</v>
      </c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hidden="1">
      <c r="A154" s="6" t="s">
        <v>59</v>
      </c>
      <c r="B154" s="13" t="s">
        <v>2393</v>
      </c>
      <c r="C154" s="13" t="s">
        <v>2394</v>
      </c>
      <c r="D154" s="15">
        <v>0.0</v>
      </c>
      <c r="E154" s="51">
        <f t="shared" si="1"/>
        <v>0</v>
      </c>
      <c r="F154" s="46" t="str">
        <f t="shared" si="2"/>
        <v>0 Callback Appointments</v>
      </c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hidden="1">
      <c r="A155" s="6" t="s">
        <v>59</v>
      </c>
      <c r="B155" s="13" t="s">
        <v>606</v>
      </c>
      <c r="C155" s="13" t="s">
        <v>607</v>
      </c>
      <c r="D155" s="15">
        <v>25.0</v>
      </c>
      <c r="E155" s="51">
        <f t="shared" si="1"/>
        <v>1250</v>
      </c>
      <c r="F155" s="46" t="str">
        <f t="shared" si="2"/>
        <v>25 Callback Appointments</v>
      </c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hidden="1">
      <c r="A156" s="6" t="s">
        <v>59</v>
      </c>
      <c r="B156" s="8" t="s">
        <v>1059</v>
      </c>
      <c r="C156" s="8" t="s">
        <v>1060</v>
      </c>
      <c r="D156" s="9">
        <v>2.0</v>
      </c>
      <c r="E156" s="51">
        <f t="shared" si="1"/>
        <v>100</v>
      </c>
      <c r="F156" s="88" t="str">
        <f t="shared" si="2"/>
        <v>2 Callback Appointments</v>
      </c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 hidden="1">
      <c r="A157" s="6" t="s">
        <v>59</v>
      </c>
      <c r="B157" s="13" t="s">
        <v>1181</v>
      </c>
      <c r="C157" s="13" t="s">
        <v>1182</v>
      </c>
      <c r="D157" s="15">
        <v>23.0</v>
      </c>
      <c r="E157" s="51">
        <f t="shared" si="1"/>
        <v>1150</v>
      </c>
      <c r="F157" s="46" t="str">
        <f t="shared" si="2"/>
        <v>23 Callback Appointments</v>
      </c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hidden="1">
      <c r="A158" s="6" t="s">
        <v>59</v>
      </c>
      <c r="B158" s="13" t="s">
        <v>3375</v>
      </c>
      <c r="C158" s="13" t="s">
        <v>3376</v>
      </c>
      <c r="D158" s="15">
        <v>2.0</v>
      </c>
      <c r="E158" s="45">
        <f t="shared" si="1"/>
        <v>100</v>
      </c>
      <c r="F158" s="46" t="str">
        <f t="shared" si="2"/>
        <v>2 Callback Appointments</v>
      </c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hidden="1">
      <c r="A159" s="40" t="s">
        <v>59</v>
      </c>
      <c r="B159" s="77" t="s">
        <v>1081</v>
      </c>
      <c r="C159" s="77" t="s">
        <v>1082</v>
      </c>
      <c r="D159" s="78">
        <v>15.0</v>
      </c>
      <c r="E159" s="58">
        <f t="shared" si="1"/>
        <v>750</v>
      </c>
      <c r="F159" s="61" t="str">
        <f t="shared" si="2"/>
        <v>15 Callback Appointments</v>
      </c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hidden="1">
      <c r="A160" s="6" t="s">
        <v>59</v>
      </c>
      <c r="B160" s="13" t="s">
        <v>3377</v>
      </c>
      <c r="C160" s="13" t="s">
        <v>3378</v>
      </c>
      <c r="D160" s="15">
        <v>2.0</v>
      </c>
      <c r="E160" s="51">
        <f t="shared" si="1"/>
        <v>100</v>
      </c>
      <c r="F160" s="46" t="str">
        <f t="shared" si="2"/>
        <v>2 Callback Appointments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hidden="1">
      <c r="A161" s="6" t="s">
        <v>59</v>
      </c>
      <c r="B161" s="8" t="s">
        <v>1033</v>
      </c>
      <c r="C161" s="8" t="s">
        <v>1034</v>
      </c>
      <c r="D161" s="9">
        <v>43.0</v>
      </c>
      <c r="E161" s="51">
        <f t="shared" si="1"/>
        <v>2150</v>
      </c>
      <c r="F161" s="88" t="str">
        <f t="shared" si="2"/>
        <v>43 Callback Appointments</v>
      </c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 hidden="1">
      <c r="A162" s="6" t="s">
        <v>59</v>
      </c>
      <c r="B162" s="13" t="s">
        <v>1435</v>
      </c>
      <c r="C162" s="13" t="s">
        <v>741</v>
      </c>
      <c r="D162" s="15">
        <v>19.0</v>
      </c>
      <c r="E162" s="51">
        <f t="shared" si="1"/>
        <v>950</v>
      </c>
      <c r="F162" s="46" t="str">
        <f t="shared" si="2"/>
        <v>19 Callback Appointments</v>
      </c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hidden="1">
      <c r="A163" s="6" t="s">
        <v>59</v>
      </c>
      <c r="B163" s="13" t="s">
        <v>900</v>
      </c>
      <c r="C163" s="13" t="s">
        <v>901</v>
      </c>
      <c r="D163" s="15">
        <v>23.0</v>
      </c>
      <c r="E163" s="51">
        <f t="shared" si="1"/>
        <v>1150</v>
      </c>
      <c r="F163" s="46" t="str">
        <f t="shared" si="2"/>
        <v>23 Callback Appointments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hidden="1">
      <c r="A164" s="6" t="s">
        <v>62</v>
      </c>
      <c r="B164" s="13" t="s">
        <v>3373</v>
      </c>
      <c r="C164" s="8" t="s">
        <v>3374</v>
      </c>
      <c r="D164" s="15">
        <v>0.0</v>
      </c>
      <c r="E164" s="51">
        <f t="shared" si="1"/>
        <v>0</v>
      </c>
      <c r="F164" s="46" t="str">
        <f t="shared" si="2"/>
        <v>0 Callback Appointments</v>
      </c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hidden="1">
      <c r="A165" s="6" t="s">
        <v>62</v>
      </c>
      <c r="B165" s="13" t="s">
        <v>922</v>
      </c>
      <c r="C165" s="13" t="s">
        <v>923</v>
      </c>
      <c r="D165" s="15">
        <v>5.0</v>
      </c>
      <c r="E165" s="51">
        <f t="shared" si="1"/>
        <v>250</v>
      </c>
      <c r="F165" s="46" t="str">
        <f t="shared" si="2"/>
        <v>5 Callback Appointments</v>
      </c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hidden="1">
      <c r="A166" s="6" t="s">
        <v>62</v>
      </c>
      <c r="B166" s="8" t="s">
        <v>596</v>
      </c>
      <c r="C166" s="8" t="s">
        <v>597</v>
      </c>
      <c r="D166" s="9">
        <v>12.0</v>
      </c>
      <c r="E166" s="51">
        <f t="shared" si="1"/>
        <v>600</v>
      </c>
      <c r="F166" s="88" t="str">
        <f t="shared" si="2"/>
        <v>12 Callback Appointments</v>
      </c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 hidden="1">
      <c r="A167" s="6" t="s">
        <v>62</v>
      </c>
      <c r="B167" s="13" t="s">
        <v>2393</v>
      </c>
      <c r="C167" s="13" t="s">
        <v>2394</v>
      </c>
      <c r="D167" s="15">
        <v>6.0</v>
      </c>
      <c r="E167" s="51">
        <f t="shared" si="1"/>
        <v>300</v>
      </c>
      <c r="F167" s="46" t="str">
        <f t="shared" si="2"/>
        <v>6 Callback Appointments</v>
      </c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hidden="1">
      <c r="A168" s="6" t="s">
        <v>62</v>
      </c>
      <c r="B168" s="13" t="s">
        <v>606</v>
      </c>
      <c r="C168" s="13" t="s">
        <v>607</v>
      </c>
      <c r="D168" s="15">
        <v>12.0</v>
      </c>
      <c r="E168" s="45">
        <f t="shared" si="1"/>
        <v>600</v>
      </c>
      <c r="F168" s="46" t="str">
        <f t="shared" si="2"/>
        <v>12 Callback Appointments</v>
      </c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hidden="1">
      <c r="A169" s="6" t="s">
        <v>62</v>
      </c>
      <c r="B169" s="13" t="s">
        <v>1059</v>
      </c>
      <c r="C169" s="8" t="s">
        <v>1060</v>
      </c>
      <c r="D169" s="15">
        <v>0.0</v>
      </c>
      <c r="E169" s="51">
        <f t="shared" si="1"/>
        <v>0</v>
      </c>
      <c r="F169" s="88" t="str">
        <f t="shared" si="2"/>
        <v>0 Callback Appointments</v>
      </c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hidden="1">
      <c r="A170" s="6" t="s">
        <v>62</v>
      </c>
      <c r="B170" s="13" t="s">
        <v>1181</v>
      </c>
      <c r="C170" s="13" t="s">
        <v>1182</v>
      </c>
      <c r="D170" s="15">
        <v>6.0</v>
      </c>
      <c r="E170" s="51">
        <f t="shared" si="1"/>
        <v>300</v>
      </c>
      <c r="F170" s="46" t="str">
        <f t="shared" si="2"/>
        <v>6 Callback Appointments</v>
      </c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hidden="1">
      <c r="A171" s="6" t="s">
        <v>62</v>
      </c>
      <c r="B171" s="13" t="s">
        <v>3375</v>
      </c>
      <c r="C171" s="13" t="s">
        <v>3376</v>
      </c>
      <c r="D171" s="15">
        <v>0.0</v>
      </c>
      <c r="E171" s="51">
        <f t="shared" si="1"/>
        <v>0</v>
      </c>
      <c r="F171" s="46" t="str">
        <f t="shared" si="2"/>
        <v>0 Callback Appointments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hidden="1">
      <c r="A172" s="6" t="s">
        <v>62</v>
      </c>
      <c r="B172" s="77" t="s">
        <v>1081</v>
      </c>
      <c r="C172" s="77" t="s">
        <v>1082</v>
      </c>
      <c r="D172" s="78">
        <v>11.0</v>
      </c>
      <c r="E172" s="58">
        <f t="shared" si="1"/>
        <v>550</v>
      </c>
      <c r="F172" s="61" t="str">
        <f t="shared" si="2"/>
        <v>11 Callback Appointments</v>
      </c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hidden="1">
      <c r="A173" s="6" t="s">
        <v>62</v>
      </c>
      <c r="B173" s="13" t="s">
        <v>3377</v>
      </c>
      <c r="C173" s="13" t="s">
        <v>3378</v>
      </c>
      <c r="D173" s="15">
        <v>1.0</v>
      </c>
      <c r="E173" s="51">
        <f t="shared" si="1"/>
        <v>50</v>
      </c>
      <c r="F173" s="46" t="str">
        <f t="shared" si="2"/>
        <v>1 Callback Appointments</v>
      </c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hidden="1">
      <c r="A174" s="6" t="s">
        <v>62</v>
      </c>
      <c r="B174" s="8" t="s">
        <v>1033</v>
      </c>
      <c r="C174" s="8" t="s">
        <v>1034</v>
      </c>
      <c r="D174" s="9">
        <v>33.0</v>
      </c>
      <c r="E174" s="51">
        <f t="shared" si="1"/>
        <v>1650</v>
      </c>
      <c r="F174" s="88" t="str">
        <f t="shared" si="2"/>
        <v>33 Callback Appointments</v>
      </c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hidden="1">
      <c r="A175" s="6" t="s">
        <v>62</v>
      </c>
      <c r="B175" s="13" t="s">
        <v>1435</v>
      </c>
      <c r="C175" s="13" t="s">
        <v>741</v>
      </c>
      <c r="D175" s="15">
        <v>13.0</v>
      </c>
      <c r="E175" s="51">
        <f t="shared" si="1"/>
        <v>650</v>
      </c>
      <c r="F175" s="46" t="str">
        <f t="shared" si="2"/>
        <v>13 Callback Appointments</v>
      </c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hidden="1">
      <c r="A176" s="6" t="s">
        <v>62</v>
      </c>
      <c r="B176" s="13" t="s">
        <v>900</v>
      </c>
      <c r="C176" s="13" t="s">
        <v>901</v>
      </c>
      <c r="D176" s="15">
        <v>8.0</v>
      </c>
      <c r="E176" s="51">
        <f t="shared" si="1"/>
        <v>400</v>
      </c>
      <c r="F176" s="46" t="str">
        <f t="shared" si="2"/>
        <v>8 Callback Appointments</v>
      </c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hidden="1">
      <c r="A177" s="6" t="s">
        <v>63</v>
      </c>
      <c r="B177" s="13" t="s">
        <v>3373</v>
      </c>
      <c r="C177" s="8" t="s">
        <v>3374</v>
      </c>
      <c r="D177" s="15">
        <v>0.0</v>
      </c>
      <c r="E177" s="51">
        <f t="shared" si="1"/>
        <v>0</v>
      </c>
      <c r="F177" s="46" t="str">
        <f t="shared" si="2"/>
        <v>0 Callback Appointments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hidden="1">
      <c r="A178" s="6" t="s">
        <v>63</v>
      </c>
      <c r="B178" s="13" t="s">
        <v>922</v>
      </c>
      <c r="C178" s="13" t="s">
        <v>923</v>
      </c>
      <c r="D178" s="15">
        <v>5.0</v>
      </c>
      <c r="E178" s="51">
        <f t="shared" si="1"/>
        <v>250</v>
      </c>
      <c r="F178" s="46" t="str">
        <f t="shared" si="2"/>
        <v>5 Callback Appointments</v>
      </c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hidden="1">
      <c r="A179" s="6" t="s">
        <v>63</v>
      </c>
      <c r="B179" s="13" t="s">
        <v>596</v>
      </c>
      <c r="C179" s="8" t="s">
        <v>597</v>
      </c>
      <c r="D179" s="15">
        <v>6.0</v>
      </c>
      <c r="E179" s="51">
        <f t="shared" si="1"/>
        <v>300</v>
      </c>
      <c r="F179" s="88" t="str">
        <f t="shared" si="2"/>
        <v>6 Callback Appointments</v>
      </c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hidden="1">
      <c r="A180" s="6" t="s">
        <v>63</v>
      </c>
      <c r="B180" s="13" t="s">
        <v>2393</v>
      </c>
      <c r="C180" s="13" t="s">
        <v>2394</v>
      </c>
      <c r="D180" s="15">
        <v>2.0</v>
      </c>
      <c r="E180" s="51">
        <f t="shared" si="1"/>
        <v>100</v>
      </c>
      <c r="F180" s="46" t="str">
        <f t="shared" si="2"/>
        <v>2 Callback Appointments</v>
      </c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hidden="1">
      <c r="A181" s="6" t="s">
        <v>63</v>
      </c>
      <c r="B181" s="13" t="s">
        <v>606</v>
      </c>
      <c r="C181" s="13" t="s">
        <v>607</v>
      </c>
      <c r="D181" s="15">
        <v>6.0</v>
      </c>
      <c r="E181" s="51">
        <f t="shared" si="1"/>
        <v>300</v>
      </c>
      <c r="F181" s="46" t="str">
        <f t="shared" si="2"/>
        <v>6 Callback Appointments</v>
      </c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hidden="1">
      <c r="A182" s="6" t="s">
        <v>63</v>
      </c>
      <c r="B182" s="13" t="s">
        <v>1059</v>
      </c>
      <c r="C182" s="13" t="s">
        <v>1060</v>
      </c>
      <c r="D182" s="15">
        <v>2.0</v>
      </c>
      <c r="E182" s="51">
        <f t="shared" si="1"/>
        <v>100</v>
      </c>
      <c r="F182" s="46" t="str">
        <f t="shared" si="2"/>
        <v>2 Callback Appointments</v>
      </c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hidden="1">
      <c r="A183" s="6" t="s">
        <v>63</v>
      </c>
      <c r="B183" s="13" t="s">
        <v>1181</v>
      </c>
      <c r="C183" s="13" t="s">
        <v>1182</v>
      </c>
      <c r="D183" s="15">
        <v>4.0</v>
      </c>
      <c r="E183" s="51">
        <f t="shared" si="1"/>
        <v>200</v>
      </c>
      <c r="F183" s="46" t="str">
        <f t="shared" si="2"/>
        <v>4 Callback Appointments</v>
      </c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hidden="1">
      <c r="A184" s="6" t="s">
        <v>63</v>
      </c>
      <c r="B184" s="13" t="s">
        <v>3375</v>
      </c>
      <c r="C184" s="13" t="s">
        <v>3376</v>
      </c>
      <c r="D184" s="15">
        <v>0.0</v>
      </c>
      <c r="E184" s="51">
        <f t="shared" si="1"/>
        <v>0</v>
      </c>
      <c r="F184" s="46" t="str">
        <f t="shared" si="2"/>
        <v>0 Callback Appointments</v>
      </c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hidden="1">
      <c r="A185" s="40" t="s">
        <v>63</v>
      </c>
      <c r="B185" s="77" t="s">
        <v>1081</v>
      </c>
      <c r="C185" s="77" t="s">
        <v>1082</v>
      </c>
      <c r="D185" s="78">
        <v>3.0</v>
      </c>
      <c r="E185" s="58">
        <f t="shared" si="1"/>
        <v>150</v>
      </c>
      <c r="F185" s="61" t="str">
        <f t="shared" si="2"/>
        <v>3 Callback Appointments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hidden="1">
      <c r="A186" s="6" t="s">
        <v>63</v>
      </c>
      <c r="B186" s="13" t="s">
        <v>3377</v>
      </c>
      <c r="C186" s="13" t="s">
        <v>3378</v>
      </c>
      <c r="D186" s="15">
        <v>0.0</v>
      </c>
      <c r="E186" s="51">
        <f t="shared" si="1"/>
        <v>0</v>
      </c>
      <c r="F186" s="46" t="str">
        <f t="shared" si="2"/>
        <v>0 Callback Appointments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hidden="1">
      <c r="A187" s="6" t="s">
        <v>63</v>
      </c>
      <c r="B187" s="8" t="s">
        <v>1033</v>
      </c>
      <c r="C187" s="8" t="s">
        <v>1034</v>
      </c>
      <c r="D187" s="9">
        <v>15.0</v>
      </c>
      <c r="E187" s="51">
        <f t="shared" si="1"/>
        <v>750</v>
      </c>
      <c r="F187" s="88" t="str">
        <f t="shared" si="2"/>
        <v>15 Callback Appointments</v>
      </c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 hidden="1">
      <c r="A188" s="6" t="s">
        <v>63</v>
      </c>
      <c r="B188" s="13" t="s">
        <v>1435</v>
      </c>
      <c r="C188" s="13" t="s">
        <v>741</v>
      </c>
      <c r="D188" s="15">
        <v>4.0</v>
      </c>
      <c r="E188" s="45">
        <f t="shared" si="1"/>
        <v>200</v>
      </c>
      <c r="F188" s="46" t="str">
        <f t="shared" si="2"/>
        <v>4 Callback Appointments</v>
      </c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hidden="1">
      <c r="A189" s="6" t="s">
        <v>63</v>
      </c>
      <c r="B189" s="13" t="s">
        <v>900</v>
      </c>
      <c r="C189" s="13" t="s">
        <v>901</v>
      </c>
      <c r="D189" s="15">
        <v>4.0</v>
      </c>
      <c r="E189" s="51">
        <f t="shared" si="1"/>
        <v>200</v>
      </c>
      <c r="F189" s="46" t="str">
        <f t="shared" si="2"/>
        <v>4 Callback Appointments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hidden="1">
      <c r="A190" s="6" t="s">
        <v>65</v>
      </c>
      <c r="B190" s="13" t="s">
        <v>3373</v>
      </c>
      <c r="C190" s="8" t="s">
        <v>3374</v>
      </c>
      <c r="D190" s="15">
        <v>2.0</v>
      </c>
      <c r="E190" s="51">
        <f t="shared" si="1"/>
        <v>100</v>
      </c>
      <c r="F190" s="46" t="str">
        <f t="shared" si="2"/>
        <v>2 Callback Appointments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hidden="1">
      <c r="A191" s="6" t="s">
        <v>65</v>
      </c>
      <c r="B191" s="13" t="s">
        <v>922</v>
      </c>
      <c r="C191" s="13" t="s">
        <v>923</v>
      </c>
      <c r="D191" s="15">
        <v>16.0</v>
      </c>
      <c r="E191" s="51">
        <f t="shared" si="1"/>
        <v>800</v>
      </c>
      <c r="F191" s="46" t="str">
        <f t="shared" si="2"/>
        <v>16 Callback Appointments</v>
      </c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hidden="1">
      <c r="A192" s="6" t="s">
        <v>65</v>
      </c>
      <c r="B192" s="13" t="s">
        <v>596</v>
      </c>
      <c r="C192" s="13" t="s">
        <v>597</v>
      </c>
      <c r="D192" s="15">
        <v>20.0</v>
      </c>
      <c r="E192" s="51">
        <f t="shared" si="1"/>
        <v>1000</v>
      </c>
      <c r="F192" s="46" t="str">
        <f t="shared" si="2"/>
        <v>20 Callback Appointments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hidden="1">
      <c r="A193" s="6" t="s">
        <v>65</v>
      </c>
      <c r="B193" s="13" t="s">
        <v>2393</v>
      </c>
      <c r="C193" s="13" t="s">
        <v>2394</v>
      </c>
      <c r="D193" s="15">
        <v>0.0</v>
      </c>
      <c r="E193" s="51">
        <f t="shared" si="1"/>
        <v>0</v>
      </c>
      <c r="F193" s="46" t="str">
        <f t="shared" si="2"/>
        <v>0 Callback Appointments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hidden="1">
      <c r="A194" s="6" t="s">
        <v>65</v>
      </c>
      <c r="B194" s="13" t="s">
        <v>606</v>
      </c>
      <c r="C194" s="13" t="s">
        <v>607</v>
      </c>
      <c r="D194" s="15">
        <v>18.0</v>
      </c>
      <c r="E194" s="51">
        <f t="shared" si="1"/>
        <v>900</v>
      </c>
      <c r="F194" s="46" t="str">
        <f t="shared" si="2"/>
        <v>18 Callback Appointments</v>
      </c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hidden="1">
      <c r="A195" s="6" t="s">
        <v>65</v>
      </c>
      <c r="B195" s="13" t="s">
        <v>1059</v>
      </c>
      <c r="C195" s="13" t="s">
        <v>1060</v>
      </c>
      <c r="D195" s="15">
        <v>1.0</v>
      </c>
      <c r="E195" s="51">
        <f t="shared" si="1"/>
        <v>50</v>
      </c>
      <c r="F195" s="46" t="str">
        <f t="shared" si="2"/>
        <v>1 Callback Appointments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hidden="1">
      <c r="A196" s="6" t="s">
        <v>65</v>
      </c>
      <c r="B196" s="13" t="s">
        <v>1181</v>
      </c>
      <c r="C196" s="13" t="s">
        <v>1182</v>
      </c>
      <c r="D196" s="15">
        <v>25.0</v>
      </c>
      <c r="E196" s="51">
        <f t="shared" si="1"/>
        <v>1250</v>
      </c>
      <c r="F196" s="46" t="str">
        <f t="shared" si="2"/>
        <v>25 Callback Appointments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hidden="1">
      <c r="A197" s="6" t="s">
        <v>65</v>
      </c>
      <c r="B197" s="13" t="s">
        <v>3375</v>
      </c>
      <c r="C197" s="13" t="s">
        <v>3376</v>
      </c>
      <c r="D197" s="15">
        <v>1.0</v>
      </c>
      <c r="E197" s="51">
        <f t="shared" si="1"/>
        <v>50</v>
      </c>
      <c r="F197" s="46" t="str">
        <f t="shared" si="2"/>
        <v>1 Callback Appointments</v>
      </c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hidden="1">
      <c r="A198" s="40" t="s">
        <v>65</v>
      </c>
      <c r="B198" s="77" t="s">
        <v>1081</v>
      </c>
      <c r="C198" s="77" t="s">
        <v>1082</v>
      </c>
      <c r="D198" s="78">
        <v>9.0</v>
      </c>
      <c r="E198" s="58">
        <f t="shared" si="1"/>
        <v>450</v>
      </c>
      <c r="F198" s="61" t="str">
        <f t="shared" si="2"/>
        <v>9 Callback Appointments</v>
      </c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hidden="1">
      <c r="A199" s="6" t="s">
        <v>65</v>
      </c>
      <c r="B199" s="13" t="s">
        <v>3377</v>
      </c>
      <c r="C199" s="13" t="s">
        <v>3378</v>
      </c>
      <c r="D199" s="15">
        <v>2.0</v>
      </c>
      <c r="E199" s="51">
        <f t="shared" si="1"/>
        <v>100</v>
      </c>
      <c r="F199" s="46" t="str">
        <f t="shared" si="2"/>
        <v>2 Callback Appointments</v>
      </c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hidden="1">
      <c r="A200" s="6" t="s">
        <v>65</v>
      </c>
      <c r="B200" s="13" t="s">
        <v>1033</v>
      </c>
      <c r="C200" s="8" t="s">
        <v>1034</v>
      </c>
      <c r="D200" s="15">
        <v>46.0</v>
      </c>
      <c r="E200" s="51">
        <f t="shared" si="1"/>
        <v>2300</v>
      </c>
      <c r="F200" s="88" t="str">
        <f t="shared" si="2"/>
        <v>46 Callback Appointments</v>
      </c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hidden="1">
      <c r="A201" s="6" t="s">
        <v>65</v>
      </c>
      <c r="B201" s="13" t="s">
        <v>1435</v>
      </c>
      <c r="C201" s="13" t="s">
        <v>741</v>
      </c>
      <c r="D201" s="15">
        <v>17.0</v>
      </c>
      <c r="E201" s="51">
        <f t="shared" si="1"/>
        <v>850</v>
      </c>
      <c r="F201" s="46" t="str">
        <f t="shared" si="2"/>
        <v>17 Callback Appointments</v>
      </c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hidden="1">
      <c r="A202" s="6" t="s">
        <v>65</v>
      </c>
      <c r="B202" s="13" t="s">
        <v>900</v>
      </c>
      <c r="C202" s="13" t="s">
        <v>901</v>
      </c>
      <c r="D202" s="15">
        <v>12.0</v>
      </c>
      <c r="E202" s="45">
        <f t="shared" si="1"/>
        <v>600</v>
      </c>
      <c r="F202" s="46" t="str">
        <f t="shared" si="2"/>
        <v>12 Callback Appointments</v>
      </c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hidden="1">
      <c r="A203" s="6" t="s">
        <v>67</v>
      </c>
      <c r="B203" s="7" t="s">
        <v>3373</v>
      </c>
      <c r="C203" s="44" t="s">
        <v>3374</v>
      </c>
      <c r="D203" s="15">
        <v>2.0</v>
      </c>
      <c r="E203" s="51">
        <f t="shared" si="1"/>
        <v>100</v>
      </c>
      <c r="F203" s="46" t="str">
        <f t="shared" si="2"/>
        <v>2 Callback Appointments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hidden="1">
      <c r="A204" s="6" t="s">
        <v>67</v>
      </c>
      <c r="B204" s="7" t="s">
        <v>922</v>
      </c>
      <c r="C204" s="7" t="s">
        <v>923</v>
      </c>
      <c r="D204" s="15">
        <v>20.0</v>
      </c>
      <c r="E204" s="51">
        <f t="shared" si="1"/>
        <v>1000</v>
      </c>
      <c r="F204" s="46" t="str">
        <f t="shared" si="2"/>
        <v>20 Callback Appointments</v>
      </c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hidden="1">
      <c r="A205" s="6" t="s">
        <v>67</v>
      </c>
      <c r="B205" s="7" t="s">
        <v>596</v>
      </c>
      <c r="C205" s="7" t="s">
        <v>597</v>
      </c>
      <c r="D205" s="15">
        <v>30.0</v>
      </c>
      <c r="E205" s="51">
        <f t="shared" si="1"/>
        <v>1500</v>
      </c>
      <c r="F205" s="46" t="str">
        <f t="shared" si="2"/>
        <v>30 Callback Appointments</v>
      </c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hidden="1">
      <c r="A206" s="6" t="s">
        <v>67</v>
      </c>
      <c r="B206" s="7" t="s">
        <v>2393</v>
      </c>
      <c r="C206" s="7" t="s">
        <v>2394</v>
      </c>
      <c r="D206" s="15">
        <v>4.0</v>
      </c>
      <c r="E206" s="51">
        <f t="shared" si="1"/>
        <v>200</v>
      </c>
      <c r="F206" s="46" t="str">
        <f t="shared" si="2"/>
        <v>4 Callback Appointments</v>
      </c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hidden="1">
      <c r="A207" s="6" t="s">
        <v>67</v>
      </c>
      <c r="B207" s="7" t="s">
        <v>606</v>
      </c>
      <c r="C207" s="7" t="s">
        <v>607</v>
      </c>
      <c r="D207" s="15">
        <v>17.0</v>
      </c>
      <c r="E207" s="51">
        <f t="shared" si="1"/>
        <v>850</v>
      </c>
      <c r="F207" s="46" t="str">
        <f t="shared" si="2"/>
        <v>17 Callback Appointments</v>
      </c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hidden="1">
      <c r="A208" s="6" t="s">
        <v>67</v>
      </c>
      <c r="B208" s="7" t="s">
        <v>1059</v>
      </c>
      <c r="C208" s="7" t="s">
        <v>1060</v>
      </c>
      <c r="D208" s="15">
        <v>0.0</v>
      </c>
      <c r="E208" s="51">
        <f t="shared" si="1"/>
        <v>0</v>
      </c>
      <c r="F208" s="46" t="str">
        <f t="shared" si="2"/>
        <v>0 Callback Appointments</v>
      </c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hidden="1">
      <c r="A209" s="6" t="s">
        <v>67</v>
      </c>
      <c r="B209" s="7" t="s">
        <v>1181</v>
      </c>
      <c r="C209" s="7" t="s">
        <v>1182</v>
      </c>
      <c r="D209" s="15">
        <v>25.0</v>
      </c>
      <c r="E209" s="51">
        <f t="shared" si="1"/>
        <v>1250</v>
      </c>
      <c r="F209" s="46" t="str">
        <f t="shared" si="2"/>
        <v>25 Callback Appointments</v>
      </c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hidden="1">
      <c r="A210" s="6" t="s">
        <v>67</v>
      </c>
      <c r="B210" s="7" t="s">
        <v>3375</v>
      </c>
      <c r="C210" s="7" t="s">
        <v>3376</v>
      </c>
      <c r="D210" s="15">
        <v>1.0</v>
      </c>
      <c r="E210" s="51">
        <f t="shared" si="1"/>
        <v>50</v>
      </c>
      <c r="F210" s="46" t="str">
        <f t="shared" si="2"/>
        <v>1 Callback Appointments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hidden="1">
      <c r="A211" s="6" t="s">
        <v>67</v>
      </c>
      <c r="B211" s="7" t="s">
        <v>1081</v>
      </c>
      <c r="C211" s="44" t="s">
        <v>1082</v>
      </c>
      <c r="D211" s="15">
        <v>14.0</v>
      </c>
      <c r="E211" s="58">
        <f t="shared" si="1"/>
        <v>700</v>
      </c>
      <c r="F211" s="61" t="str">
        <f t="shared" si="2"/>
        <v>14 Callback Appointments</v>
      </c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hidden="1">
      <c r="A212" s="6" t="s">
        <v>67</v>
      </c>
      <c r="B212" s="7" t="s">
        <v>3377</v>
      </c>
      <c r="C212" s="7" t="s">
        <v>3378</v>
      </c>
      <c r="D212" s="15">
        <v>3.0</v>
      </c>
      <c r="E212" s="45">
        <f t="shared" si="1"/>
        <v>150</v>
      </c>
      <c r="F212" s="46" t="str">
        <f t="shared" si="2"/>
        <v>3 Callback Appointments</v>
      </c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hidden="1">
      <c r="A213" s="6" t="s">
        <v>67</v>
      </c>
      <c r="B213" s="7" t="s">
        <v>1033</v>
      </c>
      <c r="C213" s="7" t="s">
        <v>1034</v>
      </c>
      <c r="D213" s="15">
        <v>46.0</v>
      </c>
      <c r="E213" s="51">
        <f t="shared" si="1"/>
        <v>2300</v>
      </c>
      <c r="F213" s="46" t="str">
        <f t="shared" si="2"/>
        <v>46 Callback Appointments</v>
      </c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hidden="1">
      <c r="A214" s="6" t="s">
        <v>67</v>
      </c>
      <c r="B214" s="7" t="s">
        <v>1435</v>
      </c>
      <c r="C214" s="7" t="s">
        <v>741</v>
      </c>
      <c r="D214" s="15">
        <v>19.0</v>
      </c>
      <c r="E214" s="51">
        <f t="shared" si="1"/>
        <v>950</v>
      </c>
      <c r="F214" s="46" t="str">
        <f t="shared" si="2"/>
        <v>19 Callback Appointments</v>
      </c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hidden="1">
      <c r="A215" s="6" t="s">
        <v>67</v>
      </c>
      <c r="B215" s="7" t="s">
        <v>900</v>
      </c>
      <c r="C215" s="7" t="s">
        <v>901</v>
      </c>
      <c r="D215" s="15">
        <v>16.0</v>
      </c>
      <c r="E215" s="51">
        <f t="shared" si="1"/>
        <v>800</v>
      </c>
      <c r="F215" s="46" t="str">
        <f t="shared" si="2"/>
        <v>16 Callback Appointments</v>
      </c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hidden="1">
      <c r="A216" s="6" t="s">
        <v>69</v>
      </c>
      <c r="B216" s="13" t="s">
        <v>3373</v>
      </c>
      <c r="C216" s="8" t="s">
        <v>3374</v>
      </c>
      <c r="D216" s="15">
        <v>2.0</v>
      </c>
      <c r="E216" s="51">
        <f t="shared" si="1"/>
        <v>100</v>
      </c>
      <c r="F216" s="46" t="str">
        <f t="shared" si="2"/>
        <v>2 Callback Appointments</v>
      </c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hidden="1">
      <c r="A217" s="6" t="s">
        <v>69</v>
      </c>
      <c r="B217" s="13" t="s">
        <v>922</v>
      </c>
      <c r="C217" s="13" t="s">
        <v>923</v>
      </c>
      <c r="D217" s="15">
        <v>22.0</v>
      </c>
      <c r="E217" s="51">
        <f t="shared" si="1"/>
        <v>1100</v>
      </c>
      <c r="F217" s="46" t="str">
        <f t="shared" si="2"/>
        <v>22 Callback Appointments</v>
      </c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hidden="1">
      <c r="A218" s="6" t="s">
        <v>69</v>
      </c>
      <c r="B218" s="13" t="s">
        <v>596</v>
      </c>
      <c r="C218" s="13" t="s">
        <v>597</v>
      </c>
      <c r="D218" s="15">
        <v>28.0</v>
      </c>
      <c r="E218" s="51">
        <f t="shared" si="1"/>
        <v>1400</v>
      </c>
      <c r="F218" s="46" t="str">
        <f t="shared" si="2"/>
        <v>28 Callback Appointments</v>
      </c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hidden="1">
      <c r="A219" s="6" t="s">
        <v>69</v>
      </c>
      <c r="B219" s="13" t="s">
        <v>2393</v>
      </c>
      <c r="C219" s="13" t="s">
        <v>2394</v>
      </c>
      <c r="D219" s="15">
        <v>1.0</v>
      </c>
      <c r="E219" s="51">
        <f t="shared" si="1"/>
        <v>50</v>
      </c>
      <c r="F219" s="46" t="str">
        <f t="shared" si="2"/>
        <v>1 Callback Appointments</v>
      </c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hidden="1">
      <c r="A220" s="6" t="s">
        <v>69</v>
      </c>
      <c r="B220" s="13" t="s">
        <v>606</v>
      </c>
      <c r="C220" s="13" t="s">
        <v>607</v>
      </c>
      <c r="D220" s="15">
        <v>26.0</v>
      </c>
      <c r="E220" s="51">
        <f t="shared" si="1"/>
        <v>1300</v>
      </c>
      <c r="F220" s="46" t="str">
        <f t="shared" si="2"/>
        <v>26 Callback Appointments</v>
      </c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hidden="1">
      <c r="A221" s="6" t="s">
        <v>69</v>
      </c>
      <c r="B221" s="13" t="s">
        <v>1059</v>
      </c>
      <c r="C221" s="13" t="s">
        <v>1060</v>
      </c>
      <c r="D221" s="15">
        <v>0.0</v>
      </c>
      <c r="E221" s="51">
        <f t="shared" si="1"/>
        <v>0</v>
      </c>
      <c r="F221" s="46" t="str">
        <f t="shared" si="2"/>
        <v>0 Callback Appointments</v>
      </c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hidden="1">
      <c r="A222" s="6" t="s">
        <v>69</v>
      </c>
      <c r="B222" s="13" t="s">
        <v>1181</v>
      </c>
      <c r="C222" s="13" t="s">
        <v>1182</v>
      </c>
      <c r="D222" s="15">
        <v>21.0</v>
      </c>
      <c r="E222" s="51">
        <f t="shared" si="1"/>
        <v>1050</v>
      </c>
      <c r="F222" s="46" t="str">
        <f t="shared" si="2"/>
        <v>21 Callback Appointments</v>
      </c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hidden="1">
      <c r="A223" s="6" t="s">
        <v>69</v>
      </c>
      <c r="B223" s="13" t="s">
        <v>3375</v>
      </c>
      <c r="C223" s="13" t="s">
        <v>3376</v>
      </c>
      <c r="D223" s="15">
        <v>3.0</v>
      </c>
      <c r="E223" s="51">
        <f t="shared" si="1"/>
        <v>150</v>
      </c>
      <c r="F223" s="46" t="str">
        <f t="shared" si="2"/>
        <v>3 Callback Appointments</v>
      </c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hidden="1">
      <c r="A224" s="6" t="s">
        <v>69</v>
      </c>
      <c r="B224" s="13" t="s">
        <v>1081</v>
      </c>
      <c r="C224" s="8" t="s">
        <v>1082</v>
      </c>
      <c r="D224" s="15">
        <v>4.0</v>
      </c>
      <c r="E224" s="58">
        <f t="shared" si="1"/>
        <v>200</v>
      </c>
      <c r="F224" s="61" t="str">
        <f t="shared" si="2"/>
        <v>4 Callback Appointments</v>
      </c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hidden="1">
      <c r="A225" s="6" t="s">
        <v>69</v>
      </c>
      <c r="B225" s="13" t="s">
        <v>3377</v>
      </c>
      <c r="C225" s="13" t="s">
        <v>3378</v>
      </c>
      <c r="D225" s="15">
        <v>0.0</v>
      </c>
      <c r="E225" s="45">
        <f t="shared" si="1"/>
        <v>0</v>
      </c>
      <c r="F225" s="46" t="str">
        <f t="shared" si="2"/>
        <v>0 Callback Appointments</v>
      </c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hidden="1">
      <c r="A226" s="6" t="s">
        <v>69</v>
      </c>
      <c r="B226" s="13" t="s">
        <v>1033</v>
      </c>
      <c r="C226" s="13" t="s">
        <v>1034</v>
      </c>
      <c r="D226" s="15">
        <v>54.0</v>
      </c>
      <c r="E226" s="51">
        <f t="shared" si="1"/>
        <v>2700</v>
      </c>
      <c r="F226" s="46" t="str">
        <f t="shared" si="2"/>
        <v>54 Callback Appointments</v>
      </c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hidden="1">
      <c r="A227" s="6" t="s">
        <v>69</v>
      </c>
      <c r="B227" s="13" t="s">
        <v>1435</v>
      </c>
      <c r="C227" s="13" t="s">
        <v>741</v>
      </c>
      <c r="D227" s="15">
        <v>20.0</v>
      </c>
      <c r="E227" s="51">
        <f t="shared" si="1"/>
        <v>1000</v>
      </c>
      <c r="F227" s="46" t="str">
        <f t="shared" si="2"/>
        <v>20 Callback Appointments</v>
      </c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hidden="1">
      <c r="A228" s="6" t="s">
        <v>69</v>
      </c>
      <c r="B228" s="13" t="s">
        <v>900</v>
      </c>
      <c r="C228" s="13" t="s">
        <v>901</v>
      </c>
      <c r="D228" s="15">
        <v>21.0</v>
      </c>
      <c r="E228" s="51">
        <f t="shared" si="1"/>
        <v>1050</v>
      </c>
      <c r="F228" s="46" t="str">
        <f t="shared" si="2"/>
        <v>21 Callback Appointments</v>
      </c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hidden="1">
      <c r="A229" s="6" t="s">
        <v>71</v>
      </c>
      <c r="B229" s="13" t="s">
        <v>2393</v>
      </c>
      <c r="C229" s="8" t="s">
        <v>2394</v>
      </c>
      <c r="D229" s="15">
        <v>0.0</v>
      </c>
      <c r="E229" s="51">
        <f t="shared" si="1"/>
        <v>0</v>
      </c>
      <c r="F229" s="46" t="str">
        <f t="shared" si="2"/>
        <v>0 Callback Appointments</v>
      </c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hidden="1">
      <c r="A230" s="6" t="s">
        <v>71</v>
      </c>
      <c r="B230" s="13" t="s">
        <v>596</v>
      </c>
      <c r="C230" s="13" t="s">
        <v>597</v>
      </c>
      <c r="D230" s="15">
        <v>17.0</v>
      </c>
      <c r="E230" s="51">
        <f t="shared" si="1"/>
        <v>850</v>
      </c>
      <c r="F230" s="46" t="str">
        <f t="shared" si="2"/>
        <v>17 Callback Appointments</v>
      </c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hidden="1">
      <c r="A231" s="6" t="s">
        <v>71</v>
      </c>
      <c r="B231" s="13" t="s">
        <v>1181</v>
      </c>
      <c r="C231" s="13" t="s">
        <v>1182</v>
      </c>
      <c r="D231" s="15">
        <v>8.0</v>
      </c>
      <c r="E231" s="51">
        <f t="shared" si="1"/>
        <v>400</v>
      </c>
      <c r="F231" s="46" t="str">
        <f t="shared" si="2"/>
        <v>8 Callback Appointments</v>
      </c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hidden="1">
      <c r="A232" s="6" t="s">
        <v>71</v>
      </c>
      <c r="B232" s="13" t="s">
        <v>922</v>
      </c>
      <c r="C232" s="13" t="s">
        <v>923</v>
      </c>
      <c r="D232" s="15">
        <v>8.0</v>
      </c>
      <c r="E232" s="51">
        <f t="shared" si="1"/>
        <v>400</v>
      </c>
      <c r="F232" s="46" t="str">
        <f t="shared" si="2"/>
        <v>8 Callback Appointments</v>
      </c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hidden="1">
      <c r="A233" s="6" t="s">
        <v>71</v>
      </c>
      <c r="B233" s="13" t="s">
        <v>705</v>
      </c>
      <c r="C233" s="13" t="s">
        <v>706</v>
      </c>
      <c r="D233" s="15">
        <v>1.0</v>
      </c>
      <c r="E233" s="51">
        <f t="shared" si="1"/>
        <v>50</v>
      </c>
      <c r="F233" s="46" t="str">
        <f t="shared" si="2"/>
        <v>1 Callback Appointments</v>
      </c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hidden="1">
      <c r="A234" s="6" t="s">
        <v>71</v>
      </c>
      <c r="B234" s="13" t="s">
        <v>606</v>
      </c>
      <c r="C234" s="8" t="s">
        <v>607</v>
      </c>
      <c r="D234" s="15">
        <v>7.0</v>
      </c>
      <c r="E234" s="51">
        <f t="shared" si="1"/>
        <v>350</v>
      </c>
      <c r="F234" s="46" t="str">
        <f t="shared" si="2"/>
        <v>7 Callback Appointments</v>
      </c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hidden="1">
      <c r="A235" s="6" t="s">
        <v>71</v>
      </c>
      <c r="B235" s="13" t="s">
        <v>3377</v>
      </c>
      <c r="C235" s="13" t="s">
        <v>3378</v>
      </c>
      <c r="D235" s="15">
        <v>1.0</v>
      </c>
      <c r="E235" s="51">
        <f t="shared" si="1"/>
        <v>50</v>
      </c>
      <c r="F235" s="46" t="str">
        <f t="shared" si="2"/>
        <v>1 Callback Appointments</v>
      </c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hidden="1">
      <c r="A236" s="6" t="s">
        <v>71</v>
      </c>
      <c r="B236" s="13" t="s">
        <v>1081</v>
      </c>
      <c r="C236" s="13" t="s">
        <v>1082</v>
      </c>
      <c r="D236" s="15">
        <v>3.0</v>
      </c>
      <c r="E236" s="58">
        <f t="shared" si="1"/>
        <v>150</v>
      </c>
      <c r="F236" s="61" t="str">
        <f t="shared" si="2"/>
        <v>3 Callback Appointments</v>
      </c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hidden="1">
      <c r="A237" s="6" t="s">
        <v>71</v>
      </c>
      <c r="B237" s="13" t="s">
        <v>3375</v>
      </c>
      <c r="C237" s="13" t="s">
        <v>3376</v>
      </c>
      <c r="D237" s="15">
        <v>1.0</v>
      </c>
      <c r="E237" s="51">
        <f t="shared" si="1"/>
        <v>50</v>
      </c>
      <c r="F237" s="46" t="str">
        <f t="shared" si="2"/>
        <v>1 Callback Appointments</v>
      </c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hidden="1">
      <c r="A238" s="6" t="s">
        <v>71</v>
      </c>
      <c r="B238" s="13" t="s">
        <v>900</v>
      </c>
      <c r="C238" s="13" t="s">
        <v>901</v>
      </c>
      <c r="D238" s="15">
        <v>5.0</v>
      </c>
      <c r="E238" s="51">
        <f t="shared" si="1"/>
        <v>250</v>
      </c>
      <c r="F238" s="46" t="str">
        <f t="shared" si="2"/>
        <v>5 Callback Appointments</v>
      </c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hidden="1">
      <c r="A239" s="6" t="s">
        <v>71</v>
      </c>
      <c r="B239" s="13" t="s">
        <v>1033</v>
      </c>
      <c r="C239" s="13" t="s">
        <v>1034</v>
      </c>
      <c r="D239" s="15">
        <v>25.0</v>
      </c>
      <c r="E239" s="51">
        <f t="shared" si="1"/>
        <v>1250</v>
      </c>
      <c r="F239" s="46" t="str">
        <f t="shared" si="2"/>
        <v>25 Callback Appointments</v>
      </c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hidden="1">
      <c r="A240" s="6" t="s">
        <v>71</v>
      </c>
      <c r="B240" s="13" t="s">
        <v>1435</v>
      </c>
      <c r="C240" s="13" t="s">
        <v>741</v>
      </c>
      <c r="D240" s="15">
        <v>17.0</v>
      </c>
      <c r="E240" s="51">
        <f t="shared" si="1"/>
        <v>850</v>
      </c>
      <c r="F240" s="46" t="str">
        <f t="shared" si="2"/>
        <v>17 Callback Appointments</v>
      </c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hidden="1">
      <c r="A241" s="6" t="s">
        <v>71</v>
      </c>
      <c r="B241" s="13" t="s">
        <v>3373</v>
      </c>
      <c r="C241" s="13" t="s">
        <v>3374</v>
      </c>
      <c r="D241" s="15">
        <v>0.0</v>
      </c>
      <c r="E241" s="51">
        <f t="shared" si="1"/>
        <v>0</v>
      </c>
      <c r="F241" s="46" t="str">
        <f t="shared" si="2"/>
        <v>0 Callback Appointments</v>
      </c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hidden="1">
      <c r="A242" s="6" t="s">
        <v>71</v>
      </c>
      <c r="B242" s="13" t="s">
        <v>1059</v>
      </c>
      <c r="C242" s="13" t="s">
        <v>1060</v>
      </c>
      <c r="D242" s="15">
        <v>2.0</v>
      </c>
      <c r="E242" s="51">
        <f t="shared" si="1"/>
        <v>100</v>
      </c>
      <c r="F242" s="46" t="str">
        <f t="shared" si="2"/>
        <v>2 Callback Appointments</v>
      </c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hidden="1">
      <c r="A243" s="6" t="s">
        <v>73</v>
      </c>
      <c r="B243" s="13" t="s">
        <v>3373</v>
      </c>
      <c r="C243" s="13" t="s">
        <v>3374</v>
      </c>
      <c r="D243" s="15">
        <v>2.0</v>
      </c>
      <c r="E243" s="51">
        <f t="shared" si="1"/>
        <v>100</v>
      </c>
      <c r="F243" s="46" t="str">
        <f t="shared" si="2"/>
        <v>2 Callback Appointments</v>
      </c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hidden="1">
      <c r="A244" s="6" t="s">
        <v>73</v>
      </c>
      <c r="B244" s="13" t="s">
        <v>922</v>
      </c>
      <c r="C244" s="13" t="s">
        <v>923</v>
      </c>
      <c r="D244" s="15">
        <v>10.0</v>
      </c>
      <c r="E244" s="51">
        <f t="shared" si="1"/>
        <v>500</v>
      </c>
      <c r="F244" s="46" t="str">
        <f t="shared" si="2"/>
        <v>10 Callback Appointments</v>
      </c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hidden="1">
      <c r="A245" s="6" t="s">
        <v>73</v>
      </c>
      <c r="B245" s="13" t="s">
        <v>596</v>
      </c>
      <c r="C245" s="13" t="s">
        <v>597</v>
      </c>
      <c r="D245" s="15">
        <v>33.0</v>
      </c>
      <c r="E245" s="51">
        <f t="shared" si="1"/>
        <v>1650</v>
      </c>
      <c r="F245" s="46" t="str">
        <f t="shared" si="2"/>
        <v>33 Callback Appointments</v>
      </c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hidden="1">
      <c r="A246" s="6" t="s">
        <v>73</v>
      </c>
      <c r="B246" s="13" t="s">
        <v>606</v>
      </c>
      <c r="C246" s="13" t="s">
        <v>607</v>
      </c>
      <c r="D246" s="15">
        <v>21.0</v>
      </c>
      <c r="E246" s="51">
        <f t="shared" si="1"/>
        <v>1050</v>
      </c>
      <c r="F246" s="46" t="str">
        <f t="shared" si="2"/>
        <v>21 Callback Appointments</v>
      </c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hidden="1">
      <c r="A247" s="6" t="s">
        <v>73</v>
      </c>
      <c r="B247" s="13" t="s">
        <v>1059</v>
      </c>
      <c r="C247" s="13" t="s">
        <v>1060</v>
      </c>
      <c r="D247" s="15">
        <v>0.0</v>
      </c>
      <c r="E247" s="51">
        <f t="shared" si="1"/>
        <v>0</v>
      </c>
      <c r="F247" s="46" t="str">
        <f t="shared" si="2"/>
        <v>0 Callback Appointments</v>
      </c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hidden="1">
      <c r="A248" s="6" t="s">
        <v>73</v>
      </c>
      <c r="B248" s="13" t="s">
        <v>1181</v>
      </c>
      <c r="C248" s="8" t="s">
        <v>1182</v>
      </c>
      <c r="D248" s="15">
        <v>24.0</v>
      </c>
      <c r="E248" s="51">
        <f t="shared" si="1"/>
        <v>1200</v>
      </c>
      <c r="F248" s="46" t="str">
        <f t="shared" si="2"/>
        <v>24 Callback Appointments</v>
      </c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hidden="1">
      <c r="A249" s="6" t="s">
        <v>73</v>
      </c>
      <c r="B249" s="13" t="s">
        <v>705</v>
      </c>
      <c r="C249" s="13" t="s">
        <v>706</v>
      </c>
      <c r="D249" s="15">
        <v>2.0</v>
      </c>
      <c r="E249" s="51">
        <f t="shared" si="1"/>
        <v>100</v>
      </c>
      <c r="F249" s="46" t="str">
        <f t="shared" si="2"/>
        <v>2 Callback Appointments</v>
      </c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hidden="1">
      <c r="A250" s="6" t="s">
        <v>73</v>
      </c>
      <c r="B250" s="13" t="s">
        <v>3375</v>
      </c>
      <c r="C250" s="13" t="s">
        <v>3376</v>
      </c>
      <c r="D250" s="15">
        <v>0.0</v>
      </c>
      <c r="E250" s="51">
        <f t="shared" si="1"/>
        <v>0</v>
      </c>
      <c r="F250" s="46" t="str">
        <f t="shared" si="2"/>
        <v>0 Callback Appointments</v>
      </c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hidden="1">
      <c r="A251" s="6" t="s">
        <v>73</v>
      </c>
      <c r="B251" s="13" t="s">
        <v>1081</v>
      </c>
      <c r="C251" s="13" t="s">
        <v>1082</v>
      </c>
      <c r="D251" s="15">
        <v>1.0</v>
      </c>
      <c r="E251" s="58">
        <f t="shared" si="1"/>
        <v>50</v>
      </c>
      <c r="F251" s="61" t="str">
        <f t="shared" si="2"/>
        <v>1 Callback Appointments</v>
      </c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hidden="1">
      <c r="A252" s="6" t="s">
        <v>73</v>
      </c>
      <c r="B252" s="13" t="s">
        <v>3377</v>
      </c>
      <c r="C252" s="13" t="s">
        <v>3378</v>
      </c>
      <c r="D252" s="15">
        <v>1.0</v>
      </c>
      <c r="E252" s="51">
        <f t="shared" si="1"/>
        <v>50</v>
      </c>
      <c r="F252" s="46" t="str">
        <f t="shared" si="2"/>
        <v>1 Callback Appointments</v>
      </c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hidden="1">
      <c r="A253" s="6" t="s">
        <v>73</v>
      </c>
      <c r="B253" s="13" t="s">
        <v>1033</v>
      </c>
      <c r="C253" s="13" t="s">
        <v>1034</v>
      </c>
      <c r="D253" s="15">
        <v>59.0</v>
      </c>
      <c r="E253" s="51">
        <f t="shared" si="1"/>
        <v>2950</v>
      </c>
      <c r="F253" s="46" t="str">
        <f t="shared" si="2"/>
        <v>59 Callback Appointments</v>
      </c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hidden="1">
      <c r="A254" s="6" t="s">
        <v>73</v>
      </c>
      <c r="B254" s="13" t="s">
        <v>1435</v>
      </c>
      <c r="C254" s="8" t="s">
        <v>741</v>
      </c>
      <c r="D254" s="15">
        <v>24.0</v>
      </c>
      <c r="E254" s="51">
        <f t="shared" si="1"/>
        <v>1200</v>
      </c>
      <c r="F254" s="46" t="str">
        <f t="shared" si="2"/>
        <v>24 Callback Appointments</v>
      </c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hidden="1">
      <c r="A255" s="6" t="s">
        <v>73</v>
      </c>
      <c r="B255" s="13" t="s">
        <v>900</v>
      </c>
      <c r="C255" s="13" t="s">
        <v>901</v>
      </c>
      <c r="D255" s="15">
        <v>10.0</v>
      </c>
      <c r="E255" s="51">
        <f t="shared" si="1"/>
        <v>500</v>
      </c>
      <c r="F255" s="46" t="str">
        <f t="shared" si="2"/>
        <v>10 Callback Appointments</v>
      </c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hidden="1">
      <c r="A256" s="16" t="s">
        <v>74</v>
      </c>
      <c r="B256" s="13" t="s">
        <v>3373</v>
      </c>
      <c r="C256" s="13" t="s">
        <v>3374</v>
      </c>
      <c r="D256" s="15">
        <v>2.0</v>
      </c>
      <c r="E256" s="51">
        <f t="shared" si="1"/>
        <v>100</v>
      </c>
      <c r="F256" s="46" t="str">
        <f t="shared" si="2"/>
        <v>2 Callback Appointments</v>
      </c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hidden="1">
      <c r="A257" s="16" t="s">
        <v>74</v>
      </c>
      <c r="B257" s="13" t="s">
        <v>922</v>
      </c>
      <c r="C257" s="13" t="s">
        <v>923</v>
      </c>
      <c r="D257" s="15">
        <v>14.0</v>
      </c>
      <c r="E257" s="51">
        <f t="shared" si="1"/>
        <v>700</v>
      </c>
      <c r="F257" s="46" t="str">
        <f t="shared" si="2"/>
        <v>14 Callback Appointments</v>
      </c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hidden="1">
      <c r="A258" s="16" t="s">
        <v>74</v>
      </c>
      <c r="B258" s="13" t="s">
        <v>596</v>
      </c>
      <c r="C258" s="13" t="s">
        <v>597</v>
      </c>
      <c r="D258" s="15">
        <v>22.0</v>
      </c>
      <c r="E258" s="51">
        <f t="shared" si="1"/>
        <v>1100</v>
      </c>
      <c r="F258" s="46" t="str">
        <f t="shared" si="2"/>
        <v>22 Callback Appointments</v>
      </c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hidden="1">
      <c r="A259" s="16" t="s">
        <v>74</v>
      </c>
      <c r="B259" s="13" t="s">
        <v>606</v>
      </c>
      <c r="C259" s="8" t="s">
        <v>607</v>
      </c>
      <c r="D259" s="15">
        <v>27.0</v>
      </c>
      <c r="E259" s="51">
        <f t="shared" si="1"/>
        <v>1350</v>
      </c>
      <c r="F259" s="46" t="str">
        <f t="shared" si="2"/>
        <v>27 Callback Appointments</v>
      </c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hidden="1">
      <c r="A260" s="16" t="s">
        <v>74</v>
      </c>
      <c r="B260" s="13" t="s">
        <v>1059</v>
      </c>
      <c r="C260" s="13" t="s">
        <v>1060</v>
      </c>
      <c r="D260" s="15">
        <v>5.0</v>
      </c>
      <c r="E260" s="51">
        <f t="shared" si="1"/>
        <v>250</v>
      </c>
      <c r="F260" s="46" t="str">
        <f t="shared" si="2"/>
        <v>5 Callback Appointments</v>
      </c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hidden="1">
      <c r="A261" s="16" t="s">
        <v>74</v>
      </c>
      <c r="B261" s="13" t="s">
        <v>1181</v>
      </c>
      <c r="C261" s="13" t="s">
        <v>1182</v>
      </c>
      <c r="D261" s="15">
        <v>22.0</v>
      </c>
      <c r="E261" s="51">
        <f t="shared" si="1"/>
        <v>1100</v>
      </c>
      <c r="F261" s="46" t="str">
        <f t="shared" si="2"/>
        <v>22 Callback Appointments</v>
      </c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hidden="1">
      <c r="A262" s="16" t="s">
        <v>74</v>
      </c>
      <c r="B262" s="13" t="s">
        <v>705</v>
      </c>
      <c r="C262" s="13" t="s">
        <v>706</v>
      </c>
      <c r="D262" s="15">
        <v>0.0</v>
      </c>
      <c r="E262" s="51">
        <f t="shared" si="1"/>
        <v>0</v>
      </c>
      <c r="F262" s="46" t="str">
        <f t="shared" si="2"/>
        <v>0 Callback Appointments</v>
      </c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hidden="1">
      <c r="A263" s="16" t="s">
        <v>74</v>
      </c>
      <c r="B263" s="13" t="s">
        <v>3375</v>
      </c>
      <c r="C263" s="13" t="s">
        <v>3376</v>
      </c>
      <c r="D263" s="15">
        <v>1.0</v>
      </c>
      <c r="E263" s="51">
        <f t="shared" si="1"/>
        <v>50</v>
      </c>
      <c r="F263" s="46" t="str">
        <f t="shared" si="2"/>
        <v>1 Callback Appointments</v>
      </c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hidden="1">
      <c r="A264" s="16" t="s">
        <v>74</v>
      </c>
      <c r="B264" s="13" t="s">
        <v>1081</v>
      </c>
      <c r="C264" s="13" t="s">
        <v>1082</v>
      </c>
      <c r="D264" s="15">
        <v>1.0</v>
      </c>
      <c r="E264" s="51">
        <f t="shared" si="1"/>
        <v>50</v>
      </c>
      <c r="F264" s="46" t="str">
        <f t="shared" si="2"/>
        <v>1 Callback Appointments</v>
      </c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hidden="1">
      <c r="A265" s="16" t="s">
        <v>74</v>
      </c>
      <c r="B265" s="13" t="s">
        <v>3377</v>
      </c>
      <c r="C265" s="13" t="s">
        <v>3378</v>
      </c>
      <c r="D265" s="15">
        <v>0.0</v>
      </c>
      <c r="E265" s="51">
        <f t="shared" si="1"/>
        <v>0</v>
      </c>
      <c r="F265" s="46" t="str">
        <f t="shared" si="2"/>
        <v>0 Callback Appointments</v>
      </c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hidden="1">
      <c r="A266" s="16" t="s">
        <v>74</v>
      </c>
      <c r="B266" s="13" t="s">
        <v>1033</v>
      </c>
      <c r="C266" s="13" t="s">
        <v>1034</v>
      </c>
      <c r="D266" s="15">
        <v>48.0</v>
      </c>
      <c r="E266" s="51">
        <f t="shared" si="1"/>
        <v>2400</v>
      </c>
      <c r="F266" s="46" t="str">
        <f t="shared" si="2"/>
        <v>48 Callback Appointments</v>
      </c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hidden="1">
      <c r="A267" s="16" t="s">
        <v>74</v>
      </c>
      <c r="B267" s="13" t="s">
        <v>1435</v>
      </c>
      <c r="C267" s="13" t="s">
        <v>741</v>
      </c>
      <c r="D267" s="15">
        <v>19.0</v>
      </c>
      <c r="E267" s="51">
        <f t="shared" si="1"/>
        <v>950</v>
      </c>
      <c r="F267" s="46" t="str">
        <f t="shared" si="2"/>
        <v>19 Callback Appointments</v>
      </c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hidden="1">
      <c r="A268" s="16" t="s">
        <v>74</v>
      </c>
      <c r="B268" s="13" t="s">
        <v>900</v>
      </c>
      <c r="C268" s="8" t="s">
        <v>901</v>
      </c>
      <c r="D268" s="15">
        <v>22.0</v>
      </c>
      <c r="E268" s="51">
        <f t="shared" si="1"/>
        <v>1100</v>
      </c>
      <c r="F268" s="46" t="str">
        <f t="shared" si="2"/>
        <v>22 Callback Appointments</v>
      </c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hidden="1">
      <c r="A269" s="6" t="s">
        <v>75</v>
      </c>
      <c r="B269" s="13" t="s">
        <v>3373</v>
      </c>
      <c r="C269" s="13" t="s">
        <v>3374</v>
      </c>
      <c r="D269" s="15">
        <v>3.0</v>
      </c>
      <c r="E269" s="51">
        <f t="shared" si="1"/>
        <v>150</v>
      </c>
      <c r="F269" s="46" t="str">
        <f t="shared" si="2"/>
        <v>3 Callback Appointments</v>
      </c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hidden="1">
      <c r="A270" s="6" t="s">
        <v>75</v>
      </c>
      <c r="B270" s="13" t="s">
        <v>922</v>
      </c>
      <c r="C270" s="13" t="s">
        <v>923</v>
      </c>
      <c r="D270" s="15">
        <v>24.0</v>
      </c>
      <c r="E270" s="51">
        <f t="shared" si="1"/>
        <v>1200</v>
      </c>
      <c r="F270" s="46" t="str">
        <f t="shared" si="2"/>
        <v>24 Callback Appointments</v>
      </c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hidden="1">
      <c r="A271" s="6" t="s">
        <v>75</v>
      </c>
      <c r="B271" s="13" t="s">
        <v>596</v>
      </c>
      <c r="C271" s="13" t="s">
        <v>597</v>
      </c>
      <c r="D271" s="15">
        <v>29.0</v>
      </c>
      <c r="E271" s="51">
        <f t="shared" si="1"/>
        <v>1450</v>
      </c>
      <c r="F271" s="46" t="str">
        <f t="shared" si="2"/>
        <v>29 Callback Appointments</v>
      </c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hidden="1">
      <c r="A272" s="6" t="s">
        <v>75</v>
      </c>
      <c r="B272" s="13" t="s">
        <v>606</v>
      </c>
      <c r="C272" s="13" t="s">
        <v>607</v>
      </c>
      <c r="D272" s="15">
        <v>14.0</v>
      </c>
      <c r="E272" s="51">
        <f t="shared" si="1"/>
        <v>700</v>
      </c>
      <c r="F272" s="46" t="str">
        <f t="shared" si="2"/>
        <v>14 Callback Appointments</v>
      </c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hidden="1">
      <c r="A273" s="6" t="s">
        <v>75</v>
      </c>
      <c r="B273" s="13" t="s">
        <v>1059</v>
      </c>
      <c r="C273" s="13" t="s">
        <v>1060</v>
      </c>
      <c r="D273" s="15">
        <v>1.0</v>
      </c>
      <c r="E273" s="51">
        <f t="shared" si="1"/>
        <v>50</v>
      </c>
      <c r="F273" s="46" t="str">
        <f t="shared" si="2"/>
        <v>1 Callback Appointments</v>
      </c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hidden="1">
      <c r="A274" s="6" t="s">
        <v>75</v>
      </c>
      <c r="B274" s="13" t="s">
        <v>1181</v>
      </c>
      <c r="C274" s="13" t="s">
        <v>1182</v>
      </c>
      <c r="D274" s="15">
        <v>25.0</v>
      </c>
      <c r="E274" s="51">
        <f t="shared" si="1"/>
        <v>1250</v>
      </c>
      <c r="F274" s="46" t="str">
        <f t="shared" si="2"/>
        <v>25 Callback Appointments</v>
      </c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hidden="1">
      <c r="A275" s="6" t="s">
        <v>75</v>
      </c>
      <c r="B275" s="13" t="s">
        <v>705</v>
      </c>
      <c r="C275" s="13" t="s">
        <v>706</v>
      </c>
      <c r="D275" s="15">
        <v>3.0</v>
      </c>
      <c r="E275" s="51">
        <f t="shared" si="1"/>
        <v>150</v>
      </c>
      <c r="F275" s="46" t="str">
        <f t="shared" si="2"/>
        <v>3 Callback Appointments</v>
      </c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hidden="1">
      <c r="A276" s="6" t="s">
        <v>75</v>
      </c>
      <c r="B276" s="13" t="s">
        <v>3375</v>
      </c>
      <c r="C276" s="13" t="s">
        <v>3376</v>
      </c>
      <c r="D276" s="15">
        <v>1.0</v>
      </c>
      <c r="E276" s="51">
        <f t="shared" si="1"/>
        <v>50</v>
      </c>
      <c r="F276" s="46" t="str">
        <f t="shared" si="2"/>
        <v>1 Callback Appointments</v>
      </c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hidden="1">
      <c r="A277" s="6" t="s">
        <v>75</v>
      </c>
      <c r="B277" s="13" t="s">
        <v>1081</v>
      </c>
      <c r="C277" s="13" t="s">
        <v>1082</v>
      </c>
      <c r="D277" s="15">
        <v>0.0</v>
      </c>
      <c r="E277" s="51">
        <f t="shared" si="1"/>
        <v>0</v>
      </c>
      <c r="F277" s="46" t="str">
        <f t="shared" si="2"/>
        <v>0 Callback Appointments</v>
      </c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hidden="1">
      <c r="A278" s="6" t="s">
        <v>75</v>
      </c>
      <c r="B278" s="13" t="s">
        <v>3377</v>
      </c>
      <c r="C278" s="8" t="s">
        <v>3378</v>
      </c>
      <c r="D278" s="15">
        <v>0.0</v>
      </c>
      <c r="E278" s="51">
        <f t="shared" si="1"/>
        <v>0</v>
      </c>
      <c r="F278" s="46" t="str">
        <f t="shared" si="2"/>
        <v>0 Callback Appointments</v>
      </c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hidden="1">
      <c r="A279" s="6" t="s">
        <v>75</v>
      </c>
      <c r="B279" s="13" t="s">
        <v>1033</v>
      </c>
      <c r="C279" s="13" t="s">
        <v>1034</v>
      </c>
      <c r="D279" s="15">
        <v>41.0</v>
      </c>
      <c r="E279" s="51">
        <f t="shared" si="1"/>
        <v>2050</v>
      </c>
      <c r="F279" s="46" t="str">
        <f t="shared" si="2"/>
        <v>41 Callback Appointments</v>
      </c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hidden="1">
      <c r="A280" s="6" t="s">
        <v>75</v>
      </c>
      <c r="B280" s="13" t="s">
        <v>1435</v>
      </c>
      <c r="C280" s="8" t="s">
        <v>741</v>
      </c>
      <c r="D280" s="15">
        <v>26.0</v>
      </c>
      <c r="E280" s="51">
        <f t="shared" si="1"/>
        <v>1300</v>
      </c>
      <c r="F280" s="46" t="str">
        <f t="shared" si="2"/>
        <v>26 Callback Appointments</v>
      </c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hidden="1">
      <c r="A281" s="6" t="s">
        <v>75</v>
      </c>
      <c r="B281" s="13" t="s">
        <v>900</v>
      </c>
      <c r="C281" s="13" t="s">
        <v>901</v>
      </c>
      <c r="D281" s="15">
        <v>25.0</v>
      </c>
      <c r="E281" s="51">
        <f t="shared" si="1"/>
        <v>1250</v>
      </c>
      <c r="F281" s="46" t="str">
        <f t="shared" si="2"/>
        <v>25 Callback Appointments</v>
      </c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hidden="1">
      <c r="A282" s="6" t="s">
        <v>77</v>
      </c>
      <c r="B282" s="13" t="s">
        <v>3373</v>
      </c>
      <c r="C282" s="13" t="s">
        <v>3374</v>
      </c>
      <c r="D282" s="15">
        <v>0.0</v>
      </c>
      <c r="E282" s="45">
        <f t="shared" si="1"/>
        <v>0</v>
      </c>
      <c r="F282" s="46" t="str">
        <f t="shared" si="2"/>
        <v>0 Callback Appointments</v>
      </c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hidden="1">
      <c r="A283" s="6" t="s">
        <v>77</v>
      </c>
      <c r="B283" s="13" t="s">
        <v>922</v>
      </c>
      <c r="C283" s="13" t="s">
        <v>923</v>
      </c>
      <c r="D283" s="15">
        <v>19.0</v>
      </c>
      <c r="E283" s="45">
        <f t="shared" si="1"/>
        <v>950</v>
      </c>
      <c r="F283" s="46" t="str">
        <f t="shared" si="2"/>
        <v>19 Callback Appointments</v>
      </c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hidden="1">
      <c r="A284" s="6" t="s">
        <v>77</v>
      </c>
      <c r="B284" s="13" t="s">
        <v>596</v>
      </c>
      <c r="C284" s="13" t="s">
        <v>597</v>
      </c>
      <c r="D284" s="15">
        <v>27.0</v>
      </c>
      <c r="E284" s="45">
        <f t="shared" si="1"/>
        <v>1350</v>
      </c>
      <c r="F284" s="46" t="str">
        <f t="shared" si="2"/>
        <v>27 Callback Appointments</v>
      </c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hidden="1">
      <c r="A285" s="6" t="s">
        <v>77</v>
      </c>
      <c r="B285" s="13" t="s">
        <v>606</v>
      </c>
      <c r="C285" s="13" t="s">
        <v>607</v>
      </c>
      <c r="D285" s="15">
        <v>20.0</v>
      </c>
      <c r="E285" s="45">
        <f t="shared" si="1"/>
        <v>1000</v>
      </c>
      <c r="F285" s="46" t="str">
        <f t="shared" si="2"/>
        <v>20 Callback Appointments</v>
      </c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hidden="1">
      <c r="A286" s="6" t="s">
        <v>77</v>
      </c>
      <c r="B286" s="13" t="s">
        <v>1059</v>
      </c>
      <c r="C286" s="13" t="s">
        <v>1060</v>
      </c>
      <c r="D286" s="15">
        <v>3.0</v>
      </c>
      <c r="E286" s="45">
        <f t="shared" si="1"/>
        <v>150</v>
      </c>
      <c r="F286" s="46" t="str">
        <f t="shared" si="2"/>
        <v>3 Callback Appointments</v>
      </c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hidden="1">
      <c r="A287" s="6" t="s">
        <v>77</v>
      </c>
      <c r="B287" s="13" t="s">
        <v>1181</v>
      </c>
      <c r="C287" s="13" t="s">
        <v>1182</v>
      </c>
      <c r="D287" s="15">
        <v>25.0</v>
      </c>
      <c r="E287" s="45">
        <f t="shared" si="1"/>
        <v>1250</v>
      </c>
      <c r="F287" s="46" t="str">
        <f t="shared" si="2"/>
        <v>25 Callback Appointments</v>
      </c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hidden="1">
      <c r="A288" s="6" t="s">
        <v>77</v>
      </c>
      <c r="B288" s="13" t="s">
        <v>705</v>
      </c>
      <c r="C288" s="13" t="s">
        <v>706</v>
      </c>
      <c r="D288" s="15">
        <v>0.0</v>
      </c>
      <c r="E288" s="45">
        <f t="shared" si="1"/>
        <v>0</v>
      </c>
      <c r="F288" s="46" t="str">
        <f t="shared" si="2"/>
        <v>0 Callback Appointments</v>
      </c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hidden="1">
      <c r="A289" s="6" t="s">
        <v>77</v>
      </c>
      <c r="B289" s="13" t="s">
        <v>3375</v>
      </c>
      <c r="C289" s="8" t="s">
        <v>3376</v>
      </c>
      <c r="D289" s="15">
        <v>0.0</v>
      </c>
      <c r="E289" s="45">
        <f t="shared" si="1"/>
        <v>0</v>
      </c>
      <c r="F289" s="46" t="str">
        <f t="shared" si="2"/>
        <v>0 Callback Appointments</v>
      </c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hidden="1">
      <c r="A290" s="6" t="s">
        <v>77</v>
      </c>
      <c r="B290" s="13" t="s">
        <v>1081</v>
      </c>
      <c r="C290" s="13" t="s">
        <v>1082</v>
      </c>
      <c r="D290" s="15">
        <v>5.0</v>
      </c>
      <c r="E290" s="58">
        <f t="shared" si="1"/>
        <v>250</v>
      </c>
      <c r="F290" s="46" t="str">
        <f t="shared" si="2"/>
        <v>5 Callback Appointments</v>
      </c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hidden="1">
      <c r="A291" s="6" t="s">
        <v>77</v>
      </c>
      <c r="B291" s="13" t="s">
        <v>3377</v>
      </c>
      <c r="C291" s="13" t="s">
        <v>3378</v>
      </c>
      <c r="D291" s="15">
        <v>1.0</v>
      </c>
      <c r="E291" s="45">
        <f t="shared" si="1"/>
        <v>50</v>
      </c>
      <c r="F291" s="46" t="str">
        <f t="shared" si="2"/>
        <v>1 Callback Appointments</v>
      </c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hidden="1">
      <c r="A292" s="6" t="s">
        <v>77</v>
      </c>
      <c r="B292" s="13" t="s">
        <v>1033</v>
      </c>
      <c r="C292" s="13" t="s">
        <v>1034</v>
      </c>
      <c r="D292" s="15">
        <v>49.0</v>
      </c>
      <c r="E292" s="51">
        <f t="shared" si="1"/>
        <v>2450</v>
      </c>
      <c r="F292" s="46" t="str">
        <f t="shared" si="2"/>
        <v>49 Callback Appointments</v>
      </c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hidden="1">
      <c r="A293" s="6" t="s">
        <v>77</v>
      </c>
      <c r="B293" s="13" t="s">
        <v>1435</v>
      </c>
      <c r="C293" s="13" t="s">
        <v>741</v>
      </c>
      <c r="D293" s="15">
        <v>18.0</v>
      </c>
      <c r="E293" s="45">
        <f t="shared" si="1"/>
        <v>900</v>
      </c>
      <c r="F293" s="46" t="str">
        <f t="shared" si="2"/>
        <v>18 Callback Appointments</v>
      </c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hidden="1">
      <c r="A294" s="6" t="s">
        <v>77</v>
      </c>
      <c r="B294" s="13" t="s">
        <v>900</v>
      </c>
      <c r="C294" s="8" t="s">
        <v>901</v>
      </c>
      <c r="D294" s="15">
        <v>22.0</v>
      </c>
      <c r="E294" s="45">
        <f t="shared" si="1"/>
        <v>1100</v>
      </c>
      <c r="F294" s="46" t="str">
        <f t="shared" si="2"/>
        <v>22 Callback Appointments</v>
      </c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hidden="1">
      <c r="A295" s="6" t="s">
        <v>79</v>
      </c>
      <c r="B295" s="13" t="s">
        <v>3373</v>
      </c>
      <c r="C295" s="13" t="s">
        <v>3374</v>
      </c>
      <c r="D295" s="15">
        <v>2.0</v>
      </c>
      <c r="E295" s="45">
        <f t="shared" si="1"/>
        <v>100</v>
      </c>
      <c r="F295" s="46" t="str">
        <f t="shared" si="2"/>
        <v>2 Callback Appointments</v>
      </c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hidden="1">
      <c r="A296" s="6" t="s">
        <v>79</v>
      </c>
      <c r="B296" s="13" t="s">
        <v>922</v>
      </c>
      <c r="C296" s="13" t="s">
        <v>923</v>
      </c>
      <c r="D296" s="15">
        <v>17.0</v>
      </c>
      <c r="E296" s="45">
        <f t="shared" si="1"/>
        <v>850</v>
      </c>
      <c r="F296" s="46" t="str">
        <f t="shared" si="2"/>
        <v>17 Callback Appointments</v>
      </c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hidden="1">
      <c r="A297" s="6" t="s">
        <v>79</v>
      </c>
      <c r="B297" s="13" t="s">
        <v>596</v>
      </c>
      <c r="C297" s="13" t="s">
        <v>597</v>
      </c>
      <c r="D297" s="15">
        <v>32.0</v>
      </c>
      <c r="E297" s="45">
        <f t="shared" si="1"/>
        <v>1600</v>
      </c>
      <c r="F297" s="46" t="str">
        <f t="shared" si="2"/>
        <v>32 Callback Appointments</v>
      </c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hidden="1">
      <c r="A298" s="6" t="s">
        <v>79</v>
      </c>
      <c r="B298" s="13" t="s">
        <v>606</v>
      </c>
      <c r="C298" s="13" t="s">
        <v>607</v>
      </c>
      <c r="D298" s="15">
        <v>29.0</v>
      </c>
      <c r="E298" s="45">
        <f t="shared" si="1"/>
        <v>1450</v>
      </c>
      <c r="F298" s="46" t="str">
        <f t="shared" si="2"/>
        <v>29 Callback Appointments</v>
      </c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hidden="1">
      <c r="A299" s="6" t="s">
        <v>79</v>
      </c>
      <c r="B299" s="13" t="s">
        <v>1059</v>
      </c>
      <c r="C299" s="8" t="s">
        <v>1060</v>
      </c>
      <c r="D299" s="15">
        <v>2.0</v>
      </c>
      <c r="E299" s="45">
        <f t="shared" si="1"/>
        <v>100</v>
      </c>
      <c r="F299" s="46" t="str">
        <f t="shared" si="2"/>
        <v>2 Callback Appointments</v>
      </c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hidden="1">
      <c r="A300" s="6" t="s">
        <v>79</v>
      </c>
      <c r="B300" s="13" t="s">
        <v>1181</v>
      </c>
      <c r="C300" s="13" t="s">
        <v>1182</v>
      </c>
      <c r="D300" s="15">
        <v>23.0</v>
      </c>
      <c r="E300" s="45">
        <f t="shared" si="1"/>
        <v>1150</v>
      </c>
      <c r="F300" s="46" t="str">
        <f t="shared" si="2"/>
        <v>23 Callback Appointments</v>
      </c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hidden="1">
      <c r="A301" s="6" t="s">
        <v>79</v>
      </c>
      <c r="B301" s="13" t="s">
        <v>705</v>
      </c>
      <c r="C301" s="13" t="s">
        <v>706</v>
      </c>
      <c r="D301" s="15">
        <v>2.0</v>
      </c>
      <c r="E301" s="45">
        <f t="shared" si="1"/>
        <v>100</v>
      </c>
      <c r="F301" s="46" t="str">
        <f t="shared" si="2"/>
        <v>2 Callback Appointments</v>
      </c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hidden="1">
      <c r="A302" s="6" t="s">
        <v>79</v>
      </c>
      <c r="B302" s="13" t="s">
        <v>3375</v>
      </c>
      <c r="C302" s="13" t="s">
        <v>3376</v>
      </c>
      <c r="D302" s="15">
        <v>0.0</v>
      </c>
      <c r="E302" s="45">
        <f t="shared" si="1"/>
        <v>0</v>
      </c>
      <c r="F302" s="46" t="str">
        <f t="shared" si="2"/>
        <v>0 Callback Appointments</v>
      </c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hidden="1">
      <c r="A303" s="6" t="s">
        <v>79</v>
      </c>
      <c r="B303" s="13" t="s">
        <v>1081</v>
      </c>
      <c r="C303" s="13" t="s">
        <v>1082</v>
      </c>
      <c r="D303" s="15">
        <v>3.0</v>
      </c>
      <c r="E303" s="58">
        <f t="shared" si="1"/>
        <v>150</v>
      </c>
      <c r="F303" s="46" t="str">
        <f t="shared" si="2"/>
        <v>3 Callback Appointments</v>
      </c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hidden="1">
      <c r="A304" s="6" t="s">
        <v>79</v>
      </c>
      <c r="B304" s="13" t="s">
        <v>3377</v>
      </c>
      <c r="C304" s="8" t="s">
        <v>3378</v>
      </c>
      <c r="D304" s="15">
        <v>0.0</v>
      </c>
      <c r="E304" s="45">
        <f t="shared" si="1"/>
        <v>0</v>
      </c>
      <c r="F304" s="46" t="str">
        <f t="shared" si="2"/>
        <v>0 Callback Appointments</v>
      </c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hidden="1">
      <c r="A305" s="6" t="s">
        <v>79</v>
      </c>
      <c r="B305" s="13" t="s">
        <v>1033</v>
      </c>
      <c r="C305" s="13" t="s">
        <v>1034</v>
      </c>
      <c r="D305" s="15">
        <v>46.0</v>
      </c>
      <c r="E305" s="45">
        <f t="shared" si="1"/>
        <v>2300</v>
      </c>
      <c r="F305" s="46" t="str">
        <f t="shared" si="2"/>
        <v>46 Callback Appointments</v>
      </c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hidden="1">
      <c r="A306" s="6" t="s">
        <v>79</v>
      </c>
      <c r="B306" s="13" t="s">
        <v>1435</v>
      </c>
      <c r="C306" s="13" t="s">
        <v>741</v>
      </c>
      <c r="D306" s="15">
        <v>30.0</v>
      </c>
      <c r="E306" s="45">
        <f t="shared" si="1"/>
        <v>1500</v>
      </c>
      <c r="F306" s="46" t="str">
        <f t="shared" si="2"/>
        <v>30 Callback Appointments</v>
      </c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hidden="1">
      <c r="A307" s="6" t="s">
        <v>79</v>
      </c>
      <c r="B307" s="13" t="s">
        <v>900</v>
      </c>
      <c r="C307" s="13" t="s">
        <v>901</v>
      </c>
      <c r="D307" s="15">
        <v>17.0</v>
      </c>
      <c r="E307" s="45">
        <f t="shared" si="1"/>
        <v>850</v>
      </c>
      <c r="F307" s="46" t="str">
        <f t="shared" si="2"/>
        <v>17 Callback Appointments</v>
      </c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hidden="1">
      <c r="A308" s="6" t="s">
        <v>81</v>
      </c>
      <c r="B308" s="13" t="s">
        <v>3373</v>
      </c>
      <c r="C308" s="13" t="s">
        <v>3374</v>
      </c>
      <c r="D308" s="15">
        <v>1.0</v>
      </c>
      <c r="E308" s="45">
        <f t="shared" si="1"/>
        <v>50</v>
      </c>
      <c r="F308" s="46" t="str">
        <f t="shared" si="2"/>
        <v>1 Callback Appointments</v>
      </c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hidden="1">
      <c r="A309" s="6" t="s">
        <v>81</v>
      </c>
      <c r="B309" s="13" t="s">
        <v>922</v>
      </c>
      <c r="C309" s="13" t="s">
        <v>923</v>
      </c>
      <c r="D309" s="15">
        <v>26.0</v>
      </c>
      <c r="E309" s="45">
        <f t="shared" si="1"/>
        <v>1300</v>
      </c>
      <c r="F309" s="46" t="str">
        <f t="shared" si="2"/>
        <v>26 Callback Appointments</v>
      </c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hidden="1">
      <c r="A310" s="6" t="s">
        <v>81</v>
      </c>
      <c r="B310" s="13" t="s">
        <v>596</v>
      </c>
      <c r="C310" s="8" t="s">
        <v>597</v>
      </c>
      <c r="D310" s="15">
        <v>28.0</v>
      </c>
      <c r="E310" s="45">
        <f t="shared" si="1"/>
        <v>1400</v>
      </c>
      <c r="F310" s="46" t="str">
        <f t="shared" si="2"/>
        <v>28 Callback Appointments</v>
      </c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hidden="1">
      <c r="A311" s="6" t="s">
        <v>81</v>
      </c>
      <c r="B311" s="13" t="s">
        <v>606</v>
      </c>
      <c r="C311" s="13" t="s">
        <v>607</v>
      </c>
      <c r="D311" s="15">
        <v>27.0</v>
      </c>
      <c r="E311" s="45">
        <f t="shared" si="1"/>
        <v>1350</v>
      </c>
      <c r="F311" s="46" t="str">
        <f t="shared" si="2"/>
        <v>27 Callback Appointments</v>
      </c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hidden="1">
      <c r="A312" s="6" t="s">
        <v>81</v>
      </c>
      <c r="B312" s="13" t="s">
        <v>1059</v>
      </c>
      <c r="C312" s="13" t="s">
        <v>1060</v>
      </c>
      <c r="D312" s="15">
        <v>1.0</v>
      </c>
      <c r="E312" s="45">
        <f t="shared" si="1"/>
        <v>50</v>
      </c>
      <c r="F312" s="46" t="str">
        <f t="shared" si="2"/>
        <v>1 Callback Appointments</v>
      </c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hidden="1">
      <c r="A313" s="6" t="s">
        <v>81</v>
      </c>
      <c r="B313" s="13" t="s">
        <v>1181</v>
      </c>
      <c r="C313" s="13" t="s">
        <v>1182</v>
      </c>
      <c r="D313" s="15">
        <v>20.0</v>
      </c>
      <c r="E313" s="45">
        <f t="shared" si="1"/>
        <v>1000</v>
      </c>
      <c r="F313" s="46" t="str">
        <f t="shared" si="2"/>
        <v>20 Callback Appointments</v>
      </c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hidden="1">
      <c r="A314" s="6" t="s">
        <v>81</v>
      </c>
      <c r="B314" s="13" t="s">
        <v>705</v>
      </c>
      <c r="C314" s="13" t="s">
        <v>706</v>
      </c>
      <c r="D314" s="15">
        <v>3.0</v>
      </c>
      <c r="E314" s="45">
        <f t="shared" si="1"/>
        <v>150</v>
      </c>
      <c r="F314" s="46" t="str">
        <f t="shared" si="2"/>
        <v>3 Callback Appointments</v>
      </c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hidden="1">
      <c r="A315" s="6" t="s">
        <v>81</v>
      </c>
      <c r="B315" s="13" t="s">
        <v>3375</v>
      </c>
      <c r="C315" s="8" t="s">
        <v>3376</v>
      </c>
      <c r="D315" s="15">
        <v>5.0</v>
      </c>
      <c r="E315" s="45">
        <f t="shared" si="1"/>
        <v>250</v>
      </c>
      <c r="F315" s="46" t="str">
        <f t="shared" si="2"/>
        <v>5 Callback Appointments</v>
      </c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hidden="1">
      <c r="A316" s="6" t="s">
        <v>81</v>
      </c>
      <c r="B316" s="13" t="s">
        <v>1081</v>
      </c>
      <c r="C316" s="13" t="s">
        <v>1082</v>
      </c>
      <c r="D316" s="15">
        <v>6.0</v>
      </c>
      <c r="E316" s="45">
        <f t="shared" si="1"/>
        <v>300</v>
      </c>
      <c r="F316" s="46" t="str">
        <f t="shared" si="2"/>
        <v>6 Callback Appointments</v>
      </c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hidden="1">
      <c r="A317" s="6" t="s">
        <v>81</v>
      </c>
      <c r="B317" s="13" t="s">
        <v>3377</v>
      </c>
      <c r="C317" s="13" t="s">
        <v>3378</v>
      </c>
      <c r="D317" s="15">
        <v>3.0</v>
      </c>
      <c r="E317" s="45">
        <f t="shared" si="1"/>
        <v>150</v>
      </c>
      <c r="F317" s="46" t="str">
        <f t="shared" si="2"/>
        <v>3 Callback Appointments</v>
      </c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hidden="1">
      <c r="A318" s="6" t="s">
        <v>81</v>
      </c>
      <c r="B318" s="13" t="s">
        <v>1033</v>
      </c>
      <c r="C318" s="13" t="s">
        <v>1034</v>
      </c>
      <c r="D318" s="15">
        <v>46.0</v>
      </c>
      <c r="E318" s="45">
        <f t="shared" si="1"/>
        <v>2300</v>
      </c>
      <c r="F318" s="46" t="str">
        <f t="shared" si="2"/>
        <v>46 Callback Appointments</v>
      </c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hidden="1">
      <c r="A319" s="6" t="s">
        <v>81</v>
      </c>
      <c r="B319" s="13" t="s">
        <v>1435</v>
      </c>
      <c r="C319" s="13" t="s">
        <v>741</v>
      </c>
      <c r="D319" s="15">
        <v>9.0</v>
      </c>
      <c r="E319" s="45">
        <f t="shared" si="1"/>
        <v>450</v>
      </c>
      <c r="F319" s="46" t="str">
        <f t="shared" si="2"/>
        <v>9 Callback Appointments</v>
      </c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hidden="1">
      <c r="A320" s="6" t="s">
        <v>81</v>
      </c>
      <c r="B320" s="13" t="s">
        <v>900</v>
      </c>
      <c r="C320" s="13" t="s">
        <v>901</v>
      </c>
      <c r="D320" s="15">
        <v>18.0</v>
      </c>
      <c r="E320" s="45">
        <f t="shared" si="1"/>
        <v>900</v>
      </c>
      <c r="F320" s="46" t="str">
        <f t="shared" si="2"/>
        <v>18 Callback Appointments</v>
      </c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hidden="1">
      <c r="A321" s="6" t="s">
        <v>83</v>
      </c>
      <c r="B321" s="13" t="s">
        <v>3373</v>
      </c>
      <c r="C321" s="13" t="s">
        <v>3374</v>
      </c>
      <c r="D321" s="15">
        <v>4.0</v>
      </c>
      <c r="E321" s="45">
        <f t="shared" si="1"/>
        <v>200</v>
      </c>
      <c r="F321" s="46" t="str">
        <f t="shared" si="2"/>
        <v>4 Callback Appointments</v>
      </c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hidden="1">
      <c r="A322" s="6" t="s">
        <v>83</v>
      </c>
      <c r="B322" s="13" t="s">
        <v>922</v>
      </c>
      <c r="C322" s="13" t="s">
        <v>923</v>
      </c>
      <c r="D322" s="15">
        <v>20.0</v>
      </c>
      <c r="E322" s="45">
        <f t="shared" si="1"/>
        <v>1000</v>
      </c>
      <c r="F322" s="46" t="str">
        <f t="shared" si="2"/>
        <v>20 Callback Appointments</v>
      </c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hidden="1">
      <c r="A323" s="6" t="s">
        <v>83</v>
      </c>
      <c r="B323" s="13" t="s">
        <v>1059</v>
      </c>
      <c r="C323" s="13" t="s">
        <v>1060</v>
      </c>
      <c r="D323" s="15">
        <v>1.0</v>
      </c>
      <c r="E323" s="45">
        <f t="shared" si="1"/>
        <v>50</v>
      </c>
      <c r="F323" s="46" t="str">
        <f t="shared" si="2"/>
        <v>1 Callback Appointments</v>
      </c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hidden="1">
      <c r="A324" s="6" t="s">
        <v>83</v>
      </c>
      <c r="B324" s="13" t="s">
        <v>1181</v>
      </c>
      <c r="C324" s="13" t="s">
        <v>1182</v>
      </c>
      <c r="D324" s="15">
        <v>24.0</v>
      </c>
      <c r="E324" s="45">
        <f t="shared" si="1"/>
        <v>1200</v>
      </c>
      <c r="F324" s="46" t="str">
        <f t="shared" si="2"/>
        <v>24 Callback Appointments</v>
      </c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hidden="1">
      <c r="A325" s="6" t="s">
        <v>83</v>
      </c>
      <c r="B325" s="13" t="s">
        <v>3375</v>
      </c>
      <c r="C325" s="8" t="s">
        <v>3376</v>
      </c>
      <c r="D325" s="15">
        <v>3.0</v>
      </c>
      <c r="E325" s="45">
        <f t="shared" si="1"/>
        <v>150</v>
      </c>
      <c r="F325" s="46" t="str">
        <f t="shared" si="2"/>
        <v>3 Callback Appointments</v>
      </c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hidden="1">
      <c r="A326" s="6" t="s">
        <v>83</v>
      </c>
      <c r="B326" s="13" t="s">
        <v>1081</v>
      </c>
      <c r="C326" s="13" t="s">
        <v>1082</v>
      </c>
      <c r="D326" s="15">
        <v>3.0</v>
      </c>
      <c r="E326" s="45">
        <f t="shared" si="1"/>
        <v>150</v>
      </c>
      <c r="F326" s="46" t="str">
        <f t="shared" si="2"/>
        <v>3 Callback Appointments</v>
      </c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hidden="1">
      <c r="A327" s="6" t="s">
        <v>83</v>
      </c>
      <c r="B327" s="13" t="s">
        <v>705</v>
      </c>
      <c r="C327" s="13" t="s">
        <v>706</v>
      </c>
      <c r="D327" s="15">
        <v>4.0</v>
      </c>
      <c r="E327" s="45">
        <f t="shared" si="1"/>
        <v>200</v>
      </c>
      <c r="F327" s="46" t="str">
        <f t="shared" si="2"/>
        <v>4 Callback Appointments</v>
      </c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hidden="1">
      <c r="A328" s="6" t="s">
        <v>83</v>
      </c>
      <c r="B328" s="13" t="s">
        <v>3377</v>
      </c>
      <c r="C328" s="13" t="s">
        <v>3378</v>
      </c>
      <c r="D328" s="15">
        <v>2.0</v>
      </c>
      <c r="E328" s="45">
        <f t="shared" si="1"/>
        <v>100</v>
      </c>
      <c r="F328" s="46" t="str">
        <f t="shared" si="2"/>
        <v>2 Callback Appointments</v>
      </c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hidden="1">
      <c r="A329" s="6" t="s">
        <v>83</v>
      </c>
      <c r="B329" s="13" t="s">
        <v>1033</v>
      </c>
      <c r="C329" s="13" t="s">
        <v>1034</v>
      </c>
      <c r="D329" s="15">
        <v>39.0</v>
      </c>
      <c r="E329" s="45">
        <f t="shared" si="1"/>
        <v>1950</v>
      </c>
      <c r="F329" s="46" t="str">
        <f t="shared" si="2"/>
        <v>39 Callback Appointments</v>
      </c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hidden="1">
      <c r="A330" s="6" t="s">
        <v>83</v>
      </c>
      <c r="B330" s="13" t="s">
        <v>900</v>
      </c>
      <c r="C330" s="13" t="s">
        <v>901</v>
      </c>
      <c r="D330" s="15">
        <v>19.0</v>
      </c>
      <c r="E330" s="45">
        <f t="shared" si="1"/>
        <v>950</v>
      </c>
      <c r="F330" s="46" t="str">
        <f t="shared" si="2"/>
        <v>19 Callback Appointments</v>
      </c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hidden="1">
      <c r="A331" s="6" t="s">
        <v>83</v>
      </c>
      <c r="B331" s="13" t="s">
        <v>596</v>
      </c>
      <c r="C331" s="8" t="s">
        <v>597</v>
      </c>
      <c r="D331" s="15">
        <v>27.0</v>
      </c>
      <c r="E331" s="45">
        <f t="shared" si="1"/>
        <v>1350</v>
      </c>
      <c r="F331" s="46" t="str">
        <f t="shared" si="2"/>
        <v>27 Callback Appointments</v>
      </c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hidden="1">
      <c r="A332" s="6" t="s">
        <v>83</v>
      </c>
      <c r="B332" s="13" t="s">
        <v>606</v>
      </c>
      <c r="C332" s="13" t="s">
        <v>607</v>
      </c>
      <c r="D332" s="15">
        <v>16.0</v>
      </c>
      <c r="E332" s="45">
        <f t="shared" si="1"/>
        <v>800</v>
      </c>
      <c r="F332" s="46" t="str">
        <f t="shared" si="2"/>
        <v>16 Callback Appointments</v>
      </c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hidden="1">
      <c r="A333" s="6" t="s">
        <v>83</v>
      </c>
      <c r="B333" s="13" t="s">
        <v>1435</v>
      </c>
      <c r="C333" s="13" t="s">
        <v>741</v>
      </c>
      <c r="D333" s="15">
        <v>26.0</v>
      </c>
      <c r="E333" s="45">
        <f t="shared" si="1"/>
        <v>1300</v>
      </c>
      <c r="F333" s="46" t="str">
        <f t="shared" si="2"/>
        <v>26 Callback Appointments</v>
      </c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hidden="1">
      <c r="A334" s="6" t="s">
        <v>85</v>
      </c>
      <c r="B334" s="13" t="s">
        <v>3373</v>
      </c>
      <c r="C334" s="13" t="s">
        <v>3374</v>
      </c>
      <c r="D334" s="15">
        <v>3.0</v>
      </c>
      <c r="E334" s="45">
        <f t="shared" si="1"/>
        <v>150</v>
      </c>
      <c r="F334" s="46" t="str">
        <f t="shared" si="2"/>
        <v>3 Callback Appointments</v>
      </c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hidden="1">
      <c r="A335" s="6" t="s">
        <v>85</v>
      </c>
      <c r="B335" s="13" t="s">
        <v>922</v>
      </c>
      <c r="C335" s="13" t="s">
        <v>923</v>
      </c>
      <c r="D335" s="15">
        <v>14.0</v>
      </c>
      <c r="E335" s="45">
        <f t="shared" si="1"/>
        <v>700</v>
      </c>
      <c r="F335" s="46" t="str">
        <f t="shared" si="2"/>
        <v>14 Callback Appointments</v>
      </c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hidden="1">
      <c r="A336" s="6" t="s">
        <v>85</v>
      </c>
      <c r="B336" s="13" t="s">
        <v>596</v>
      </c>
      <c r="C336" s="13" t="s">
        <v>597</v>
      </c>
      <c r="D336" s="15">
        <v>26.0</v>
      </c>
      <c r="E336" s="45">
        <f t="shared" si="1"/>
        <v>1300</v>
      </c>
      <c r="F336" s="46" t="str">
        <f t="shared" si="2"/>
        <v>26 Callback Appointments</v>
      </c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hidden="1">
      <c r="A337" s="6" t="s">
        <v>85</v>
      </c>
      <c r="B337" s="13" t="s">
        <v>606</v>
      </c>
      <c r="C337" s="13" t="s">
        <v>607</v>
      </c>
      <c r="D337" s="15">
        <v>24.0</v>
      </c>
      <c r="E337" s="45">
        <f t="shared" si="1"/>
        <v>1200</v>
      </c>
      <c r="F337" s="46" t="str">
        <f t="shared" si="2"/>
        <v>24 Callback Appointments</v>
      </c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hidden="1">
      <c r="A338" s="6" t="s">
        <v>85</v>
      </c>
      <c r="B338" s="13" t="s">
        <v>1059</v>
      </c>
      <c r="C338" s="8" t="s">
        <v>1060</v>
      </c>
      <c r="D338" s="15">
        <v>1.0</v>
      </c>
      <c r="E338" s="45">
        <f t="shared" si="1"/>
        <v>50</v>
      </c>
      <c r="F338" s="46" t="str">
        <f t="shared" si="2"/>
        <v>1 Callback Appointments</v>
      </c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hidden="1">
      <c r="A339" s="6" t="s">
        <v>85</v>
      </c>
      <c r="B339" s="13" t="s">
        <v>1181</v>
      </c>
      <c r="C339" s="13" t="s">
        <v>1182</v>
      </c>
      <c r="D339" s="15">
        <v>17.0</v>
      </c>
      <c r="E339" s="45">
        <f t="shared" si="1"/>
        <v>850</v>
      </c>
      <c r="F339" s="46" t="str">
        <f t="shared" si="2"/>
        <v>17 Callback Appointments</v>
      </c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hidden="1">
      <c r="A340" s="6" t="s">
        <v>85</v>
      </c>
      <c r="B340" s="13" t="s">
        <v>705</v>
      </c>
      <c r="C340" s="13" t="s">
        <v>706</v>
      </c>
      <c r="D340" s="15">
        <v>4.0</v>
      </c>
      <c r="E340" s="45">
        <f t="shared" si="1"/>
        <v>200</v>
      </c>
      <c r="F340" s="46" t="str">
        <f t="shared" si="2"/>
        <v>4 Callback Appointments</v>
      </c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hidden="1">
      <c r="A341" s="6" t="s">
        <v>85</v>
      </c>
      <c r="B341" s="13" t="s">
        <v>3375</v>
      </c>
      <c r="C341" s="13" t="s">
        <v>3376</v>
      </c>
      <c r="D341" s="15">
        <v>0.0</v>
      </c>
      <c r="E341" s="45">
        <f t="shared" si="1"/>
        <v>0</v>
      </c>
      <c r="F341" s="46" t="str">
        <f t="shared" si="2"/>
        <v>0 Callback Appointments</v>
      </c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hidden="1">
      <c r="A342" s="6" t="s">
        <v>85</v>
      </c>
      <c r="B342" s="13" t="s">
        <v>1081</v>
      </c>
      <c r="C342" s="13" t="s">
        <v>1082</v>
      </c>
      <c r="D342" s="15">
        <v>3.0</v>
      </c>
      <c r="E342" s="45">
        <f t="shared" si="1"/>
        <v>150</v>
      </c>
      <c r="F342" s="46" t="str">
        <f t="shared" si="2"/>
        <v>3 Callback Appointments</v>
      </c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hidden="1">
      <c r="A343" s="6" t="s">
        <v>85</v>
      </c>
      <c r="B343" s="13" t="s">
        <v>3377</v>
      </c>
      <c r="C343" s="13" t="s">
        <v>3378</v>
      </c>
      <c r="D343" s="15">
        <v>1.0</v>
      </c>
      <c r="E343" s="45">
        <f t="shared" si="1"/>
        <v>50</v>
      </c>
      <c r="F343" s="46" t="str">
        <f t="shared" si="2"/>
        <v>1 Callback Appointments</v>
      </c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hidden="1">
      <c r="A344" s="6" t="s">
        <v>85</v>
      </c>
      <c r="B344" s="13" t="s">
        <v>1033</v>
      </c>
      <c r="C344" s="8" t="s">
        <v>1034</v>
      </c>
      <c r="D344" s="15">
        <v>42.0</v>
      </c>
      <c r="E344" s="45">
        <f t="shared" si="1"/>
        <v>2100</v>
      </c>
      <c r="F344" s="46" t="str">
        <f t="shared" si="2"/>
        <v>42 Callback Appointments</v>
      </c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hidden="1">
      <c r="A345" s="6" t="s">
        <v>85</v>
      </c>
      <c r="B345" s="13" t="s">
        <v>1435</v>
      </c>
      <c r="C345" s="13" t="s">
        <v>741</v>
      </c>
      <c r="D345" s="15">
        <v>18.0</v>
      </c>
      <c r="E345" s="45">
        <f t="shared" si="1"/>
        <v>900</v>
      </c>
      <c r="F345" s="46" t="str">
        <f t="shared" si="2"/>
        <v>18 Callback Appointments</v>
      </c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hidden="1">
      <c r="A346" s="6" t="s">
        <v>85</v>
      </c>
      <c r="B346" s="13" t="s">
        <v>900</v>
      </c>
      <c r="C346" s="13" t="s">
        <v>901</v>
      </c>
      <c r="D346" s="15">
        <v>16.0</v>
      </c>
      <c r="E346" s="45">
        <f t="shared" si="1"/>
        <v>800</v>
      </c>
      <c r="F346" s="46" t="str">
        <f t="shared" si="2"/>
        <v>16 Callback Appointments</v>
      </c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hidden="1">
      <c r="A347" s="6" t="s">
        <v>87</v>
      </c>
      <c r="B347" s="13" t="s">
        <v>3373</v>
      </c>
      <c r="C347" s="13" t="s">
        <v>3374</v>
      </c>
      <c r="D347" s="15">
        <v>1.0</v>
      </c>
      <c r="E347" s="45">
        <f t="shared" si="1"/>
        <v>50</v>
      </c>
      <c r="F347" s="46" t="str">
        <f t="shared" si="2"/>
        <v>1 Callback Appointments</v>
      </c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hidden="1">
      <c r="A348" s="6" t="s">
        <v>87</v>
      </c>
      <c r="B348" s="13" t="s">
        <v>922</v>
      </c>
      <c r="C348" s="13" t="s">
        <v>923</v>
      </c>
      <c r="D348" s="15">
        <v>22.0</v>
      </c>
      <c r="E348" s="45">
        <f t="shared" si="1"/>
        <v>1100</v>
      </c>
      <c r="F348" s="46" t="str">
        <f t="shared" si="2"/>
        <v>22 Callback Appointments</v>
      </c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hidden="1">
      <c r="A349" s="6" t="s">
        <v>87</v>
      </c>
      <c r="B349" s="13" t="s">
        <v>596</v>
      </c>
      <c r="C349" s="8" t="s">
        <v>597</v>
      </c>
      <c r="D349" s="15">
        <v>34.0</v>
      </c>
      <c r="E349" s="45">
        <f t="shared" si="1"/>
        <v>1700</v>
      </c>
      <c r="F349" s="46" t="str">
        <f t="shared" si="2"/>
        <v>34 Callback Appointments</v>
      </c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hidden="1">
      <c r="A350" s="6" t="s">
        <v>87</v>
      </c>
      <c r="B350" s="13" t="s">
        <v>606</v>
      </c>
      <c r="C350" s="13" t="s">
        <v>607</v>
      </c>
      <c r="D350" s="15">
        <v>22.0</v>
      </c>
      <c r="E350" s="45">
        <f t="shared" si="1"/>
        <v>1100</v>
      </c>
      <c r="F350" s="46" t="str">
        <f t="shared" si="2"/>
        <v>22 Callback Appointments</v>
      </c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hidden="1">
      <c r="A351" s="6" t="s">
        <v>87</v>
      </c>
      <c r="B351" s="13" t="s">
        <v>1059</v>
      </c>
      <c r="C351" s="13" t="s">
        <v>1060</v>
      </c>
      <c r="D351" s="15">
        <v>0.0</v>
      </c>
      <c r="E351" s="45">
        <f t="shared" si="1"/>
        <v>0</v>
      </c>
      <c r="F351" s="46" t="str">
        <f t="shared" si="2"/>
        <v>0 Callback Appointments</v>
      </c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hidden="1">
      <c r="A352" s="6" t="s">
        <v>87</v>
      </c>
      <c r="B352" s="13" t="s">
        <v>1181</v>
      </c>
      <c r="C352" s="13" t="s">
        <v>1182</v>
      </c>
      <c r="D352" s="15">
        <v>26.0</v>
      </c>
      <c r="E352" s="45">
        <f t="shared" si="1"/>
        <v>1300</v>
      </c>
      <c r="F352" s="46" t="str">
        <f t="shared" si="2"/>
        <v>26 Callback Appointments</v>
      </c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hidden="1">
      <c r="A353" s="6" t="s">
        <v>87</v>
      </c>
      <c r="B353" s="13" t="s">
        <v>705</v>
      </c>
      <c r="C353" s="13" t="s">
        <v>706</v>
      </c>
      <c r="D353" s="15">
        <v>4.0</v>
      </c>
      <c r="E353" s="45">
        <f t="shared" si="1"/>
        <v>200</v>
      </c>
      <c r="F353" s="46" t="str">
        <f t="shared" si="2"/>
        <v>4 Callback Appointments</v>
      </c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hidden="1">
      <c r="A354" s="6" t="s">
        <v>87</v>
      </c>
      <c r="B354" s="13" t="s">
        <v>3375</v>
      </c>
      <c r="C354" s="13" t="s">
        <v>3376</v>
      </c>
      <c r="D354" s="15">
        <v>1.0</v>
      </c>
      <c r="E354" s="45">
        <f t="shared" si="1"/>
        <v>50</v>
      </c>
      <c r="F354" s="46" t="str">
        <f t="shared" si="2"/>
        <v>1 Callback Appointments</v>
      </c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hidden="1">
      <c r="A355" s="6" t="s">
        <v>87</v>
      </c>
      <c r="B355" s="13" t="s">
        <v>1081</v>
      </c>
      <c r="C355" s="8" t="s">
        <v>1082</v>
      </c>
      <c r="D355" s="15">
        <v>3.0</v>
      </c>
      <c r="E355" s="45">
        <f t="shared" si="1"/>
        <v>150</v>
      </c>
      <c r="F355" s="46" t="str">
        <f t="shared" si="2"/>
        <v>3 Callback Appointments</v>
      </c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hidden="1">
      <c r="A356" s="6" t="s">
        <v>87</v>
      </c>
      <c r="B356" s="13" t="s">
        <v>3377</v>
      </c>
      <c r="C356" s="13" t="s">
        <v>3378</v>
      </c>
      <c r="D356" s="15">
        <v>0.0</v>
      </c>
      <c r="E356" s="45">
        <f t="shared" si="1"/>
        <v>0</v>
      </c>
      <c r="F356" s="46" t="str">
        <f t="shared" si="2"/>
        <v>0 Callback Appointments</v>
      </c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hidden="1">
      <c r="A357" s="6" t="s">
        <v>87</v>
      </c>
      <c r="B357" s="13" t="s">
        <v>1033</v>
      </c>
      <c r="C357" s="13" t="s">
        <v>1034</v>
      </c>
      <c r="D357" s="15">
        <v>47.0</v>
      </c>
      <c r="E357" s="45">
        <f t="shared" si="1"/>
        <v>2350</v>
      </c>
      <c r="F357" s="46" t="str">
        <f t="shared" si="2"/>
        <v>47 Callback Appointments</v>
      </c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hidden="1">
      <c r="A358" s="6" t="s">
        <v>87</v>
      </c>
      <c r="B358" s="13" t="s">
        <v>1435</v>
      </c>
      <c r="C358" s="13" t="s">
        <v>741</v>
      </c>
      <c r="D358" s="15">
        <v>16.0</v>
      </c>
      <c r="E358" s="45">
        <f t="shared" si="1"/>
        <v>800</v>
      </c>
      <c r="F358" s="46" t="str">
        <f t="shared" si="2"/>
        <v>16 Callback Appointments</v>
      </c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hidden="1">
      <c r="A359" s="6" t="s">
        <v>87</v>
      </c>
      <c r="B359" s="13" t="s">
        <v>900</v>
      </c>
      <c r="C359" s="13" t="s">
        <v>901</v>
      </c>
      <c r="D359" s="15">
        <v>25.0</v>
      </c>
      <c r="E359" s="45">
        <f t="shared" si="1"/>
        <v>1250</v>
      </c>
      <c r="F359" s="46" t="str">
        <f t="shared" si="2"/>
        <v>25 Callback Appointments</v>
      </c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hidden="1">
      <c r="A360" s="6" t="s">
        <v>89</v>
      </c>
      <c r="B360" s="13" t="s">
        <v>3373</v>
      </c>
      <c r="C360" s="13" t="s">
        <v>3374</v>
      </c>
      <c r="D360" s="15">
        <v>1.0</v>
      </c>
      <c r="E360" s="45">
        <f t="shared" si="1"/>
        <v>50</v>
      </c>
      <c r="F360" s="46" t="str">
        <f t="shared" si="2"/>
        <v>1 Callback Appointments</v>
      </c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hidden="1">
      <c r="A361" s="6" t="s">
        <v>89</v>
      </c>
      <c r="B361" s="13" t="s">
        <v>922</v>
      </c>
      <c r="C361" s="13" t="s">
        <v>923</v>
      </c>
      <c r="D361" s="15">
        <v>28.0</v>
      </c>
      <c r="E361" s="45">
        <f t="shared" si="1"/>
        <v>1400</v>
      </c>
      <c r="F361" s="46" t="str">
        <f t="shared" si="2"/>
        <v>28 Callback Appointments</v>
      </c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hidden="1">
      <c r="A362" s="6" t="s">
        <v>89</v>
      </c>
      <c r="B362" s="13" t="s">
        <v>596</v>
      </c>
      <c r="C362" s="13" t="s">
        <v>597</v>
      </c>
      <c r="D362" s="15">
        <v>30.0</v>
      </c>
      <c r="E362" s="45">
        <f t="shared" si="1"/>
        <v>1500</v>
      </c>
      <c r="F362" s="46" t="str">
        <f t="shared" si="2"/>
        <v>30 Callback Appointments</v>
      </c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hidden="1">
      <c r="A363" s="6" t="s">
        <v>89</v>
      </c>
      <c r="B363" s="13" t="s">
        <v>606</v>
      </c>
      <c r="C363" s="13" t="s">
        <v>607</v>
      </c>
      <c r="D363" s="15">
        <v>22.0</v>
      </c>
      <c r="E363" s="45">
        <f t="shared" si="1"/>
        <v>1100</v>
      </c>
      <c r="F363" s="46" t="str">
        <f t="shared" si="2"/>
        <v>22 Callback Appointments</v>
      </c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hidden="1">
      <c r="A364" s="6" t="s">
        <v>89</v>
      </c>
      <c r="B364" s="13" t="s">
        <v>1059</v>
      </c>
      <c r="C364" s="13" t="s">
        <v>1060</v>
      </c>
      <c r="D364" s="15">
        <v>2.0</v>
      </c>
      <c r="E364" s="45">
        <f t="shared" si="1"/>
        <v>100</v>
      </c>
      <c r="F364" s="46" t="str">
        <f t="shared" si="2"/>
        <v>2 Callback Appointments</v>
      </c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hidden="1">
      <c r="A365" s="6" t="s">
        <v>89</v>
      </c>
      <c r="B365" s="13" t="s">
        <v>1181</v>
      </c>
      <c r="C365" s="8" t="s">
        <v>1182</v>
      </c>
      <c r="D365" s="15">
        <v>27.0</v>
      </c>
      <c r="E365" s="45">
        <f t="shared" si="1"/>
        <v>1350</v>
      </c>
      <c r="F365" s="46" t="str">
        <f t="shared" si="2"/>
        <v>27 Callback Appointments</v>
      </c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hidden="1">
      <c r="A366" s="6" t="s">
        <v>89</v>
      </c>
      <c r="B366" s="13" t="s">
        <v>705</v>
      </c>
      <c r="C366" s="13" t="s">
        <v>706</v>
      </c>
      <c r="D366" s="15">
        <v>6.0</v>
      </c>
      <c r="E366" s="45">
        <f t="shared" si="1"/>
        <v>300</v>
      </c>
      <c r="F366" s="46" t="str">
        <f t="shared" si="2"/>
        <v>6 Callback Appointments</v>
      </c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hidden="1">
      <c r="A367" s="6" t="s">
        <v>89</v>
      </c>
      <c r="B367" s="13" t="s">
        <v>3375</v>
      </c>
      <c r="C367" s="13" t="s">
        <v>3376</v>
      </c>
      <c r="D367" s="15">
        <v>1.0</v>
      </c>
      <c r="E367" s="45">
        <f t="shared" si="1"/>
        <v>50</v>
      </c>
      <c r="F367" s="46" t="str">
        <f t="shared" si="2"/>
        <v>1 Callback Appointments</v>
      </c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hidden="1">
      <c r="A368" s="6" t="s">
        <v>89</v>
      </c>
      <c r="B368" s="13" t="s">
        <v>1081</v>
      </c>
      <c r="C368" s="13" t="s">
        <v>1082</v>
      </c>
      <c r="D368" s="15">
        <v>5.0</v>
      </c>
      <c r="E368" s="45">
        <f t="shared" si="1"/>
        <v>250</v>
      </c>
      <c r="F368" s="46" t="str">
        <f t="shared" si="2"/>
        <v>5 Callback Appointments</v>
      </c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hidden="1">
      <c r="A369" s="6" t="s">
        <v>89</v>
      </c>
      <c r="B369" s="13" t="s">
        <v>3377</v>
      </c>
      <c r="C369" s="13" t="s">
        <v>3378</v>
      </c>
      <c r="D369" s="15">
        <v>0.0</v>
      </c>
      <c r="E369" s="45">
        <f t="shared" si="1"/>
        <v>0</v>
      </c>
      <c r="F369" s="46" t="str">
        <f t="shared" si="2"/>
        <v>0 Callback Appointments</v>
      </c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hidden="1">
      <c r="A370" s="6" t="s">
        <v>89</v>
      </c>
      <c r="B370" s="13" t="s">
        <v>1033</v>
      </c>
      <c r="C370" s="8" t="s">
        <v>1034</v>
      </c>
      <c r="D370" s="15">
        <v>53.0</v>
      </c>
      <c r="E370" s="45">
        <f t="shared" si="1"/>
        <v>2650</v>
      </c>
      <c r="F370" s="46" t="str">
        <f t="shared" si="2"/>
        <v>53 Callback Appointments</v>
      </c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hidden="1">
      <c r="A371" s="6" t="s">
        <v>89</v>
      </c>
      <c r="B371" s="13" t="s">
        <v>1435</v>
      </c>
      <c r="C371" s="13" t="s">
        <v>741</v>
      </c>
      <c r="D371" s="15">
        <v>22.0</v>
      </c>
      <c r="E371" s="45">
        <f t="shared" si="1"/>
        <v>1100</v>
      </c>
      <c r="F371" s="46" t="str">
        <f t="shared" si="2"/>
        <v>22 Callback Appointments</v>
      </c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hidden="1">
      <c r="A372" s="6" t="s">
        <v>89</v>
      </c>
      <c r="B372" s="13" t="s">
        <v>900</v>
      </c>
      <c r="C372" s="13" t="s">
        <v>901</v>
      </c>
      <c r="D372" s="15">
        <v>14.0</v>
      </c>
      <c r="E372" s="45">
        <f t="shared" si="1"/>
        <v>700</v>
      </c>
      <c r="F372" s="46" t="str">
        <f t="shared" si="2"/>
        <v>14 Callback Appointments</v>
      </c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hidden="1">
      <c r="A373" s="6" t="s">
        <v>92</v>
      </c>
      <c r="B373" s="13" t="s">
        <v>3373</v>
      </c>
      <c r="C373" s="13" t="s">
        <v>3374</v>
      </c>
      <c r="D373" s="15">
        <v>3.0</v>
      </c>
      <c r="E373" s="45">
        <f t="shared" si="1"/>
        <v>150</v>
      </c>
      <c r="F373" s="46" t="str">
        <f t="shared" si="2"/>
        <v>3 Callback Appointments</v>
      </c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hidden="1">
      <c r="A374" s="6" t="s">
        <v>92</v>
      </c>
      <c r="B374" s="13" t="s">
        <v>922</v>
      </c>
      <c r="C374" s="13" t="s">
        <v>923</v>
      </c>
      <c r="D374" s="15">
        <v>23.0</v>
      </c>
      <c r="E374" s="45">
        <f t="shared" si="1"/>
        <v>1150</v>
      </c>
      <c r="F374" s="46" t="str">
        <f t="shared" si="2"/>
        <v>23 Callback Appointments</v>
      </c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hidden="1">
      <c r="A375" s="6" t="s">
        <v>92</v>
      </c>
      <c r="B375" s="13" t="s">
        <v>596</v>
      </c>
      <c r="C375" s="13" t="s">
        <v>597</v>
      </c>
      <c r="D375" s="15">
        <v>30.0</v>
      </c>
      <c r="E375" s="45">
        <f t="shared" si="1"/>
        <v>1500</v>
      </c>
      <c r="F375" s="46" t="str">
        <f t="shared" si="2"/>
        <v>30 Callback Appointments</v>
      </c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hidden="1">
      <c r="A376" s="6" t="s">
        <v>92</v>
      </c>
      <c r="B376" s="13" t="s">
        <v>606</v>
      </c>
      <c r="C376" s="8" t="s">
        <v>607</v>
      </c>
      <c r="D376" s="15">
        <v>24.0</v>
      </c>
      <c r="E376" s="45">
        <f t="shared" si="1"/>
        <v>1200</v>
      </c>
      <c r="F376" s="46" t="str">
        <f t="shared" si="2"/>
        <v>24 Callback Appointments</v>
      </c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hidden="1">
      <c r="A377" s="6" t="s">
        <v>92</v>
      </c>
      <c r="B377" s="13" t="s">
        <v>1059</v>
      </c>
      <c r="C377" s="13" t="s">
        <v>1060</v>
      </c>
      <c r="D377" s="15">
        <v>1.0</v>
      </c>
      <c r="E377" s="45">
        <f t="shared" si="1"/>
        <v>50</v>
      </c>
      <c r="F377" s="46" t="str">
        <f t="shared" si="2"/>
        <v>1 Callback Appointments</v>
      </c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hidden="1">
      <c r="A378" s="6" t="s">
        <v>92</v>
      </c>
      <c r="B378" s="13" t="s">
        <v>1181</v>
      </c>
      <c r="C378" s="13" t="s">
        <v>1182</v>
      </c>
      <c r="D378" s="15">
        <v>24.0</v>
      </c>
      <c r="E378" s="45">
        <f t="shared" si="1"/>
        <v>1200</v>
      </c>
      <c r="F378" s="46" t="str">
        <f t="shared" si="2"/>
        <v>24 Callback Appointments</v>
      </c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hidden="1">
      <c r="A379" s="6" t="s">
        <v>92</v>
      </c>
      <c r="B379" s="13" t="s">
        <v>705</v>
      </c>
      <c r="C379" s="13" t="s">
        <v>706</v>
      </c>
      <c r="D379" s="15">
        <v>2.0</v>
      </c>
      <c r="E379" s="45">
        <f t="shared" si="1"/>
        <v>100</v>
      </c>
      <c r="F379" s="46" t="str">
        <f t="shared" si="2"/>
        <v>2 Callback Appointments</v>
      </c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hidden="1">
      <c r="A380" s="6" t="s">
        <v>92</v>
      </c>
      <c r="B380" s="13" t="s">
        <v>3375</v>
      </c>
      <c r="C380" s="13" t="s">
        <v>3376</v>
      </c>
      <c r="D380" s="15">
        <v>1.0</v>
      </c>
      <c r="E380" s="45">
        <f t="shared" si="1"/>
        <v>50</v>
      </c>
      <c r="F380" s="46" t="str">
        <f t="shared" si="2"/>
        <v>1 Callback Appointments</v>
      </c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hidden="1">
      <c r="A381" s="6" t="s">
        <v>92</v>
      </c>
      <c r="B381" s="13" t="s">
        <v>1081</v>
      </c>
      <c r="C381" s="8" t="s">
        <v>1082</v>
      </c>
      <c r="D381" s="15">
        <v>0.0</v>
      </c>
      <c r="E381" s="45">
        <f t="shared" si="1"/>
        <v>0</v>
      </c>
      <c r="F381" s="46" t="str">
        <f t="shared" si="2"/>
        <v>0 Callback Appointments</v>
      </c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hidden="1">
      <c r="A382" s="6" t="s">
        <v>92</v>
      </c>
      <c r="B382" s="13" t="s">
        <v>3377</v>
      </c>
      <c r="C382" s="13" t="s">
        <v>3378</v>
      </c>
      <c r="D382" s="15">
        <v>2.0</v>
      </c>
      <c r="E382" s="45">
        <f t="shared" si="1"/>
        <v>100</v>
      </c>
      <c r="F382" s="46" t="str">
        <f t="shared" si="2"/>
        <v>2 Callback Appointments</v>
      </c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hidden="1">
      <c r="A383" s="6" t="s">
        <v>92</v>
      </c>
      <c r="B383" s="13" t="s">
        <v>1033</v>
      </c>
      <c r="C383" s="13" t="s">
        <v>1034</v>
      </c>
      <c r="D383" s="15">
        <v>50.0</v>
      </c>
      <c r="E383" s="45">
        <f t="shared" si="1"/>
        <v>2500</v>
      </c>
      <c r="F383" s="46" t="str">
        <f t="shared" si="2"/>
        <v>50 Callback Appointments</v>
      </c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hidden="1">
      <c r="A384" s="6" t="s">
        <v>92</v>
      </c>
      <c r="B384" s="13" t="s">
        <v>1435</v>
      </c>
      <c r="C384" s="13" t="s">
        <v>741</v>
      </c>
      <c r="D384" s="15">
        <v>31.0</v>
      </c>
      <c r="E384" s="45">
        <f t="shared" si="1"/>
        <v>1550</v>
      </c>
      <c r="F384" s="46" t="str">
        <f t="shared" si="2"/>
        <v>31 Callback Appointments</v>
      </c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hidden="1">
      <c r="A385" s="6" t="s">
        <v>92</v>
      </c>
      <c r="B385" s="13" t="s">
        <v>900</v>
      </c>
      <c r="C385" s="13" t="s">
        <v>901</v>
      </c>
      <c r="D385" s="15">
        <v>19.0</v>
      </c>
      <c r="E385" s="45">
        <f t="shared" si="1"/>
        <v>950</v>
      </c>
      <c r="F385" s="46" t="str">
        <f t="shared" si="2"/>
        <v>19 Callback Appointments</v>
      </c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hidden="1">
      <c r="A386" s="6" t="s">
        <v>95</v>
      </c>
      <c r="B386" s="13" t="s">
        <v>3373</v>
      </c>
      <c r="C386" s="13" t="s">
        <v>3374</v>
      </c>
      <c r="D386" s="15">
        <v>0.0</v>
      </c>
      <c r="E386" s="45">
        <f t="shared" si="1"/>
        <v>0</v>
      </c>
      <c r="F386" s="46" t="str">
        <f t="shared" si="2"/>
        <v>0 Callback Appointments</v>
      </c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hidden="1">
      <c r="A387" s="6" t="s">
        <v>95</v>
      </c>
      <c r="B387" s="13" t="s">
        <v>922</v>
      </c>
      <c r="C387" s="13" t="s">
        <v>923</v>
      </c>
      <c r="D387" s="15">
        <v>15.0</v>
      </c>
      <c r="E387" s="45">
        <f t="shared" si="1"/>
        <v>750</v>
      </c>
      <c r="F387" s="46" t="str">
        <f t="shared" si="2"/>
        <v>15 Callback Appointments</v>
      </c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hidden="1">
      <c r="A388" s="6" t="s">
        <v>95</v>
      </c>
      <c r="B388" s="13" t="s">
        <v>596</v>
      </c>
      <c r="C388" s="13" t="s">
        <v>597</v>
      </c>
      <c r="D388" s="15">
        <v>30.0</v>
      </c>
      <c r="E388" s="45">
        <f t="shared" si="1"/>
        <v>1500</v>
      </c>
      <c r="F388" s="46" t="str">
        <f t="shared" si="2"/>
        <v>30 Callback Appointments</v>
      </c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hidden="1">
      <c r="A389" s="6" t="s">
        <v>95</v>
      </c>
      <c r="B389" s="13" t="s">
        <v>606</v>
      </c>
      <c r="C389" s="13" t="s">
        <v>607</v>
      </c>
      <c r="D389" s="15">
        <v>20.0</v>
      </c>
      <c r="E389" s="45">
        <f t="shared" si="1"/>
        <v>1000</v>
      </c>
      <c r="F389" s="46" t="str">
        <f t="shared" si="2"/>
        <v>20 Callback Appointments</v>
      </c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hidden="1">
      <c r="A390" s="6" t="s">
        <v>95</v>
      </c>
      <c r="B390" s="13" t="s">
        <v>1059</v>
      </c>
      <c r="C390" s="13" t="s">
        <v>1060</v>
      </c>
      <c r="D390" s="15">
        <v>0.0</v>
      </c>
      <c r="E390" s="45">
        <f t="shared" si="1"/>
        <v>0</v>
      </c>
      <c r="F390" s="46" t="str">
        <f t="shared" si="2"/>
        <v>0 Callback Appointments</v>
      </c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hidden="1">
      <c r="A391" s="6" t="s">
        <v>95</v>
      </c>
      <c r="B391" s="13" t="s">
        <v>1181</v>
      </c>
      <c r="C391" s="8" t="s">
        <v>1182</v>
      </c>
      <c r="D391" s="15">
        <v>17.0</v>
      </c>
      <c r="E391" s="45">
        <f t="shared" si="1"/>
        <v>850</v>
      </c>
      <c r="F391" s="46" t="str">
        <f t="shared" si="2"/>
        <v>17 Callback Appointments</v>
      </c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hidden="1">
      <c r="A392" s="6" t="s">
        <v>95</v>
      </c>
      <c r="B392" s="13" t="s">
        <v>705</v>
      </c>
      <c r="C392" s="13" t="s">
        <v>706</v>
      </c>
      <c r="D392" s="15">
        <v>2.0</v>
      </c>
      <c r="E392" s="45">
        <f t="shared" si="1"/>
        <v>100</v>
      </c>
      <c r="F392" s="46" t="str">
        <f t="shared" si="2"/>
        <v>2 Callback Appointments</v>
      </c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hidden="1">
      <c r="A393" s="6" t="s">
        <v>95</v>
      </c>
      <c r="B393" s="13" t="s">
        <v>3375</v>
      </c>
      <c r="C393" s="13" t="s">
        <v>3376</v>
      </c>
      <c r="D393" s="15">
        <v>1.0</v>
      </c>
      <c r="E393" s="45">
        <f t="shared" si="1"/>
        <v>50</v>
      </c>
      <c r="F393" s="46" t="str">
        <f t="shared" si="2"/>
        <v>1 Callback Appointments</v>
      </c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hidden="1">
      <c r="A394" s="6" t="s">
        <v>95</v>
      </c>
      <c r="B394" s="13" t="s">
        <v>1081</v>
      </c>
      <c r="C394" s="13" t="s">
        <v>1082</v>
      </c>
      <c r="D394" s="15">
        <v>1.0</v>
      </c>
      <c r="E394" s="45">
        <f t="shared" si="1"/>
        <v>50</v>
      </c>
      <c r="F394" s="46" t="str">
        <f t="shared" si="2"/>
        <v>1 Callback Appointments</v>
      </c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hidden="1">
      <c r="A395" s="6" t="s">
        <v>95</v>
      </c>
      <c r="B395" s="13" t="s">
        <v>3377</v>
      </c>
      <c r="C395" s="13" t="s">
        <v>3378</v>
      </c>
      <c r="D395" s="15">
        <v>1.0</v>
      </c>
      <c r="E395" s="45">
        <f t="shared" si="1"/>
        <v>50</v>
      </c>
      <c r="F395" s="46" t="str">
        <f t="shared" si="2"/>
        <v>1 Callback Appointments</v>
      </c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hidden="1">
      <c r="A396" s="6" t="s">
        <v>95</v>
      </c>
      <c r="B396" s="13" t="s">
        <v>1033</v>
      </c>
      <c r="C396" s="13" t="s">
        <v>1034</v>
      </c>
      <c r="D396" s="15">
        <v>44.0</v>
      </c>
      <c r="E396" s="45">
        <f t="shared" si="1"/>
        <v>2200</v>
      </c>
      <c r="F396" s="46" t="str">
        <f t="shared" si="2"/>
        <v>44 Callback Appointments</v>
      </c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hidden="1">
      <c r="A397" s="6" t="s">
        <v>95</v>
      </c>
      <c r="B397" s="13" t="s">
        <v>1435</v>
      </c>
      <c r="C397" s="8" t="s">
        <v>741</v>
      </c>
      <c r="D397" s="15">
        <v>15.0</v>
      </c>
      <c r="E397" s="45">
        <f t="shared" si="1"/>
        <v>750</v>
      </c>
      <c r="F397" s="46" t="str">
        <f t="shared" si="2"/>
        <v>15 Callback Appointments</v>
      </c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hidden="1">
      <c r="A398" s="6" t="s">
        <v>95</v>
      </c>
      <c r="B398" s="13" t="s">
        <v>900</v>
      </c>
      <c r="C398" s="13" t="s">
        <v>901</v>
      </c>
      <c r="D398" s="15">
        <v>21.0</v>
      </c>
      <c r="E398" s="45">
        <f t="shared" si="1"/>
        <v>1050</v>
      </c>
      <c r="F398" s="46" t="str">
        <f t="shared" si="2"/>
        <v>21 Callback Appointments</v>
      </c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hidden="1">
      <c r="A399" s="6" t="s">
        <v>97</v>
      </c>
      <c r="B399" s="13" t="s">
        <v>3373</v>
      </c>
      <c r="C399" s="13" t="s">
        <v>3374</v>
      </c>
      <c r="D399" s="15">
        <v>1.0</v>
      </c>
      <c r="E399" s="45">
        <f t="shared" si="1"/>
        <v>50</v>
      </c>
      <c r="F399" s="46" t="str">
        <f t="shared" si="2"/>
        <v>1 Callback Appointments</v>
      </c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hidden="1">
      <c r="A400" s="6" t="s">
        <v>97</v>
      </c>
      <c r="B400" s="13" t="s">
        <v>922</v>
      </c>
      <c r="C400" s="13" t="s">
        <v>923</v>
      </c>
      <c r="D400" s="15">
        <v>17.0</v>
      </c>
      <c r="E400" s="45">
        <f t="shared" si="1"/>
        <v>850</v>
      </c>
      <c r="F400" s="46" t="str">
        <f t="shared" si="2"/>
        <v>17 Callback Appointments</v>
      </c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hidden="1">
      <c r="A401" s="6" t="s">
        <v>97</v>
      </c>
      <c r="B401" s="13" t="s">
        <v>596</v>
      </c>
      <c r="C401" s="13" t="s">
        <v>597</v>
      </c>
      <c r="D401" s="15">
        <v>37.0</v>
      </c>
      <c r="E401" s="45">
        <f t="shared" si="1"/>
        <v>1850</v>
      </c>
      <c r="F401" s="46" t="str">
        <f t="shared" si="2"/>
        <v>37 Callback Appointments</v>
      </c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hidden="1">
      <c r="A402" s="6" t="s">
        <v>97</v>
      </c>
      <c r="B402" s="13" t="s">
        <v>606</v>
      </c>
      <c r="C402" s="8" t="s">
        <v>607</v>
      </c>
      <c r="D402" s="15">
        <v>23.0</v>
      </c>
      <c r="E402" s="45">
        <f t="shared" si="1"/>
        <v>1150</v>
      </c>
      <c r="F402" s="46" t="str">
        <f t="shared" si="2"/>
        <v>23 Callback Appointments</v>
      </c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hidden="1">
      <c r="A403" s="6" t="s">
        <v>97</v>
      </c>
      <c r="B403" s="13" t="s">
        <v>1059</v>
      </c>
      <c r="C403" s="13" t="s">
        <v>1060</v>
      </c>
      <c r="D403" s="15">
        <v>2.0</v>
      </c>
      <c r="E403" s="45">
        <f t="shared" si="1"/>
        <v>100</v>
      </c>
      <c r="F403" s="46" t="str">
        <f t="shared" si="2"/>
        <v>2 Callback Appointments</v>
      </c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hidden="1">
      <c r="A404" s="6" t="s">
        <v>97</v>
      </c>
      <c r="B404" s="13" t="s">
        <v>1181</v>
      </c>
      <c r="C404" s="13" t="s">
        <v>1182</v>
      </c>
      <c r="D404" s="15">
        <v>25.0</v>
      </c>
      <c r="E404" s="45">
        <f t="shared" si="1"/>
        <v>1250</v>
      </c>
      <c r="F404" s="46" t="str">
        <f t="shared" si="2"/>
        <v>25 Callback Appointments</v>
      </c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hidden="1">
      <c r="A405" s="6" t="s">
        <v>97</v>
      </c>
      <c r="B405" s="13" t="s">
        <v>705</v>
      </c>
      <c r="C405" s="13" t="s">
        <v>706</v>
      </c>
      <c r="D405" s="15">
        <v>2.0</v>
      </c>
      <c r="E405" s="45">
        <f t="shared" si="1"/>
        <v>100</v>
      </c>
      <c r="F405" s="46" t="str">
        <f t="shared" si="2"/>
        <v>2 Callback Appointments</v>
      </c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hidden="1">
      <c r="A406" s="6" t="s">
        <v>97</v>
      </c>
      <c r="B406" s="13" t="s">
        <v>3375</v>
      </c>
      <c r="C406" s="13" t="s">
        <v>3376</v>
      </c>
      <c r="D406" s="15">
        <v>1.0</v>
      </c>
      <c r="E406" s="45">
        <f t="shared" si="1"/>
        <v>50</v>
      </c>
      <c r="F406" s="46" t="str">
        <f t="shared" si="2"/>
        <v>1 Callback Appointments</v>
      </c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hidden="1">
      <c r="A407" s="6" t="s">
        <v>97</v>
      </c>
      <c r="B407" s="13" t="s">
        <v>1081</v>
      </c>
      <c r="C407" s="13" t="s">
        <v>1082</v>
      </c>
      <c r="D407" s="15">
        <v>4.0</v>
      </c>
      <c r="E407" s="45">
        <f t="shared" si="1"/>
        <v>200</v>
      </c>
      <c r="F407" s="46" t="str">
        <f t="shared" si="2"/>
        <v>4 Callback Appointments</v>
      </c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hidden="1">
      <c r="A408" s="6" t="s">
        <v>97</v>
      </c>
      <c r="B408" s="13" t="s">
        <v>3377</v>
      </c>
      <c r="C408" s="13" t="s">
        <v>3378</v>
      </c>
      <c r="D408" s="15">
        <v>6.0</v>
      </c>
      <c r="E408" s="45">
        <f t="shared" si="1"/>
        <v>300</v>
      </c>
      <c r="F408" s="46" t="str">
        <f t="shared" si="2"/>
        <v>6 Callback Appointments</v>
      </c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hidden="1">
      <c r="A409" s="6" t="s">
        <v>97</v>
      </c>
      <c r="B409" s="13" t="s">
        <v>1033</v>
      </c>
      <c r="C409" s="13" t="s">
        <v>1034</v>
      </c>
      <c r="D409" s="15">
        <v>43.0</v>
      </c>
      <c r="E409" s="45">
        <f t="shared" si="1"/>
        <v>2150</v>
      </c>
      <c r="F409" s="46" t="str">
        <f t="shared" si="2"/>
        <v>43 Callback Appointments</v>
      </c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hidden="1">
      <c r="A410" s="6" t="s">
        <v>97</v>
      </c>
      <c r="B410" s="13" t="s">
        <v>1435</v>
      </c>
      <c r="C410" s="13" t="s">
        <v>741</v>
      </c>
      <c r="D410" s="15">
        <v>15.0</v>
      </c>
      <c r="E410" s="45">
        <f t="shared" si="1"/>
        <v>750</v>
      </c>
      <c r="F410" s="46" t="str">
        <f t="shared" si="2"/>
        <v>15 Callback Appointments</v>
      </c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hidden="1">
      <c r="A411" s="6" t="s">
        <v>97</v>
      </c>
      <c r="B411" s="13" t="s">
        <v>900</v>
      </c>
      <c r="C411" s="8" t="s">
        <v>901</v>
      </c>
      <c r="D411" s="15">
        <v>27.0</v>
      </c>
      <c r="E411" s="45">
        <f t="shared" si="1"/>
        <v>1350</v>
      </c>
      <c r="F411" s="46" t="str">
        <f t="shared" si="2"/>
        <v>27 Callback Appointments</v>
      </c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hidden="1">
      <c r="A412" s="6" t="s">
        <v>98</v>
      </c>
      <c r="B412" s="13" t="s">
        <v>3373</v>
      </c>
      <c r="C412" s="13" t="s">
        <v>3374</v>
      </c>
      <c r="D412" s="15">
        <v>3.0</v>
      </c>
      <c r="E412" s="45">
        <f t="shared" si="1"/>
        <v>150</v>
      </c>
      <c r="F412" s="46" t="str">
        <f t="shared" si="2"/>
        <v>3 Callback Appointments</v>
      </c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hidden="1">
      <c r="A413" s="6" t="s">
        <v>98</v>
      </c>
      <c r="B413" s="13" t="s">
        <v>922</v>
      </c>
      <c r="C413" s="13" t="s">
        <v>923</v>
      </c>
      <c r="D413" s="15">
        <v>24.0</v>
      </c>
      <c r="E413" s="45">
        <f t="shared" si="1"/>
        <v>1200</v>
      </c>
      <c r="F413" s="46" t="str">
        <f t="shared" si="2"/>
        <v>24 Callback Appointments</v>
      </c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hidden="1">
      <c r="A414" s="6" t="s">
        <v>98</v>
      </c>
      <c r="B414" s="13" t="s">
        <v>1059</v>
      </c>
      <c r="C414" s="13" t="s">
        <v>1060</v>
      </c>
      <c r="D414" s="15">
        <v>4.0</v>
      </c>
      <c r="E414" s="45">
        <f t="shared" si="1"/>
        <v>200</v>
      </c>
      <c r="F414" s="46" t="str">
        <f t="shared" si="2"/>
        <v>4 Callback Appointments</v>
      </c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hidden="1">
      <c r="A415" s="6" t="s">
        <v>98</v>
      </c>
      <c r="B415" s="13" t="s">
        <v>1181</v>
      </c>
      <c r="C415" s="13" t="s">
        <v>1182</v>
      </c>
      <c r="D415" s="15">
        <v>23.0</v>
      </c>
      <c r="E415" s="45">
        <f t="shared" si="1"/>
        <v>1150</v>
      </c>
      <c r="F415" s="46" t="str">
        <f t="shared" si="2"/>
        <v>23 Callback Appointments</v>
      </c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hidden="1">
      <c r="A416" s="6" t="s">
        <v>98</v>
      </c>
      <c r="B416" s="13" t="s">
        <v>3375</v>
      </c>
      <c r="C416" s="13" t="s">
        <v>3376</v>
      </c>
      <c r="D416" s="15">
        <v>0.0</v>
      </c>
      <c r="E416" s="45">
        <f t="shared" si="1"/>
        <v>0</v>
      </c>
      <c r="F416" s="46" t="str">
        <f t="shared" si="2"/>
        <v>0 Callback Appointments</v>
      </c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hidden="1">
      <c r="A417" s="6" t="s">
        <v>98</v>
      </c>
      <c r="B417" s="13" t="s">
        <v>1081</v>
      </c>
      <c r="C417" s="13" t="s">
        <v>1082</v>
      </c>
      <c r="D417" s="15">
        <v>3.0</v>
      </c>
      <c r="E417" s="45">
        <f t="shared" si="1"/>
        <v>150</v>
      </c>
      <c r="F417" s="46" t="str">
        <f t="shared" si="2"/>
        <v>3 Callback Appointments</v>
      </c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hidden="1">
      <c r="A418" s="6" t="s">
        <v>98</v>
      </c>
      <c r="B418" s="13" t="s">
        <v>705</v>
      </c>
      <c r="C418" s="13" t="s">
        <v>706</v>
      </c>
      <c r="D418" s="15">
        <v>2.0</v>
      </c>
      <c r="E418" s="45">
        <f t="shared" si="1"/>
        <v>100</v>
      </c>
      <c r="F418" s="46" t="str">
        <f t="shared" si="2"/>
        <v>2 Callback Appointments</v>
      </c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hidden="1">
      <c r="A419" s="6" t="s">
        <v>98</v>
      </c>
      <c r="B419" s="13" t="s">
        <v>3377</v>
      </c>
      <c r="C419" s="13" t="s">
        <v>3378</v>
      </c>
      <c r="D419" s="15">
        <v>1.0</v>
      </c>
      <c r="E419" s="45">
        <f t="shared" si="1"/>
        <v>50</v>
      </c>
      <c r="F419" s="46" t="str">
        <f t="shared" si="2"/>
        <v>1 Callback Appointments</v>
      </c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hidden="1">
      <c r="A420" s="6" t="s">
        <v>98</v>
      </c>
      <c r="B420" s="13" t="s">
        <v>1033</v>
      </c>
      <c r="C420" s="13" t="s">
        <v>1034</v>
      </c>
      <c r="D420" s="15">
        <v>54.0</v>
      </c>
      <c r="E420" s="45">
        <f t="shared" si="1"/>
        <v>2700</v>
      </c>
      <c r="F420" s="46" t="str">
        <f t="shared" si="2"/>
        <v>54 Callback Appointments</v>
      </c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hidden="1">
      <c r="A421" s="6" t="s">
        <v>98</v>
      </c>
      <c r="B421" s="13" t="s">
        <v>900</v>
      </c>
      <c r="C421" s="8" t="s">
        <v>901</v>
      </c>
      <c r="D421" s="15">
        <v>22.0</v>
      </c>
      <c r="E421" s="45">
        <f t="shared" si="1"/>
        <v>1100</v>
      </c>
      <c r="F421" s="46" t="str">
        <f t="shared" si="2"/>
        <v>22 Callback Appointments</v>
      </c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hidden="1">
      <c r="A422" s="6" t="s">
        <v>98</v>
      </c>
      <c r="B422" s="13" t="s">
        <v>596</v>
      </c>
      <c r="C422" s="13" t="s">
        <v>597</v>
      </c>
      <c r="D422" s="15">
        <v>39.0</v>
      </c>
      <c r="E422" s="45">
        <f t="shared" si="1"/>
        <v>1950</v>
      </c>
      <c r="F422" s="46" t="str">
        <f t="shared" si="2"/>
        <v>39 Callback Appointments</v>
      </c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hidden="1">
      <c r="A423" s="6" t="s">
        <v>98</v>
      </c>
      <c r="B423" s="13" t="s">
        <v>606</v>
      </c>
      <c r="C423" s="8" t="s">
        <v>607</v>
      </c>
      <c r="D423" s="15">
        <v>13.0</v>
      </c>
      <c r="E423" s="45">
        <f t="shared" si="1"/>
        <v>650</v>
      </c>
      <c r="F423" s="46" t="str">
        <f t="shared" si="2"/>
        <v>13 Callback Appointments</v>
      </c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hidden="1">
      <c r="A424" s="6" t="s">
        <v>98</v>
      </c>
      <c r="B424" s="13" t="s">
        <v>1435</v>
      </c>
      <c r="C424" s="13" t="s">
        <v>741</v>
      </c>
      <c r="D424" s="15">
        <v>9.0</v>
      </c>
      <c r="E424" s="45">
        <f t="shared" si="1"/>
        <v>450</v>
      </c>
      <c r="F424" s="46" t="str">
        <f t="shared" si="2"/>
        <v>9 Callback Appointments</v>
      </c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hidden="1">
      <c r="A425" s="6" t="s">
        <v>99</v>
      </c>
      <c r="B425" s="13" t="s">
        <v>433</v>
      </c>
      <c r="C425" s="13" t="s">
        <v>434</v>
      </c>
      <c r="D425" s="15">
        <v>5.0</v>
      </c>
      <c r="E425" s="45">
        <f t="shared" si="1"/>
        <v>250</v>
      </c>
      <c r="F425" s="46" t="str">
        <f t="shared" si="2"/>
        <v>5 Callback Appointments</v>
      </c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hidden="1">
      <c r="A426" s="6" t="s">
        <v>99</v>
      </c>
      <c r="B426" s="13" t="s">
        <v>3373</v>
      </c>
      <c r="C426" s="13" t="s">
        <v>3374</v>
      </c>
      <c r="D426" s="15">
        <v>2.0</v>
      </c>
      <c r="E426" s="45">
        <f t="shared" si="1"/>
        <v>100</v>
      </c>
      <c r="F426" s="46" t="str">
        <f t="shared" si="2"/>
        <v>2 Callback Appointments</v>
      </c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hidden="1">
      <c r="A427" s="6" t="s">
        <v>99</v>
      </c>
      <c r="B427" s="13" t="s">
        <v>922</v>
      </c>
      <c r="C427" s="13" t="s">
        <v>923</v>
      </c>
      <c r="D427" s="15">
        <v>18.0</v>
      </c>
      <c r="E427" s="45">
        <f t="shared" si="1"/>
        <v>900</v>
      </c>
      <c r="F427" s="46" t="str">
        <f t="shared" si="2"/>
        <v>18 Callback Appointments</v>
      </c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hidden="1">
      <c r="A428" s="6" t="s">
        <v>99</v>
      </c>
      <c r="B428" s="13" t="s">
        <v>1059</v>
      </c>
      <c r="C428" s="13" t="s">
        <v>1060</v>
      </c>
      <c r="D428" s="15">
        <v>2.0</v>
      </c>
      <c r="E428" s="45">
        <f t="shared" si="1"/>
        <v>100</v>
      </c>
      <c r="F428" s="46" t="str">
        <f t="shared" si="2"/>
        <v>2 Callback Appointments</v>
      </c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hidden="1">
      <c r="A429" s="6" t="s">
        <v>99</v>
      </c>
      <c r="B429" s="13" t="s">
        <v>1181</v>
      </c>
      <c r="C429" s="13" t="s">
        <v>1182</v>
      </c>
      <c r="D429" s="15">
        <v>31.0</v>
      </c>
      <c r="E429" s="45">
        <f t="shared" si="1"/>
        <v>1550</v>
      </c>
      <c r="F429" s="46" t="str">
        <f t="shared" si="2"/>
        <v>31 Callback Appointments</v>
      </c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hidden="1">
      <c r="A430" s="6" t="s">
        <v>99</v>
      </c>
      <c r="B430" s="13" t="s">
        <v>3375</v>
      </c>
      <c r="C430" s="13" t="s">
        <v>3376</v>
      </c>
      <c r="D430" s="15">
        <v>1.0</v>
      </c>
      <c r="E430" s="45">
        <f t="shared" si="1"/>
        <v>50</v>
      </c>
      <c r="F430" s="46" t="str">
        <f t="shared" si="2"/>
        <v>1 Callback Appointments</v>
      </c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hidden="1">
      <c r="A431" s="6" t="s">
        <v>99</v>
      </c>
      <c r="B431" s="13" t="s">
        <v>1081</v>
      </c>
      <c r="C431" s="13" t="s">
        <v>1082</v>
      </c>
      <c r="D431" s="15">
        <v>3.0</v>
      </c>
      <c r="E431" s="45">
        <f t="shared" si="1"/>
        <v>150</v>
      </c>
      <c r="F431" s="46" t="str">
        <f t="shared" si="2"/>
        <v>3 Callback Appointments</v>
      </c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hidden="1">
      <c r="A432" s="6" t="s">
        <v>99</v>
      </c>
      <c r="B432" s="13" t="s">
        <v>705</v>
      </c>
      <c r="C432" s="13" t="s">
        <v>706</v>
      </c>
      <c r="D432" s="15">
        <v>4.0</v>
      </c>
      <c r="E432" s="45">
        <f t="shared" si="1"/>
        <v>200</v>
      </c>
      <c r="F432" s="46" t="str">
        <f t="shared" si="2"/>
        <v>4 Callback Appointments</v>
      </c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hidden="1">
      <c r="A433" s="6" t="s">
        <v>99</v>
      </c>
      <c r="B433" s="13" t="s">
        <v>3377</v>
      </c>
      <c r="C433" s="13" t="s">
        <v>3378</v>
      </c>
      <c r="D433" s="15">
        <v>0.0</v>
      </c>
      <c r="E433" s="45">
        <f t="shared" si="1"/>
        <v>0</v>
      </c>
      <c r="F433" s="46" t="str">
        <f t="shared" si="2"/>
        <v>0 Callback Appointments</v>
      </c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hidden="1">
      <c r="A434" s="6" t="s">
        <v>99</v>
      </c>
      <c r="B434" s="13" t="s">
        <v>1033</v>
      </c>
      <c r="C434" s="8" t="s">
        <v>1034</v>
      </c>
      <c r="D434" s="15">
        <v>37.0</v>
      </c>
      <c r="E434" s="45">
        <f t="shared" si="1"/>
        <v>1850</v>
      </c>
      <c r="F434" s="46" t="str">
        <f t="shared" si="2"/>
        <v>37 Callback Appointments</v>
      </c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hidden="1">
      <c r="A435" s="6" t="s">
        <v>99</v>
      </c>
      <c r="B435" s="13" t="s">
        <v>900</v>
      </c>
      <c r="C435" s="13" t="s">
        <v>901</v>
      </c>
      <c r="D435" s="15">
        <v>17.0</v>
      </c>
      <c r="E435" s="45">
        <f t="shared" si="1"/>
        <v>850</v>
      </c>
      <c r="F435" s="46" t="str">
        <f t="shared" si="2"/>
        <v>17 Callback Appointments</v>
      </c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hidden="1">
      <c r="A436" s="6" t="s">
        <v>99</v>
      </c>
      <c r="B436" s="13" t="s">
        <v>596</v>
      </c>
      <c r="C436" s="8" t="s">
        <v>597</v>
      </c>
      <c r="D436" s="15">
        <v>32.0</v>
      </c>
      <c r="E436" s="45">
        <f t="shared" si="1"/>
        <v>1600</v>
      </c>
      <c r="F436" s="46" t="str">
        <f t="shared" si="2"/>
        <v>32 Callback Appointments</v>
      </c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hidden="1">
      <c r="A437" s="6" t="s">
        <v>99</v>
      </c>
      <c r="B437" s="13" t="s">
        <v>606</v>
      </c>
      <c r="C437" s="13" t="s">
        <v>607</v>
      </c>
      <c r="D437" s="15">
        <v>20.0</v>
      </c>
      <c r="E437" s="45">
        <f t="shared" si="1"/>
        <v>1000</v>
      </c>
      <c r="F437" s="46" t="str">
        <f t="shared" si="2"/>
        <v>20 Callback Appointments</v>
      </c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hidden="1">
      <c r="A438" s="6" t="s">
        <v>99</v>
      </c>
      <c r="B438" s="13" t="s">
        <v>1435</v>
      </c>
      <c r="C438" s="13" t="s">
        <v>741</v>
      </c>
      <c r="D438" s="15">
        <v>10.0</v>
      </c>
      <c r="E438" s="45">
        <f t="shared" si="1"/>
        <v>500</v>
      </c>
      <c r="F438" s="46" t="str">
        <f t="shared" si="2"/>
        <v>10 Callback Appointments</v>
      </c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hidden="1">
      <c r="A439" s="6" t="s">
        <v>100</v>
      </c>
      <c r="B439" s="13" t="s">
        <v>433</v>
      </c>
      <c r="C439" s="13" t="s">
        <v>434</v>
      </c>
      <c r="D439" s="15">
        <v>22.0</v>
      </c>
      <c r="E439" s="45">
        <f t="shared" si="1"/>
        <v>1100</v>
      </c>
      <c r="F439" s="46" t="str">
        <f t="shared" si="2"/>
        <v>22 Callback Appointments</v>
      </c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hidden="1">
      <c r="A440" s="6" t="s">
        <v>100</v>
      </c>
      <c r="B440" s="13" t="s">
        <v>3373</v>
      </c>
      <c r="C440" s="13" t="s">
        <v>3374</v>
      </c>
      <c r="D440" s="15">
        <v>0.0</v>
      </c>
      <c r="E440" s="45">
        <f t="shared" si="1"/>
        <v>0</v>
      </c>
      <c r="F440" s="46" t="str">
        <f t="shared" si="2"/>
        <v>0 Callback Appointments</v>
      </c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hidden="1">
      <c r="A441" s="6" t="s">
        <v>100</v>
      </c>
      <c r="B441" s="13" t="s">
        <v>922</v>
      </c>
      <c r="C441" s="13" t="s">
        <v>923</v>
      </c>
      <c r="D441" s="15">
        <v>23.0</v>
      </c>
      <c r="E441" s="45">
        <f t="shared" si="1"/>
        <v>1150</v>
      </c>
      <c r="F441" s="46" t="str">
        <f t="shared" si="2"/>
        <v>23 Callback Appointments</v>
      </c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hidden="1">
      <c r="A442" s="6" t="s">
        <v>100</v>
      </c>
      <c r="B442" s="13" t="s">
        <v>1059</v>
      </c>
      <c r="C442" s="13" t="s">
        <v>1060</v>
      </c>
      <c r="D442" s="15">
        <v>0.0</v>
      </c>
      <c r="E442" s="45">
        <f t="shared" si="1"/>
        <v>0</v>
      </c>
      <c r="F442" s="46" t="str">
        <f t="shared" si="2"/>
        <v>0 Callback Appointments</v>
      </c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hidden="1">
      <c r="A443" s="6" t="s">
        <v>100</v>
      </c>
      <c r="B443" s="13" t="s">
        <v>1181</v>
      </c>
      <c r="C443" s="13" t="s">
        <v>1182</v>
      </c>
      <c r="D443" s="15">
        <v>19.0</v>
      </c>
      <c r="E443" s="45">
        <f t="shared" si="1"/>
        <v>950</v>
      </c>
      <c r="F443" s="46" t="str">
        <f t="shared" si="2"/>
        <v>19 Callback Appointments</v>
      </c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hidden="1">
      <c r="A444" s="6" t="s">
        <v>100</v>
      </c>
      <c r="B444" s="13" t="s">
        <v>3375</v>
      </c>
      <c r="C444" s="13" t="s">
        <v>3376</v>
      </c>
      <c r="D444" s="15">
        <v>1.0</v>
      </c>
      <c r="E444" s="45">
        <f t="shared" si="1"/>
        <v>50</v>
      </c>
      <c r="F444" s="46" t="str">
        <f t="shared" si="2"/>
        <v>1 Callback Appointments</v>
      </c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hidden="1">
      <c r="A445" s="6" t="s">
        <v>100</v>
      </c>
      <c r="B445" s="13" t="s">
        <v>1081</v>
      </c>
      <c r="C445" s="13" t="s">
        <v>1082</v>
      </c>
      <c r="D445" s="15">
        <v>1.0</v>
      </c>
      <c r="E445" s="45">
        <f t="shared" si="1"/>
        <v>50</v>
      </c>
      <c r="F445" s="46" t="str">
        <f t="shared" si="2"/>
        <v>1 Callback Appointments</v>
      </c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hidden="1">
      <c r="A446" s="6" t="s">
        <v>100</v>
      </c>
      <c r="B446" s="13" t="s">
        <v>705</v>
      </c>
      <c r="C446" s="13" t="s">
        <v>706</v>
      </c>
      <c r="D446" s="15">
        <v>2.0</v>
      </c>
      <c r="E446" s="45">
        <f t="shared" si="1"/>
        <v>100</v>
      </c>
      <c r="F446" s="46" t="str">
        <f t="shared" si="2"/>
        <v>2 Callback Appointments</v>
      </c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hidden="1">
      <c r="A447" s="6" t="s">
        <v>100</v>
      </c>
      <c r="B447" s="13" t="s">
        <v>3377</v>
      </c>
      <c r="C447" s="13" t="s">
        <v>3378</v>
      </c>
      <c r="D447" s="15">
        <v>1.0</v>
      </c>
      <c r="E447" s="45">
        <f t="shared" si="1"/>
        <v>50</v>
      </c>
      <c r="F447" s="46" t="str">
        <f t="shared" si="2"/>
        <v>1 Callback Appointments</v>
      </c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hidden="1">
      <c r="A448" s="6" t="s">
        <v>100</v>
      </c>
      <c r="B448" s="13" t="s">
        <v>1033</v>
      </c>
      <c r="C448" s="8" t="s">
        <v>1034</v>
      </c>
      <c r="D448" s="15">
        <v>41.0</v>
      </c>
      <c r="E448" s="45">
        <f t="shared" si="1"/>
        <v>2050</v>
      </c>
      <c r="F448" s="46" t="str">
        <f t="shared" si="2"/>
        <v>41 Callback Appointments</v>
      </c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hidden="1">
      <c r="A449" s="6" t="s">
        <v>100</v>
      </c>
      <c r="B449" s="13" t="s">
        <v>900</v>
      </c>
      <c r="C449" s="13" t="s">
        <v>901</v>
      </c>
      <c r="D449" s="15">
        <v>20.0</v>
      </c>
      <c r="E449" s="45">
        <f t="shared" si="1"/>
        <v>1000</v>
      </c>
      <c r="F449" s="46" t="str">
        <f t="shared" si="2"/>
        <v>20 Callback Appointments</v>
      </c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hidden="1">
      <c r="A450" s="6" t="s">
        <v>100</v>
      </c>
      <c r="B450" s="13" t="s">
        <v>596</v>
      </c>
      <c r="C450" s="8" t="s">
        <v>597</v>
      </c>
      <c r="D450" s="15">
        <v>38.0</v>
      </c>
      <c r="E450" s="45">
        <f t="shared" si="1"/>
        <v>1900</v>
      </c>
      <c r="F450" s="46" t="str">
        <f t="shared" si="2"/>
        <v>38 Callback Appointments</v>
      </c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hidden="1">
      <c r="A451" s="6" t="s">
        <v>100</v>
      </c>
      <c r="B451" s="13" t="s">
        <v>606</v>
      </c>
      <c r="C451" s="13" t="s">
        <v>607</v>
      </c>
      <c r="D451" s="15">
        <v>21.0</v>
      </c>
      <c r="E451" s="45">
        <f t="shared" si="1"/>
        <v>1050</v>
      </c>
      <c r="F451" s="46" t="str">
        <f t="shared" si="2"/>
        <v>21 Callback Appointments</v>
      </c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hidden="1">
      <c r="A452" s="6" t="s">
        <v>100</v>
      </c>
      <c r="B452" s="13" t="s">
        <v>1435</v>
      </c>
      <c r="C452" s="13" t="s">
        <v>741</v>
      </c>
      <c r="D452" s="15">
        <v>9.0</v>
      </c>
      <c r="E452" s="45">
        <f t="shared" si="1"/>
        <v>450</v>
      </c>
      <c r="F452" s="46" t="str">
        <f t="shared" si="2"/>
        <v>9 Callback Appointments</v>
      </c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hidden="1">
      <c r="A453" s="6" t="s">
        <v>102</v>
      </c>
      <c r="B453" s="13" t="s">
        <v>433</v>
      </c>
      <c r="C453" s="13" t="s">
        <v>434</v>
      </c>
      <c r="D453" s="15">
        <v>22.0</v>
      </c>
      <c r="E453" s="45">
        <f t="shared" si="1"/>
        <v>1100</v>
      </c>
      <c r="F453" s="46" t="s">
        <v>3379</v>
      </c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hidden="1">
      <c r="A454" s="6" t="s">
        <v>102</v>
      </c>
      <c r="B454" s="13" t="s">
        <v>3373</v>
      </c>
      <c r="C454" s="13" t="s">
        <v>3374</v>
      </c>
      <c r="D454" s="15">
        <v>4.0</v>
      </c>
      <c r="E454" s="45">
        <f t="shared" si="1"/>
        <v>200</v>
      </c>
      <c r="F454" s="46" t="s">
        <v>3380</v>
      </c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hidden="1">
      <c r="A455" s="6" t="s">
        <v>102</v>
      </c>
      <c r="B455" s="13" t="s">
        <v>922</v>
      </c>
      <c r="C455" s="13" t="s">
        <v>923</v>
      </c>
      <c r="D455" s="15">
        <v>12.0</v>
      </c>
      <c r="E455" s="45">
        <f t="shared" si="1"/>
        <v>600</v>
      </c>
      <c r="F455" s="46" t="s">
        <v>3381</v>
      </c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hidden="1">
      <c r="A456" s="6" t="s">
        <v>102</v>
      </c>
      <c r="B456" s="13" t="s">
        <v>1059</v>
      </c>
      <c r="C456" s="13" t="s">
        <v>1060</v>
      </c>
      <c r="D456" s="15">
        <v>0.0</v>
      </c>
      <c r="E456" s="45">
        <f t="shared" si="1"/>
        <v>0</v>
      </c>
      <c r="F456" s="46" t="s">
        <v>3382</v>
      </c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hidden="1">
      <c r="A457" s="6" t="s">
        <v>102</v>
      </c>
      <c r="B457" s="13" t="s">
        <v>1181</v>
      </c>
      <c r="C457" s="13" t="s">
        <v>1182</v>
      </c>
      <c r="D457" s="15">
        <v>25.0</v>
      </c>
      <c r="E457" s="45">
        <f t="shared" si="1"/>
        <v>1250</v>
      </c>
      <c r="F457" s="46" t="s">
        <v>3383</v>
      </c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hidden="1">
      <c r="A458" s="6" t="s">
        <v>102</v>
      </c>
      <c r="B458" s="13" t="s">
        <v>3375</v>
      </c>
      <c r="C458" s="13" t="s">
        <v>3376</v>
      </c>
      <c r="D458" s="15">
        <v>2.0</v>
      </c>
      <c r="E458" s="45">
        <f t="shared" si="1"/>
        <v>100</v>
      </c>
      <c r="F458" s="46" t="s">
        <v>3384</v>
      </c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hidden="1">
      <c r="A459" s="6" t="s">
        <v>102</v>
      </c>
      <c r="B459" s="13" t="s">
        <v>1081</v>
      </c>
      <c r="C459" s="13" t="s">
        <v>1082</v>
      </c>
      <c r="D459" s="15">
        <v>1.0</v>
      </c>
      <c r="E459" s="45">
        <f t="shared" si="1"/>
        <v>50</v>
      </c>
      <c r="F459" s="46" t="s">
        <v>3385</v>
      </c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hidden="1">
      <c r="A460" s="6" t="s">
        <v>102</v>
      </c>
      <c r="B460" s="13" t="s">
        <v>705</v>
      </c>
      <c r="C460" s="13" t="s">
        <v>706</v>
      </c>
      <c r="D460" s="15">
        <v>2.0</v>
      </c>
      <c r="E460" s="45">
        <f t="shared" si="1"/>
        <v>100</v>
      </c>
      <c r="F460" s="46" t="s">
        <v>3384</v>
      </c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hidden="1">
      <c r="A461" s="6" t="s">
        <v>102</v>
      </c>
      <c r="B461" s="13" t="s">
        <v>3377</v>
      </c>
      <c r="C461" s="13" t="s">
        <v>3378</v>
      </c>
      <c r="D461" s="15">
        <v>0.0</v>
      </c>
      <c r="E461" s="45">
        <f t="shared" si="1"/>
        <v>0</v>
      </c>
      <c r="F461" s="46" t="s">
        <v>3382</v>
      </c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hidden="1">
      <c r="A462" s="6" t="s">
        <v>102</v>
      </c>
      <c r="B462" s="13" t="s">
        <v>1033</v>
      </c>
      <c r="C462" s="13" t="s">
        <v>1034</v>
      </c>
      <c r="D462" s="15">
        <v>46.0</v>
      </c>
      <c r="E462" s="45">
        <f t="shared" si="1"/>
        <v>2300</v>
      </c>
      <c r="F462" s="46" t="s">
        <v>3386</v>
      </c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hidden="1">
      <c r="A463" s="6" t="s">
        <v>102</v>
      </c>
      <c r="B463" s="13" t="s">
        <v>900</v>
      </c>
      <c r="C463" s="13" t="s">
        <v>901</v>
      </c>
      <c r="D463" s="15">
        <v>17.0</v>
      </c>
      <c r="E463" s="45">
        <f t="shared" si="1"/>
        <v>850</v>
      </c>
      <c r="F463" s="46" t="s">
        <v>3387</v>
      </c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hidden="1">
      <c r="A464" s="6" t="s">
        <v>102</v>
      </c>
      <c r="B464" s="13" t="s">
        <v>596</v>
      </c>
      <c r="C464" s="13" t="s">
        <v>597</v>
      </c>
      <c r="D464" s="15">
        <v>33.0</v>
      </c>
      <c r="E464" s="45">
        <f t="shared" si="1"/>
        <v>1650</v>
      </c>
      <c r="F464" s="46" t="s">
        <v>3388</v>
      </c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hidden="1">
      <c r="A465" s="6" t="s">
        <v>102</v>
      </c>
      <c r="B465" s="13" t="s">
        <v>606</v>
      </c>
      <c r="C465" s="13" t="s">
        <v>607</v>
      </c>
      <c r="D465" s="15">
        <v>20.0</v>
      </c>
      <c r="E465" s="45">
        <f t="shared" si="1"/>
        <v>1000</v>
      </c>
      <c r="F465" s="46" t="s">
        <v>3389</v>
      </c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hidden="1">
      <c r="A466" s="6" t="s">
        <v>102</v>
      </c>
      <c r="B466" s="13" t="s">
        <v>1435</v>
      </c>
      <c r="C466" s="13" t="s">
        <v>741</v>
      </c>
      <c r="D466" s="15">
        <v>8.0</v>
      </c>
      <c r="E466" s="45">
        <f t="shared" si="1"/>
        <v>400</v>
      </c>
      <c r="F466" s="46" t="s">
        <v>3390</v>
      </c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hidden="1">
      <c r="A467" s="6" t="s">
        <v>104</v>
      </c>
      <c r="B467" s="13" t="s">
        <v>433</v>
      </c>
      <c r="C467" s="13" t="s">
        <v>434</v>
      </c>
      <c r="D467" s="15">
        <v>24.0</v>
      </c>
      <c r="E467" s="45">
        <f t="shared" si="1"/>
        <v>1200</v>
      </c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hidden="1">
      <c r="A468" s="6" t="s">
        <v>104</v>
      </c>
      <c r="B468" s="13" t="s">
        <v>3373</v>
      </c>
      <c r="C468" s="13" t="s">
        <v>3374</v>
      </c>
      <c r="D468" s="15">
        <v>5.0</v>
      </c>
      <c r="E468" s="45">
        <f t="shared" si="1"/>
        <v>250</v>
      </c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hidden="1">
      <c r="A469" s="6" t="s">
        <v>104</v>
      </c>
      <c r="B469" s="13" t="s">
        <v>922</v>
      </c>
      <c r="C469" s="13" t="s">
        <v>923</v>
      </c>
      <c r="D469" s="15">
        <v>16.0</v>
      </c>
      <c r="E469" s="45">
        <f t="shared" si="1"/>
        <v>800</v>
      </c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hidden="1">
      <c r="A470" s="6" t="s">
        <v>104</v>
      </c>
      <c r="B470" s="13" t="s">
        <v>1059</v>
      </c>
      <c r="C470" s="13" t="s">
        <v>1060</v>
      </c>
      <c r="D470" s="15">
        <v>1.0</v>
      </c>
      <c r="E470" s="45">
        <f t="shared" si="1"/>
        <v>50</v>
      </c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hidden="1">
      <c r="A471" s="6" t="s">
        <v>104</v>
      </c>
      <c r="B471" s="13" t="s">
        <v>1181</v>
      </c>
      <c r="C471" s="13" t="s">
        <v>1182</v>
      </c>
      <c r="D471" s="15">
        <v>30.0</v>
      </c>
      <c r="E471" s="45">
        <f t="shared" si="1"/>
        <v>1500</v>
      </c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hidden="1">
      <c r="A472" s="6" t="s">
        <v>104</v>
      </c>
      <c r="B472" s="13" t="s">
        <v>3375</v>
      </c>
      <c r="C472" s="13" t="s">
        <v>3376</v>
      </c>
      <c r="D472" s="15">
        <v>6.0</v>
      </c>
      <c r="E472" s="45">
        <f t="shared" si="1"/>
        <v>300</v>
      </c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hidden="1">
      <c r="A473" s="6" t="s">
        <v>104</v>
      </c>
      <c r="B473" s="13" t="s">
        <v>1081</v>
      </c>
      <c r="C473" s="13" t="s">
        <v>1082</v>
      </c>
      <c r="D473" s="15">
        <v>3.0</v>
      </c>
      <c r="E473" s="45">
        <f t="shared" si="1"/>
        <v>150</v>
      </c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hidden="1">
      <c r="A474" s="6" t="s">
        <v>104</v>
      </c>
      <c r="B474" s="13" t="s">
        <v>705</v>
      </c>
      <c r="C474" s="13" t="s">
        <v>706</v>
      </c>
      <c r="D474" s="15">
        <v>3.0</v>
      </c>
      <c r="E474" s="45">
        <f t="shared" si="1"/>
        <v>150</v>
      </c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hidden="1">
      <c r="A475" s="6" t="s">
        <v>104</v>
      </c>
      <c r="B475" s="13" t="s">
        <v>3377</v>
      </c>
      <c r="C475" s="13" t="s">
        <v>3378</v>
      </c>
      <c r="D475" s="15">
        <v>0.0</v>
      </c>
      <c r="E475" s="45">
        <f t="shared" si="1"/>
        <v>0</v>
      </c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hidden="1">
      <c r="A476" s="6" t="s">
        <v>104</v>
      </c>
      <c r="B476" s="13" t="s">
        <v>1033</v>
      </c>
      <c r="C476" s="13" t="s">
        <v>1034</v>
      </c>
      <c r="D476" s="15">
        <v>44.0</v>
      </c>
      <c r="E476" s="45">
        <f t="shared" si="1"/>
        <v>2200</v>
      </c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hidden="1">
      <c r="A477" s="6" t="s">
        <v>104</v>
      </c>
      <c r="B477" s="13" t="s">
        <v>900</v>
      </c>
      <c r="C477" s="13" t="s">
        <v>901</v>
      </c>
      <c r="D477" s="15">
        <v>17.0</v>
      </c>
      <c r="E477" s="45">
        <f t="shared" si="1"/>
        <v>850</v>
      </c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hidden="1">
      <c r="A478" s="6" t="s">
        <v>104</v>
      </c>
      <c r="B478" s="13" t="s">
        <v>596</v>
      </c>
      <c r="C478" s="13" t="s">
        <v>597</v>
      </c>
      <c r="D478" s="15">
        <v>46.0</v>
      </c>
      <c r="E478" s="45">
        <f t="shared" si="1"/>
        <v>2300</v>
      </c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hidden="1">
      <c r="A479" s="6" t="s">
        <v>104</v>
      </c>
      <c r="B479" s="13" t="s">
        <v>606</v>
      </c>
      <c r="C479" s="13" t="s">
        <v>607</v>
      </c>
      <c r="D479" s="15">
        <v>23.0</v>
      </c>
      <c r="E479" s="45">
        <f t="shared" si="1"/>
        <v>1150</v>
      </c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hidden="1">
      <c r="A480" s="6" t="s">
        <v>104</v>
      </c>
      <c r="B480" s="13" t="s">
        <v>1435</v>
      </c>
      <c r="C480" s="13" t="s">
        <v>741</v>
      </c>
      <c r="D480" s="15">
        <v>8.0</v>
      </c>
      <c r="E480" s="45">
        <f t="shared" si="1"/>
        <v>400</v>
      </c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hidden="1">
      <c r="A481" s="6" t="s">
        <v>105</v>
      </c>
      <c r="B481" s="25" t="s">
        <v>433</v>
      </c>
      <c r="C481" s="25" t="s">
        <v>434</v>
      </c>
      <c r="D481" s="25">
        <v>28.0</v>
      </c>
      <c r="E481" s="45">
        <f t="shared" si="1"/>
        <v>1400</v>
      </c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hidden="1">
      <c r="A482" s="6" t="s">
        <v>105</v>
      </c>
      <c r="B482" s="25" t="s">
        <v>3373</v>
      </c>
      <c r="C482" s="25" t="s">
        <v>3374</v>
      </c>
      <c r="D482" s="25">
        <v>1.0</v>
      </c>
      <c r="E482" s="45">
        <f t="shared" si="1"/>
        <v>50</v>
      </c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hidden="1">
      <c r="A483" s="6" t="s">
        <v>105</v>
      </c>
      <c r="B483" s="25" t="s">
        <v>922</v>
      </c>
      <c r="C483" s="25" t="s">
        <v>923</v>
      </c>
      <c r="D483" s="25">
        <v>6.0</v>
      </c>
      <c r="E483" s="45">
        <f t="shared" si="1"/>
        <v>300</v>
      </c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hidden="1">
      <c r="A484" s="6" t="s">
        <v>105</v>
      </c>
      <c r="B484" s="25" t="s">
        <v>1059</v>
      </c>
      <c r="C484" s="25" t="s">
        <v>1060</v>
      </c>
      <c r="D484" s="25">
        <v>1.0</v>
      </c>
      <c r="E484" s="45">
        <f t="shared" si="1"/>
        <v>50</v>
      </c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hidden="1">
      <c r="A485" s="6" t="s">
        <v>105</v>
      </c>
      <c r="B485" s="25" t="s">
        <v>1181</v>
      </c>
      <c r="C485" s="25" t="s">
        <v>1182</v>
      </c>
      <c r="D485" s="25">
        <v>37.0</v>
      </c>
      <c r="E485" s="45">
        <f t="shared" si="1"/>
        <v>1850</v>
      </c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hidden="1">
      <c r="A486" s="6" t="s">
        <v>105</v>
      </c>
      <c r="B486" s="25" t="s">
        <v>3375</v>
      </c>
      <c r="C486" s="25" t="s">
        <v>3376</v>
      </c>
      <c r="D486" s="25">
        <v>1.0</v>
      </c>
      <c r="E486" s="45">
        <f t="shared" si="1"/>
        <v>50</v>
      </c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hidden="1">
      <c r="A487" s="6" t="s">
        <v>105</v>
      </c>
      <c r="B487" s="25" t="s">
        <v>1081</v>
      </c>
      <c r="C487" s="25" t="s">
        <v>1082</v>
      </c>
      <c r="D487" s="25">
        <v>1.0</v>
      </c>
      <c r="E487" s="45">
        <f t="shared" si="1"/>
        <v>50</v>
      </c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hidden="1">
      <c r="A488" s="6" t="s">
        <v>105</v>
      </c>
      <c r="B488" s="25" t="s">
        <v>705</v>
      </c>
      <c r="C488" s="25" t="s">
        <v>706</v>
      </c>
      <c r="D488" s="25">
        <v>8.0</v>
      </c>
      <c r="E488" s="45">
        <f t="shared" si="1"/>
        <v>400</v>
      </c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hidden="1">
      <c r="A489" s="6" t="s">
        <v>105</v>
      </c>
      <c r="B489" s="25" t="s">
        <v>3377</v>
      </c>
      <c r="C489" s="25" t="s">
        <v>3378</v>
      </c>
      <c r="D489" s="25">
        <v>1.0</v>
      </c>
      <c r="E489" s="45">
        <f t="shared" si="1"/>
        <v>50</v>
      </c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hidden="1">
      <c r="A490" s="6" t="s">
        <v>105</v>
      </c>
      <c r="B490" s="25" t="s">
        <v>1033</v>
      </c>
      <c r="C490" s="25" t="s">
        <v>1034</v>
      </c>
      <c r="D490" s="25">
        <v>36.0</v>
      </c>
      <c r="E490" s="45">
        <f t="shared" si="1"/>
        <v>1800</v>
      </c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hidden="1">
      <c r="A491" s="6" t="s">
        <v>105</v>
      </c>
      <c r="B491" s="25" t="s">
        <v>900</v>
      </c>
      <c r="C491" s="25" t="s">
        <v>901</v>
      </c>
      <c r="D491" s="25">
        <v>13.0</v>
      </c>
      <c r="E491" s="45">
        <f t="shared" si="1"/>
        <v>650</v>
      </c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hidden="1">
      <c r="A492" s="6" t="s">
        <v>105</v>
      </c>
      <c r="B492" s="25" t="s">
        <v>596</v>
      </c>
      <c r="C492" s="25" t="s">
        <v>597</v>
      </c>
      <c r="D492" s="25">
        <v>36.0</v>
      </c>
      <c r="E492" s="45">
        <f t="shared" si="1"/>
        <v>1800</v>
      </c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hidden="1">
      <c r="A493" s="6" t="s">
        <v>105</v>
      </c>
      <c r="B493" s="25" t="s">
        <v>606</v>
      </c>
      <c r="C493" s="25" t="s">
        <v>607</v>
      </c>
      <c r="D493" s="25">
        <v>22.0</v>
      </c>
      <c r="E493" s="45">
        <f t="shared" si="1"/>
        <v>1100</v>
      </c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hidden="1">
      <c r="A494" s="6" t="s">
        <v>105</v>
      </c>
      <c r="B494" s="25" t="s">
        <v>1435</v>
      </c>
      <c r="C494" s="25" t="s">
        <v>741</v>
      </c>
      <c r="D494" s="25">
        <v>10.0</v>
      </c>
      <c r="E494" s="45">
        <f t="shared" si="1"/>
        <v>500</v>
      </c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hidden="1">
      <c r="A495" s="6" t="s">
        <v>106</v>
      </c>
      <c r="B495" s="13" t="s">
        <v>433</v>
      </c>
      <c r="C495" s="13" t="s">
        <v>434</v>
      </c>
      <c r="D495" s="15">
        <v>15.0</v>
      </c>
      <c r="E495" s="45">
        <f t="shared" si="1"/>
        <v>750</v>
      </c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hidden="1">
      <c r="A496" s="6" t="s">
        <v>106</v>
      </c>
      <c r="B496" s="13" t="s">
        <v>3373</v>
      </c>
      <c r="C496" s="13" t="s">
        <v>3374</v>
      </c>
      <c r="D496" s="15">
        <v>1.0</v>
      </c>
      <c r="E496" s="45">
        <f t="shared" si="1"/>
        <v>50</v>
      </c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hidden="1">
      <c r="A497" s="6" t="s">
        <v>106</v>
      </c>
      <c r="B497" s="13" t="s">
        <v>922</v>
      </c>
      <c r="C497" s="13" t="s">
        <v>923</v>
      </c>
      <c r="D497" s="15">
        <v>21.0</v>
      </c>
      <c r="E497" s="45">
        <f t="shared" si="1"/>
        <v>1050</v>
      </c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hidden="1">
      <c r="A498" s="6" t="s">
        <v>106</v>
      </c>
      <c r="B498" s="13" t="s">
        <v>1059</v>
      </c>
      <c r="C498" s="13" t="s">
        <v>1060</v>
      </c>
      <c r="D498" s="15">
        <v>4.0</v>
      </c>
      <c r="E498" s="45">
        <f t="shared" si="1"/>
        <v>200</v>
      </c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hidden="1">
      <c r="A499" s="6" t="s">
        <v>106</v>
      </c>
      <c r="B499" s="13" t="s">
        <v>1181</v>
      </c>
      <c r="C499" s="13" t="s">
        <v>1182</v>
      </c>
      <c r="D499" s="15">
        <v>15.0</v>
      </c>
      <c r="E499" s="45">
        <f t="shared" si="1"/>
        <v>750</v>
      </c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hidden="1">
      <c r="A500" s="6" t="s">
        <v>106</v>
      </c>
      <c r="B500" s="13" t="s">
        <v>3375</v>
      </c>
      <c r="C500" s="13" t="s">
        <v>3376</v>
      </c>
      <c r="D500" s="15">
        <v>2.0</v>
      </c>
      <c r="E500" s="45">
        <f t="shared" si="1"/>
        <v>100</v>
      </c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hidden="1">
      <c r="A501" s="6" t="s">
        <v>106</v>
      </c>
      <c r="B501" s="13" t="s">
        <v>1081</v>
      </c>
      <c r="C501" s="13" t="s">
        <v>1082</v>
      </c>
      <c r="D501" s="15">
        <v>3.0</v>
      </c>
      <c r="E501" s="45">
        <f t="shared" si="1"/>
        <v>150</v>
      </c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hidden="1">
      <c r="A502" s="6" t="s">
        <v>106</v>
      </c>
      <c r="B502" s="13" t="s">
        <v>705</v>
      </c>
      <c r="C502" s="13" t="s">
        <v>706</v>
      </c>
      <c r="D502" s="15">
        <v>1.0</v>
      </c>
      <c r="E502" s="45">
        <f t="shared" si="1"/>
        <v>50</v>
      </c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hidden="1">
      <c r="A503" s="6" t="s">
        <v>106</v>
      </c>
      <c r="B503" s="13" t="s">
        <v>3377</v>
      </c>
      <c r="C503" s="13" t="s">
        <v>3378</v>
      </c>
      <c r="D503" s="15">
        <v>1.0</v>
      </c>
      <c r="E503" s="45">
        <f t="shared" si="1"/>
        <v>50</v>
      </c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hidden="1">
      <c r="A504" s="6" t="s">
        <v>106</v>
      </c>
      <c r="B504" s="13" t="s">
        <v>1033</v>
      </c>
      <c r="C504" s="13" t="s">
        <v>1034</v>
      </c>
      <c r="D504" s="15">
        <v>28.0</v>
      </c>
      <c r="E504" s="45">
        <f t="shared" si="1"/>
        <v>1400</v>
      </c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hidden="1">
      <c r="A505" s="6" t="s">
        <v>106</v>
      </c>
      <c r="B505" s="13" t="s">
        <v>900</v>
      </c>
      <c r="C505" s="13" t="s">
        <v>901</v>
      </c>
      <c r="D505" s="15">
        <v>18.0</v>
      </c>
      <c r="E505" s="45">
        <f t="shared" si="1"/>
        <v>900</v>
      </c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hidden="1">
      <c r="A506" s="6" t="s">
        <v>106</v>
      </c>
      <c r="B506" s="13" t="s">
        <v>596</v>
      </c>
      <c r="C506" s="13" t="s">
        <v>597</v>
      </c>
      <c r="D506" s="15">
        <v>34.0</v>
      </c>
      <c r="E506" s="45">
        <f t="shared" si="1"/>
        <v>1700</v>
      </c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hidden="1">
      <c r="A507" s="6" t="s">
        <v>106</v>
      </c>
      <c r="B507" s="13" t="s">
        <v>606</v>
      </c>
      <c r="C507" s="13" t="s">
        <v>607</v>
      </c>
      <c r="D507" s="15">
        <v>22.0</v>
      </c>
      <c r="E507" s="45">
        <f t="shared" si="1"/>
        <v>1100</v>
      </c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hidden="1">
      <c r="A508" s="6" t="s">
        <v>106</v>
      </c>
      <c r="B508" s="13" t="s">
        <v>1435</v>
      </c>
      <c r="C508" s="13" t="s">
        <v>741</v>
      </c>
      <c r="D508" s="15">
        <v>17.0</v>
      </c>
      <c r="E508" s="45">
        <f t="shared" si="1"/>
        <v>850</v>
      </c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hidden="1">
      <c r="A509" s="6" t="s">
        <v>107</v>
      </c>
      <c r="B509" s="13" t="s">
        <v>433</v>
      </c>
      <c r="C509" s="13" t="s">
        <v>434</v>
      </c>
      <c r="D509" s="15">
        <v>17.0</v>
      </c>
      <c r="E509" s="45">
        <f t="shared" si="1"/>
        <v>850</v>
      </c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hidden="1">
      <c r="A510" s="6" t="s">
        <v>107</v>
      </c>
      <c r="B510" s="13" t="s">
        <v>3373</v>
      </c>
      <c r="C510" s="13" t="s">
        <v>3374</v>
      </c>
      <c r="D510" s="15">
        <v>5.0</v>
      </c>
      <c r="E510" s="45">
        <f t="shared" si="1"/>
        <v>250</v>
      </c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hidden="1">
      <c r="A511" s="6" t="s">
        <v>107</v>
      </c>
      <c r="B511" s="13" t="s">
        <v>922</v>
      </c>
      <c r="C511" s="13" t="s">
        <v>923</v>
      </c>
      <c r="D511" s="15">
        <v>14.0</v>
      </c>
      <c r="E511" s="45">
        <f t="shared" si="1"/>
        <v>700</v>
      </c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hidden="1">
      <c r="A512" s="6" t="s">
        <v>107</v>
      </c>
      <c r="B512" s="13" t="s">
        <v>1059</v>
      </c>
      <c r="C512" s="13" t="s">
        <v>1060</v>
      </c>
      <c r="D512" s="15">
        <v>1.0</v>
      </c>
      <c r="E512" s="45">
        <f t="shared" si="1"/>
        <v>50</v>
      </c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hidden="1">
      <c r="A513" s="6" t="s">
        <v>107</v>
      </c>
      <c r="B513" s="13" t="s">
        <v>1181</v>
      </c>
      <c r="C513" s="13" t="s">
        <v>1182</v>
      </c>
      <c r="D513" s="15">
        <v>8.0</v>
      </c>
      <c r="E513" s="45">
        <f t="shared" si="1"/>
        <v>400</v>
      </c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hidden="1">
      <c r="A514" s="6" t="s">
        <v>107</v>
      </c>
      <c r="B514" s="13" t="s">
        <v>3375</v>
      </c>
      <c r="C514" s="13" t="s">
        <v>3376</v>
      </c>
      <c r="D514" s="15">
        <v>1.0</v>
      </c>
      <c r="E514" s="45">
        <f t="shared" si="1"/>
        <v>50</v>
      </c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hidden="1">
      <c r="A515" s="6" t="s">
        <v>107</v>
      </c>
      <c r="B515" s="13" t="s">
        <v>1081</v>
      </c>
      <c r="C515" s="13" t="s">
        <v>1082</v>
      </c>
      <c r="D515" s="15">
        <v>1.0</v>
      </c>
      <c r="E515" s="45">
        <f t="shared" si="1"/>
        <v>50</v>
      </c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hidden="1">
      <c r="A516" s="6" t="s">
        <v>107</v>
      </c>
      <c r="B516" s="13" t="s">
        <v>705</v>
      </c>
      <c r="C516" s="13" t="s">
        <v>706</v>
      </c>
      <c r="D516" s="15">
        <v>3.0</v>
      </c>
      <c r="E516" s="45">
        <f t="shared" si="1"/>
        <v>150</v>
      </c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hidden="1">
      <c r="A517" s="6" t="s">
        <v>107</v>
      </c>
      <c r="B517" s="13" t="s">
        <v>3377</v>
      </c>
      <c r="C517" s="13" t="s">
        <v>3378</v>
      </c>
      <c r="D517" s="15">
        <v>0.0</v>
      </c>
      <c r="E517" s="45">
        <f t="shared" si="1"/>
        <v>0</v>
      </c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hidden="1">
      <c r="A518" s="6" t="s">
        <v>107</v>
      </c>
      <c r="B518" s="13" t="s">
        <v>1033</v>
      </c>
      <c r="C518" s="13" t="s">
        <v>1034</v>
      </c>
      <c r="D518" s="15">
        <v>28.0</v>
      </c>
      <c r="E518" s="45">
        <f t="shared" si="1"/>
        <v>1400</v>
      </c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hidden="1">
      <c r="A519" s="6" t="s">
        <v>107</v>
      </c>
      <c r="B519" s="13" t="s">
        <v>900</v>
      </c>
      <c r="C519" s="13" t="s">
        <v>901</v>
      </c>
      <c r="D519" s="15">
        <v>8.0</v>
      </c>
      <c r="E519" s="45">
        <f t="shared" si="1"/>
        <v>400</v>
      </c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hidden="1">
      <c r="A520" s="6" t="s">
        <v>107</v>
      </c>
      <c r="B520" s="13" t="s">
        <v>596</v>
      </c>
      <c r="C520" s="13" t="s">
        <v>597</v>
      </c>
      <c r="D520" s="15">
        <v>26.0</v>
      </c>
      <c r="E520" s="45">
        <f t="shared" si="1"/>
        <v>1300</v>
      </c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hidden="1">
      <c r="A521" s="6" t="s">
        <v>107</v>
      </c>
      <c r="B521" s="13" t="s">
        <v>606</v>
      </c>
      <c r="C521" s="13" t="s">
        <v>607</v>
      </c>
      <c r="D521" s="15">
        <v>13.0</v>
      </c>
      <c r="E521" s="45">
        <f t="shared" si="1"/>
        <v>650</v>
      </c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hidden="1">
      <c r="A522" s="6" t="s">
        <v>107</v>
      </c>
      <c r="B522" s="13" t="s">
        <v>1435</v>
      </c>
      <c r="C522" s="13" t="s">
        <v>741</v>
      </c>
      <c r="D522" s="15">
        <v>11.0</v>
      </c>
      <c r="E522" s="45">
        <f t="shared" si="1"/>
        <v>550</v>
      </c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hidden="1">
      <c r="A523" s="6" t="s">
        <v>108</v>
      </c>
      <c r="B523" s="13" t="s">
        <v>433</v>
      </c>
      <c r="C523" s="13" t="s">
        <v>434</v>
      </c>
      <c r="D523" s="15">
        <v>34.0</v>
      </c>
      <c r="E523" s="45">
        <f t="shared" si="1"/>
        <v>1700</v>
      </c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hidden="1">
      <c r="A524" s="6" t="s">
        <v>108</v>
      </c>
      <c r="B524" s="13" t="s">
        <v>3373</v>
      </c>
      <c r="C524" s="13" t="s">
        <v>3374</v>
      </c>
      <c r="D524" s="15">
        <v>0.0</v>
      </c>
      <c r="E524" s="45">
        <f t="shared" si="1"/>
        <v>0</v>
      </c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hidden="1">
      <c r="A525" s="6" t="s">
        <v>108</v>
      </c>
      <c r="B525" s="13" t="s">
        <v>922</v>
      </c>
      <c r="C525" s="13" t="s">
        <v>923</v>
      </c>
      <c r="D525" s="15">
        <v>20.0</v>
      </c>
      <c r="E525" s="45">
        <f t="shared" si="1"/>
        <v>1000</v>
      </c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hidden="1">
      <c r="A526" s="6" t="s">
        <v>108</v>
      </c>
      <c r="B526" s="13" t="s">
        <v>1059</v>
      </c>
      <c r="C526" s="13" t="s">
        <v>1060</v>
      </c>
      <c r="D526" s="15">
        <v>2.0</v>
      </c>
      <c r="E526" s="45">
        <f t="shared" si="1"/>
        <v>100</v>
      </c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hidden="1">
      <c r="A527" s="6" t="s">
        <v>108</v>
      </c>
      <c r="B527" s="13" t="s">
        <v>1181</v>
      </c>
      <c r="C527" s="13" t="s">
        <v>1182</v>
      </c>
      <c r="D527" s="15">
        <v>19.0</v>
      </c>
      <c r="E527" s="45">
        <f t="shared" si="1"/>
        <v>950</v>
      </c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hidden="1">
      <c r="A528" s="6" t="s">
        <v>108</v>
      </c>
      <c r="B528" s="13" t="s">
        <v>3375</v>
      </c>
      <c r="C528" s="13" t="s">
        <v>3376</v>
      </c>
      <c r="D528" s="15">
        <v>1.0</v>
      </c>
      <c r="E528" s="45">
        <f t="shared" si="1"/>
        <v>50</v>
      </c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hidden="1">
      <c r="A529" s="6" t="s">
        <v>108</v>
      </c>
      <c r="B529" s="13" t="s">
        <v>1081</v>
      </c>
      <c r="C529" s="13" t="s">
        <v>1082</v>
      </c>
      <c r="D529" s="15">
        <v>1.0</v>
      </c>
      <c r="E529" s="45">
        <f t="shared" si="1"/>
        <v>50</v>
      </c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hidden="1">
      <c r="A530" s="6" t="s">
        <v>108</v>
      </c>
      <c r="B530" s="13" t="s">
        <v>705</v>
      </c>
      <c r="C530" s="13" t="s">
        <v>706</v>
      </c>
      <c r="D530" s="15">
        <v>0.0</v>
      </c>
      <c r="E530" s="45">
        <f t="shared" si="1"/>
        <v>0</v>
      </c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hidden="1">
      <c r="A531" s="6" t="s">
        <v>108</v>
      </c>
      <c r="B531" s="13" t="s">
        <v>3377</v>
      </c>
      <c r="C531" s="13" t="s">
        <v>3378</v>
      </c>
      <c r="D531" s="15">
        <v>3.0</v>
      </c>
      <c r="E531" s="45">
        <f t="shared" si="1"/>
        <v>150</v>
      </c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hidden="1">
      <c r="A532" s="6" t="s">
        <v>108</v>
      </c>
      <c r="B532" s="13" t="s">
        <v>1033</v>
      </c>
      <c r="C532" s="13" t="s">
        <v>1034</v>
      </c>
      <c r="D532" s="15">
        <v>39.0</v>
      </c>
      <c r="E532" s="45">
        <f t="shared" si="1"/>
        <v>1950</v>
      </c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hidden="1">
      <c r="A533" s="6" t="s">
        <v>108</v>
      </c>
      <c r="B533" s="13" t="s">
        <v>900</v>
      </c>
      <c r="C533" s="13" t="s">
        <v>901</v>
      </c>
      <c r="D533" s="15">
        <v>23.0</v>
      </c>
      <c r="E533" s="45">
        <f t="shared" si="1"/>
        <v>1150</v>
      </c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hidden="1">
      <c r="A534" s="6" t="s">
        <v>108</v>
      </c>
      <c r="B534" s="13" t="s">
        <v>596</v>
      </c>
      <c r="C534" s="13" t="s">
        <v>597</v>
      </c>
      <c r="D534" s="15">
        <v>24.0</v>
      </c>
      <c r="E534" s="45">
        <f t="shared" si="1"/>
        <v>1200</v>
      </c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hidden="1">
      <c r="A535" s="6" t="s">
        <v>108</v>
      </c>
      <c r="B535" s="13" t="s">
        <v>606</v>
      </c>
      <c r="C535" s="13" t="s">
        <v>607</v>
      </c>
      <c r="D535" s="15">
        <v>15.0</v>
      </c>
      <c r="E535" s="45">
        <f t="shared" si="1"/>
        <v>750</v>
      </c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hidden="1">
      <c r="A536" s="6" t="s">
        <v>108</v>
      </c>
      <c r="B536" s="13" t="s">
        <v>1435</v>
      </c>
      <c r="C536" s="13" t="s">
        <v>741</v>
      </c>
      <c r="D536" s="15">
        <v>7.0</v>
      </c>
      <c r="E536" s="45">
        <f t="shared" si="1"/>
        <v>350</v>
      </c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hidden="1">
      <c r="A537" s="6" t="s">
        <v>109</v>
      </c>
      <c r="B537" s="13" t="s">
        <v>433</v>
      </c>
      <c r="C537" s="13" t="s">
        <v>434</v>
      </c>
      <c r="D537" s="15">
        <v>43.0</v>
      </c>
      <c r="E537" s="45">
        <f t="shared" si="1"/>
        <v>2150</v>
      </c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hidden="1">
      <c r="A538" s="6" t="s">
        <v>109</v>
      </c>
      <c r="B538" s="13" t="s">
        <v>3373</v>
      </c>
      <c r="C538" s="13" t="s">
        <v>3374</v>
      </c>
      <c r="D538" s="15">
        <v>0.0</v>
      </c>
      <c r="E538" s="45">
        <f t="shared" si="1"/>
        <v>0</v>
      </c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hidden="1">
      <c r="A539" s="6" t="s">
        <v>109</v>
      </c>
      <c r="B539" s="13" t="s">
        <v>922</v>
      </c>
      <c r="C539" s="13" t="s">
        <v>923</v>
      </c>
      <c r="D539" s="15">
        <v>28.0</v>
      </c>
      <c r="E539" s="45">
        <f t="shared" si="1"/>
        <v>1400</v>
      </c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hidden="1">
      <c r="A540" s="6" t="s">
        <v>109</v>
      </c>
      <c r="B540" s="13" t="s">
        <v>1059</v>
      </c>
      <c r="C540" s="13" t="s">
        <v>1060</v>
      </c>
      <c r="D540" s="15">
        <v>0.0</v>
      </c>
      <c r="E540" s="45">
        <f t="shared" si="1"/>
        <v>0</v>
      </c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hidden="1">
      <c r="A541" s="6" t="s">
        <v>109</v>
      </c>
      <c r="B541" s="13" t="s">
        <v>1181</v>
      </c>
      <c r="C541" s="13" t="s">
        <v>1182</v>
      </c>
      <c r="D541" s="15">
        <v>17.0</v>
      </c>
      <c r="E541" s="45">
        <f t="shared" si="1"/>
        <v>850</v>
      </c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hidden="1">
      <c r="A542" s="6" t="s">
        <v>109</v>
      </c>
      <c r="B542" s="13" t="s">
        <v>3375</v>
      </c>
      <c r="C542" s="13" t="s">
        <v>3376</v>
      </c>
      <c r="D542" s="15">
        <v>1.0</v>
      </c>
      <c r="E542" s="45">
        <f t="shared" si="1"/>
        <v>50</v>
      </c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hidden="1">
      <c r="A543" s="6" t="s">
        <v>109</v>
      </c>
      <c r="B543" s="13" t="s">
        <v>1081</v>
      </c>
      <c r="C543" s="13" t="s">
        <v>1082</v>
      </c>
      <c r="D543" s="15">
        <v>1.0</v>
      </c>
      <c r="E543" s="45">
        <f t="shared" si="1"/>
        <v>50</v>
      </c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hidden="1">
      <c r="A544" s="6" t="s">
        <v>109</v>
      </c>
      <c r="B544" s="13" t="s">
        <v>705</v>
      </c>
      <c r="C544" s="13" t="s">
        <v>706</v>
      </c>
      <c r="D544" s="15">
        <v>4.0</v>
      </c>
      <c r="E544" s="45">
        <f t="shared" si="1"/>
        <v>200</v>
      </c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hidden="1">
      <c r="A545" s="6" t="s">
        <v>109</v>
      </c>
      <c r="B545" s="13" t="s">
        <v>3377</v>
      </c>
      <c r="C545" s="13" t="s">
        <v>3378</v>
      </c>
      <c r="D545" s="15">
        <v>3.0</v>
      </c>
      <c r="E545" s="45">
        <f t="shared" si="1"/>
        <v>150</v>
      </c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hidden="1">
      <c r="A546" s="6" t="s">
        <v>109</v>
      </c>
      <c r="B546" s="13" t="s">
        <v>1033</v>
      </c>
      <c r="C546" s="13" t="s">
        <v>1034</v>
      </c>
      <c r="D546" s="15">
        <v>23.0</v>
      </c>
      <c r="E546" s="45">
        <f t="shared" si="1"/>
        <v>1150</v>
      </c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hidden="1">
      <c r="A547" s="6" t="s">
        <v>109</v>
      </c>
      <c r="B547" s="13" t="s">
        <v>900</v>
      </c>
      <c r="C547" s="13" t="s">
        <v>901</v>
      </c>
      <c r="D547" s="15">
        <v>29.0</v>
      </c>
      <c r="E547" s="45">
        <f t="shared" si="1"/>
        <v>1450</v>
      </c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hidden="1">
      <c r="A548" s="6" t="s">
        <v>110</v>
      </c>
      <c r="B548" s="13" t="s">
        <v>433</v>
      </c>
      <c r="C548" s="13" t="s">
        <v>434</v>
      </c>
      <c r="D548" s="15">
        <v>42.0</v>
      </c>
      <c r="E548" s="45">
        <f t="shared" si="1"/>
        <v>2100</v>
      </c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hidden="1">
      <c r="A549" s="6" t="s">
        <v>110</v>
      </c>
      <c r="B549" s="13" t="s">
        <v>3373</v>
      </c>
      <c r="C549" s="13" t="s">
        <v>3374</v>
      </c>
      <c r="D549" s="15">
        <v>1.0</v>
      </c>
      <c r="E549" s="45">
        <f t="shared" si="1"/>
        <v>50</v>
      </c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hidden="1">
      <c r="A550" s="6" t="s">
        <v>110</v>
      </c>
      <c r="B550" s="13" t="s">
        <v>922</v>
      </c>
      <c r="C550" s="13" t="s">
        <v>923</v>
      </c>
      <c r="D550" s="15">
        <v>23.0</v>
      </c>
      <c r="E550" s="45">
        <f t="shared" si="1"/>
        <v>1150</v>
      </c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hidden="1">
      <c r="A551" s="6" t="s">
        <v>110</v>
      </c>
      <c r="B551" s="13" t="s">
        <v>1059</v>
      </c>
      <c r="C551" s="13" t="s">
        <v>1060</v>
      </c>
      <c r="D551" s="15">
        <v>0.0</v>
      </c>
      <c r="E551" s="45">
        <f t="shared" si="1"/>
        <v>0</v>
      </c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hidden="1">
      <c r="A552" s="6" t="s">
        <v>110</v>
      </c>
      <c r="B552" s="13" t="s">
        <v>1181</v>
      </c>
      <c r="C552" s="13" t="s">
        <v>1182</v>
      </c>
      <c r="D552" s="15">
        <v>27.0</v>
      </c>
      <c r="E552" s="45">
        <f t="shared" si="1"/>
        <v>1350</v>
      </c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hidden="1">
      <c r="A553" s="6" t="s">
        <v>110</v>
      </c>
      <c r="B553" s="13" t="s">
        <v>3375</v>
      </c>
      <c r="C553" s="13" t="s">
        <v>3376</v>
      </c>
      <c r="D553" s="15">
        <v>0.0</v>
      </c>
      <c r="E553" s="45">
        <f t="shared" si="1"/>
        <v>0</v>
      </c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hidden="1">
      <c r="A554" s="6" t="s">
        <v>110</v>
      </c>
      <c r="B554" s="13" t="s">
        <v>1081</v>
      </c>
      <c r="C554" s="13" t="s">
        <v>1082</v>
      </c>
      <c r="D554" s="15">
        <v>1.0</v>
      </c>
      <c r="E554" s="45">
        <f t="shared" si="1"/>
        <v>50</v>
      </c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hidden="1">
      <c r="A555" s="6" t="s">
        <v>110</v>
      </c>
      <c r="B555" s="13" t="s">
        <v>705</v>
      </c>
      <c r="C555" s="13" t="s">
        <v>706</v>
      </c>
      <c r="D555" s="15">
        <v>2.0</v>
      </c>
      <c r="E555" s="45">
        <f t="shared" si="1"/>
        <v>100</v>
      </c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hidden="1">
      <c r="A556" s="6" t="s">
        <v>110</v>
      </c>
      <c r="B556" s="13" t="s">
        <v>3377</v>
      </c>
      <c r="C556" s="13" t="s">
        <v>3378</v>
      </c>
      <c r="D556" s="15">
        <v>2.0</v>
      </c>
      <c r="E556" s="45">
        <f t="shared" si="1"/>
        <v>100</v>
      </c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hidden="1">
      <c r="A557" s="6" t="s">
        <v>110</v>
      </c>
      <c r="B557" s="13" t="s">
        <v>1033</v>
      </c>
      <c r="C557" s="13" t="s">
        <v>1034</v>
      </c>
      <c r="D557" s="15">
        <v>42.0</v>
      </c>
      <c r="E557" s="45">
        <f t="shared" si="1"/>
        <v>2100</v>
      </c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hidden="1">
      <c r="A558" s="6" t="s">
        <v>110</v>
      </c>
      <c r="B558" s="13" t="s">
        <v>900</v>
      </c>
      <c r="C558" s="13" t="s">
        <v>901</v>
      </c>
      <c r="D558" s="15">
        <v>36.0</v>
      </c>
      <c r="E558" s="45">
        <f t="shared" si="1"/>
        <v>1800</v>
      </c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hidden="1">
      <c r="A559" s="6" t="s">
        <v>10</v>
      </c>
      <c r="B559" s="7" t="s">
        <v>433</v>
      </c>
      <c r="C559" s="7" t="s">
        <v>434</v>
      </c>
      <c r="D559" s="15">
        <v>27.0</v>
      </c>
      <c r="E559" s="45">
        <f t="shared" si="1"/>
        <v>1350</v>
      </c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hidden="1">
      <c r="A560" s="6" t="s">
        <v>10</v>
      </c>
      <c r="B560" s="7" t="s">
        <v>3373</v>
      </c>
      <c r="C560" s="7" t="s">
        <v>3374</v>
      </c>
      <c r="D560" s="15">
        <v>4.0</v>
      </c>
      <c r="E560" s="45">
        <f t="shared" si="1"/>
        <v>200</v>
      </c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hidden="1">
      <c r="A561" s="6" t="s">
        <v>10</v>
      </c>
      <c r="B561" s="7" t="s">
        <v>922</v>
      </c>
      <c r="C561" s="7" t="s">
        <v>923</v>
      </c>
      <c r="D561" s="15">
        <v>27.0</v>
      </c>
      <c r="E561" s="45">
        <f t="shared" si="1"/>
        <v>1350</v>
      </c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hidden="1">
      <c r="A562" s="6" t="s">
        <v>10</v>
      </c>
      <c r="B562" s="7" t="s">
        <v>1059</v>
      </c>
      <c r="C562" s="7" t="s">
        <v>1060</v>
      </c>
      <c r="D562" s="15">
        <v>1.0</v>
      </c>
      <c r="E562" s="45">
        <f t="shared" si="1"/>
        <v>50</v>
      </c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hidden="1">
      <c r="A563" s="6" t="s">
        <v>10</v>
      </c>
      <c r="B563" s="7" t="s">
        <v>1069</v>
      </c>
      <c r="C563" s="7" t="s">
        <v>1070</v>
      </c>
      <c r="D563" s="15">
        <v>1.0</v>
      </c>
      <c r="E563" s="45">
        <f t="shared" si="1"/>
        <v>50</v>
      </c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hidden="1">
      <c r="A564" s="6" t="s">
        <v>10</v>
      </c>
      <c r="B564" s="7" t="s">
        <v>1181</v>
      </c>
      <c r="C564" s="7" t="s">
        <v>1182</v>
      </c>
      <c r="D564" s="15">
        <v>23.0</v>
      </c>
      <c r="E564" s="45">
        <f t="shared" si="1"/>
        <v>1150</v>
      </c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hidden="1">
      <c r="A565" s="6" t="s">
        <v>10</v>
      </c>
      <c r="B565" s="7" t="s">
        <v>3375</v>
      </c>
      <c r="C565" s="7" t="s">
        <v>3376</v>
      </c>
      <c r="D565" s="15">
        <v>3.0</v>
      </c>
      <c r="E565" s="45">
        <f t="shared" si="1"/>
        <v>150</v>
      </c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hidden="1">
      <c r="A566" s="6" t="s">
        <v>10</v>
      </c>
      <c r="B566" s="7" t="s">
        <v>1081</v>
      </c>
      <c r="C566" s="7" t="s">
        <v>1082</v>
      </c>
      <c r="D566" s="15">
        <v>6.0</v>
      </c>
      <c r="E566" s="45">
        <f t="shared" si="1"/>
        <v>300</v>
      </c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hidden="1">
      <c r="A567" s="6" t="s">
        <v>10</v>
      </c>
      <c r="B567" s="7" t="s">
        <v>3377</v>
      </c>
      <c r="C567" s="7" t="s">
        <v>3378</v>
      </c>
      <c r="D567" s="15">
        <v>0.0</v>
      </c>
      <c r="E567" s="45">
        <f t="shared" si="1"/>
        <v>0</v>
      </c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hidden="1">
      <c r="A568" s="6" t="s">
        <v>10</v>
      </c>
      <c r="B568" s="7" t="s">
        <v>1033</v>
      </c>
      <c r="C568" s="7" t="s">
        <v>1034</v>
      </c>
      <c r="D568" s="15">
        <v>51.0</v>
      </c>
      <c r="E568" s="45">
        <f t="shared" si="1"/>
        <v>2550</v>
      </c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hidden="1">
      <c r="A569" s="6" t="s">
        <v>10</v>
      </c>
      <c r="B569" s="7" t="s">
        <v>900</v>
      </c>
      <c r="C569" s="7" t="s">
        <v>901</v>
      </c>
      <c r="D569" s="15">
        <v>18.0</v>
      </c>
      <c r="E569" s="45">
        <f t="shared" si="1"/>
        <v>900</v>
      </c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hidden="1">
      <c r="A570" s="6" t="s">
        <v>24</v>
      </c>
      <c r="B570" s="13" t="s">
        <v>433</v>
      </c>
      <c r="C570" s="13" t="s">
        <v>434</v>
      </c>
      <c r="D570" s="15">
        <v>21.0</v>
      </c>
      <c r="E570" s="45">
        <f t="shared" si="1"/>
        <v>1050</v>
      </c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hidden="1">
      <c r="A571" s="6" t="s">
        <v>24</v>
      </c>
      <c r="B571" s="13" t="s">
        <v>3373</v>
      </c>
      <c r="C571" s="13" t="s">
        <v>3374</v>
      </c>
      <c r="D571" s="15">
        <v>0.0</v>
      </c>
      <c r="E571" s="45">
        <f t="shared" si="1"/>
        <v>0</v>
      </c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hidden="1">
      <c r="A572" s="6" t="s">
        <v>24</v>
      </c>
      <c r="B572" s="13" t="s">
        <v>922</v>
      </c>
      <c r="C572" s="13" t="s">
        <v>923</v>
      </c>
      <c r="D572" s="15">
        <v>19.0</v>
      </c>
      <c r="E572" s="45">
        <f t="shared" si="1"/>
        <v>950</v>
      </c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hidden="1">
      <c r="A573" s="6" t="s">
        <v>24</v>
      </c>
      <c r="B573" s="13" t="s">
        <v>1059</v>
      </c>
      <c r="C573" s="13" t="s">
        <v>1060</v>
      </c>
      <c r="D573" s="15">
        <v>0.0</v>
      </c>
      <c r="E573" s="45">
        <f t="shared" si="1"/>
        <v>0</v>
      </c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hidden="1">
      <c r="A574" s="6" t="s">
        <v>24</v>
      </c>
      <c r="B574" s="13" t="s">
        <v>1069</v>
      </c>
      <c r="C574" s="13" t="s">
        <v>1070</v>
      </c>
      <c r="D574" s="15">
        <v>1.0</v>
      </c>
      <c r="E574" s="45">
        <f t="shared" si="1"/>
        <v>50</v>
      </c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hidden="1">
      <c r="A575" s="6" t="s">
        <v>24</v>
      </c>
      <c r="B575" s="13" t="s">
        <v>1181</v>
      </c>
      <c r="C575" s="13" t="s">
        <v>1182</v>
      </c>
      <c r="D575" s="15">
        <v>22.0</v>
      </c>
      <c r="E575" s="45">
        <f t="shared" si="1"/>
        <v>1100</v>
      </c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hidden="1">
      <c r="A576" s="6" t="s">
        <v>24</v>
      </c>
      <c r="B576" s="13" t="s">
        <v>3375</v>
      </c>
      <c r="C576" s="13" t="s">
        <v>3376</v>
      </c>
      <c r="D576" s="15">
        <v>0.0</v>
      </c>
      <c r="E576" s="45">
        <f t="shared" si="1"/>
        <v>0</v>
      </c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hidden="1">
      <c r="A577" s="6" t="s">
        <v>24</v>
      </c>
      <c r="B577" s="13" t="s">
        <v>1081</v>
      </c>
      <c r="C577" s="13" t="s">
        <v>1082</v>
      </c>
      <c r="D577" s="15">
        <v>1.0</v>
      </c>
      <c r="E577" s="45">
        <f t="shared" si="1"/>
        <v>50</v>
      </c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hidden="1">
      <c r="A578" s="6" t="s">
        <v>24</v>
      </c>
      <c r="B578" s="13" t="s">
        <v>3377</v>
      </c>
      <c r="C578" s="13" t="s">
        <v>3378</v>
      </c>
      <c r="D578" s="15">
        <v>0.0</v>
      </c>
      <c r="E578" s="45">
        <f t="shared" si="1"/>
        <v>0</v>
      </c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hidden="1">
      <c r="A579" s="6" t="s">
        <v>24</v>
      </c>
      <c r="B579" s="13" t="s">
        <v>1033</v>
      </c>
      <c r="C579" s="13" t="s">
        <v>1034</v>
      </c>
      <c r="D579" s="15">
        <v>37.0</v>
      </c>
      <c r="E579" s="45">
        <f t="shared" si="1"/>
        <v>1850</v>
      </c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hidden="1">
      <c r="A580" s="6" t="s">
        <v>24</v>
      </c>
      <c r="B580" s="13" t="s">
        <v>900</v>
      </c>
      <c r="C580" s="13" t="s">
        <v>901</v>
      </c>
      <c r="D580" s="15">
        <v>12.0</v>
      </c>
      <c r="E580" s="45">
        <f t="shared" si="1"/>
        <v>600</v>
      </c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hidden="1">
      <c r="A581" s="6" t="s">
        <v>25</v>
      </c>
      <c r="B581" s="25" t="s">
        <v>433</v>
      </c>
      <c r="C581" s="25" t="s">
        <v>434</v>
      </c>
      <c r="D581" s="25">
        <v>41.0</v>
      </c>
      <c r="E581" s="89">
        <f t="shared" si="1"/>
        <v>2050</v>
      </c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hidden="1">
      <c r="A582" s="6" t="s">
        <v>25</v>
      </c>
      <c r="B582" s="25" t="s">
        <v>3373</v>
      </c>
      <c r="C582" s="25" t="s">
        <v>3374</v>
      </c>
      <c r="D582" s="25">
        <v>2.0</v>
      </c>
      <c r="E582" s="89">
        <f t="shared" si="1"/>
        <v>100</v>
      </c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hidden="1">
      <c r="A583" s="6" t="s">
        <v>25</v>
      </c>
      <c r="B583" s="25" t="s">
        <v>922</v>
      </c>
      <c r="C583" s="25" t="s">
        <v>923</v>
      </c>
      <c r="D583" s="25">
        <v>31.0</v>
      </c>
      <c r="E583" s="89">
        <f t="shared" si="1"/>
        <v>1550</v>
      </c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hidden="1">
      <c r="A584" s="6" t="s">
        <v>25</v>
      </c>
      <c r="B584" s="25" t="s">
        <v>1059</v>
      </c>
      <c r="C584" s="25" t="s">
        <v>1060</v>
      </c>
      <c r="D584" s="25">
        <v>0.0</v>
      </c>
      <c r="E584" s="89">
        <f t="shared" si="1"/>
        <v>0</v>
      </c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hidden="1">
      <c r="A585" s="6" t="s">
        <v>25</v>
      </c>
      <c r="B585" s="25" t="s">
        <v>1069</v>
      </c>
      <c r="C585" s="25" t="s">
        <v>1070</v>
      </c>
      <c r="D585" s="25">
        <v>0.0</v>
      </c>
      <c r="E585" s="89">
        <f t="shared" si="1"/>
        <v>0</v>
      </c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hidden="1">
      <c r="A586" s="6" t="s">
        <v>25</v>
      </c>
      <c r="B586" s="25" t="s">
        <v>1181</v>
      </c>
      <c r="C586" s="25" t="s">
        <v>1182</v>
      </c>
      <c r="D586" s="25">
        <v>20.0</v>
      </c>
      <c r="E586" s="89">
        <f t="shared" si="1"/>
        <v>1000</v>
      </c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hidden="1">
      <c r="A587" s="6" t="s">
        <v>25</v>
      </c>
      <c r="B587" s="25" t="s">
        <v>3375</v>
      </c>
      <c r="C587" s="25" t="s">
        <v>3376</v>
      </c>
      <c r="D587" s="25">
        <v>0.0</v>
      </c>
      <c r="E587" s="89">
        <f t="shared" si="1"/>
        <v>0</v>
      </c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hidden="1">
      <c r="A588" s="6" t="s">
        <v>25</v>
      </c>
      <c r="B588" s="25" t="s">
        <v>1081</v>
      </c>
      <c r="C588" s="25" t="s">
        <v>1082</v>
      </c>
      <c r="D588" s="25">
        <v>0.0</v>
      </c>
      <c r="E588" s="89">
        <f t="shared" si="1"/>
        <v>0</v>
      </c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hidden="1">
      <c r="A589" s="6" t="s">
        <v>25</v>
      </c>
      <c r="B589" s="25" t="s">
        <v>3377</v>
      </c>
      <c r="C589" s="25" t="s">
        <v>3378</v>
      </c>
      <c r="D589" s="25">
        <v>0.0</v>
      </c>
      <c r="E589" s="89">
        <f t="shared" si="1"/>
        <v>0</v>
      </c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hidden="1">
      <c r="A590" s="6" t="s">
        <v>25</v>
      </c>
      <c r="B590" s="25" t="s">
        <v>1033</v>
      </c>
      <c r="C590" s="25" t="s">
        <v>1034</v>
      </c>
      <c r="D590" s="25">
        <v>29.0</v>
      </c>
      <c r="E590" s="89">
        <f t="shared" si="1"/>
        <v>1450</v>
      </c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hidden="1">
      <c r="A591" s="6" t="s">
        <v>25</v>
      </c>
      <c r="B591" s="25" t="s">
        <v>900</v>
      </c>
      <c r="C591" s="25" t="s">
        <v>901</v>
      </c>
      <c r="D591" s="25">
        <v>28.0</v>
      </c>
      <c r="E591" s="89">
        <f t="shared" si="1"/>
        <v>1400</v>
      </c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hidden="1">
      <c r="A592" s="6" t="s">
        <v>26</v>
      </c>
      <c r="B592" s="25" t="s">
        <v>433</v>
      </c>
      <c r="C592" s="25" t="s">
        <v>434</v>
      </c>
      <c r="D592" s="25">
        <v>20.0</v>
      </c>
      <c r="E592" s="89">
        <f t="shared" si="1"/>
        <v>1000</v>
      </c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hidden="1">
      <c r="A593" s="6" t="s">
        <v>26</v>
      </c>
      <c r="B593" s="25" t="s">
        <v>3373</v>
      </c>
      <c r="C593" s="25" t="s">
        <v>3374</v>
      </c>
      <c r="D593" s="25">
        <v>1.0</v>
      </c>
      <c r="E593" s="89">
        <f t="shared" si="1"/>
        <v>50</v>
      </c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hidden="1">
      <c r="A594" s="6" t="s">
        <v>26</v>
      </c>
      <c r="B594" s="25" t="s">
        <v>922</v>
      </c>
      <c r="C594" s="25" t="s">
        <v>923</v>
      </c>
      <c r="D594" s="25">
        <v>41.0</v>
      </c>
      <c r="E594" s="89">
        <f t="shared" si="1"/>
        <v>2050</v>
      </c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hidden="1">
      <c r="A595" s="6" t="s">
        <v>26</v>
      </c>
      <c r="B595" s="25" t="s">
        <v>1059</v>
      </c>
      <c r="C595" s="25" t="s">
        <v>1060</v>
      </c>
      <c r="D595" s="25">
        <v>0.0</v>
      </c>
      <c r="E595" s="89">
        <f t="shared" si="1"/>
        <v>0</v>
      </c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hidden="1">
      <c r="A596" s="6" t="s">
        <v>26</v>
      </c>
      <c r="B596" s="25" t="s">
        <v>1069</v>
      </c>
      <c r="C596" s="25" t="s">
        <v>1070</v>
      </c>
      <c r="D596" s="25">
        <v>0.0</v>
      </c>
      <c r="E596" s="89">
        <f t="shared" si="1"/>
        <v>0</v>
      </c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hidden="1">
      <c r="A597" s="6" t="s">
        <v>26</v>
      </c>
      <c r="B597" s="25" t="s">
        <v>1181</v>
      </c>
      <c r="C597" s="25" t="s">
        <v>1182</v>
      </c>
      <c r="D597" s="25">
        <v>30.0</v>
      </c>
      <c r="E597" s="89">
        <f t="shared" si="1"/>
        <v>1500</v>
      </c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hidden="1">
      <c r="A598" s="6" t="s">
        <v>26</v>
      </c>
      <c r="B598" s="25" t="s">
        <v>3375</v>
      </c>
      <c r="C598" s="25" t="s">
        <v>3376</v>
      </c>
      <c r="D598" s="25">
        <v>1.0</v>
      </c>
      <c r="E598" s="89">
        <f t="shared" si="1"/>
        <v>50</v>
      </c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hidden="1">
      <c r="A599" s="6" t="s">
        <v>26</v>
      </c>
      <c r="B599" s="25" t="s">
        <v>1081</v>
      </c>
      <c r="C599" s="25" t="s">
        <v>1082</v>
      </c>
      <c r="D599" s="25">
        <v>0.0</v>
      </c>
      <c r="E599" s="89">
        <f t="shared" si="1"/>
        <v>0</v>
      </c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hidden="1">
      <c r="A600" s="6" t="s">
        <v>26</v>
      </c>
      <c r="B600" s="25" t="s">
        <v>3377</v>
      </c>
      <c r="C600" s="25" t="s">
        <v>3378</v>
      </c>
      <c r="D600" s="25">
        <v>0.0</v>
      </c>
      <c r="E600" s="89">
        <f t="shared" si="1"/>
        <v>0</v>
      </c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hidden="1">
      <c r="A601" s="6" t="s">
        <v>26</v>
      </c>
      <c r="B601" s="25" t="s">
        <v>1033</v>
      </c>
      <c r="C601" s="25" t="s">
        <v>1034</v>
      </c>
      <c r="D601" s="25">
        <v>39.0</v>
      </c>
      <c r="E601" s="89">
        <f t="shared" si="1"/>
        <v>1950</v>
      </c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hidden="1">
      <c r="A602" s="6" t="s">
        <v>26</v>
      </c>
      <c r="B602" s="25" t="s">
        <v>900</v>
      </c>
      <c r="C602" s="25" t="s">
        <v>901</v>
      </c>
      <c r="D602" s="25">
        <v>34.0</v>
      </c>
      <c r="E602" s="89">
        <f t="shared" si="1"/>
        <v>1700</v>
      </c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hidden="1">
      <c r="A603" s="6" t="s">
        <v>27</v>
      </c>
      <c r="B603" s="15" t="s">
        <v>433</v>
      </c>
      <c r="C603" s="13" t="s">
        <v>434</v>
      </c>
      <c r="D603" s="15">
        <v>30.0</v>
      </c>
      <c r="E603" s="89">
        <f t="shared" si="1"/>
        <v>1500</v>
      </c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hidden="1">
      <c r="A604" s="6" t="s">
        <v>27</v>
      </c>
      <c r="B604" s="15" t="s">
        <v>3373</v>
      </c>
      <c r="C604" s="13" t="s">
        <v>3374</v>
      </c>
      <c r="D604" s="15">
        <v>0.0</v>
      </c>
      <c r="E604" s="89">
        <f t="shared" si="1"/>
        <v>0</v>
      </c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hidden="1">
      <c r="A605" s="6" t="s">
        <v>27</v>
      </c>
      <c r="B605" s="15" t="s">
        <v>922</v>
      </c>
      <c r="C605" s="13" t="s">
        <v>923</v>
      </c>
      <c r="D605" s="15">
        <v>29.0</v>
      </c>
      <c r="E605" s="89">
        <f t="shared" si="1"/>
        <v>1450</v>
      </c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hidden="1">
      <c r="A606" s="6" t="s">
        <v>27</v>
      </c>
      <c r="B606" s="15" t="s">
        <v>1059</v>
      </c>
      <c r="C606" s="13" t="s">
        <v>1060</v>
      </c>
      <c r="D606" s="15">
        <v>1.0</v>
      </c>
      <c r="E606" s="89">
        <f t="shared" si="1"/>
        <v>50</v>
      </c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hidden="1">
      <c r="A607" s="6" t="s">
        <v>27</v>
      </c>
      <c r="B607" s="15" t="s">
        <v>1069</v>
      </c>
      <c r="C607" s="13" t="s">
        <v>1070</v>
      </c>
      <c r="D607" s="15">
        <v>0.0</v>
      </c>
      <c r="E607" s="89">
        <f t="shared" si="1"/>
        <v>0</v>
      </c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hidden="1">
      <c r="A608" s="6" t="s">
        <v>27</v>
      </c>
      <c r="B608" s="15" t="s">
        <v>1181</v>
      </c>
      <c r="C608" s="13" t="s">
        <v>1182</v>
      </c>
      <c r="D608" s="15">
        <v>23.0</v>
      </c>
      <c r="E608" s="89">
        <f t="shared" si="1"/>
        <v>1150</v>
      </c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hidden="1">
      <c r="A609" s="6" t="s">
        <v>27</v>
      </c>
      <c r="B609" s="15" t="s">
        <v>3375</v>
      </c>
      <c r="C609" s="13" t="s">
        <v>3376</v>
      </c>
      <c r="D609" s="15">
        <v>0.0</v>
      </c>
      <c r="E609" s="89">
        <f t="shared" si="1"/>
        <v>0</v>
      </c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hidden="1">
      <c r="A610" s="6" t="s">
        <v>27</v>
      </c>
      <c r="B610" s="15" t="s">
        <v>1081</v>
      </c>
      <c r="C610" s="13" t="s">
        <v>1082</v>
      </c>
      <c r="D610" s="15">
        <v>0.0</v>
      </c>
      <c r="E610" s="89">
        <f t="shared" si="1"/>
        <v>0</v>
      </c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hidden="1">
      <c r="A611" s="6" t="s">
        <v>27</v>
      </c>
      <c r="B611" s="15" t="s">
        <v>3377</v>
      </c>
      <c r="C611" s="13" t="s">
        <v>3378</v>
      </c>
      <c r="D611" s="15">
        <v>0.0</v>
      </c>
      <c r="E611" s="89">
        <f t="shared" si="1"/>
        <v>0</v>
      </c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hidden="1">
      <c r="A612" s="6" t="s">
        <v>27</v>
      </c>
      <c r="B612" s="15" t="s">
        <v>1033</v>
      </c>
      <c r="C612" s="13" t="s">
        <v>1034</v>
      </c>
      <c r="D612" s="15">
        <v>33.0</v>
      </c>
      <c r="E612" s="89">
        <f t="shared" si="1"/>
        <v>1650</v>
      </c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hidden="1">
      <c r="A613" s="6" t="s">
        <v>27</v>
      </c>
      <c r="B613" s="15" t="s">
        <v>900</v>
      </c>
      <c r="C613" s="13" t="s">
        <v>901</v>
      </c>
      <c r="D613" s="15">
        <v>29.0</v>
      </c>
      <c r="E613" s="89">
        <f t="shared" si="1"/>
        <v>1450</v>
      </c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hidden="1">
      <c r="A614" s="6" t="s">
        <v>28</v>
      </c>
      <c r="B614" s="15" t="s">
        <v>433</v>
      </c>
      <c r="C614" s="13" t="s">
        <v>434</v>
      </c>
      <c r="D614" s="15">
        <v>26.0</v>
      </c>
      <c r="E614" s="45">
        <f t="shared" si="1"/>
        <v>1300</v>
      </c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hidden="1">
      <c r="A615" s="6" t="s">
        <v>28</v>
      </c>
      <c r="B615" s="15" t="s">
        <v>431</v>
      </c>
      <c r="C615" s="13" t="s">
        <v>432</v>
      </c>
      <c r="D615" s="15">
        <v>0.0</v>
      </c>
      <c r="E615" s="45">
        <f t="shared" si="1"/>
        <v>0</v>
      </c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hidden="1">
      <c r="A616" s="6" t="s">
        <v>28</v>
      </c>
      <c r="B616" s="15" t="s">
        <v>3373</v>
      </c>
      <c r="C616" s="13" t="s">
        <v>3374</v>
      </c>
      <c r="D616" s="15">
        <v>0.0</v>
      </c>
      <c r="E616" s="45">
        <f t="shared" si="1"/>
        <v>0</v>
      </c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hidden="1">
      <c r="A617" s="6" t="s">
        <v>28</v>
      </c>
      <c r="B617" s="15" t="s">
        <v>922</v>
      </c>
      <c r="C617" s="13" t="s">
        <v>923</v>
      </c>
      <c r="D617" s="15">
        <v>38.0</v>
      </c>
      <c r="E617" s="45">
        <f t="shared" si="1"/>
        <v>1900</v>
      </c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hidden="1">
      <c r="A618" s="6" t="s">
        <v>28</v>
      </c>
      <c r="B618" s="15" t="s">
        <v>1181</v>
      </c>
      <c r="C618" s="13" t="s">
        <v>1182</v>
      </c>
      <c r="D618" s="15">
        <v>22.0</v>
      </c>
      <c r="E618" s="45">
        <f t="shared" si="1"/>
        <v>1100</v>
      </c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hidden="1">
      <c r="A619" s="6" t="s">
        <v>28</v>
      </c>
      <c r="B619" s="15" t="s">
        <v>3375</v>
      </c>
      <c r="C619" s="13" t="s">
        <v>3376</v>
      </c>
      <c r="D619" s="15">
        <v>3.0</v>
      </c>
      <c r="E619" s="45">
        <f t="shared" si="1"/>
        <v>150</v>
      </c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hidden="1">
      <c r="A620" s="6" t="s">
        <v>28</v>
      </c>
      <c r="B620" s="15" t="s">
        <v>3377</v>
      </c>
      <c r="C620" s="13" t="s">
        <v>3378</v>
      </c>
      <c r="D620" s="15">
        <v>1.0</v>
      </c>
      <c r="E620" s="45">
        <f t="shared" si="1"/>
        <v>50</v>
      </c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hidden="1">
      <c r="A621" s="6" t="s">
        <v>28</v>
      </c>
      <c r="B621" s="15" t="s">
        <v>1033</v>
      </c>
      <c r="C621" s="13" t="s">
        <v>1034</v>
      </c>
      <c r="D621" s="15">
        <v>34.0</v>
      </c>
      <c r="E621" s="45">
        <f t="shared" si="1"/>
        <v>1700</v>
      </c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hidden="1">
      <c r="A622" s="6" t="s">
        <v>28</v>
      </c>
      <c r="B622" s="15" t="s">
        <v>952</v>
      </c>
      <c r="C622" s="13" t="s">
        <v>953</v>
      </c>
      <c r="D622" s="15">
        <v>1.0</v>
      </c>
      <c r="E622" s="45">
        <f t="shared" si="1"/>
        <v>50</v>
      </c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hidden="1">
      <c r="A623" s="6" t="s">
        <v>28</v>
      </c>
      <c r="B623" s="15" t="s">
        <v>956</v>
      </c>
      <c r="C623" s="13" t="s">
        <v>957</v>
      </c>
      <c r="D623" s="15">
        <v>0.0</v>
      </c>
      <c r="E623" s="45">
        <f t="shared" si="1"/>
        <v>0</v>
      </c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hidden="1">
      <c r="A624" s="6" t="s">
        <v>28</v>
      </c>
      <c r="B624" s="15" t="s">
        <v>900</v>
      </c>
      <c r="C624" s="13" t="s">
        <v>901</v>
      </c>
      <c r="D624" s="15">
        <v>43.0</v>
      </c>
      <c r="E624" s="45">
        <f t="shared" si="1"/>
        <v>2150</v>
      </c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hidden="1">
      <c r="A625" s="6" t="s">
        <v>111</v>
      </c>
      <c r="B625" s="15"/>
      <c r="C625" s="13" t="s">
        <v>432</v>
      </c>
      <c r="D625" s="15">
        <v>3.0</v>
      </c>
      <c r="E625" s="45">
        <f t="shared" si="1"/>
        <v>150</v>
      </c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hidden="1">
      <c r="A626" s="6" t="s">
        <v>111</v>
      </c>
      <c r="B626" s="34"/>
      <c r="C626" s="7" t="s">
        <v>434</v>
      </c>
      <c r="D626" s="34">
        <v>29.0</v>
      </c>
      <c r="E626" s="45">
        <f t="shared" si="1"/>
        <v>1450</v>
      </c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hidden="1">
      <c r="A627" s="6" t="s">
        <v>111</v>
      </c>
      <c r="B627" s="15"/>
      <c r="C627" s="13" t="s">
        <v>3374</v>
      </c>
      <c r="D627" s="15">
        <v>0.0</v>
      </c>
      <c r="E627" s="45">
        <f t="shared" si="1"/>
        <v>0</v>
      </c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hidden="1">
      <c r="A628" s="6" t="s">
        <v>111</v>
      </c>
      <c r="B628" s="15"/>
      <c r="C628" s="13" t="s">
        <v>923</v>
      </c>
      <c r="D628" s="15">
        <v>27.0</v>
      </c>
      <c r="E628" s="45">
        <f t="shared" si="1"/>
        <v>1350</v>
      </c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hidden="1">
      <c r="A629" s="6" t="s">
        <v>111</v>
      </c>
      <c r="B629" s="15"/>
      <c r="C629" s="13" t="s">
        <v>1182</v>
      </c>
      <c r="D629" s="15">
        <v>22.0</v>
      </c>
      <c r="E629" s="45">
        <f t="shared" si="1"/>
        <v>1100</v>
      </c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hidden="1">
      <c r="A630" s="6" t="s">
        <v>111</v>
      </c>
      <c r="B630" s="15"/>
      <c r="C630" s="13" t="s">
        <v>3376</v>
      </c>
      <c r="D630" s="15">
        <v>2.0</v>
      </c>
      <c r="E630" s="45">
        <f t="shared" si="1"/>
        <v>100</v>
      </c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hidden="1">
      <c r="A631" s="6" t="s">
        <v>111</v>
      </c>
      <c r="B631" s="15"/>
      <c r="C631" s="13" t="s">
        <v>3378</v>
      </c>
      <c r="D631" s="15">
        <v>0.0</v>
      </c>
      <c r="E631" s="45">
        <f t="shared" si="1"/>
        <v>0</v>
      </c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hidden="1">
      <c r="A632" s="6" t="s">
        <v>111</v>
      </c>
      <c r="B632" s="15"/>
      <c r="C632" s="13" t="s">
        <v>1034</v>
      </c>
      <c r="D632" s="15">
        <v>41.0</v>
      </c>
      <c r="E632" s="45">
        <f t="shared" si="1"/>
        <v>2050</v>
      </c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hidden="1">
      <c r="A633" s="6" t="s">
        <v>111</v>
      </c>
      <c r="B633" s="15"/>
      <c r="C633" s="13" t="s">
        <v>953</v>
      </c>
      <c r="D633" s="15">
        <v>0.0</v>
      </c>
      <c r="E633" s="45">
        <f t="shared" si="1"/>
        <v>0</v>
      </c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hidden="1">
      <c r="A634" s="6" t="s">
        <v>111</v>
      </c>
      <c r="B634" s="15"/>
      <c r="C634" s="13" t="s">
        <v>957</v>
      </c>
      <c r="D634" s="15">
        <v>0.0</v>
      </c>
      <c r="E634" s="45">
        <f t="shared" si="1"/>
        <v>0</v>
      </c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hidden="1">
      <c r="A635" s="6" t="s">
        <v>111</v>
      </c>
      <c r="B635" s="15"/>
      <c r="C635" s="13" t="s">
        <v>901</v>
      </c>
      <c r="D635" s="15">
        <v>32.0</v>
      </c>
      <c r="E635" s="45">
        <f t="shared" si="1"/>
        <v>1600</v>
      </c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hidden="1">
      <c r="A636" s="6" t="s">
        <v>112</v>
      </c>
      <c r="B636" s="15"/>
      <c r="C636" s="13" t="s">
        <v>434</v>
      </c>
      <c r="D636" s="15">
        <v>29.0</v>
      </c>
      <c r="E636" s="45">
        <f t="shared" si="1"/>
        <v>1450</v>
      </c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hidden="1">
      <c r="A637" s="6" t="s">
        <v>112</v>
      </c>
      <c r="B637" s="15"/>
      <c r="C637" s="13" t="s">
        <v>432</v>
      </c>
      <c r="D637" s="15">
        <v>2.0</v>
      </c>
      <c r="E637" s="45">
        <f t="shared" si="1"/>
        <v>100</v>
      </c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hidden="1">
      <c r="A638" s="6" t="s">
        <v>112</v>
      </c>
      <c r="B638" s="15"/>
      <c r="C638" s="13" t="s">
        <v>3374</v>
      </c>
      <c r="D638" s="15">
        <v>1.0</v>
      </c>
      <c r="E638" s="45">
        <f t="shared" si="1"/>
        <v>50</v>
      </c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hidden="1">
      <c r="A639" s="6" t="s">
        <v>112</v>
      </c>
      <c r="B639" s="15"/>
      <c r="C639" s="13" t="s">
        <v>923</v>
      </c>
      <c r="D639" s="15">
        <v>24.0</v>
      </c>
      <c r="E639" s="45">
        <f t="shared" si="1"/>
        <v>1200</v>
      </c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hidden="1">
      <c r="A640" s="6" t="s">
        <v>112</v>
      </c>
      <c r="B640" s="15"/>
      <c r="C640" s="13" t="s">
        <v>1182</v>
      </c>
      <c r="D640" s="15">
        <v>20.0</v>
      </c>
      <c r="E640" s="45">
        <f t="shared" si="1"/>
        <v>1000</v>
      </c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hidden="1">
      <c r="A641" s="6" t="s">
        <v>112</v>
      </c>
      <c r="B641" s="15"/>
      <c r="C641" s="13" t="s">
        <v>3376</v>
      </c>
      <c r="D641" s="15">
        <v>1.0</v>
      </c>
      <c r="E641" s="45">
        <f t="shared" si="1"/>
        <v>50</v>
      </c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hidden="1">
      <c r="A642" s="6" t="s">
        <v>112</v>
      </c>
      <c r="B642" s="15"/>
      <c r="C642" s="13" t="s">
        <v>3378</v>
      </c>
      <c r="D642" s="15">
        <v>0.0</v>
      </c>
      <c r="E642" s="45">
        <f t="shared" si="1"/>
        <v>0</v>
      </c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hidden="1">
      <c r="A643" s="6" t="s">
        <v>112</v>
      </c>
      <c r="B643" s="15"/>
      <c r="C643" s="13" t="s">
        <v>1034</v>
      </c>
      <c r="D643" s="15">
        <v>32.0</v>
      </c>
      <c r="E643" s="45">
        <f t="shared" si="1"/>
        <v>1600</v>
      </c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hidden="1">
      <c r="A644" s="6" t="s">
        <v>112</v>
      </c>
      <c r="B644" s="15"/>
      <c r="C644" s="13" t="s">
        <v>953</v>
      </c>
      <c r="D644" s="15">
        <v>1.0</v>
      </c>
      <c r="E644" s="45">
        <f t="shared" si="1"/>
        <v>50</v>
      </c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hidden="1">
      <c r="A645" s="6" t="s">
        <v>112</v>
      </c>
      <c r="B645" s="15"/>
      <c r="C645" s="13" t="s">
        <v>957</v>
      </c>
      <c r="D645" s="15">
        <v>0.0</v>
      </c>
      <c r="E645" s="45">
        <f t="shared" si="1"/>
        <v>0</v>
      </c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hidden="1">
      <c r="A646" s="6" t="s">
        <v>112</v>
      </c>
      <c r="B646" s="15"/>
      <c r="C646" s="13" t="s">
        <v>901</v>
      </c>
      <c r="D646" s="15">
        <v>31.0</v>
      </c>
      <c r="E646" s="45">
        <f t="shared" si="1"/>
        <v>1550</v>
      </c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hidden="1">
      <c r="A647" s="6" t="s">
        <v>114</v>
      </c>
      <c r="B647" s="15"/>
      <c r="C647" s="7" t="s">
        <v>434</v>
      </c>
      <c r="D647" s="15">
        <v>26.0</v>
      </c>
      <c r="E647" s="45">
        <f t="shared" si="1"/>
        <v>1300</v>
      </c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hidden="1">
      <c r="A648" s="6" t="s">
        <v>114</v>
      </c>
      <c r="B648" s="15"/>
      <c r="C648" s="7" t="s">
        <v>3391</v>
      </c>
      <c r="D648" s="15">
        <v>1.0</v>
      </c>
      <c r="E648" s="45">
        <f t="shared" si="1"/>
        <v>50</v>
      </c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hidden="1">
      <c r="A649" s="6" t="s">
        <v>114</v>
      </c>
      <c r="B649" s="15"/>
      <c r="C649" s="7" t="s">
        <v>3374</v>
      </c>
      <c r="D649" s="15">
        <v>4.0</v>
      </c>
      <c r="E649" s="45">
        <f t="shared" si="1"/>
        <v>200</v>
      </c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hidden="1">
      <c r="A650" s="6" t="s">
        <v>114</v>
      </c>
      <c r="B650" s="15"/>
      <c r="C650" s="7" t="s">
        <v>923</v>
      </c>
      <c r="D650" s="15">
        <v>30.0</v>
      </c>
      <c r="E650" s="45">
        <f t="shared" si="1"/>
        <v>1500</v>
      </c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hidden="1">
      <c r="A651" s="6" t="s">
        <v>114</v>
      </c>
      <c r="B651" s="15"/>
      <c r="C651" s="7" t="s">
        <v>1182</v>
      </c>
      <c r="D651" s="15">
        <v>24.0</v>
      </c>
      <c r="E651" s="45">
        <f t="shared" si="1"/>
        <v>1200</v>
      </c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hidden="1">
      <c r="A652" s="6" t="s">
        <v>114</v>
      </c>
      <c r="B652" s="15"/>
      <c r="C652" s="7" t="s">
        <v>3376</v>
      </c>
      <c r="D652" s="15">
        <v>3.0</v>
      </c>
      <c r="E652" s="45">
        <f t="shared" si="1"/>
        <v>150</v>
      </c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hidden="1">
      <c r="A653" s="6" t="s">
        <v>114</v>
      </c>
      <c r="B653" s="15"/>
      <c r="C653" s="7" t="s">
        <v>3378</v>
      </c>
      <c r="D653" s="15">
        <v>1.0</v>
      </c>
      <c r="E653" s="45">
        <f t="shared" si="1"/>
        <v>50</v>
      </c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hidden="1">
      <c r="A654" s="6" t="s">
        <v>114</v>
      </c>
      <c r="B654" s="15"/>
      <c r="C654" s="7" t="s">
        <v>1034</v>
      </c>
      <c r="D654" s="15">
        <v>44.0</v>
      </c>
      <c r="E654" s="45">
        <f t="shared" si="1"/>
        <v>2200</v>
      </c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hidden="1">
      <c r="A655" s="6" t="s">
        <v>114</v>
      </c>
      <c r="B655" s="15"/>
      <c r="C655" s="7" t="s">
        <v>953</v>
      </c>
      <c r="D655" s="15">
        <v>0.0</v>
      </c>
      <c r="E655" s="45">
        <f t="shared" si="1"/>
        <v>0</v>
      </c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hidden="1">
      <c r="A656" s="6" t="s">
        <v>114</v>
      </c>
      <c r="B656" s="15"/>
      <c r="C656" s="7" t="s">
        <v>957</v>
      </c>
      <c r="D656" s="15">
        <v>0.0</v>
      </c>
      <c r="E656" s="45">
        <f t="shared" si="1"/>
        <v>0</v>
      </c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hidden="1">
      <c r="A657" s="6" t="s">
        <v>114</v>
      </c>
      <c r="B657" s="15"/>
      <c r="C657" s="7" t="s">
        <v>901</v>
      </c>
      <c r="D657" s="15">
        <v>35.0</v>
      </c>
      <c r="E657" s="45">
        <f t="shared" si="1"/>
        <v>1750</v>
      </c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hidden="1">
      <c r="A658" s="20" t="s">
        <v>383</v>
      </c>
      <c r="B658" s="15"/>
      <c r="C658" s="7" t="s">
        <v>434</v>
      </c>
      <c r="D658" s="15">
        <v>21.0</v>
      </c>
      <c r="E658" s="45">
        <f t="shared" si="1"/>
        <v>1050</v>
      </c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hidden="1">
      <c r="A659" s="20" t="s">
        <v>383</v>
      </c>
      <c r="B659" s="15"/>
      <c r="C659" s="13" t="s">
        <v>3391</v>
      </c>
      <c r="D659" s="15">
        <v>0.0</v>
      </c>
      <c r="E659" s="45">
        <f t="shared" si="1"/>
        <v>0</v>
      </c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hidden="1">
      <c r="A660" s="20" t="s">
        <v>383</v>
      </c>
      <c r="B660" s="15"/>
      <c r="C660" s="7" t="s">
        <v>3374</v>
      </c>
      <c r="D660" s="15">
        <v>1.0</v>
      </c>
      <c r="E660" s="45">
        <f t="shared" si="1"/>
        <v>50</v>
      </c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hidden="1">
      <c r="A661" s="20" t="s">
        <v>383</v>
      </c>
      <c r="B661" s="15"/>
      <c r="C661" s="7" t="s">
        <v>923</v>
      </c>
      <c r="D661" s="15">
        <v>21.0</v>
      </c>
      <c r="E661" s="45">
        <f t="shared" si="1"/>
        <v>1050</v>
      </c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hidden="1">
      <c r="A662" s="20" t="s">
        <v>383</v>
      </c>
      <c r="B662" s="15"/>
      <c r="C662" s="7" t="s">
        <v>1182</v>
      </c>
      <c r="D662" s="15">
        <v>34.0</v>
      </c>
      <c r="E662" s="45">
        <f t="shared" si="1"/>
        <v>1700</v>
      </c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hidden="1">
      <c r="A663" s="20" t="s">
        <v>383</v>
      </c>
      <c r="B663" s="15"/>
      <c r="C663" s="7" t="s">
        <v>3376</v>
      </c>
      <c r="D663" s="15">
        <v>0.0</v>
      </c>
      <c r="E663" s="45">
        <f t="shared" si="1"/>
        <v>0</v>
      </c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hidden="1">
      <c r="A664" s="20" t="s">
        <v>383</v>
      </c>
      <c r="B664" s="15"/>
      <c r="C664" s="7" t="s">
        <v>3378</v>
      </c>
      <c r="D664" s="15">
        <v>1.0</v>
      </c>
      <c r="E664" s="45">
        <f t="shared" si="1"/>
        <v>50</v>
      </c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hidden="1">
      <c r="A665" s="20" t="s">
        <v>383</v>
      </c>
      <c r="B665" s="15"/>
      <c r="C665" s="7" t="s">
        <v>1034</v>
      </c>
      <c r="D665" s="15">
        <v>38.0</v>
      </c>
      <c r="E665" s="45">
        <f t="shared" si="1"/>
        <v>1900</v>
      </c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hidden="1">
      <c r="A666" s="20" t="s">
        <v>383</v>
      </c>
      <c r="B666" s="15"/>
      <c r="C666" s="7" t="s">
        <v>953</v>
      </c>
      <c r="D666" s="15">
        <v>0.0</v>
      </c>
      <c r="E666" s="45">
        <f t="shared" si="1"/>
        <v>0</v>
      </c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hidden="1">
      <c r="A667" s="20" t="s">
        <v>383</v>
      </c>
      <c r="B667" s="15"/>
      <c r="C667" s="7" t="s">
        <v>957</v>
      </c>
      <c r="D667" s="15">
        <v>0.0</v>
      </c>
      <c r="E667" s="45">
        <f t="shared" si="1"/>
        <v>0</v>
      </c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hidden="1">
      <c r="A668" s="20" t="s">
        <v>383</v>
      </c>
      <c r="B668" s="15"/>
      <c r="C668" s="7" t="s">
        <v>901</v>
      </c>
      <c r="D668" s="15">
        <v>30.0</v>
      </c>
      <c r="E668" s="45">
        <f t="shared" si="1"/>
        <v>1500</v>
      </c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hidden="1">
      <c r="A669" s="24" t="s">
        <v>116</v>
      </c>
      <c r="B669" s="25"/>
      <c r="C669" s="25" t="s">
        <v>434</v>
      </c>
      <c r="D669" s="25">
        <v>36.0</v>
      </c>
      <c r="E669" s="63">
        <f t="shared" si="1"/>
        <v>1800</v>
      </c>
    </row>
    <row r="670" hidden="1">
      <c r="A670" s="24" t="s">
        <v>116</v>
      </c>
      <c r="B670" s="25"/>
      <c r="C670" s="25" t="s">
        <v>3374</v>
      </c>
      <c r="D670" s="25">
        <v>15.0</v>
      </c>
      <c r="E670" s="63">
        <f t="shared" si="1"/>
        <v>750</v>
      </c>
    </row>
    <row r="671" hidden="1">
      <c r="A671" s="24" t="s">
        <v>116</v>
      </c>
      <c r="B671" s="25"/>
      <c r="C671" s="25" t="s">
        <v>923</v>
      </c>
      <c r="D671" s="25">
        <v>32.0</v>
      </c>
      <c r="E671" s="63">
        <f t="shared" si="1"/>
        <v>1600</v>
      </c>
    </row>
    <row r="672" hidden="1">
      <c r="A672" s="24" t="s">
        <v>116</v>
      </c>
      <c r="B672" s="25"/>
      <c r="C672" s="25" t="s">
        <v>1182</v>
      </c>
      <c r="D672" s="25">
        <v>39.0</v>
      </c>
      <c r="E672" s="63">
        <f t="shared" si="1"/>
        <v>1950</v>
      </c>
    </row>
    <row r="673" hidden="1">
      <c r="A673" s="24" t="s">
        <v>116</v>
      </c>
      <c r="B673" s="25"/>
      <c r="C673" s="25" t="s">
        <v>3376</v>
      </c>
      <c r="D673" s="25">
        <v>9.0</v>
      </c>
      <c r="E673" s="63">
        <f t="shared" si="1"/>
        <v>450</v>
      </c>
    </row>
    <row r="674" hidden="1">
      <c r="A674" s="24" t="s">
        <v>116</v>
      </c>
      <c r="B674" s="25"/>
      <c r="C674" s="25" t="s">
        <v>3378</v>
      </c>
      <c r="D674" s="25">
        <v>1.0</v>
      </c>
      <c r="E674" s="63">
        <f t="shared" si="1"/>
        <v>50</v>
      </c>
    </row>
    <row r="675" hidden="1">
      <c r="A675" s="24" t="s">
        <v>116</v>
      </c>
      <c r="B675" s="25"/>
      <c r="C675" s="25" t="s">
        <v>1034</v>
      </c>
      <c r="D675" s="25">
        <v>37.0</v>
      </c>
      <c r="E675" s="63">
        <f t="shared" si="1"/>
        <v>1850</v>
      </c>
    </row>
    <row r="676" hidden="1">
      <c r="A676" s="24" t="s">
        <v>116</v>
      </c>
      <c r="B676" s="25"/>
      <c r="C676" s="25" t="s">
        <v>953</v>
      </c>
      <c r="D676" s="25">
        <v>9.0</v>
      </c>
      <c r="E676" s="63">
        <f t="shared" si="1"/>
        <v>450</v>
      </c>
    </row>
    <row r="677" hidden="1">
      <c r="A677" s="24" t="s">
        <v>116</v>
      </c>
      <c r="B677" s="25"/>
      <c r="C677" s="25" t="s">
        <v>957</v>
      </c>
      <c r="D677" s="25">
        <v>7.0</v>
      </c>
      <c r="E677" s="63">
        <f t="shared" si="1"/>
        <v>350</v>
      </c>
    </row>
    <row r="678" hidden="1">
      <c r="A678" s="24" t="s">
        <v>116</v>
      </c>
      <c r="B678" s="25"/>
      <c r="C678" s="25" t="s">
        <v>901</v>
      </c>
      <c r="D678" s="25">
        <v>28.0</v>
      </c>
      <c r="E678" s="63">
        <f t="shared" si="1"/>
        <v>1400</v>
      </c>
    </row>
    <row r="679" hidden="1">
      <c r="A679" s="24" t="s">
        <v>119</v>
      </c>
      <c r="B679" s="25"/>
      <c r="C679" s="25" t="s">
        <v>434</v>
      </c>
      <c r="D679" s="25">
        <v>21.0</v>
      </c>
      <c r="E679" s="63">
        <f t="shared" si="1"/>
        <v>1050</v>
      </c>
    </row>
    <row r="680" hidden="1">
      <c r="A680" s="24" t="s">
        <v>119</v>
      </c>
      <c r="B680" s="25"/>
      <c r="C680" s="25" t="s">
        <v>3374</v>
      </c>
      <c r="D680" s="25">
        <v>9.0</v>
      </c>
      <c r="E680" s="63">
        <f t="shared" si="1"/>
        <v>450</v>
      </c>
    </row>
    <row r="681" hidden="1">
      <c r="A681" s="24" t="s">
        <v>119</v>
      </c>
      <c r="B681" s="25"/>
      <c r="C681" s="25" t="s">
        <v>923</v>
      </c>
      <c r="D681" s="25">
        <v>26.0</v>
      </c>
      <c r="E681" s="63">
        <f t="shared" si="1"/>
        <v>1300</v>
      </c>
    </row>
    <row r="682" hidden="1">
      <c r="A682" s="24" t="s">
        <v>119</v>
      </c>
      <c r="B682" s="25"/>
      <c r="C682" s="25" t="s">
        <v>1182</v>
      </c>
      <c r="D682" s="25">
        <v>24.0</v>
      </c>
      <c r="E682" s="63">
        <f t="shared" si="1"/>
        <v>1200</v>
      </c>
    </row>
    <row r="683" hidden="1">
      <c r="A683" s="24" t="s">
        <v>119</v>
      </c>
      <c r="B683" s="25"/>
      <c r="C683" s="25" t="s">
        <v>3376</v>
      </c>
      <c r="D683" s="25">
        <v>17.0</v>
      </c>
      <c r="E683" s="63">
        <f t="shared" si="1"/>
        <v>850</v>
      </c>
    </row>
    <row r="684" hidden="1">
      <c r="A684" s="24" t="s">
        <v>119</v>
      </c>
      <c r="B684" s="25"/>
      <c r="C684" s="25" t="s">
        <v>3378</v>
      </c>
      <c r="D684" s="25">
        <v>0.0</v>
      </c>
      <c r="E684" s="63">
        <f t="shared" si="1"/>
        <v>0</v>
      </c>
    </row>
    <row r="685" hidden="1">
      <c r="A685" s="24" t="s">
        <v>119</v>
      </c>
      <c r="B685" s="25"/>
      <c r="C685" s="25" t="s">
        <v>1034</v>
      </c>
      <c r="D685" s="25">
        <v>58.0</v>
      </c>
      <c r="E685" s="63">
        <f t="shared" si="1"/>
        <v>2900</v>
      </c>
    </row>
    <row r="686" hidden="1">
      <c r="A686" s="24" t="s">
        <v>119</v>
      </c>
      <c r="B686" s="25"/>
      <c r="C686" s="25" t="s">
        <v>953</v>
      </c>
      <c r="D686" s="25">
        <v>7.0</v>
      </c>
      <c r="E686" s="63">
        <f t="shared" si="1"/>
        <v>350</v>
      </c>
    </row>
    <row r="687" hidden="1">
      <c r="A687" s="24" t="s">
        <v>119</v>
      </c>
      <c r="B687" s="25"/>
      <c r="C687" s="25" t="s">
        <v>957</v>
      </c>
      <c r="D687" s="25">
        <v>6.0</v>
      </c>
      <c r="E687" s="63">
        <f t="shared" si="1"/>
        <v>300</v>
      </c>
    </row>
    <row r="688" hidden="1">
      <c r="A688" s="24" t="s">
        <v>119</v>
      </c>
      <c r="B688" s="25"/>
      <c r="C688" s="25" t="s">
        <v>901</v>
      </c>
      <c r="D688" s="25">
        <v>26.0</v>
      </c>
      <c r="E688" s="63">
        <f t="shared" si="1"/>
        <v>1300</v>
      </c>
    </row>
    <row r="689" hidden="1">
      <c r="A689" s="6" t="s">
        <v>40</v>
      </c>
      <c r="B689" s="13" t="s">
        <v>900</v>
      </c>
      <c r="C689" s="8" t="s">
        <v>901</v>
      </c>
      <c r="D689" s="9">
        <v>13.0</v>
      </c>
      <c r="E689" s="51">
        <f t="shared" si="1"/>
        <v>650</v>
      </c>
      <c r="F689" s="88" t="str">
        <f>D689 &amp; " Callback Appointments"</f>
        <v>13 Callback Appointments</v>
      </c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</sheetData>
  <autoFilter ref="$A$3:$AA$689">
    <filterColumn colId="0">
      <filters>
        <filter val="Week 3/22/26 - 3/28/26"/>
      </filters>
    </filterColumn>
    <filterColumn colId="2">
      <filters>
        <filter val="Cadua, Sheila"/>
        <filter val="Singcahon, Nieva &quot;Jane&quot;"/>
        <filter val="Taclay, Leah Grace &quot;Leah&quot;"/>
        <filter val="Navarosa, Kryzel - &quot;Kryzel&quot;"/>
        <filter val="Damian, Diana Michelle &quot;Diana&quot;"/>
        <filter val="Peñalosa, Rovina Peñalosa &quot;Robin&quot;"/>
        <filter val="Jorre, Zarah Jane L &quot;Zarah&quot;"/>
        <filter val="Bacalso, Ruth A."/>
        <filter val="Perales, Angie Saballa &quot;Angie&quot;"/>
        <filter val="Rondina, Joanalyn"/>
        <filter val="Gupilan, Aloha M. &quot;Aloha&quot;"/>
        <filter val="Villarosa, Jonathan Mae"/>
        <filter val="Remata, Floriann &quot;Flor&quot;"/>
        <filter val="Hernandez, Jhan Aimber Eunice &quot;Aimber&quot;"/>
        <filter val="Tan, Maria Theresa"/>
        <filter val="Bacalso, Danica &quot;Danica&quot;"/>
        <filter val="Talaugon, Marie Kris &quot;Kris&quot;"/>
        <filter val="Cepeda, Louis Jane &quot;Lou&quot;"/>
        <filter val="Ilagan, Gladys Ann &quot;Gladys&quot;"/>
        <filter val="Sumalinog, Julie Ann"/>
        <filter val="Amaro, Jeanne &quot;Jeanne&quot;"/>
        <filter val="Bacalso, Danica"/>
      </filters>
    </filterColumn>
    <sortState ref="A3:AA689">
      <sortCondition ref="C3:C689"/>
      <sortCondition ref="B3:B689"/>
    </sortState>
  </autoFilter>
  <dataValidations>
    <dataValidation type="list" allowBlank="1" showErrorMessage="1" sqref="A412:A424">
      <formula1>"Week 8/17/25 - 8/23/25"</formula1>
    </dataValidation>
    <dataValidation type="list" allowBlank="1" showErrorMessage="1" sqref="A4:A18">
      <formula1>"Week 3/22/26 - 3/28/26"</formula1>
    </dataValidation>
    <dataValidation type="list" allowBlank="1" showErrorMessage="1" sqref="A269:A281">
      <formula1>"Week 11/2/25 - 11/8/25"</formula1>
    </dataValidation>
    <dataValidation type="list" allowBlank="1" showErrorMessage="1" sqref="A481:A494">
      <formula1>"Week 7/13/25 - 7/19/25"</formula1>
    </dataValidation>
    <dataValidation type="list" allowBlank="1" showErrorMessage="1" sqref="A373:A385">
      <formula1>"Week 9/07/25 - 9/13/25"</formula1>
    </dataValidation>
    <dataValidation type="list" allowBlank="1" showErrorMessage="1" sqref="A347:A359">
      <formula1>"Week 9/21/25 - 9/27/25"</formula1>
    </dataValidation>
    <dataValidation type="list" allowBlank="1" showErrorMessage="1" sqref="A360:A372">
      <formula1>"Week 9/14/25 - 9/20/25"</formula1>
    </dataValidation>
    <dataValidation type="list" allowBlank="1" showErrorMessage="1" sqref="A439:A452">
      <formula1>"Week 8/3/25 - 8/9/25"</formula1>
    </dataValidation>
    <dataValidation type="list" allowBlank="1" showErrorMessage="1" sqref="A386:A398">
      <formula1>"Week 8/31/25 - 9/06/25"</formula1>
    </dataValidation>
    <dataValidation type="list" allowBlank="1" showErrorMessage="1" sqref="A216:A228">
      <formula1>"Week 11/30/25 - 12/6/25"</formula1>
    </dataValidation>
    <dataValidation type="list" allowBlank="1" showErrorMessage="1" sqref="A537:A547">
      <formula1>"Week 6/15/25 - 6/21/25"</formula1>
    </dataValidation>
    <dataValidation type="list" allowBlank="1" showErrorMessage="1" sqref="A84:A96">
      <formula1>"Week 2/8/26 - 2/14/26"</formula1>
    </dataValidation>
    <dataValidation type="list" allowBlank="1" showErrorMessage="1" sqref="A592:A678">
      <formula1>"Week 3/2/25 - 3/8/25,Week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34:A45 A689">
      <formula1>"Week 3/8/26 - 3/14/26"</formula1>
    </dataValidation>
    <dataValidation type="list" allowBlank="1" showErrorMessage="1" sqref="A151:A163">
      <formula1>"Week 1/4/26 - 1/10/26"</formula1>
    </dataValidation>
    <dataValidation type="list" allowBlank="1" showErrorMessage="1" sqref="A425:A438">
      <formula1>"Week 8/10/25 - 8/16/25 "</formula1>
    </dataValidation>
    <dataValidation type="list" allowBlank="1" showErrorMessage="1" sqref="A399:A411">
      <formula1>"Week 8/24/25 - 8/30/25"</formula1>
    </dataValidation>
    <dataValidation type="list" allowBlank="1" showErrorMessage="1" sqref="A548:A558">
      <formula1>"Week 6/8/25 - 6/14/25"</formula1>
    </dataValidation>
    <dataValidation type="list" allowBlank="1" showErrorMessage="1" sqref="A97:A109">
      <formula1>"Week 2/1/26 - 2/7/26"</formula1>
    </dataValidation>
    <dataValidation type="list" allowBlank="1" showErrorMessage="1" sqref="A679:A688">
      <formula1>"Week 3/16/25 - 3/22/25"</formula1>
    </dataValidation>
    <dataValidation type="list" allowBlank="1" showErrorMessage="1" sqref="A559:A569">
      <formula1>"Week 6/1/25 - 6/7/25"</formula1>
    </dataValidation>
    <dataValidation type="list" allowBlank="1" showErrorMessage="1" sqref="A467:A480">
      <formula1>"Week 7/20/25 - 7/26/25"</formula1>
    </dataValidation>
    <dataValidation type="list" allowBlank="1" showErrorMessage="1" sqref="A177:A189">
      <formula1>"Week 12/21/25 - 12/27/25 "</formula1>
    </dataValidation>
    <dataValidation type="list" allowBlank="1" showErrorMessage="1" sqref="A46:A57">
      <formula1>"Week 3/1/26 - 3/7/26"</formula1>
    </dataValidation>
    <dataValidation type="list" allowBlank="1" showErrorMessage="1" sqref="A453:A466">
      <formula1>"Week 7/27/25 - 8/2/25"</formula1>
    </dataValidation>
    <dataValidation type="list" allowBlank="1" showErrorMessage="1" sqref="A570:A580">
      <formula1>"Week 5/25/25 - 5/31/25"</formula1>
    </dataValidation>
    <dataValidation type="list" allowBlank="1" showErrorMessage="1" sqref="A334:A346">
      <formula1>"Week 9/28/25 - 10/4/25"</formula1>
    </dataValidation>
    <dataValidation type="list" allowBlank="1" showErrorMessage="1" sqref="A295:A307">
      <formula1>"Week 10/19/25 - 10/25/25"</formula1>
    </dataValidation>
    <dataValidation type="list" allowBlank="1" showErrorMessage="1" sqref="A523:A536">
      <formula1>"Week 6/22/25 - 6/28/25"</formula1>
    </dataValidation>
    <dataValidation type="list" allowBlank="1" showErrorMessage="1" sqref="A138:A150">
      <formula1>"Week 1/11/26 - 1/17/26"</formula1>
    </dataValidation>
    <dataValidation type="list" allowBlank="1" showErrorMessage="1" sqref="A321:A333">
      <formula1>"Week 10/5/25 - 10/11/25"</formula1>
    </dataValidation>
    <dataValidation type="list" allowBlank="1" showErrorMessage="1" sqref="A58:A70">
      <formula1>"Week 2/22/26 - 2/28/26"</formula1>
    </dataValidation>
    <dataValidation type="list" allowBlank="1" showErrorMessage="1" sqref="A124:A137">
      <formula1>"Week 1/18/26 - 1/24/26"</formula1>
    </dataValidation>
    <dataValidation type="list" allowBlank="1" showErrorMessage="1" sqref="A256:A268">
      <formula1>"Week 11/9/25 - 11/15/25"</formula1>
    </dataValidation>
    <dataValidation type="list" allowBlank="1" showErrorMessage="1" sqref="A495:A508">
      <formula1>"Week 7/6/25 - 7/12/25 "</formula1>
    </dataValidation>
    <dataValidation type="list" allowBlank="1" showErrorMessage="1" sqref="A229:A242">
      <formula1>"Week 11/23/25 - 11/29/25"</formula1>
    </dataValidation>
    <dataValidation type="list" allowBlank="1" showErrorMessage="1" sqref="A581:A591">
      <formula1>"Week 5/18/25 - 5/24/25"</formula1>
    </dataValidation>
    <dataValidation type="list" allowBlank="1" showErrorMessage="1" sqref="A509:A522">
      <formula1>"Week 6/29/25 - 7/5/25"</formula1>
    </dataValidation>
    <dataValidation type="list" allowBlank="1" showErrorMessage="1" sqref="A19:A33">
      <formula1>"Week 3/15/26 - 3/21/26"</formula1>
    </dataValidation>
    <dataValidation type="list" allowBlank="1" showErrorMessage="1" sqref="A71:A83">
      <formula1>"Week 2/15/26 - 2/21/26"</formula1>
    </dataValidation>
    <dataValidation type="list" allowBlank="1" showErrorMessage="1" sqref="A110:A123">
      <formula1>"Week 1/25/26 - 1/31/26"</formula1>
    </dataValidation>
    <dataValidation type="list" allowBlank="1" showErrorMessage="1" sqref="A190:A202">
      <formula1>"Week 12/14/25 - 12/20/25"</formula1>
    </dataValidation>
    <dataValidation type="list" allowBlank="1" showErrorMessage="1" sqref="A164:A176">
      <formula1>"Week 12/28/25 - 1/3/25 "</formula1>
    </dataValidation>
    <dataValidation type="list" allowBlank="1" showErrorMessage="1" sqref="A282:A294">
      <formula1>"Week 10/26/25 - 11/1/25"</formula1>
    </dataValidation>
    <dataValidation type="list" allowBlank="1" showErrorMessage="1" sqref="A203:A215">
      <formula1>"Week 12/7/25 - 12/13/25"</formula1>
    </dataValidation>
    <dataValidation type="list" allowBlank="1" showErrorMessage="1" sqref="A243:A255">
      <formula1>"Week 11/16/25 - 11/22/25"</formula1>
    </dataValidation>
    <dataValidation type="list" allowBlank="1" showErrorMessage="1" sqref="A308:A320">
      <formula1>"Week 10/12/25 - 10/18/25"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0"/>
  </cols>
  <sheetData>
    <row r="1">
      <c r="A1" s="90" t="s">
        <v>3392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2" t="s">
        <v>2</v>
      </c>
      <c r="B3" s="92" t="s">
        <v>122</v>
      </c>
      <c r="C3" s="92" t="s">
        <v>3393</v>
      </c>
      <c r="D3" s="92" t="s">
        <v>9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idden="1">
      <c r="A4" s="6" t="s">
        <v>48</v>
      </c>
      <c r="B4" s="93" t="s">
        <v>3394</v>
      </c>
      <c r="C4" s="94">
        <v>272.0</v>
      </c>
      <c r="D4" s="95">
        <f t="shared" ref="D4:D12" si="1">C4*150/9</f>
        <v>4533.333333</v>
      </c>
      <c r="E4" s="96" t="s">
        <v>3395</v>
      </c>
      <c r="F4" s="59"/>
      <c r="G4" s="45"/>
      <c r="H4" s="45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idden="1">
      <c r="A5" s="6" t="s">
        <v>48</v>
      </c>
      <c r="B5" s="93" t="s">
        <v>458</v>
      </c>
      <c r="C5" s="94">
        <v>272.0</v>
      </c>
      <c r="D5" s="95">
        <f t="shared" si="1"/>
        <v>4533.333333</v>
      </c>
      <c r="E5" s="96" t="s">
        <v>3395</v>
      </c>
      <c r="F5" s="59"/>
      <c r="G5" s="45"/>
      <c r="H5" s="45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idden="1">
      <c r="A6" s="6" t="s">
        <v>48</v>
      </c>
      <c r="B6" s="93" t="s">
        <v>3396</v>
      </c>
      <c r="C6" s="94">
        <v>272.0</v>
      </c>
      <c r="D6" s="95">
        <f t="shared" si="1"/>
        <v>4533.333333</v>
      </c>
      <c r="E6" s="96" t="s">
        <v>3395</v>
      </c>
      <c r="F6" s="59"/>
      <c r="G6" s="45"/>
      <c r="H6" s="45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idden="1">
      <c r="A7" s="6" t="s">
        <v>48</v>
      </c>
      <c r="B7" s="93" t="s">
        <v>3397</v>
      </c>
      <c r="C7" s="94">
        <v>272.0</v>
      </c>
      <c r="D7" s="95">
        <f t="shared" si="1"/>
        <v>4533.333333</v>
      </c>
      <c r="E7" s="96" t="s">
        <v>3395</v>
      </c>
      <c r="F7" s="59"/>
      <c r="G7" s="45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idden="1">
      <c r="A8" s="6" t="s">
        <v>48</v>
      </c>
      <c r="B8" s="93" t="s">
        <v>3398</v>
      </c>
      <c r="C8" s="94">
        <v>272.0</v>
      </c>
      <c r="D8" s="95">
        <f t="shared" si="1"/>
        <v>4533.333333</v>
      </c>
      <c r="E8" s="96" t="s">
        <v>3395</v>
      </c>
      <c r="F8" s="59"/>
      <c r="G8" s="45"/>
      <c r="H8" s="45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idden="1">
      <c r="A9" s="6" t="s">
        <v>48</v>
      </c>
      <c r="B9" s="93" t="s">
        <v>3399</v>
      </c>
      <c r="C9" s="94">
        <v>272.0</v>
      </c>
      <c r="D9" s="95">
        <f t="shared" si="1"/>
        <v>4533.333333</v>
      </c>
      <c r="E9" s="96" t="s">
        <v>3395</v>
      </c>
      <c r="F9" s="59"/>
      <c r="G9" s="45"/>
      <c r="H9" s="45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idden="1">
      <c r="A10" s="6" t="s">
        <v>48</v>
      </c>
      <c r="B10" s="93" t="s">
        <v>3400</v>
      </c>
      <c r="C10" s="94">
        <v>272.0</v>
      </c>
      <c r="D10" s="95">
        <f t="shared" si="1"/>
        <v>4533.333333</v>
      </c>
      <c r="E10" s="96" t="s">
        <v>3395</v>
      </c>
      <c r="F10" s="59"/>
      <c r="G10" s="45"/>
      <c r="H10" s="4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idden="1">
      <c r="A11" s="6" t="s">
        <v>48</v>
      </c>
      <c r="B11" s="93" t="s">
        <v>3401</v>
      </c>
      <c r="C11" s="94">
        <v>272.0</v>
      </c>
      <c r="D11" s="95">
        <f t="shared" si="1"/>
        <v>4533.333333</v>
      </c>
      <c r="E11" s="96" t="s">
        <v>3395</v>
      </c>
      <c r="F11" s="59"/>
      <c r="G11" s="45"/>
      <c r="H11" s="45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idden="1">
      <c r="A12" s="6" t="s">
        <v>48</v>
      </c>
      <c r="B12" s="93" t="s">
        <v>3402</v>
      </c>
      <c r="C12" s="94">
        <v>272.0</v>
      </c>
      <c r="D12" s="95">
        <f t="shared" si="1"/>
        <v>4533.333333</v>
      </c>
      <c r="E12" s="96" t="s">
        <v>3395</v>
      </c>
      <c r="F12" s="59"/>
      <c r="G12" s="45"/>
      <c r="H12" s="45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idden="1">
      <c r="A13" s="6" t="s">
        <v>48</v>
      </c>
      <c r="B13" s="93" t="s">
        <v>3403</v>
      </c>
      <c r="C13" s="94">
        <v>272.0</v>
      </c>
      <c r="D13" s="95">
        <f>C13*30</f>
        <v>8160</v>
      </c>
      <c r="E13" s="96" t="s">
        <v>3395</v>
      </c>
      <c r="F13" s="59"/>
      <c r="G13" s="59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6" t="s">
        <v>29</v>
      </c>
      <c r="B14" s="93" t="s">
        <v>3394</v>
      </c>
      <c r="C14" s="94">
        <v>270.5</v>
      </c>
      <c r="D14" s="95">
        <f t="shared" ref="D14:D22" si="2">C14*150/9</f>
        <v>4508.333333</v>
      </c>
      <c r="E14" s="96" t="s">
        <v>3404</v>
      </c>
      <c r="F14" s="59"/>
      <c r="G14" s="59"/>
      <c r="H14" s="59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6" t="s">
        <v>29</v>
      </c>
      <c r="B15" s="93" t="s">
        <v>458</v>
      </c>
      <c r="C15" s="94">
        <v>270.5</v>
      </c>
      <c r="D15" s="95">
        <f t="shared" si="2"/>
        <v>4508.333333</v>
      </c>
      <c r="E15" s="96" t="s">
        <v>3404</v>
      </c>
      <c r="F15" s="59"/>
      <c r="G15" s="59"/>
      <c r="H15" s="59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6" t="s">
        <v>29</v>
      </c>
      <c r="B16" s="93" t="s">
        <v>3396</v>
      </c>
      <c r="C16" s="94">
        <v>270.5</v>
      </c>
      <c r="D16" s="95">
        <f t="shared" si="2"/>
        <v>4508.333333</v>
      </c>
      <c r="E16" s="96" t="s">
        <v>3404</v>
      </c>
      <c r="F16" s="59"/>
      <c r="G16" s="59"/>
      <c r="H16" s="59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6" t="s">
        <v>29</v>
      </c>
      <c r="B17" s="93" t="s">
        <v>3397</v>
      </c>
      <c r="C17" s="94">
        <v>270.5</v>
      </c>
      <c r="D17" s="95">
        <f t="shared" si="2"/>
        <v>4508.333333</v>
      </c>
      <c r="E17" s="96" t="s">
        <v>3404</v>
      </c>
      <c r="F17" s="59"/>
      <c r="G17" s="59"/>
      <c r="H17" s="59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6" t="s">
        <v>29</v>
      </c>
      <c r="B18" s="93" t="s">
        <v>3398</v>
      </c>
      <c r="C18" s="94">
        <v>270.5</v>
      </c>
      <c r="D18" s="95">
        <f t="shared" si="2"/>
        <v>4508.333333</v>
      </c>
      <c r="E18" s="96" t="s">
        <v>3404</v>
      </c>
      <c r="F18" s="59"/>
      <c r="G18" s="59"/>
      <c r="H18" s="59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6" t="s">
        <v>29</v>
      </c>
      <c r="B19" s="93" t="s">
        <v>3399</v>
      </c>
      <c r="C19" s="94">
        <v>270.5</v>
      </c>
      <c r="D19" s="95">
        <f t="shared" si="2"/>
        <v>4508.333333</v>
      </c>
      <c r="E19" s="96" t="s">
        <v>3404</v>
      </c>
      <c r="F19" s="59"/>
      <c r="G19" s="59"/>
      <c r="H19" s="59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6" t="s">
        <v>29</v>
      </c>
      <c r="B20" s="93" t="s">
        <v>3400</v>
      </c>
      <c r="C20" s="94">
        <v>270.5</v>
      </c>
      <c r="D20" s="95">
        <f t="shared" si="2"/>
        <v>4508.333333</v>
      </c>
      <c r="E20" s="96" t="s">
        <v>3404</v>
      </c>
      <c r="F20" s="59"/>
      <c r="G20" s="59"/>
      <c r="H20" s="59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6" t="s">
        <v>29</v>
      </c>
      <c r="B21" s="93" t="s">
        <v>3401</v>
      </c>
      <c r="C21" s="94">
        <v>270.5</v>
      </c>
      <c r="D21" s="95">
        <f t="shared" si="2"/>
        <v>4508.333333</v>
      </c>
      <c r="E21" s="96" t="s">
        <v>3404</v>
      </c>
      <c r="F21" s="59"/>
      <c r="G21" s="59"/>
      <c r="H21" s="59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6" t="s">
        <v>29</v>
      </c>
      <c r="B22" s="93" t="s">
        <v>3402</v>
      </c>
      <c r="C22" s="94">
        <v>270.5</v>
      </c>
      <c r="D22" s="95">
        <f t="shared" si="2"/>
        <v>4508.333333</v>
      </c>
      <c r="E22" s="96" t="s">
        <v>3404</v>
      </c>
      <c r="F22" s="59"/>
      <c r="G22" s="59"/>
      <c r="H22" s="59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6" t="s">
        <v>29</v>
      </c>
      <c r="B23" s="93" t="s">
        <v>3403</v>
      </c>
      <c r="C23" s="94">
        <v>270.5</v>
      </c>
      <c r="D23" s="95">
        <f>C23*30</f>
        <v>8115</v>
      </c>
      <c r="E23" s="96" t="s">
        <v>3404</v>
      </c>
      <c r="F23" s="59"/>
      <c r="G23" s="59"/>
      <c r="H23" s="59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idden="1">
      <c r="A24" s="6" t="s">
        <v>38</v>
      </c>
      <c r="B24" s="93" t="s">
        <v>3394</v>
      </c>
      <c r="C24" s="94">
        <v>201.0</v>
      </c>
      <c r="D24" s="95">
        <f t="shared" ref="D24:D32" si="3">C24*150/9</f>
        <v>3350</v>
      </c>
      <c r="E24" s="96" t="s">
        <v>3405</v>
      </c>
      <c r="F24" s="59"/>
      <c r="G24" s="59"/>
      <c r="H24" s="59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idden="1">
      <c r="A25" s="6" t="s">
        <v>38</v>
      </c>
      <c r="B25" s="93" t="s">
        <v>458</v>
      </c>
      <c r="C25" s="94">
        <v>201.0</v>
      </c>
      <c r="D25" s="95">
        <f t="shared" si="3"/>
        <v>3350</v>
      </c>
      <c r="E25" s="96" t="s">
        <v>3405</v>
      </c>
      <c r="F25" s="59"/>
      <c r="G25" s="59"/>
      <c r="H25" s="59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idden="1">
      <c r="A26" s="6" t="s">
        <v>38</v>
      </c>
      <c r="B26" s="93" t="s">
        <v>3396</v>
      </c>
      <c r="C26" s="94">
        <v>201.0</v>
      </c>
      <c r="D26" s="95">
        <f t="shared" si="3"/>
        <v>3350</v>
      </c>
      <c r="E26" s="96" t="s">
        <v>3405</v>
      </c>
      <c r="F26" s="59"/>
      <c r="G26" s="59"/>
      <c r="H26" s="59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idden="1">
      <c r="A27" s="6" t="s">
        <v>38</v>
      </c>
      <c r="B27" s="93" t="s">
        <v>3397</v>
      </c>
      <c r="C27" s="94">
        <v>201.0</v>
      </c>
      <c r="D27" s="95">
        <f t="shared" si="3"/>
        <v>3350</v>
      </c>
      <c r="E27" s="96" t="s">
        <v>3405</v>
      </c>
      <c r="F27" s="59"/>
      <c r="G27" s="59"/>
      <c r="H27" s="59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idden="1">
      <c r="A28" s="6" t="s">
        <v>38</v>
      </c>
      <c r="B28" s="93" t="s">
        <v>3398</v>
      </c>
      <c r="C28" s="94">
        <v>201.0</v>
      </c>
      <c r="D28" s="95">
        <f t="shared" si="3"/>
        <v>3350</v>
      </c>
      <c r="E28" s="96" t="s">
        <v>3405</v>
      </c>
      <c r="F28" s="59"/>
      <c r="G28" s="59"/>
      <c r="H28" s="59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idden="1">
      <c r="A29" s="6" t="s">
        <v>38</v>
      </c>
      <c r="B29" s="93" t="s">
        <v>3399</v>
      </c>
      <c r="C29" s="94">
        <v>201.0</v>
      </c>
      <c r="D29" s="95">
        <f t="shared" si="3"/>
        <v>3350</v>
      </c>
      <c r="E29" s="96" t="s">
        <v>3405</v>
      </c>
      <c r="F29" s="59"/>
      <c r="G29" s="59"/>
      <c r="H29" s="59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idden="1">
      <c r="A30" s="6" t="s">
        <v>38</v>
      </c>
      <c r="B30" s="93" t="s">
        <v>3400</v>
      </c>
      <c r="C30" s="94">
        <v>201.0</v>
      </c>
      <c r="D30" s="95">
        <f t="shared" si="3"/>
        <v>3350</v>
      </c>
      <c r="E30" s="96" t="s">
        <v>3405</v>
      </c>
      <c r="F30" s="59"/>
      <c r="G30" s="59"/>
      <c r="H30" s="59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idden="1">
      <c r="A31" s="6" t="s">
        <v>38</v>
      </c>
      <c r="B31" s="93" t="s">
        <v>3401</v>
      </c>
      <c r="C31" s="94">
        <v>201.0</v>
      </c>
      <c r="D31" s="95">
        <f t="shared" si="3"/>
        <v>3350</v>
      </c>
      <c r="E31" s="96" t="s">
        <v>3405</v>
      </c>
      <c r="F31" s="59"/>
      <c r="G31" s="59"/>
      <c r="H31" s="59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idden="1">
      <c r="A32" s="6" t="s">
        <v>38</v>
      </c>
      <c r="B32" s="93" t="s">
        <v>3402</v>
      </c>
      <c r="C32" s="94">
        <v>201.0</v>
      </c>
      <c r="D32" s="95">
        <f t="shared" si="3"/>
        <v>3350</v>
      </c>
      <c r="E32" s="96" t="s">
        <v>3405</v>
      </c>
      <c r="F32" s="59"/>
      <c r="G32" s="59"/>
      <c r="H32" s="59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idden="1">
      <c r="A33" s="6" t="s">
        <v>38</v>
      </c>
      <c r="B33" s="93" t="s">
        <v>3403</v>
      </c>
      <c r="C33" s="94">
        <v>201.0</v>
      </c>
      <c r="D33" s="95">
        <f>C33*30</f>
        <v>6030</v>
      </c>
      <c r="E33" s="96" t="s">
        <v>3405</v>
      </c>
      <c r="F33" s="59"/>
      <c r="G33" s="59"/>
      <c r="H33" s="59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idden="1">
      <c r="A34" s="6" t="s">
        <v>40</v>
      </c>
      <c r="B34" s="93" t="s">
        <v>3394</v>
      </c>
      <c r="C34" s="94">
        <v>201.5</v>
      </c>
      <c r="D34" s="95">
        <f t="shared" ref="D34:D42" si="4">C34*150/9</f>
        <v>3358.333333</v>
      </c>
      <c r="E34" s="96" t="s">
        <v>3406</v>
      </c>
      <c r="F34" s="59"/>
      <c r="G34" s="59"/>
      <c r="H34" s="59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idden="1">
      <c r="A35" s="6" t="s">
        <v>40</v>
      </c>
      <c r="B35" s="93" t="s">
        <v>458</v>
      </c>
      <c r="C35" s="94">
        <v>201.5</v>
      </c>
      <c r="D35" s="95">
        <f t="shared" si="4"/>
        <v>3358.333333</v>
      </c>
      <c r="E35" s="96" t="s">
        <v>3406</v>
      </c>
      <c r="F35" s="59"/>
      <c r="G35" s="59"/>
      <c r="H35" s="59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idden="1">
      <c r="A36" s="6" t="s">
        <v>40</v>
      </c>
      <c r="B36" s="93" t="s">
        <v>3396</v>
      </c>
      <c r="C36" s="94">
        <v>201.5</v>
      </c>
      <c r="D36" s="95">
        <f t="shared" si="4"/>
        <v>3358.333333</v>
      </c>
      <c r="E36" s="96" t="s">
        <v>3406</v>
      </c>
      <c r="F36" s="59"/>
      <c r="G36" s="59"/>
      <c r="H36" s="59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idden="1">
      <c r="A37" s="6" t="s">
        <v>40</v>
      </c>
      <c r="B37" s="93" t="s">
        <v>3397</v>
      </c>
      <c r="C37" s="94">
        <v>201.5</v>
      </c>
      <c r="D37" s="95">
        <f t="shared" si="4"/>
        <v>3358.333333</v>
      </c>
      <c r="E37" s="96" t="s">
        <v>3406</v>
      </c>
      <c r="F37" s="59"/>
      <c r="G37" s="59"/>
      <c r="H37" s="59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idden="1">
      <c r="A38" s="6" t="s">
        <v>40</v>
      </c>
      <c r="B38" s="93" t="s">
        <v>3398</v>
      </c>
      <c r="C38" s="94">
        <v>201.5</v>
      </c>
      <c r="D38" s="95">
        <f t="shared" si="4"/>
        <v>3358.333333</v>
      </c>
      <c r="E38" s="96" t="s">
        <v>3406</v>
      </c>
      <c r="F38" s="59"/>
      <c r="G38" s="59"/>
      <c r="H38" s="59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idden="1">
      <c r="A39" s="6" t="s">
        <v>40</v>
      </c>
      <c r="B39" s="93" t="s">
        <v>3399</v>
      </c>
      <c r="C39" s="94">
        <v>201.5</v>
      </c>
      <c r="D39" s="95">
        <f t="shared" si="4"/>
        <v>3358.333333</v>
      </c>
      <c r="E39" s="96" t="s">
        <v>3406</v>
      </c>
      <c r="F39" s="59"/>
      <c r="G39" s="59"/>
      <c r="H39" s="59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idden="1">
      <c r="A40" s="6" t="s">
        <v>40</v>
      </c>
      <c r="B40" s="93" t="s">
        <v>3400</v>
      </c>
      <c r="C40" s="94">
        <v>201.5</v>
      </c>
      <c r="D40" s="95">
        <f t="shared" si="4"/>
        <v>3358.333333</v>
      </c>
      <c r="E40" s="96" t="s">
        <v>3406</v>
      </c>
      <c r="F40" s="59"/>
      <c r="G40" s="59"/>
      <c r="H40" s="59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idden="1">
      <c r="A41" s="6" t="s">
        <v>40</v>
      </c>
      <c r="B41" s="93" t="s">
        <v>3401</v>
      </c>
      <c r="C41" s="94">
        <v>201.5</v>
      </c>
      <c r="D41" s="95">
        <f t="shared" si="4"/>
        <v>3358.333333</v>
      </c>
      <c r="E41" s="96" t="s">
        <v>3406</v>
      </c>
      <c r="F41" s="59"/>
      <c r="G41" s="59"/>
      <c r="H41" s="59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idden="1">
      <c r="A42" s="6" t="s">
        <v>40</v>
      </c>
      <c r="B42" s="93" t="s">
        <v>3402</v>
      </c>
      <c r="C42" s="94">
        <v>201.5</v>
      </c>
      <c r="D42" s="95">
        <f t="shared" si="4"/>
        <v>3358.333333</v>
      </c>
      <c r="E42" s="96" t="s">
        <v>3406</v>
      </c>
      <c r="F42" s="59"/>
      <c r="G42" s="59"/>
      <c r="H42" s="59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idden="1">
      <c r="A43" s="6" t="s">
        <v>40</v>
      </c>
      <c r="B43" s="93" t="s">
        <v>3403</v>
      </c>
      <c r="C43" s="94">
        <v>201.5</v>
      </c>
      <c r="D43" s="95">
        <f>C43*30</f>
        <v>6045</v>
      </c>
      <c r="E43" s="96" t="s">
        <v>3406</v>
      </c>
      <c r="F43" s="59"/>
      <c r="G43" s="59"/>
      <c r="H43" s="59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idden="1">
      <c r="A44" s="6" t="s">
        <v>42</v>
      </c>
      <c r="B44" s="93" t="s">
        <v>3394</v>
      </c>
      <c r="C44" s="94">
        <v>232.0</v>
      </c>
      <c r="D44" s="95">
        <f t="shared" ref="D44:D52" si="5">C44*150/9</f>
        <v>3866.666667</v>
      </c>
      <c r="E44" s="96" t="s">
        <v>3407</v>
      </c>
      <c r="F44" s="59"/>
      <c r="G44" s="59"/>
      <c r="H44" s="59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idden="1">
      <c r="A45" s="6" t="s">
        <v>42</v>
      </c>
      <c r="B45" s="93" t="s">
        <v>458</v>
      </c>
      <c r="C45" s="94">
        <v>232.0</v>
      </c>
      <c r="D45" s="95">
        <f t="shared" si="5"/>
        <v>3866.666667</v>
      </c>
      <c r="E45" s="96" t="s">
        <v>3407</v>
      </c>
      <c r="F45" s="59"/>
      <c r="G45" s="59"/>
      <c r="H45" s="59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idden="1">
      <c r="A46" s="6" t="s">
        <v>42</v>
      </c>
      <c r="B46" s="93" t="s">
        <v>3396</v>
      </c>
      <c r="C46" s="94">
        <v>232.0</v>
      </c>
      <c r="D46" s="95">
        <f t="shared" si="5"/>
        <v>3866.666667</v>
      </c>
      <c r="E46" s="96" t="s">
        <v>3407</v>
      </c>
      <c r="F46" s="59"/>
      <c r="G46" s="59"/>
      <c r="H46" s="59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idden="1">
      <c r="A47" s="6" t="s">
        <v>42</v>
      </c>
      <c r="B47" s="93" t="s">
        <v>3397</v>
      </c>
      <c r="C47" s="94">
        <v>232.0</v>
      </c>
      <c r="D47" s="95">
        <f t="shared" si="5"/>
        <v>3866.666667</v>
      </c>
      <c r="E47" s="96" t="s">
        <v>3407</v>
      </c>
      <c r="F47" s="59"/>
      <c r="G47" s="59"/>
      <c r="H47" s="59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idden="1">
      <c r="A48" s="6" t="s">
        <v>42</v>
      </c>
      <c r="B48" s="93" t="s">
        <v>3398</v>
      </c>
      <c r="C48" s="94">
        <v>232.0</v>
      </c>
      <c r="D48" s="95">
        <f t="shared" si="5"/>
        <v>3866.666667</v>
      </c>
      <c r="E48" s="96" t="s">
        <v>3407</v>
      </c>
      <c r="F48" s="59"/>
      <c r="G48" s="59"/>
      <c r="H48" s="59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idden="1">
      <c r="A49" s="6" t="s">
        <v>42</v>
      </c>
      <c r="B49" s="93" t="s">
        <v>3399</v>
      </c>
      <c r="C49" s="94">
        <v>232.0</v>
      </c>
      <c r="D49" s="95">
        <f t="shared" si="5"/>
        <v>3866.666667</v>
      </c>
      <c r="E49" s="96" t="s">
        <v>3407</v>
      </c>
      <c r="F49" s="59"/>
      <c r="G49" s="59"/>
      <c r="H49" s="59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idden="1">
      <c r="A50" s="6" t="s">
        <v>42</v>
      </c>
      <c r="B50" s="93" t="s">
        <v>3400</v>
      </c>
      <c r="C50" s="94">
        <v>232.0</v>
      </c>
      <c r="D50" s="95">
        <f t="shared" si="5"/>
        <v>3866.666667</v>
      </c>
      <c r="E50" s="96" t="s">
        <v>3407</v>
      </c>
      <c r="F50" s="59"/>
      <c r="G50" s="59"/>
      <c r="H50" s="59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idden="1">
      <c r="A51" s="6" t="s">
        <v>42</v>
      </c>
      <c r="B51" s="93" t="s">
        <v>3401</v>
      </c>
      <c r="C51" s="94">
        <v>232.0</v>
      </c>
      <c r="D51" s="95">
        <f t="shared" si="5"/>
        <v>3866.666667</v>
      </c>
      <c r="E51" s="96" t="s">
        <v>3407</v>
      </c>
      <c r="F51" s="59"/>
      <c r="G51" s="59"/>
      <c r="H51" s="59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idden="1">
      <c r="A52" s="6" t="s">
        <v>42</v>
      </c>
      <c r="B52" s="93" t="s">
        <v>3402</v>
      </c>
      <c r="C52" s="94">
        <v>232.0</v>
      </c>
      <c r="D52" s="95">
        <f t="shared" si="5"/>
        <v>3866.666667</v>
      </c>
      <c r="E52" s="96" t="s">
        <v>3407</v>
      </c>
      <c r="F52" s="59"/>
      <c r="G52" s="59"/>
      <c r="H52" s="59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idden="1">
      <c r="A53" s="6" t="s">
        <v>42</v>
      </c>
      <c r="B53" s="93" t="s">
        <v>3403</v>
      </c>
      <c r="C53" s="94">
        <v>232.0</v>
      </c>
      <c r="D53" s="95">
        <f>C53*30</f>
        <v>6960</v>
      </c>
      <c r="E53" s="96" t="s">
        <v>3407</v>
      </c>
      <c r="F53" s="59"/>
      <c r="G53" s="59"/>
      <c r="H53" s="59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idden="1">
      <c r="A54" s="6" t="s">
        <v>44</v>
      </c>
      <c r="B54" s="93" t="s">
        <v>3394</v>
      </c>
      <c r="C54" s="94">
        <v>183.5</v>
      </c>
      <c r="D54" s="95">
        <f t="shared" ref="D54:D62" si="6">C54*150/9</f>
        <v>3058.333333</v>
      </c>
      <c r="E54" s="96" t="s">
        <v>3408</v>
      </c>
      <c r="F54" s="59"/>
      <c r="G54" s="59"/>
      <c r="H54" s="59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idden="1">
      <c r="A55" s="6" t="s">
        <v>44</v>
      </c>
      <c r="B55" s="93" t="s">
        <v>458</v>
      </c>
      <c r="C55" s="94">
        <v>183.5</v>
      </c>
      <c r="D55" s="95">
        <f t="shared" si="6"/>
        <v>3058.333333</v>
      </c>
      <c r="E55" s="96" t="s">
        <v>3408</v>
      </c>
      <c r="F55" s="59"/>
      <c r="G55" s="59"/>
      <c r="H55" s="59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idden="1">
      <c r="A56" s="6" t="s">
        <v>44</v>
      </c>
      <c r="B56" s="93" t="s">
        <v>3396</v>
      </c>
      <c r="C56" s="94">
        <v>183.5</v>
      </c>
      <c r="D56" s="95">
        <f t="shared" si="6"/>
        <v>3058.333333</v>
      </c>
      <c r="E56" s="96" t="s">
        <v>3408</v>
      </c>
      <c r="F56" s="59"/>
      <c r="G56" s="59"/>
      <c r="H56" s="59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idden="1">
      <c r="A57" s="6" t="s">
        <v>44</v>
      </c>
      <c r="B57" s="93" t="s">
        <v>3397</v>
      </c>
      <c r="C57" s="94">
        <v>183.5</v>
      </c>
      <c r="D57" s="95">
        <f t="shared" si="6"/>
        <v>3058.333333</v>
      </c>
      <c r="E57" s="96" t="s">
        <v>3408</v>
      </c>
      <c r="F57" s="59"/>
      <c r="G57" s="59"/>
      <c r="H57" s="59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idden="1">
      <c r="A58" s="6" t="s">
        <v>44</v>
      </c>
      <c r="B58" s="93" t="s">
        <v>3398</v>
      </c>
      <c r="C58" s="94">
        <v>183.5</v>
      </c>
      <c r="D58" s="95">
        <f t="shared" si="6"/>
        <v>3058.333333</v>
      </c>
      <c r="E58" s="96" t="s">
        <v>3408</v>
      </c>
      <c r="F58" s="59"/>
      <c r="G58" s="59"/>
      <c r="H58" s="59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idden="1">
      <c r="A59" s="6" t="s">
        <v>44</v>
      </c>
      <c r="B59" s="93" t="s">
        <v>3399</v>
      </c>
      <c r="C59" s="94">
        <v>183.5</v>
      </c>
      <c r="D59" s="95">
        <f t="shared" si="6"/>
        <v>3058.333333</v>
      </c>
      <c r="E59" s="96" t="s">
        <v>3408</v>
      </c>
      <c r="F59" s="59"/>
      <c r="G59" s="59"/>
      <c r="H59" s="59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idden="1">
      <c r="A60" s="6" t="s">
        <v>44</v>
      </c>
      <c r="B60" s="93" t="s">
        <v>3400</v>
      </c>
      <c r="C60" s="94">
        <v>183.5</v>
      </c>
      <c r="D60" s="95">
        <f t="shared" si="6"/>
        <v>3058.333333</v>
      </c>
      <c r="E60" s="96" t="s">
        <v>3408</v>
      </c>
      <c r="F60" s="59"/>
      <c r="G60" s="59"/>
      <c r="H60" s="59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idden="1">
      <c r="A61" s="6" t="s">
        <v>44</v>
      </c>
      <c r="B61" s="93" t="s">
        <v>3401</v>
      </c>
      <c r="C61" s="94">
        <v>183.5</v>
      </c>
      <c r="D61" s="95">
        <f t="shared" si="6"/>
        <v>3058.333333</v>
      </c>
      <c r="E61" s="96" t="s">
        <v>3408</v>
      </c>
      <c r="F61" s="59"/>
      <c r="G61" s="59"/>
      <c r="H61" s="59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idden="1">
      <c r="A62" s="6" t="s">
        <v>44</v>
      </c>
      <c r="B62" s="93" t="s">
        <v>3402</v>
      </c>
      <c r="C62" s="94">
        <v>183.5</v>
      </c>
      <c r="D62" s="95">
        <f t="shared" si="6"/>
        <v>3058.333333</v>
      </c>
      <c r="E62" s="96" t="s">
        <v>3408</v>
      </c>
      <c r="F62" s="59"/>
      <c r="G62" s="59"/>
      <c r="H62" s="59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idden="1">
      <c r="A63" s="6" t="s">
        <v>44</v>
      </c>
      <c r="B63" s="93" t="s">
        <v>3403</v>
      </c>
      <c r="C63" s="94">
        <v>183.5</v>
      </c>
      <c r="D63" s="95">
        <f>C63*30</f>
        <v>5505</v>
      </c>
      <c r="E63" s="96" t="s">
        <v>3408</v>
      </c>
      <c r="F63" s="59"/>
      <c r="G63" s="59"/>
      <c r="H63" s="59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idden="1">
      <c r="A64" s="6" t="s">
        <v>46</v>
      </c>
      <c r="B64" s="93" t="s">
        <v>3394</v>
      </c>
      <c r="C64" s="94">
        <v>197.5</v>
      </c>
      <c r="D64" s="95">
        <f t="shared" ref="D64:D72" si="7">C64*150/9</f>
        <v>3291.666667</v>
      </c>
      <c r="E64" s="96" t="s">
        <v>3409</v>
      </c>
      <c r="F64" s="59"/>
      <c r="G64" s="45"/>
      <c r="H64" s="45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idden="1">
      <c r="A65" s="6" t="s">
        <v>46</v>
      </c>
      <c r="B65" s="93" t="s">
        <v>458</v>
      </c>
      <c r="C65" s="94">
        <v>197.5</v>
      </c>
      <c r="D65" s="95">
        <f t="shared" si="7"/>
        <v>3291.666667</v>
      </c>
      <c r="E65" s="96" t="s">
        <v>3409</v>
      </c>
      <c r="F65" s="59"/>
      <c r="G65" s="45"/>
      <c r="H65" s="45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idden="1">
      <c r="A66" s="6" t="s">
        <v>46</v>
      </c>
      <c r="B66" s="93" t="s">
        <v>3396</v>
      </c>
      <c r="C66" s="94">
        <v>197.5</v>
      </c>
      <c r="D66" s="95">
        <f t="shared" si="7"/>
        <v>3291.666667</v>
      </c>
      <c r="E66" s="96" t="s">
        <v>3409</v>
      </c>
      <c r="F66" s="59"/>
      <c r="G66" s="45"/>
      <c r="H66" s="45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idden="1">
      <c r="A67" s="6" t="s">
        <v>46</v>
      </c>
      <c r="B67" s="93" t="s">
        <v>3397</v>
      </c>
      <c r="C67" s="94">
        <v>197.5</v>
      </c>
      <c r="D67" s="95">
        <f t="shared" si="7"/>
        <v>3291.666667</v>
      </c>
      <c r="E67" s="96" t="s">
        <v>3409</v>
      </c>
      <c r="F67" s="59"/>
      <c r="G67" s="45"/>
      <c r="H67" s="45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idden="1">
      <c r="A68" s="6" t="s">
        <v>46</v>
      </c>
      <c r="B68" s="93" t="s">
        <v>3398</v>
      </c>
      <c r="C68" s="94">
        <v>197.5</v>
      </c>
      <c r="D68" s="95">
        <f t="shared" si="7"/>
        <v>3291.666667</v>
      </c>
      <c r="E68" s="96" t="s">
        <v>3409</v>
      </c>
      <c r="F68" s="59"/>
      <c r="G68" s="45"/>
      <c r="H68" s="45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idden="1">
      <c r="A69" s="6" t="s">
        <v>46</v>
      </c>
      <c r="B69" s="93" t="s">
        <v>3399</v>
      </c>
      <c r="C69" s="94">
        <v>197.5</v>
      </c>
      <c r="D69" s="95">
        <f t="shared" si="7"/>
        <v>3291.666667</v>
      </c>
      <c r="E69" s="96" t="s">
        <v>3409</v>
      </c>
      <c r="F69" s="59"/>
      <c r="G69" s="45"/>
      <c r="H69" s="45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idden="1">
      <c r="A70" s="6" t="s">
        <v>46</v>
      </c>
      <c r="B70" s="93" t="s">
        <v>3400</v>
      </c>
      <c r="C70" s="94">
        <v>197.5</v>
      </c>
      <c r="D70" s="95">
        <f t="shared" si="7"/>
        <v>3291.666667</v>
      </c>
      <c r="E70" s="96" t="s">
        <v>3409</v>
      </c>
      <c r="F70" s="59"/>
      <c r="G70" s="45"/>
      <c r="H70" s="45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idden="1">
      <c r="A71" s="6" t="s">
        <v>46</v>
      </c>
      <c r="B71" s="93" t="s">
        <v>3401</v>
      </c>
      <c r="C71" s="94">
        <v>197.5</v>
      </c>
      <c r="D71" s="95">
        <f t="shared" si="7"/>
        <v>3291.666667</v>
      </c>
      <c r="E71" s="96" t="s">
        <v>3409</v>
      </c>
      <c r="F71" s="59"/>
      <c r="G71" s="45"/>
      <c r="H71" s="45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idden="1">
      <c r="A72" s="6" t="s">
        <v>46</v>
      </c>
      <c r="B72" s="93" t="s">
        <v>3402</v>
      </c>
      <c r="C72" s="94">
        <v>197.5</v>
      </c>
      <c r="D72" s="95">
        <f t="shared" si="7"/>
        <v>3291.666667</v>
      </c>
      <c r="E72" s="96" t="s">
        <v>3409</v>
      </c>
      <c r="F72" s="59"/>
      <c r="G72" s="45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idden="1">
      <c r="A73" s="6" t="s">
        <v>46</v>
      </c>
      <c r="B73" s="93" t="s">
        <v>3403</v>
      </c>
      <c r="C73" s="94">
        <v>197.5</v>
      </c>
      <c r="D73" s="95">
        <f>C73*30</f>
        <v>5925</v>
      </c>
      <c r="E73" s="96" t="s">
        <v>3409</v>
      </c>
      <c r="F73" s="59"/>
      <c r="G73" s="59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idden="1">
      <c r="A74" s="6" t="s">
        <v>50</v>
      </c>
      <c r="B74" s="93" t="s">
        <v>3410</v>
      </c>
      <c r="C74" s="94"/>
      <c r="D74" s="95">
        <f>C74*150/10</f>
        <v>0</v>
      </c>
      <c r="E74" s="96" t="s">
        <v>3411</v>
      </c>
      <c r="F74" s="59"/>
      <c r="G74" s="59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idden="1">
      <c r="A75" s="6" t="s">
        <v>50</v>
      </c>
      <c r="B75" s="93" t="s">
        <v>3394</v>
      </c>
      <c r="C75" s="94">
        <v>203.5</v>
      </c>
      <c r="D75" s="95">
        <f t="shared" ref="D75:D83" si="8">C75*150/9</f>
        <v>3391.666667</v>
      </c>
      <c r="E75" s="96" t="s">
        <v>3411</v>
      </c>
      <c r="F75" s="59"/>
      <c r="G75" s="59">
        <v>3052.5</v>
      </c>
      <c r="H75" s="59">
        <f t="shared" ref="H75:H83" si="9">D75-G75</f>
        <v>339.1666667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idden="1">
      <c r="A76" s="6" t="s">
        <v>50</v>
      </c>
      <c r="B76" s="93" t="s">
        <v>458</v>
      </c>
      <c r="C76" s="94">
        <v>203.5</v>
      </c>
      <c r="D76" s="95">
        <f t="shared" si="8"/>
        <v>3391.666667</v>
      </c>
      <c r="E76" s="96" t="s">
        <v>3411</v>
      </c>
      <c r="F76" s="59"/>
      <c r="G76" s="59">
        <v>3052.5</v>
      </c>
      <c r="H76" s="59">
        <f t="shared" si="9"/>
        <v>339.1666667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idden="1">
      <c r="A77" s="6" t="s">
        <v>50</v>
      </c>
      <c r="B77" s="93" t="s">
        <v>3396</v>
      </c>
      <c r="C77" s="94">
        <v>203.5</v>
      </c>
      <c r="D77" s="95">
        <f t="shared" si="8"/>
        <v>3391.666667</v>
      </c>
      <c r="E77" s="96" t="s">
        <v>3411</v>
      </c>
      <c r="F77" s="59"/>
      <c r="G77" s="59">
        <v>3052.5</v>
      </c>
      <c r="H77" s="59">
        <f t="shared" si="9"/>
        <v>339.1666667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idden="1">
      <c r="A78" s="6" t="s">
        <v>50</v>
      </c>
      <c r="B78" s="93" t="s">
        <v>3397</v>
      </c>
      <c r="C78" s="94">
        <v>203.5</v>
      </c>
      <c r="D78" s="95">
        <f t="shared" si="8"/>
        <v>3391.666667</v>
      </c>
      <c r="E78" s="96" t="s">
        <v>3411</v>
      </c>
      <c r="F78" s="59"/>
      <c r="G78" s="59">
        <v>3052.5</v>
      </c>
      <c r="H78" s="59">
        <f t="shared" si="9"/>
        <v>339.1666667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idden="1">
      <c r="A79" s="6" t="s">
        <v>50</v>
      </c>
      <c r="B79" s="93" t="s">
        <v>3398</v>
      </c>
      <c r="C79" s="94">
        <v>203.5</v>
      </c>
      <c r="D79" s="95">
        <f t="shared" si="8"/>
        <v>3391.666667</v>
      </c>
      <c r="E79" s="96" t="s">
        <v>3411</v>
      </c>
      <c r="F79" s="59"/>
      <c r="G79" s="59">
        <v>3052.5</v>
      </c>
      <c r="H79" s="59">
        <f t="shared" si="9"/>
        <v>339.1666667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idden="1">
      <c r="A80" s="6" t="s">
        <v>50</v>
      </c>
      <c r="B80" s="93" t="s">
        <v>3399</v>
      </c>
      <c r="C80" s="94">
        <v>203.5</v>
      </c>
      <c r="D80" s="95">
        <f t="shared" si="8"/>
        <v>3391.666667</v>
      </c>
      <c r="E80" s="96" t="s">
        <v>3411</v>
      </c>
      <c r="F80" s="59"/>
      <c r="G80" s="59">
        <v>3052.5</v>
      </c>
      <c r="H80" s="59">
        <f t="shared" si="9"/>
        <v>339.1666667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idden="1">
      <c r="A81" s="6" t="s">
        <v>50</v>
      </c>
      <c r="B81" s="93" t="s">
        <v>3400</v>
      </c>
      <c r="C81" s="94">
        <v>203.5</v>
      </c>
      <c r="D81" s="95">
        <f t="shared" si="8"/>
        <v>3391.666667</v>
      </c>
      <c r="E81" s="96" t="s">
        <v>3411</v>
      </c>
      <c r="F81" s="59"/>
      <c r="G81" s="59">
        <v>3052.5</v>
      </c>
      <c r="H81" s="59">
        <f t="shared" si="9"/>
        <v>339.1666667</v>
      </c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idden="1">
      <c r="A82" s="6" t="s">
        <v>50</v>
      </c>
      <c r="B82" s="93" t="s">
        <v>3401</v>
      </c>
      <c r="C82" s="94">
        <v>203.5</v>
      </c>
      <c r="D82" s="95">
        <f t="shared" si="8"/>
        <v>3391.666667</v>
      </c>
      <c r="E82" s="96" t="s">
        <v>3411</v>
      </c>
      <c r="F82" s="59"/>
      <c r="G82" s="59">
        <v>3052.5</v>
      </c>
      <c r="H82" s="59">
        <f t="shared" si="9"/>
        <v>339.1666667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idden="1">
      <c r="A83" s="6" t="s">
        <v>50</v>
      </c>
      <c r="B83" s="93" t="s">
        <v>3402</v>
      </c>
      <c r="C83" s="94">
        <v>203.5</v>
      </c>
      <c r="D83" s="95">
        <f t="shared" si="8"/>
        <v>3391.666667</v>
      </c>
      <c r="E83" s="96" t="s">
        <v>3411</v>
      </c>
      <c r="F83" s="59"/>
      <c r="G83" s="59">
        <v>3052.5</v>
      </c>
      <c r="H83" s="59">
        <f t="shared" si="9"/>
        <v>339.1666667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idden="1">
      <c r="A84" s="6" t="s">
        <v>50</v>
      </c>
      <c r="B84" s="93" t="s">
        <v>3403</v>
      </c>
      <c r="C84" s="94">
        <v>203.5</v>
      </c>
      <c r="D84" s="95">
        <f>C84*30</f>
        <v>6105</v>
      </c>
      <c r="E84" s="96" t="s">
        <v>3411</v>
      </c>
      <c r="F84" s="59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idden="1">
      <c r="A85" s="6" t="s">
        <v>52</v>
      </c>
      <c r="B85" s="93" t="s">
        <v>3410</v>
      </c>
      <c r="C85" s="94">
        <v>197.5</v>
      </c>
      <c r="D85" s="95">
        <f t="shared" ref="D85:D94" si="10">C85*150/10</f>
        <v>2962.5</v>
      </c>
      <c r="E85" s="96" t="s">
        <v>3409</v>
      </c>
      <c r="F85" s="59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idden="1">
      <c r="A86" s="6" t="s">
        <v>52</v>
      </c>
      <c r="B86" s="93" t="s">
        <v>3394</v>
      </c>
      <c r="C86" s="94">
        <v>197.5</v>
      </c>
      <c r="D86" s="95">
        <f t="shared" si="10"/>
        <v>2962.5</v>
      </c>
      <c r="E86" s="96" t="s">
        <v>3409</v>
      </c>
      <c r="F86" s="59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idden="1">
      <c r="A87" s="6" t="s">
        <v>52</v>
      </c>
      <c r="B87" s="93" t="s">
        <v>458</v>
      </c>
      <c r="C87" s="94">
        <v>197.5</v>
      </c>
      <c r="D87" s="95">
        <f t="shared" si="10"/>
        <v>2962.5</v>
      </c>
      <c r="E87" s="96" t="s">
        <v>3409</v>
      </c>
      <c r="F87" s="59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idden="1">
      <c r="A88" s="6" t="s">
        <v>52</v>
      </c>
      <c r="B88" s="93" t="s">
        <v>3396</v>
      </c>
      <c r="C88" s="94">
        <v>197.5</v>
      </c>
      <c r="D88" s="95">
        <f t="shared" si="10"/>
        <v>2962.5</v>
      </c>
      <c r="E88" s="96" t="s">
        <v>3409</v>
      </c>
      <c r="F88" s="59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idden="1">
      <c r="A89" s="6" t="s">
        <v>52</v>
      </c>
      <c r="B89" s="93" t="s">
        <v>3397</v>
      </c>
      <c r="C89" s="94">
        <v>197.5</v>
      </c>
      <c r="D89" s="95">
        <f t="shared" si="10"/>
        <v>2962.5</v>
      </c>
      <c r="E89" s="96" t="s">
        <v>3409</v>
      </c>
      <c r="F89" s="59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idden="1">
      <c r="A90" s="6" t="s">
        <v>52</v>
      </c>
      <c r="B90" s="93" t="s">
        <v>3398</v>
      </c>
      <c r="C90" s="94">
        <v>197.5</v>
      </c>
      <c r="D90" s="95">
        <f t="shared" si="10"/>
        <v>2962.5</v>
      </c>
      <c r="E90" s="96" t="s">
        <v>3409</v>
      </c>
      <c r="F90" s="59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idden="1">
      <c r="A91" s="6" t="s">
        <v>52</v>
      </c>
      <c r="B91" s="93" t="s">
        <v>3399</v>
      </c>
      <c r="C91" s="94">
        <v>197.5</v>
      </c>
      <c r="D91" s="95">
        <f t="shared" si="10"/>
        <v>2962.5</v>
      </c>
      <c r="E91" s="96" t="s">
        <v>3409</v>
      </c>
      <c r="F91" s="59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idden="1">
      <c r="A92" s="6" t="s">
        <v>52</v>
      </c>
      <c r="B92" s="93" t="s">
        <v>3400</v>
      </c>
      <c r="C92" s="94">
        <v>197.5</v>
      </c>
      <c r="D92" s="95">
        <f t="shared" si="10"/>
        <v>2962.5</v>
      </c>
      <c r="E92" s="96" t="s">
        <v>3409</v>
      </c>
      <c r="F92" s="59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idden="1">
      <c r="A93" s="6" t="s">
        <v>52</v>
      </c>
      <c r="B93" s="93" t="s">
        <v>3401</v>
      </c>
      <c r="C93" s="94">
        <v>197.5</v>
      </c>
      <c r="D93" s="95">
        <f t="shared" si="10"/>
        <v>2962.5</v>
      </c>
      <c r="E93" s="96" t="s">
        <v>3409</v>
      </c>
      <c r="F93" s="59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idden="1">
      <c r="A94" s="6" t="s">
        <v>52</v>
      </c>
      <c r="B94" s="93" t="s">
        <v>3402</v>
      </c>
      <c r="C94" s="94">
        <v>197.5</v>
      </c>
      <c r="D94" s="95">
        <f t="shared" si="10"/>
        <v>2962.5</v>
      </c>
      <c r="E94" s="96" t="s">
        <v>3409</v>
      </c>
      <c r="F94" s="59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idden="1">
      <c r="A95" s="6" t="s">
        <v>52</v>
      </c>
      <c r="B95" s="93" t="s">
        <v>3403</v>
      </c>
      <c r="C95" s="94">
        <v>197.5</v>
      </c>
      <c r="D95" s="95">
        <f>C95*30</f>
        <v>5925</v>
      </c>
      <c r="E95" s="96" t="s">
        <v>3409</v>
      </c>
      <c r="F95" s="59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idden="1">
      <c r="A96" s="6" t="s">
        <v>55</v>
      </c>
      <c r="B96" s="93" t="s">
        <v>3394</v>
      </c>
      <c r="C96" s="94">
        <v>185.5</v>
      </c>
      <c r="D96" s="95">
        <f t="shared" ref="D96:D104" si="11">C96*150/9</f>
        <v>3091.666667</v>
      </c>
      <c r="E96" s="96" t="s">
        <v>3412</v>
      </c>
      <c r="F96" s="59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idden="1">
      <c r="A97" s="6" t="s">
        <v>55</v>
      </c>
      <c r="B97" s="93" t="s">
        <v>458</v>
      </c>
      <c r="C97" s="94">
        <v>185.5</v>
      </c>
      <c r="D97" s="95">
        <f t="shared" si="11"/>
        <v>3091.666667</v>
      </c>
      <c r="E97" s="96" t="s">
        <v>3412</v>
      </c>
      <c r="F97" s="59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idden="1">
      <c r="A98" s="6" t="s">
        <v>55</v>
      </c>
      <c r="B98" s="93" t="s">
        <v>3396</v>
      </c>
      <c r="C98" s="94">
        <v>185.5</v>
      </c>
      <c r="D98" s="95">
        <f t="shared" si="11"/>
        <v>3091.666667</v>
      </c>
      <c r="E98" s="96" t="s">
        <v>3412</v>
      </c>
      <c r="F98" s="59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idden="1">
      <c r="A99" s="6" t="s">
        <v>55</v>
      </c>
      <c r="B99" s="93" t="s">
        <v>3397</v>
      </c>
      <c r="C99" s="94">
        <v>185.5</v>
      </c>
      <c r="D99" s="95">
        <f t="shared" si="11"/>
        <v>3091.666667</v>
      </c>
      <c r="E99" s="96" t="s">
        <v>3412</v>
      </c>
      <c r="F99" s="59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idden="1">
      <c r="A100" s="6" t="s">
        <v>55</v>
      </c>
      <c r="B100" s="93" t="s">
        <v>3398</v>
      </c>
      <c r="C100" s="94">
        <v>185.5</v>
      </c>
      <c r="D100" s="95">
        <f t="shared" si="11"/>
        <v>3091.666667</v>
      </c>
      <c r="E100" s="96" t="s">
        <v>3412</v>
      </c>
      <c r="F100" s="59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idden="1">
      <c r="A101" s="6" t="s">
        <v>55</v>
      </c>
      <c r="B101" s="93" t="s">
        <v>3399</v>
      </c>
      <c r="C101" s="94">
        <v>185.5</v>
      </c>
      <c r="D101" s="95">
        <f t="shared" si="11"/>
        <v>3091.666667</v>
      </c>
      <c r="E101" s="96" t="s">
        <v>3412</v>
      </c>
      <c r="F101" s="59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idden="1">
      <c r="A102" s="6" t="s">
        <v>55</v>
      </c>
      <c r="B102" s="93" t="s">
        <v>3400</v>
      </c>
      <c r="C102" s="94">
        <v>185.5</v>
      </c>
      <c r="D102" s="95">
        <f t="shared" si="11"/>
        <v>3091.666667</v>
      </c>
      <c r="E102" s="96" t="s">
        <v>3412</v>
      </c>
      <c r="F102" s="59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idden="1">
      <c r="A103" s="6" t="s">
        <v>55</v>
      </c>
      <c r="B103" s="93" t="s">
        <v>3401</v>
      </c>
      <c r="C103" s="94">
        <v>185.5</v>
      </c>
      <c r="D103" s="95">
        <f t="shared" si="11"/>
        <v>3091.666667</v>
      </c>
      <c r="E103" s="96" t="s">
        <v>3412</v>
      </c>
      <c r="F103" s="59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idden="1">
      <c r="A104" s="6" t="s">
        <v>55</v>
      </c>
      <c r="B104" s="93" t="s">
        <v>3402</v>
      </c>
      <c r="C104" s="94">
        <v>185.5</v>
      </c>
      <c r="D104" s="95">
        <f t="shared" si="11"/>
        <v>3091.666667</v>
      </c>
      <c r="E104" s="96" t="s">
        <v>3412</v>
      </c>
      <c r="F104" s="59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idden="1">
      <c r="A105" s="6" t="s">
        <v>55</v>
      </c>
      <c r="B105" s="93" t="s">
        <v>3403</v>
      </c>
      <c r="C105" s="94">
        <v>185.5</v>
      </c>
      <c r="D105" s="95">
        <f>C105*30</f>
        <v>5565</v>
      </c>
      <c r="E105" s="96" t="s">
        <v>3412</v>
      </c>
      <c r="F105" s="59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idden="1">
      <c r="A106" s="6" t="s">
        <v>57</v>
      </c>
      <c r="B106" s="93" t="s">
        <v>3394</v>
      </c>
      <c r="C106" s="94">
        <v>160.0</v>
      </c>
      <c r="D106" s="95">
        <f t="shared" ref="D106:D114" si="12">C106*150/9</f>
        <v>2666.666667</v>
      </c>
      <c r="E106" s="96" t="s">
        <v>3413</v>
      </c>
      <c r="F106" s="59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idden="1">
      <c r="A107" s="6" t="s">
        <v>57</v>
      </c>
      <c r="B107" s="93" t="s">
        <v>458</v>
      </c>
      <c r="C107" s="94">
        <v>160.0</v>
      </c>
      <c r="D107" s="95">
        <f t="shared" si="12"/>
        <v>2666.666667</v>
      </c>
      <c r="E107" s="96" t="s">
        <v>3413</v>
      </c>
      <c r="F107" s="59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idden="1">
      <c r="A108" s="6" t="s">
        <v>57</v>
      </c>
      <c r="B108" s="93" t="s">
        <v>3396</v>
      </c>
      <c r="C108" s="94">
        <v>160.0</v>
      </c>
      <c r="D108" s="95">
        <f t="shared" si="12"/>
        <v>2666.666667</v>
      </c>
      <c r="E108" s="96" t="s">
        <v>3413</v>
      </c>
      <c r="F108" s="59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idden="1">
      <c r="A109" s="6" t="s">
        <v>57</v>
      </c>
      <c r="B109" s="93" t="s">
        <v>3397</v>
      </c>
      <c r="C109" s="94">
        <v>160.0</v>
      </c>
      <c r="D109" s="95">
        <f t="shared" si="12"/>
        <v>2666.666667</v>
      </c>
      <c r="E109" s="96" t="s">
        <v>3413</v>
      </c>
      <c r="F109" s="59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idden="1">
      <c r="A110" s="6" t="s">
        <v>57</v>
      </c>
      <c r="B110" s="93" t="s">
        <v>3398</v>
      </c>
      <c r="C110" s="94">
        <v>160.0</v>
      </c>
      <c r="D110" s="95">
        <f t="shared" si="12"/>
        <v>2666.666667</v>
      </c>
      <c r="E110" s="96" t="s">
        <v>3413</v>
      </c>
      <c r="F110" s="59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idden="1">
      <c r="A111" s="6" t="s">
        <v>57</v>
      </c>
      <c r="B111" s="93" t="s">
        <v>3399</v>
      </c>
      <c r="C111" s="94">
        <v>160.0</v>
      </c>
      <c r="D111" s="95">
        <f t="shared" si="12"/>
        <v>2666.666667</v>
      </c>
      <c r="E111" s="96" t="s">
        <v>3413</v>
      </c>
      <c r="F111" s="59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idden="1">
      <c r="A112" s="6" t="s">
        <v>57</v>
      </c>
      <c r="B112" s="93" t="s">
        <v>3400</v>
      </c>
      <c r="C112" s="94">
        <v>160.0</v>
      </c>
      <c r="D112" s="95">
        <f t="shared" si="12"/>
        <v>2666.666667</v>
      </c>
      <c r="E112" s="96" t="s">
        <v>3413</v>
      </c>
      <c r="F112" s="59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idden="1">
      <c r="A113" s="6" t="s">
        <v>57</v>
      </c>
      <c r="B113" s="93" t="s">
        <v>3401</v>
      </c>
      <c r="C113" s="94">
        <v>160.0</v>
      </c>
      <c r="D113" s="95">
        <f t="shared" si="12"/>
        <v>2666.666667</v>
      </c>
      <c r="E113" s="96" t="s">
        <v>3413</v>
      </c>
      <c r="F113" s="59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idden="1">
      <c r="A114" s="6" t="s">
        <v>57</v>
      </c>
      <c r="B114" s="93" t="s">
        <v>3402</v>
      </c>
      <c r="C114" s="94">
        <v>160.0</v>
      </c>
      <c r="D114" s="95">
        <f t="shared" si="12"/>
        <v>2666.666667</v>
      </c>
      <c r="E114" s="96" t="s">
        <v>3413</v>
      </c>
      <c r="F114" s="59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idden="1">
      <c r="A115" s="6" t="s">
        <v>57</v>
      </c>
      <c r="B115" s="93" t="s">
        <v>3403</v>
      </c>
      <c r="C115" s="94">
        <v>160.0</v>
      </c>
      <c r="D115" s="95">
        <f>C115*30</f>
        <v>4800</v>
      </c>
      <c r="E115" s="96" t="s">
        <v>3413</v>
      </c>
      <c r="F115" s="59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idden="1">
      <c r="A116" s="6" t="s">
        <v>59</v>
      </c>
      <c r="B116" s="93" t="s">
        <v>3394</v>
      </c>
      <c r="C116" s="94">
        <v>200.5</v>
      </c>
      <c r="D116" s="95">
        <f t="shared" ref="D116:D124" si="13">C116*150/9</f>
        <v>3341.666667</v>
      </c>
      <c r="E116" s="96" t="s">
        <v>3414</v>
      </c>
      <c r="F116" s="59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idden="1">
      <c r="A117" s="6" t="s">
        <v>59</v>
      </c>
      <c r="B117" s="93" t="s">
        <v>458</v>
      </c>
      <c r="C117" s="94">
        <v>200.5</v>
      </c>
      <c r="D117" s="95">
        <f t="shared" si="13"/>
        <v>3341.666667</v>
      </c>
      <c r="E117" s="96" t="s">
        <v>3414</v>
      </c>
      <c r="F117" s="59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idden="1">
      <c r="A118" s="6" t="s">
        <v>59</v>
      </c>
      <c r="B118" s="93" t="s">
        <v>3396</v>
      </c>
      <c r="C118" s="94">
        <v>200.5</v>
      </c>
      <c r="D118" s="95">
        <f t="shared" si="13"/>
        <v>3341.666667</v>
      </c>
      <c r="E118" s="96" t="s">
        <v>3414</v>
      </c>
      <c r="F118" s="59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idden="1">
      <c r="A119" s="6" t="s">
        <v>59</v>
      </c>
      <c r="B119" s="93" t="s">
        <v>3397</v>
      </c>
      <c r="C119" s="94">
        <v>200.5</v>
      </c>
      <c r="D119" s="95">
        <f t="shared" si="13"/>
        <v>3341.666667</v>
      </c>
      <c r="E119" s="96" t="s">
        <v>3414</v>
      </c>
      <c r="F119" s="59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idden="1">
      <c r="A120" s="6" t="s">
        <v>59</v>
      </c>
      <c r="B120" s="93" t="s">
        <v>3398</v>
      </c>
      <c r="C120" s="94">
        <v>200.5</v>
      </c>
      <c r="D120" s="95">
        <f t="shared" si="13"/>
        <v>3341.666667</v>
      </c>
      <c r="E120" s="96" t="s">
        <v>3414</v>
      </c>
      <c r="F120" s="59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idden="1">
      <c r="A121" s="6" t="s">
        <v>59</v>
      </c>
      <c r="B121" s="93" t="s">
        <v>3399</v>
      </c>
      <c r="C121" s="94">
        <v>200.5</v>
      </c>
      <c r="D121" s="95">
        <f t="shared" si="13"/>
        <v>3341.666667</v>
      </c>
      <c r="E121" s="96" t="s">
        <v>3414</v>
      </c>
      <c r="F121" s="59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idden="1">
      <c r="A122" s="6" t="s">
        <v>59</v>
      </c>
      <c r="B122" s="93" t="s">
        <v>3400</v>
      </c>
      <c r="C122" s="94">
        <v>200.5</v>
      </c>
      <c r="D122" s="95">
        <f t="shared" si="13"/>
        <v>3341.666667</v>
      </c>
      <c r="E122" s="96" t="s">
        <v>3414</v>
      </c>
      <c r="F122" s="59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idden="1">
      <c r="A123" s="6" t="s">
        <v>59</v>
      </c>
      <c r="B123" s="93" t="s">
        <v>3401</v>
      </c>
      <c r="C123" s="94">
        <v>200.5</v>
      </c>
      <c r="D123" s="95">
        <f t="shared" si="13"/>
        <v>3341.666667</v>
      </c>
      <c r="E123" s="96" t="s">
        <v>3414</v>
      </c>
      <c r="F123" s="59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idden="1">
      <c r="A124" s="6" t="s">
        <v>59</v>
      </c>
      <c r="B124" s="93" t="s">
        <v>3402</v>
      </c>
      <c r="C124" s="94">
        <v>200.5</v>
      </c>
      <c r="D124" s="95">
        <f t="shared" si="13"/>
        <v>3341.666667</v>
      </c>
      <c r="E124" s="96" t="s">
        <v>3414</v>
      </c>
      <c r="F124" s="59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idden="1">
      <c r="A125" s="6" t="s">
        <v>59</v>
      </c>
      <c r="B125" s="93" t="s">
        <v>3403</v>
      </c>
      <c r="C125" s="94">
        <v>200.5</v>
      </c>
      <c r="D125" s="95">
        <f>C125*30</f>
        <v>6015</v>
      </c>
      <c r="E125" s="96" t="s">
        <v>3414</v>
      </c>
      <c r="F125" s="59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idden="1">
      <c r="A126" s="6" t="s">
        <v>62</v>
      </c>
      <c r="B126" s="93" t="s">
        <v>3394</v>
      </c>
      <c r="C126" s="94">
        <v>92.0</v>
      </c>
      <c r="D126" s="95">
        <f t="shared" ref="D126:D134" si="14">C126*150/9</f>
        <v>1533.333333</v>
      </c>
      <c r="E126" s="96" t="s">
        <v>3415</v>
      </c>
      <c r="F126" s="59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idden="1">
      <c r="A127" s="6" t="s">
        <v>62</v>
      </c>
      <c r="B127" s="93" t="s">
        <v>458</v>
      </c>
      <c r="C127" s="94">
        <v>92.0</v>
      </c>
      <c r="D127" s="95">
        <f t="shared" si="14"/>
        <v>1533.333333</v>
      </c>
      <c r="E127" s="96" t="s">
        <v>3415</v>
      </c>
      <c r="F127" s="59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idden="1">
      <c r="A128" s="6" t="s">
        <v>62</v>
      </c>
      <c r="B128" s="93" t="s">
        <v>3396</v>
      </c>
      <c r="C128" s="94">
        <v>92.0</v>
      </c>
      <c r="D128" s="95">
        <f t="shared" si="14"/>
        <v>1533.333333</v>
      </c>
      <c r="E128" s="96" t="s">
        <v>3415</v>
      </c>
      <c r="F128" s="59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idden="1">
      <c r="A129" s="6" t="s">
        <v>62</v>
      </c>
      <c r="B129" s="93" t="s">
        <v>3397</v>
      </c>
      <c r="C129" s="94">
        <v>92.0</v>
      </c>
      <c r="D129" s="95">
        <f t="shared" si="14"/>
        <v>1533.333333</v>
      </c>
      <c r="E129" s="96" t="s">
        <v>3415</v>
      </c>
      <c r="F129" s="59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idden="1">
      <c r="A130" s="6" t="s">
        <v>62</v>
      </c>
      <c r="B130" s="93" t="s">
        <v>3398</v>
      </c>
      <c r="C130" s="94">
        <v>92.0</v>
      </c>
      <c r="D130" s="95">
        <f t="shared" si="14"/>
        <v>1533.333333</v>
      </c>
      <c r="E130" s="96" t="s">
        <v>3415</v>
      </c>
      <c r="F130" s="59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idden="1">
      <c r="A131" s="6" t="s">
        <v>62</v>
      </c>
      <c r="B131" s="93" t="s">
        <v>3399</v>
      </c>
      <c r="C131" s="94">
        <v>92.0</v>
      </c>
      <c r="D131" s="95">
        <f t="shared" si="14"/>
        <v>1533.333333</v>
      </c>
      <c r="E131" s="96" t="s">
        <v>3415</v>
      </c>
      <c r="F131" s="59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idden="1">
      <c r="A132" s="6" t="s">
        <v>62</v>
      </c>
      <c r="B132" s="93" t="s">
        <v>3400</v>
      </c>
      <c r="C132" s="94">
        <v>92.0</v>
      </c>
      <c r="D132" s="95">
        <f t="shared" si="14"/>
        <v>1533.333333</v>
      </c>
      <c r="E132" s="96" t="s">
        <v>3415</v>
      </c>
      <c r="F132" s="59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idden="1">
      <c r="A133" s="6" t="s">
        <v>62</v>
      </c>
      <c r="B133" s="93" t="s">
        <v>3401</v>
      </c>
      <c r="C133" s="94">
        <v>92.0</v>
      </c>
      <c r="D133" s="95">
        <f t="shared" si="14"/>
        <v>1533.333333</v>
      </c>
      <c r="E133" s="96" t="s">
        <v>3415</v>
      </c>
      <c r="F133" s="59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idden="1">
      <c r="A134" s="6" t="s">
        <v>62</v>
      </c>
      <c r="B134" s="93" t="s">
        <v>3402</v>
      </c>
      <c r="C134" s="94">
        <v>92.0</v>
      </c>
      <c r="D134" s="95">
        <f t="shared" si="14"/>
        <v>1533.333333</v>
      </c>
      <c r="E134" s="96" t="s">
        <v>3415</v>
      </c>
      <c r="F134" s="59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idden="1">
      <c r="A135" s="6" t="s">
        <v>62</v>
      </c>
      <c r="B135" s="93" t="s">
        <v>3403</v>
      </c>
      <c r="C135" s="94">
        <v>92.0</v>
      </c>
      <c r="D135" s="95">
        <f>C135*30</f>
        <v>2760</v>
      </c>
      <c r="E135" s="96" t="s">
        <v>3415</v>
      </c>
      <c r="F135" s="59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idden="1">
      <c r="A136" s="6" t="s">
        <v>63</v>
      </c>
      <c r="B136" s="93" t="s">
        <v>3394</v>
      </c>
      <c r="C136" s="94">
        <v>47.5</v>
      </c>
      <c r="D136" s="95">
        <f t="shared" ref="D136:D144" si="15">C136*150/9</f>
        <v>791.6666667</v>
      </c>
      <c r="E136" s="97" t="s">
        <v>3416</v>
      </c>
      <c r="F136" s="59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idden="1">
      <c r="A137" s="6" t="s">
        <v>63</v>
      </c>
      <c r="B137" s="93" t="s">
        <v>458</v>
      </c>
      <c r="C137" s="94">
        <v>47.5</v>
      </c>
      <c r="D137" s="95">
        <f t="shared" si="15"/>
        <v>791.6666667</v>
      </c>
      <c r="E137" s="97" t="s">
        <v>3416</v>
      </c>
      <c r="F137" s="59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idden="1">
      <c r="A138" s="6" t="s">
        <v>63</v>
      </c>
      <c r="B138" s="93" t="s">
        <v>3396</v>
      </c>
      <c r="C138" s="94">
        <v>47.5</v>
      </c>
      <c r="D138" s="95">
        <f t="shared" si="15"/>
        <v>791.6666667</v>
      </c>
      <c r="E138" s="97" t="s">
        <v>3416</v>
      </c>
      <c r="F138" s="59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idden="1">
      <c r="A139" s="6" t="s">
        <v>63</v>
      </c>
      <c r="B139" s="93" t="s">
        <v>3397</v>
      </c>
      <c r="C139" s="94">
        <v>47.5</v>
      </c>
      <c r="D139" s="95">
        <f t="shared" si="15"/>
        <v>791.6666667</v>
      </c>
      <c r="E139" s="97" t="s">
        <v>3416</v>
      </c>
      <c r="F139" s="59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idden="1">
      <c r="A140" s="6" t="s">
        <v>63</v>
      </c>
      <c r="B140" s="93" t="s">
        <v>3398</v>
      </c>
      <c r="C140" s="94">
        <v>47.5</v>
      </c>
      <c r="D140" s="95">
        <f t="shared" si="15"/>
        <v>791.6666667</v>
      </c>
      <c r="E140" s="97" t="s">
        <v>3416</v>
      </c>
      <c r="F140" s="59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idden="1">
      <c r="A141" s="6" t="s">
        <v>63</v>
      </c>
      <c r="B141" s="93" t="s">
        <v>3399</v>
      </c>
      <c r="C141" s="94">
        <v>47.5</v>
      </c>
      <c r="D141" s="95">
        <f t="shared" si="15"/>
        <v>791.6666667</v>
      </c>
      <c r="E141" s="97" t="s">
        <v>3416</v>
      </c>
      <c r="F141" s="59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idden="1">
      <c r="A142" s="6" t="s">
        <v>63</v>
      </c>
      <c r="B142" s="93" t="s">
        <v>3400</v>
      </c>
      <c r="C142" s="94">
        <v>47.5</v>
      </c>
      <c r="D142" s="95">
        <f t="shared" si="15"/>
        <v>791.6666667</v>
      </c>
      <c r="E142" s="97" t="s">
        <v>3416</v>
      </c>
      <c r="F142" s="59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idden="1">
      <c r="A143" s="6" t="s">
        <v>63</v>
      </c>
      <c r="B143" s="93" t="s">
        <v>3401</v>
      </c>
      <c r="C143" s="94">
        <v>47.5</v>
      </c>
      <c r="D143" s="95">
        <f t="shared" si="15"/>
        <v>791.6666667</v>
      </c>
      <c r="E143" s="97" t="s">
        <v>3416</v>
      </c>
      <c r="F143" s="59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idden="1">
      <c r="A144" s="6" t="s">
        <v>63</v>
      </c>
      <c r="B144" s="93" t="s">
        <v>3402</v>
      </c>
      <c r="C144" s="94">
        <v>47.5</v>
      </c>
      <c r="D144" s="95">
        <f t="shared" si="15"/>
        <v>791.6666667</v>
      </c>
      <c r="E144" s="97" t="s">
        <v>3416</v>
      </c>
      <c r="F144" s="59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idden="1">
      <c r="A145" s="6" t="s">
        <v>63</v>
      </c>
      <c r="B145" s="93" t="s">
        <v>3403</v>
      </c>
      <c r="C145" s="94">
        <v>47.5</v>
      </c>
      <c r="D145" s="95">
        <f>C145*30</f>
        <v>1425</v>
      </c>
      <c r="E145" s="97" t="s">
        <v>3416</v>
      </c>
      <c r="F145" s="59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idden="1">
      <c r="A146" s="6" t="s">
        <v>65</v>
      </c>
      <c r="B146" s="93" t="s">
        <v>3394</v>
      </c>
      <c r="C146" s="94">
        <v>189.5</v>
      </c>
      <c r="D146" s="95">
        <f t="shared" ref="D146:D154" si="16">C146*150/9</f>
        <v>3158.333333</v>
      </c>
      <c r="E146" s="96" t="s">
        <v>3416</v>
      </c>
      <c r="F146" s="59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idden="1">
      <c r="A147" s="6" t="s">
        <v>65</v>
      </c>
      <c r="B147" s="93" t="s">
        <v>458</v>
      </c>
      <c r="C147" s="94">
        <v>189.5</v>
      </c>
      <c r="D147" s="95">
        <f t="shared" si="16"/>
        <v>3158.333333</v>
      </c>
      <c r="E147" s="96" t="s">
        <v>3416</v>
      </c>
      <c r="F147" s="59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idden="1">
      <c r="A148" s="6" t="s">
        <v>65</v>
      </c>
      <c r="B148" s="93" t="s">
        <v>3396</v>
      </c>
      <c r="C148" s="94">
        <v>189.5</v>
      </c>
      <c r="D148" s="95">
        <f t="shared" si="16"/>
        <v>3158.333333</v>
      </c>
      <c r="E148" s="96" t="s">
        <v>3416</v>
      </c>
      <c r="F148" s="59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idden="1">
      <c r="A149" s="6" t="s">
        <v>65</v>
      </c>
      <c r="B149" s="93" t="s">
        <v>3397</v>
      </c>
      <c r="C149" s="94">
        <v>189.5</v>
      </c>
      <c r="D149" s="95">
        <f t="shared" si="16"/>
        <v>3158.333333</v>
      </c>
      <c r="E149" s="96" t="s">
        <v>3416</v>
      </c>
      <c r="F149" s="59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idden="1">
      <c r="A150" s="6" t="s">
        <v>65</v>
      </c>
      <c r="B150" s="93" t="s">
        <v>3398</v>
      </c>
      <c r="C150" s="94">
        <v>189.5</v>
      </c>
      <c r="D150" s="95">
        <f t="shared" si="16"/>
        <v>3158.333333</v>
      </c>
      <c r="E150" s="96" t="s">
        <v>3416</v>
      </c>
      <c r="F150" s="59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idden="1">
      <c r="A151" s="6" t="s">
        <v>65</v>
      </c>
      <c r="B151" s="93" t="s">
        <v>3399</v>
      </c>
      <c r="C151" s="94">
        <v>189.5</v>
      </c>
      <c r="D151" s="95">
        <f t="shared" si="16"/>
        <v>3158.333333</v>
      </c>
      <c r="E151" s="96" t="s">
        <v>3416</v>
      </c>
      <c r="F151" s="59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idden="1">
      <c r="A152" s="6" t="s">
        <v>65</v>
      </c>
      <c r="B152" s="93" t="s">
        <v>3400</v>
      </c>
      <c r="C152" s="94">
        <v>189.5</v>
      </c>
      <c r="D152" s="95">
        <f t="shared" si="16"/>
        <v>3158.333333</v>
      </c>
      <c r="E152" s="96" t="s">
        <v>3416</v>
      </c>
      <c r="F152" s="59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idden="1">
      <c r="A153" s="6" t="s">
        <v>65</v>
      </c>
      <c r="B153" s="93" t="s">
        <v>3401</v>
      </c>
      <c r="C153" s="94">
        <v>189.5</v>
      </c>
      <c r="D153" s="95">
        <f t="shared" si="16"/>
        <v>3158.333333</v>
      </c>
      <c r="E153" s="96" t="s">
        <v>3416</v>
      </c>
      <c r="F153" s="59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idden="1">
      <c r="A154" s="6" t="s">
        <v>65</v>
      </c>
      <c r="B154" s="93" t="s">
        <v>3402</v>
      </c>
      <c r="C154" s="94">
        <v>189.5</v>
      </c>
      <c r="D154" s="95">
        <f t="shared" si="16"/>
        <v>3158.333333</v>
      </c>
      <c r="E154" s="96" t="s">
        <v>3416</v>
      </c>
      <c r="F154" s="59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idden="1">
      <c r="A155" s="6" t="s">
        <v>65</v>
      </c>
      <c r="B155" s="93" t="s">
        <v>3403</v>
      </c>
      <c r="C155" s="94">
        <v>189.5</v>
      </c>
      <c r="D155" s="95">
        <f>C155*30</f>
        <v>5685</v>
      </c>
      <c r="E155" s="96" t="s">
        <v>3416</v>
      </c>
      <c r="F155" s="59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idden="1">
      <c r="A156" s="6" t="s">
        <v>67</v>
      </c>
      <c r="B156" s="93" t="s">
        <v>3394</v>
      </c>
      <c r="C156" s="94">
        <v>157.0</v>
      </c>
      <c r="D156" s="95">
        <f t="shared" ref="D156:D164" si="17">C156*150/9</f>
        <v>2616.666667</v>
      </c>
      <c r="E156" s="96" t="s">
        <v>3417</v>
      </c>
      <c r="F156" s="59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idden="1">
      <c r="A157" s="6" t="s">
        <v>67</v>
      </c>
      <c r="B157" s="93" t="s">
        <v>458</v>
      </c>
      <c r="C157" s="94">
        <v>157.0</v>
      </c>
      <c r="D157" s="95">
        <f t="shared" si="17"/>
        <v>2616.666667</v>
      </c>
      <c r="E157" s="96" t="s">
        <v>3417</v>
      </c>
      <c r="F157" s="59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idden="1">
      <c r="A158" s="6" t="s">
        <v>67</v>
      </c>
      <c r="B158" s="93" t="s">
        <v>3396</v>
      </c>
      <c r="C158" s="94">
        <v>157.0</v>
      </c>
      <c r="D158" s="95">
        <f t="shared" si="17"/>
        <v>2616.666667</v>
      </c>
      <c r="E158" s="96" t="s">
        <v>3417</v>
      </c>
      <c r="F158" s="59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idden="1">
      <c r="A159" s="6" t="s">
        <v>67</v>
      </c>
      <c r="B159" s="93" t="s">
        <v>3397</v>
      </c>
      <c r="C159" s="94">
        <v>157.0</v>
      </c>
      <c r="D159" s="95">
        <f t="shared" si="17"/>
        <v>2616.666667</v>
      </c>
      <c r="E159" s="96" t="s">
        <v>3417</v>
      </c>
      <c r="F159" s="59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idden="1">
      <c r="A160" s="6" t="s">
        <v>67</v>
      </c>
      <c r="B160" s="93" t="s">
        <v>3398</v>
      </c>
      <c r="C160" s="94">
        <v>157.0</v>
      </c>
      <c r="D160" s="95">
        <f t="shared" si="17"/>
        <v>2616.666667</v>
      </c>
      <c r="E160" s="96" t="s">
        <v>3417</v>
      </c>
      <c r="F160" s="59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idden="1">
      <c r="A161" s="6" t="s">
        <v>67</v>
      </c>
      <c r="B161" s="93" t="s">
        <v>3399</v>
      </c>
      <c r="C161" s="94">
        <v>157.0</v>
      </c>
      <c r="D161" s="95">
        <f t="shared" si="17"/>
        <v>2616.666667</v>
      </c>
      <c r="E161" s="96" t="s">
        <v>3417</v>
      </c>
      <c r="F161" s="59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idden="1">
      <c r="A162" s="6" t="s">
        <v>67</v>
      </c>
      <c r="B162" s="93" t="s">
        <v>3400</v>
      </c>
      <c r="C162" s="94">
        <v>157.0</v>
      </c>
      <c r="D162" s="95">
        <f t="shared" si="17"/>
        <v>2616.666667</v>
      </c>
      <c r="E162" s="96" t="s">
        <v>3417</v>
      </c>
      <c r="F162" s="59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idden="1">
      <c r="A163" s="6" t="s">
        <v>67</v>
      </c>
      <c r="B163" s="93" t="s">
        <v>3401</v>
      </c>
      <c r="C163" s="94">
        <v>157.0</v>
      </c>
      <c r="D163" s="95">
        <f t="shared" si="17"/>
        <v>2616.666667</v>
      </c>
      <c r="E163" s="96" t="s">
        <v>3417</v>
      </c>
      <c r="F163" s="59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idden="1">
      <c r="A164" s="6" t="s">
        <v>67</v>
      </c>
      <c r="B164" s="93" t="s">
        <v>3402</v>
      </c>
      <c r="C164" s="94">
        <v>157.0</v>
      </c>
      <c r="D164" s="95">
        <f t="shared" si="17"/>
        <v>2616.666667</v>
      </c>
      <c r="E164" s="96" t="s">
        <v>3417</v>
      </c>
      <c r="F164" s="59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idden="1">
      <c r="A165" s="6" t="s">
        <v>67</v>
      </c>
      <c r="B165" s="93" t="s">
        <v>3403</v>
      </c>
      <c r="C165" s="94">
        <v>157.0</v>
      </c>
      <c r="D165" s="95">
        <f>C165*30</f>
        <v>4710</v>
      </c>
      <c r="E165" s="96" t="s">
        <v>3417</v>
      </c>
      <c r="F165" s="59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idden="1">
      <c r="A166" s="6" t="s">
        <v>69</v>
      </c>
      <c r="B166" s="93" t="s">
        <v>3394</v>
      </c>
      <c r="C166" s="94">
        <v>214.0</v>
      </c>
      <c r="D166" s="95">
        <f t="shared" ref="D166:D174" si="18">C166*150/9</f>
        <v>3566.666667</v>
      </c>
      <c r="E166" s="96" t="s">
        <v>3418</v>
      </c>
      <c r="F166" s="59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idden="1">
      <c r="A167" s="6" t="s">
        <v>69</v>
      </c>
      <c r="B167" s="93" t="s">
        <v>458</v>
      </c>
      <c r="C167" s="94">
        <v>214.0</v>
      </c>
      <c r="D167" s="95">
        <f t="shared" si="18"/>
        <v>3566.666667</v>
      </c>
      <c r="E167" s="96" t="s">
        <v>3418</v>
      </c>
      <c r="F167" s="59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idden="1">
      <c r="A168" s="6" t="s">
        <v>69</v>
      </c>
      <c r="B168" s="93" t="s">
        <v>3396</v>
      </c>
      <c r="C168" s="94">
        <v>214.0</v>
      </c>
      <c r="D168" s="95">
        <f t="shared" si="18"/>
        <v>3566.666667</v>
      </c>
      <c r="E168" s="96" t="s">
        <v>3418</v>
      </c>
      <c r="F168" s="59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idden="1">
      <c r="A169" s="6" t="s">
        <v>69</v>
      </c>
      <c r="B169" s="93" t="s">
        <v>3397</v>
      </c>
      <c r="C169" s="94">
        <v>214.0</v>
      </c>
      <c r="D169" s="95">
        <f t="shared" si="18"/>
        <v>3566.666667</v>
      </c>
      <c r="E169" s="96" t="s">
        <v>3418</v>
      </c>
      <c r="F169" s="59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idden="1">
      <c r="A170" s="6" t="s">
        <v>69</v>
      </c>
      <c r="B170" s="93" t="s">
        <v>3398</v>
      </c>
      <c r="C170" s="94">
        <v>214.0</v>
      </c>
      <c r="D170" s="95">
        <f t="shared" si="18"/>
        <v>3566.666667</v>
      </c>
      <c r="E170" s="96" t="s">
        <v>3418</v>
      </c>
      <c r="F170" s="59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idden="1">
      <c r="A171" s="6" t="s">
        <v>69</v>
      </c>
      <c r="B171" s="93" t="s">
        <v>3399</v>
      </c>
      <c r="C171" s="94">
        <v>214.0</v>
      </c>
      <c r="D171" s="95">
        <f t="shared" si="18"/>
        <v>3566.666667</v>
      </c>
      <c r="E171" s="96" t="s">
        <v>3418</v>
      </c>
      <c r="F171" s="59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idden="1">
      <c r="A172" s="6" t="s">
        <v>69</v>
      </c>
      <c r="B172" s="93" t="s">
        <v>3400</v>
      </c>
      <c r="C172" s="94">
        <v>214.0</v>
      </c>
      <c r="D172" s="95">
        <f t="shared" si="18"/>
        <v>3566.666667</v>
      </c>
      <c r="E172" s="96" t="s">
        <v>3418</v>
      </c>
      <c r="F172" s="59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idden="1">
      <c r="A173" s="6" t="s">
        <v>69</v>
      </c>
      <c r="B173" s="93" t="s">
        <v>3401</v>
      </c>
      <c r="C173" s="94">
        <v>214.0</v>
      </c>
      <c r="D173" s="95">
        <f t="shared" si="18"/>
        <v>3566.666667</v>
      </c>
      <c r="E173" s="96" t="s">
        <v>3418</v>
      </c>
      <c r="F173" s="59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idden="1">
      <c r="A174" s="6" t="s">
        <v>69</v>
      </c>
      <c r="B174" s="93" t="s">
        <v>3402</v>
      </c>
      <c r="C174" s="94">
        <v>214.0</v>
      </c>
      <c r="D174" s="95">
        <f t="shared" si="18"/>
        <v>3566.666667</v>
      </c>
      <c r="E174" s="96" t="s">
        <v>3418</v>
      </c>
      <c r="F174" s="59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idden="1">
      <c r="A175" s="6" t="s">
        <v>69</v>
      </c>
      <c r="B175" s="93" t="s">
        <v>3403</v>
      </c>
      <c r="C175" s="94">
        <v>214.0</v>
      </c>
      <c r="D175" s="95">
        <f>C175*30</f>
        <v>6420</v>
      </c>
      <c r="E175" s="96" t="s">
        <v>3418</v>
      </c>
      <c r="F175" s="59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idden="1">
      <c r="A176" s="6" t="s">
        <v>71</v>
      </c>
      <c r="B176" s="93" t="s">
        <v>3394</v>
      </c>
      <c r="C176" s="94">
        <v>81.5</v>
      </c>
      <c r="D176" s="95">
        <f t="shared" ref="D176:D184" si="19">C176*150/9</f>
        <v>1358.333333</v>
      </c>
      <c r="E176" s="96" t="s">
        <v>3419</v>
      </c>
      <c r="F176" s="59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idden="1">
      <c r="A177" s="6" t="s">
        <v>71</v>
      </c>
      <c r="B177" s="93" t="s">
        <v>458</v>
      </c>
      <c r="C177" s="94">
        <v>81.5</v>
      </c>
      <c r="D177" s="95">
        <f t="shared" si="19"/>
        <v>1358.333333</v>
      </c>
      <c r="E177" s="96" t="s">
        <v>3419</v>
      </c>
      <c r="F177" s="59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idden="1">
      <c r="A178" s="6" t="s">
        <v>71</v>
      </c>
      <c r="B178" s="93" t="s">
        <v>3396</v>
      </c>
      <c r="C178" s="94">
        <v>81.5</v>
      </c>
      <c r="D178" s="95">
        <f t="shared" si="19"/>
        <v>1358.333333</v>
      </c>
      <c r="E178" s="96" t="s">
        <v>3419</v>
      </c>
      <c r="F178" s="59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idden="1">
      <c r="A179" s="6" t="s">
        <v>71</v>
      </c>
      <c r="B179" s="93" t="s">
        <v>3397</v>
      </c>
      <c r="C179" s="94">
        <v>81.5</v>
      </c>
      <c r="D179" s="95">
        <f t="shared" si="19"/>
        <v>1358.333333</v>
      </c>
      <c r="E179" s="96" t="s">
        <v>3419</v>
      </c>
      <c r="F179" s="59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idden="1">
      <c r="A180" s="6" t="s">
        <v>71</v>
      </c>
      <c r="B180" s="93" t="s">
        <v>3398</v>
      </c>
      <c r="C180" s="94">
        <v>81.5</v>
      </c>
      <c r="D180" s="95">
        <f t="shared" si="19"/>
        <v>1358.333333</v>
      </c>
      <c r="E180" s="96" t="s">
        <v>3419</v>
      </c>
      <c r="F180" s="59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idden="1">
      <c r="A181" s="6" t="s">
        <v>71</v>
      </c>
      <c r="B181" s="93" t="s">
        <v>3399</v>
      </c>
      <c r="C181" s="94">
        <v>81.5</v>
      </c>
      <c r="D181" s="95">
        <f t="shared" si="19"/>
        <v>1358.333333</v>
      </c>
      <c r="E181" s="96" t="s">
        <v>3419</v>
      </c>
      <c r="F181" s="59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idden="1">
      <c r="A182" s="6" t="s">
        <v>71</v>
      </c>
      <c r="B182" s="93" t="s">
        <v>3400</v>
      </c>
      <c r="C182" s="94">
        <v>81.5</v>
      </c>
      <c r="D182" s="95">
        <f t="shared" si="19"/>
        <v>1358.333333</v>
      </c>
      <c r="E182" s="96" t="s">
        <v>3419</v>
      </c>
      <c r="F182" s="59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idden="1">
      <c r="A183" s="6" t="s">
        <v>71</v>
      </c>
      <c r="B183" s="93" t="s">
        <v>3401</v>
      </c>
      <c r="C183" s="94">
        <v>81.5</v>
      </c>
      <c r="D183" s="95">
        <f t="shared" si="19"/>
        <v>1358.333333</v>
      </c>
      <c r="E183" s="96" t="s">
        <v>3419</v>
      </c>
      <c r="F183" s="59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idden="1">
      <c r="A184" s="6" t="s">
        <v>71</v>
      </c>
      <c r="B184" s="93" t="s">
        <v>3402</v>
      </c>
      <c r="C184" s="94">
        <v>81.5</v>
      </c>
      <c r="D184" s="95">
        <f t="shared" si="19"/>
        <v>1358.333333</v>
      </c>
      <c r="E184" s="96" t="s">
        <v>3419</v>
      </c>
      <c r="F184" s="59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idden="1">
      <c r="A185" s="6" t="s">
        <v>71</v>
      </c>
      <c r="B185" s="93" t="s">
        <v>3403</v>
      </c>
      <c r="C185" s="94">
        <v>81.5</v>
      </c>
      <c r="D185" s="95">
        <f>C185*30</f>
        <v>2445</v>
      </c>
      <c r="E185" s="96" t="s">
        <v>3419</v>
      </c>
      <c r="F185" s="59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idden="1">
      <c r="A186" s="6" t="s">
        <v>73</v>
      </c>
      <c r="B186" s="93" t="s">
        <v>3394</v>
      </c>
      <c r="C186" s="98">
        <v>212.0</v>
      </c>
      <c r="D186" s="95">
        <f t="shared" ref="D186:D194" si="20">C186*150/9</f>
        <v>3533.333333</v>
      </c>
      <c r="E186" s="97" t="s">
        <v>3420</v>
      </c>
      <c r="F186" s="59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idden="1">
      <c r="A187" s="6" t="s">
        <v>73</v>
      </c>
      <c r="B187" s="93" t="s">
        <v>458</v>
      </c>
      <c r="C187" s="98">
        <v>212.0</v>
      </c>
      <c r="D187" s="95">
        <f t="shared" si="20"/>
        <v>3533.333333</v>
      </c>
      <c r="E187" s="97" t="s">
        <v>3420</v>
      </c>
      <c r="F187" s="59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idden="1">
      <c r="A188" s="6" t="s">
        <v>73</v>
      </c>
      <c r="B188" s="93" t="s">
        <v>3396</v>
      </c>
      <c r="C188" s="98">
        <v>212.0</v>
      </c>
      <c r="D188" s="95">
        <f t="shared" si="20"/>
        <v>3533.333333</v>
      </c>
      <c r="E188" s="97" t="s">
        <v>3420</v>
      </c>
      <c r="F188" s="59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idden="1">
      <c r="A189" s="6" t="s">
        <v>73</v>
      </c>
      <c r="B189" s="93" t="s">
        <v>3397</v>
      </c>
      <c r="C189" s="98">
        <v>212.0</v>
      </c>
      <c r="D189" s="95">
        <f t="shared" si="20"/>
        <v>3533.333333</v>
      </c>
      <c r="E189" s="97" t="s">
        <v>3420</v>
      </c>
      <c r="F189" s="59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idden="1">
      <c r="A190" s="6" t="s">
        <v>73</v>
      </c>
      <c r="B190" s="93" t="s">
        <v>3398</v>
      </c>
      <c r="C190" s="98">
        <v>212.0</v>
      </c>
      <c r="D190" s="95">
        <f t="shared" si="20"/>
        <v>3533.333333</v>
      </c>
      <c r="E190" s="97" t="s">
        <v>3420</v>
      </c>
      <c r="F190" s="59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idden="1">
      <c r="A191" s="6" t="s">
        <v>73</v>
      </c>
      <c r="B191" s="93" t="s">
        <v>3399</v>
      </c>
      <c r="C191" s="98">
        <v>212.0</v>
      </c>
      <c r="D191" s="95">
        <f t="shared" si="20"/>
        <v>3533.333333</v>
      </c>
      <c r="E191" s="97" t="s">
        <v>3420</v>
      </c>
      <c r="F191" s="59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idden="1">
      <c r="A192" s="6" t="s">
        <v>73</v>
      </c>
      <c r="B192" s="93" t="s">
        <v>3400</v>
      </c>
      <c r="C192" s="98">
        <v>212.0</v>
      </c>
      <c r="D192" s="95">
        <f t="shared" si="20"/>
        <v>3533.333333</v>
      </c>
      <c r="E192" s="97" t="s">
        <v>3420</v>
      </c>
      <c r="F192" s="59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idden="1">
      <c r="A193" s="6" t="s">
        <v>73</v>
      </c>
      <c r="B193" s="93" t="s">
        <v>3401</v>
      </c>
      <c r="C193" s="98">
        <v>212.0</v>
      </c>
      <c r="D193" s="95">
        <f t="shared" si="20"/>
        <v>3533.333333</v>
      </c>
      <c r="E193" s="97" t="s">
        <v>3420</v>
      </c>
      <c r="F193" s="59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idden="1">
      <c r="A194" s="6" t="s">
        <v>73</v>
      </c>
      <c r="B194" s="93" t="s">
        <v>3402</v>
      </c>
      <c r="C194" s="98">
        <v>212.0</v>
      </c>
      <c r="D194" s="95">
        <f t="shared" si="20"/>
        <v>3533.333333</v>
      </c>
      <c r="E194" s="97" t="s">
        <v>3420</v>
      </c>
      <c r="F194" s="59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idden="1">
      <c r="A195" s="6" t="s">
        <v>73</v>
      </c>
      <c r="B195" s="93" t="s">
        <v>3403</v>
      </c>
      <c r="C195" s="98">
        <v>212.0</v>
      </c>
      <c r="D195" s="95">
        <f>C195*30</f>
        <v>6360</v>
      </c>
      <c r="E195" s="97" t="s">
        <v>3420</v>
      </c>
      <c r="F195" s="59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idden="1">
      <c r="A196" s="16" t="s">
        <v>74</v>
      </c>
      <c r="B196" s="93" t="s">
        <v>3394</v>
      </c>
      <c r="C196" s="94">
        <v>212.0</v>
      </c>
      <c r="D196" s="95">
        <f t="shared" ref="D196:D204" si="21">C196*150/9</f>
        <v>3533.333333</v>
      </c>
      <c r="E196" s="96" t="s">
        <v>3420</v>
      </c>
      <c r="F196" s="59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idden="1">
      <c r="A197" s="16" t="s">
        <v>74</v>
      </c>
      <c r="B197" s="93" t="s">
        <v>458</v>
      </c>
      <c r="C197" s="94">
        <v>212.0</v>
      </c>
      <c r="D197" s="95">
        <f t="shared" si="21"/>
        <v>3533.333333</v>
      </c>
      <c r="E197" s="96" t="s">
        <v>3420</v>
      </c>
      <c r="F197" s="59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idden="1">
      <c r="A198" s="16" t="s">
        <v>74</v>
      </c>
      <c r="B198" s="93" t="s">
        <v>3396</v>
      </c>
      <c r="C198" s="94">
        <v>212.0</v>
      </c>
      <c r="D198" s="95">
        <f t="shared" si="21"/>
        <v>3533.333333</v>
      </c>
      <c r="E198" s="96" t="s">
        <v>3420</v>
      </c>
      <c r="F198" s="59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idden="1">
      <c r="A199" s="16" t="s">
        <v>74</v>
      </c>
      <c r="B199" s="93" t="s">
        <v>3397</v>
      </c>
      <c r="C199" s="94">
        <v>212.0</v>
      </c>
      <c r="D199" s="95">
        <f t="shared" si="21"/>
        <v>3533.333333</v>
      </c>
      <c r="E199" s="96" t="s">
        <v>3420</v>
      </c>
      <c r="F199" s="59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idden="1">
      <c r="A200" s="16" t="s">
        <v>74</v>
      </c>
      <c r="B200" s="93" t="s">
        <v>3398</v>
      </c>
      <c r="C200" s="94">
        <v>212.0</v>
      </c>
      <c r="D200" s="95">
        <f t="shared" si="21"/>
        <v>3533.333333</v>
      </c>
      <c r="E200" s="96" t="s">
        <v>3420</v>
      </c>
      <c r="F200" s="59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idden="1">
      <c r="A201" s="16" t="s">
        <v>74</v>
      </c>
      <c r="B201" s="93" t="s">
        <v>3399</v>
      </c>
      <c r="C201" s="94">
        <v>212.0</v>
      </c>
      <c r="D201" s="95">
        <f t="shared" si="21"/>
        <v>3533.333333</v>
      </c>
      <c r="E201" s="96" t="s">
        <v>3420</v>
      </c>
      <c r="F201" s="59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idden="1">
      <c r="A202" s="16" t="s">
        <v>74</v>
      </c>
      <c r="B202" s="93" t="s">
        <v>3400</v>
      </c>
      <c r="C202" s="94">
        <v>212.0</v>
      </c>
      <c r="D202" s="95">
        <f t="shared" si="21"/>
        <v>3533.333333</v>
      </c>
      <c r="E202" s="96" t="s">
        <v>3420</v>
      </c>
      <c r="F202" s="59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idden="1">
      <c r="A203" s="16" t="s">
        <v>74</v>
      </c>
      <c r="B203" s="93" t="s">
        <v>3401</v>
      </c>
      <c r="C203" s="94">
        <v>212.0</v>
      </c>
      <c r="D203" s="95">
        <f t="shared" si="21"/>
        <v>3533.333333</v>
      </c>
      <c r="E203" s="96" t="s">
        <v>3420</v>
      </c>
      <c r="F203" s="59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idden="1">
      <c r="A204" s="16" t="s">
        <v>74</v>
      </c>
      <c r="B204" s="93" t="s">
        <v>3402</v>
      </c>
      <c r="C204" s="94">
        <v>212.0</v>
      </c>
      <c r="D204" s="95">
        <f t="shared" si="21"/>
        <v>3533.333333</v>
      </c>
      <c r="E204" s="96" t="s">
        <v>3420</v>
      </c>
      <c r="F204" s="59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idden="1">
      <c r="A205" s="16" t="s">
        <v>74</v>
      </c>
      <c r="B205" s="93" t="s">
        <v>3403</v>
      </c>
      <c r="C205" s="94">
        <v>212.0</v>
      </c>
      <c r="D205" s="95">
        <f>C205*30</f>
        <v>6360</v>
      </c>
      <c r="E205" s="96" t="s">
        <v>3420</v>
      </c>
      <c r="F205" s="59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idden="1">
      <c r="A206" s="6" t="s">
        <v>75</v>
      </c>
      <c r="B206" s="93" t="s">
        <v>3394</v>
      </c>
      <c r="C206" s="94">
        <v>191.0</v>
      </c>
      <c r="D206" s="95">
        <f t="shared" ref="D206:D214" si="22">C206*150/9</f>
        <v>3183.333333</v>
      </c>
      <c r="E206" s="96" t="s">
        <v>3421</v>
      </c>
      <c r="F206" s="59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idden="1">
      <c r="A207" s="6" t="s">
        <v>75</v>
      </c>
      <c r="B207" s="93" t="s">
        <v>458</v>
      </c>
      <c r="C207" s="94">
        <v>191.0</v>
      </c>
      <c r="D207" s="95">
        <f t="shared" si="22"/>
        <v>3183.333333</v>
      </c>
      <c r="E207" s="96" t="s">
        <v>3421</v>
      </c>
      <c r="F207" s="59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idden="1">
      <c r="A208" s="6" t="s">
        <v>75</v>
      </c>
      <c r="B208" s="93" t="s">
        <v>3396</v>
      </c>
      <c r="C208" s="94">
        <v>191.0</v>
      </c>
      <c r="D208" s="95">
        <f t="shared" si="22"/>
        <v>3183.333333</v>
      </c>
      <c r="E208" s="96" t="s">
        <v>3421</v>
      </c>
      <c r="F208" s="59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idden="1">
      <c r="A209" s="6" t="s">
        <v>75</v>
      </c>
      <c r="B209" s="93" t="s">
        <v>3397</v>
      </c>
      <c r="C209" s="94">
        <v>191.0</v>
      </c>
      <c r="D209" s="95">
        <f t="shared" si="22"/>
        <v>3183.333333</v>
      </c>
      <c r="E209" s="96" t="s">
        <v>3421</v>
      </c>
      <c r="F209" s="59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idden="1">
      <c r="A210" s="6" t="s">
        <v>75</v>
      </c>
      <c r="B210" s="93" t="s">
        <v>3398</v>
      </c>
      <c r="C210" s="94">
        <v>191.0</v>
      </c>
      <c r="D210" s="95">
        <f t="shared" si="22"/>
        <v>3183.333333</v>
      </c>
      <c r="E210" s="96" t="s">
        <v>3421</v>
      </c>
      <c r="F210" s="59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idden="1">
      <c r="A211" s="6" t="s">
        <v>75</v>
      </c>
      <c r="B211" s="93" t="s">
        <v>3399</v>
      </c>
      <c r="C211" s="94">
        <v>191.0</v>
      </c>
      <c r="D211" s="95">
        <f t="shared" si="22"/>
        <v>3183.333333</v>
      </c>
      <c r="E211" s="96" t="s">
        <v>3421</v>
      </c>
      <c r="F211" s="59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idden="1">
      <c r="A212" s="6" t="s">
        <v>75</v>
      </c>
      <c r="B212" s="93" t="s">
        <v>3400</v>
      </c>
      <c r="C212" s="94">
        <v>191.0</v>
      </c>
      <c r="D212" s="95">
        <f t="shared" si="22"/>
        <v>3183.333333</v>
      </c>
      <c r="E212" s="96" t="s">
        <v>3421</v>
      </c>
      <c r="F212" s="59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idden="1">
      <c r="A213" s="6" t="s">
        <v>75</v>
      </c>
      <c r="B213" s="93" t="s">
        <v>3401</v>
      </c>
      <c r="C213" s="94">
        <v>191.0</v>
      </c>
      <c r="D213" s="95">
        <f t="shared" si="22"/>
        <v>3183.333333</v>
      </c>
      <c r="E213" s="96" t="s">
        <v>3421</v>
      </c>
      <c r="F213" s="59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idden="1">
      <c r="A214" s="6" t="s">
        <v>75</v>
      </c>
      <c r="B214" s="93" t="s">
        <v>3402</v>
      </c>
      <c r="C214" s="94">
        <v>191.0</v>
      </c>
      <c r="D214" s="95">
        <f t="shared" si="22"/>
        <v>3183.333333</v>
      </c>
      <c r="E214" s="96" t="s">
        <v>3421</v>
      </c>
      <c r="F214" s="59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idden="1">
      <c r="A215" s="6" t="s">
        <v>75</v>
      </c>
      <c r="B215" s="93" t="s">
        <v>3403</v>
      </c>
      <c r="C215" s="94">
        <v>191.0</v>
      </c>
      <c r="D215" s="95">
        <f>C215*30</f>
        <v>5730</v>
      </c>
      <c r="E215" s="96" t="s">
        <v>3421</v>
      </c>
      <c r="F215" s="59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idden="1">
      <c r="A216" s="6" t="s">
        <v>77</v>
      </c>
      <c r="B216" s="93" t="s">
        <v>3394</v>
      </c>
      <c r="C216" s="94">
        <v>198.0</v>
      </c>
      <c r="D216" s="95">
        <f t="shared" ref="D216:D224" si="23">C216*150/9</f>
        <v>3300</v>
      </c>
      <c r="E216" s="70" t="s">
        <v>3422</v>
      </c>
      <c r="F216" s="59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idden="1">
      <c r="A217" s="6" t="s">
        <v>77</v>
      </c>
      <c r="B217" s="93" t="s">
        <v>458</v>
      </c>
      <c r="C217" s="94">
        <v>198.0</v>
      </c>
      <c r="D217" s="95">
        <f t="shared" si="23"/>
        <v>3300</v>
      </c>
      <c r="E217" s="70" t="s">
        <v>3422</v>
      </c>
      <c r="F217" s="59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idden="1">
      <c r="A218" s="6" t="s">
        <v>77</v>
      </c>
      <c r="B218" s="93" t="s">
        <v>3396</v>
      </c>
      <c r="C218" s="94">
        <v>198.0</v>
      </c>
      <c r="D218" s="95">
        <f t="shared" si="23"/>
        <v>3300</v>
      </c>
      <c r="E218" s="70" t="s">
        <v>3422</v>
      </c>
      <c r="F218" s="59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idden="1">
      <c r="A219" s="6" t="s">
        <v>77</v>
      </c>
      <c r="B219" s="93" t="s">
        <v>3397</v>
      </c>
      <c r="C219" s="94">
        <v>198.0</v>
      </c>
      <c r="D219" s="95">
        <f t="shared" si="23"/>
        <v>3300</v>
      </c>
      <c r="E219" s="70" t="s">
        <v>3422</v>
      </c>
      <c r="F219" s="59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idden="1">
      <c r="A220" s="6" t="s">
        <v>77</v>
      </c>
      <c r="B220" s="93" t="s">
        <v>3398</v>
      </c>
      <c r="C220" s="94">
        <v>198.0</v>
      </c>
      <c r="D220" s="95">
        <f t="shared" si="23"/>
        <v>3300</v>
      </c>
      <c r="E220" s="70" t="s">
        <v>3422</v>
      </c>
      <c r="F220" s="59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idden="1">
      <c r="A221" s="6" t="s">
        <v>77</v>
      </c>
      <c r="B221" s="93" t="s">
        <v>3399</v>
      </c>
      <c r="C221" s="94">
        <v>198.0</v>
      </c>
      <c r="D221" s="95">
        <f t="shared" si="23"/>
        <v>3300</v>
      </c>
      <c r="E221" s="70" t="s">
        <v>3422</v>
      </c>
      <c r="F221" s="59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idden="1">
      <c r="A222" s="6" t="s">
        <v>77</v>
      </c>
      <c r="B222" s="93" t="s">
        <v>3400</v>
      </c>
      <c r="C222" s="94">
        <v>198.0</v>
      </c>
      <c r="D222" s="95">
        <f t="shared" si="23"/>
        <v>3300</v>
      </c>
      <c r="E222" s="70" t="s">
        <v>3422</v>
      </c>
      <c r="F222" s="59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idden="1">
      <c r="A223" s="6" t="s">
        <v>77</v>
      </c>
      <c r="B223" s="93" t="s">
        <v>3401</v>
      </c>
      <c r="C223" s="94">
        <v>198.0</v>
      </c>
      <c r="D223" s="95">
        <f t="shared" si="23"/>
        <v>3300</v>
      </c>
      <c r="E223" s="70" t="s">
        <v>3422</v>
      </c>
      <c r="F223" s="59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idden="1">
      <c r="A224" s="6" t="s">
        <v>77</v>
      </c>
      <c r="B224" s="93" t="s">
        <v>3402</v>
      </c>
      <c r="C224" s="94">
        <v>198.0</v>
      </c>
      <c r="D224" s="95">
        <f t="shared" si="23"/>
        <v>3300</v>
      </c>
      <c r="E224" s="70" t="s">
        <v>3422</v>
      </c>
      <c r="F224" s="59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idden="1">
      <c r="A225" s="6" t="s">
        <v>77</v>
      </c>
      <c r="B225" s="93" t="s">
        <v>3403</v>
      </c>
      <c r="C225" s="94">
        <v>198.0</v>
      </c>
      <c r="D225" s="95">
        <f>C225*30</f>
        <v>5940</v>
      </c>
      <c r="E225" s="70" t="s">
        <v>3422</v>
      </c>
      <c r="F225" s="59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idden="1">
      <c r="A226" s="6" t="s">
        <v>79</v>
      </c>
      <c r="B226" s="93" t="s">
        <v>3394</v>
      </c>
      <c r="C226" s="94">
        <v>222.0</v>
      </c>
      <c r="D226" s="95">
        <f t="shared" ref="D226:D234" si="24">C226*150/9</f>
        <v>3700</v>
      </c>
      <c r="E226" s="59" t="s">
        <v>3405</v>
      </c>
      <c r="F226" s="59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idden="1">
      <c r="A227" s="6" t="s">
        <v>79</v>
      </c>
      <c r="B227" s="93" t="s">
        <v>458</v>
      </c>
      <c r="C227" s="94">
        <v>222.0</v>
      </c>
      <c r="D227" s="95">
        <f t="shared" si="24"/>
        <v>3700</v>
      </c>
      <c r="E227" s="59" t="s">
        <v>3405</v>
      </c>
      <c r="F227" s="59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idden="1">
      <c r="A228" s="6" t="s">
        <v>79</v>
      </c>
      <c r="B228" s="93" t="s">
        <v>3396</v>
      </c>
      <c r="C228" s="94">
        <v>222.0</v>
      </c>
      <c r="D228" s="95">
        <f t="shared" si="24"/>
        <v>3700</v>
      </c>
      <c r="E228" s="59" t="s">
        <v>3405</v>
      </c>
      <c r="F228" s="59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idden="1">
      <c r="A229" s="6" t="s">
        <v>79</v>
      </c>
      <c r="B229" s="93" t="s">
        <v>3397</v>
      </c>
      <c r="C229" s="94">
        <v>222.0</v>
      </c>
      <c r="D229" s="95">
        <f t="shared" si="24"/>
        <v>3700</v>
      </c>
      <c r="E229" s="59" t="s">
        <v>3405</v>
      </c>
      <c r="F229" s="59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idden="1">
      <c r="A230" s="6" t="s">
        <v>79</v>
      </c>
      <c r="B230" s="93" t="s">
        <v>3398</v>
      </c>
      <c r="C230" s="94">
        <v>222.0</v>
      </c>
      <c r="D230" s="95">
        <f t="shared" si="24"/>
        <v>3700</v>
      </c>
      <c r="E230" s="59" t="s">
        <v>3405</v>
      </c>
      <c r="F230" s="59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idden="1">
      <c r="A231" s="6" t="s">
        <v>79</v>
      </c>
      <c r="B231" s="93" t="s">
        <v>3399</v>
      </c>
      <c r="C231" s="94">
        <v>222.0</v>
      </c>
      <c r="D231" s="95">
        <f t="shared" si="24"/>
        <v>3700</v>
      </c>
      <c r="E231" s="59" t="s">
        <v>3405</v>
      </c>
      <c r="F231" s="59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idden="1">
      <c r="A232" s="6" t="s">
        <v>79</v>
      </c>
      <c r="B232" s="93" t="s">
        <v>3400</v>
      </c>
      <c r="C232" s="94">
        <v>222.0</v>
      </c>
      <c r="D232" s="95">
        <f t="shared" si="24"/>
        <v>3700</v>
      </c>
      <c r="E232" s="59" t="s">
        <v>3405</v>
      </c>
      <c r="F232" s="59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idden="1">
      <c r="A233" s="6" t="s">
        <v>79</v>
      </c>
      <c r="B233" s="93" t="s">
        <v>3401</v>
      </c>
      <c r="C233" s="94">
        <v>222.0</v>
      </c>
      <c r="D233" s="95">
        <f t="shared" si="24"/>
        <v>3700</v>
      </c>
      <c r="E233" s="59" t="s">
        <v>3405</v>
      </c>
      <c r="F233" s="59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idden="1">
      <c r="A234" s="6" t="s">
        <v>79</v>
      </c>
      <c r="B234" s="93" t="s">
        <v>3402</v>
      </c>
      <c r="C234" s="94">
        <v>222.0</v>
      </c>
      <c r="D234" s="95">
        <f t="shared" si="24"/>
        <v>3700</v>
      </c>
      <c r="E234" s="59" t="s">
        <v>3405</v>
      </c>
      <c r="F234" s="59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idden="1">
      <c r="A235" s="6" t="s">
        <v>79</v>
      </c>
      <c r="B235" s="93" t="s">
        <v>3403</v>
      </c>
      <c r="C235" s="94">
        <v>222.0</v>
      </c>
      <c r="D235" s="95">
        <f>C235*30</f>
        <v>6660</v>
      </c>
      <c r="E235" s="59" t="s">
        <v>3405</v>
      </c>
      <c r="F235" s="59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idden="1">
      <c r="A236" s="6" t="s">
        <v>81</v>
      </c>
      <c r="B236" s="93" t="s">
        <v>3394</v>
      </c>
      <c r="C236" s="94">
        <v>201.0</v>
      </c>
      <c r="D236" s="95">
        <f t="shared" ref="D236:D244" si="25">C236*150/9</f>
        <v>3350</v>
      </c>
      <c r="E236" s="70" t="s">
        <v>3405</v>
      </c>
      <c r="F236" s="59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idden="1">
      <c r="A237" s="6" t="s">
        <v>81</v>
      </c>
      <c r="B237" s="93" t="s">
        <v>458</v>
      </c>
      <c r="C237" s="94">
        <v>201.0</v>
      </c>
      <c r="D237" s="95">
        <f t="shared" si="25"/>
        <v>3350</v>
      </c>
      <c r="E237" s="70" t="s">
        <v>3405</v>
      </c>
      <c r="F237" s="59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idden="1">
      <c r="A238" s="6" t="s">
        <v>81</v>
      </c>
      <c r="B238" s="93" t="s">
        <v>3396</v>
      </c>
      <c r="C238" s="94">
        <v>201.0</v>
      </c>
      <c r="D238" s="95">
        <f t="shared" si="25"/>
        <v>3350</v>
      </c>
      <c r="E238" s="70" t="s">
        <v>3405</v>
      </c>
      <c r="F238" s="59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idden="1">
      <c r="A239" s="6" t="s">
        <v>81</v>
      </c>
      <c r="B239" s="93" t="s">
        <v>3397</v>
      </c>
      <c r="C239" s="94">
        <v>201.0</v>
      </c>
      <c r="D239" s="95">
        <f t="shared" si="25"/>
        <v>3350</v>
      </c>
      <c r="E239" s="70" t="s">
        <v>3405</v>
      </c>
      <c r="F239" s="59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idden="1">
      <c r="A240" s="6" t="s">
        <v>81</v>
      </c>
      <c r="B240" s="93" t="s">
        <v>3398</v>
      </c>
      <c r="C240" s="94">
        <v>201.0</v>
      </c>
      <c r="D240" s="95">
        <f t="shared" si="25"/>
        <v>3350</v>
      </c>
      <c r="E240" s="70" t="s">
        <v>3405</v>
      </c>
      <c r="F240" s="59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idden="1">
      <c r="A241" s="6" t="s">
        <v>81</v>
      </c>
      <c r="B241" s="93" t="s">
        <v>3399</v>
      </c>
      <c r="C241" s="94">
        <v>201.0</v>
      </c>
      <c r="D241" s="95">
        <f t="shared" si="25"/>
        <v>3350</v>
      </c>
      <c r="E241" s="70" t="s">
        <v>3405</v>
      </c>
      <c r="F241" s="59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idden="1">
      <c r="A242" s="6" t="s">
        <v>81</v>
      </c>
      <c r="B242" s="93" t="s">
        <v>3400</v>
      </c>
      <c r="C242" s="94">
        <v>201.0</v>
      </c>
      <c r="D242" s="95">
        <f t="shared" si="25"/>
        <v>3350</v>
      </c>
      <c r="E242" s="70" t="s">
        <v>3405</v>
      </c>
      <c r="F242" s="59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idden="1">
      <c r="A243" s="6" t="s">
        <v>81</v>
      </c>
      <c r="B243" s="93" t="s">
        <v>3401</v>
      </c>
      <c r="C243" s="94">
        <v>201.0</v>
      </c>
      <c r="D243" s="95">
        <f t="shared" si="25"/>
        <v>3350</v>
      </c>
      <c r="E243" s="70" t="s">
        <v>3405</v>
      </c>
      <c r="F243" s="59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idden="1">
      <c r="A244" s="6" t="s">
        <v>81</v>
      </c>
      <c r="B244" s="93" t="s">
        <v>3402</v>
      </c>
      <c r="C244" s="94">
        <v>201.0</v>
      </c>
      <c r="D244" s="95">
        <f t="shared" si="25"/>
        <v>3350</v>
      </c>
      <c r="E244" s="70" t="s">
        <v>3405</v>
      </c>
      <c r="F244" s="59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idden="1">
      <c r="A245" s="6" t="s">
        <v>81</v>
      </c>
      <c r="B245" s="93" t="s">
        <v>3403</v>
      </c>
      <c r="C245" s="94">
        <v>201.0</v>
      </c>
      <c r="D245" s="95">
        <f>C245*30</f>
        <v>6030</v>
      </c>
      <c r="E245" s="70" t="s">
        <v>3405</v>
      </c>
      <c r="F245" s="59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idden="1">
      <c r="A246" s="6" t="s">
        <v>83</v>
      </c>
      <c r="B246" s="93" t="s">
        <v>3394</v>
      </c>
      <c r="C246" s="94">
        <v>234.5</v>
      </c>
      <c r="D246" s="95">
        <f t="shared" ref="D246:D254" si="26">C246*150/9</f>
        <v>3908.333333</v>
      </c>
      <c r="E246" s="70" t="s">
        <v>3423</v>
      </c>
      <c r="F246" s="59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idden="1">
      <c r="A247" s="6" t="s">
        <v>83</v>
      </c>
      <c r="B247" s="93" t="s">
        <v>458</v>
      </c>
      <c r="C247" s="94">
        <v>234.5</v>
      </c>
      <c r="D247" s="95">
        <f t="shared" si="26"/>
        <v>3908.333333</v>
      </c>
      <c r="E247" s="70" t="s">
        <v>3423</v>
      </c>
      <c r="F247" s="59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idden="1">
      <c r="A248" s="6" t="s">
        <v>83</v>
      </c>
      <c r="B248" s="93" t="s">
        <v>3396</v>
      </c>
      <c r="C248" s="94">
        <v>234.5</v>
      </c>
      <c r="D248" s="95">
        <f t="shared" si="26"/>
        <v>3908.333333</v>
      </c>
      <c r="E248" s="70" t="s">
        <v>3423</v>
      </c>
      <c r="F248" s="59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idden="1">
      <c r="A249" s="6" t="s">
        <v>83</v>
      </c>
      <c r="B249" s="93" t="s">
        <v>3397</v>
      </c>
      <c r="C249" s="94">
        <v>234.5</v>
      </c>
      <c r="D249" s="95">
        <f t="shared" si="26"/>
        <v>3908.333333</v>
      </c>
      <c r="E249" s="70" t="s">
        <v>3423</v>
      </c>
      <c r="F249" s="59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idden="1">
      <c r="A250" s="6" t="s">
        <v>83</v>
      </c>
      <c r="B250" s="93" t="s">
        <v>3398</v>
      </c>
      <c r="C250" s="94">
        <v>234.5</v>
      </c>
      <c r="D250" s="95">
        <f t="shared" si="26"/>
        <v>3908.333333</v>
      </c>
      <c r="E250" s="70" t="s">
        <v>3423</v>
      </c>
      <c r="F250" s="59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idden="1">
      <c r="A251" s="6" t="s">
        <v>83</v>
      </c>
      <c r="B251" s="93" t="s">
        <v>3399</v>
      </c>
      <c r="C251" s="94">
        <v>234.5</v>
      </c>
      <c r="D251" s="95">
        <f t="shared" si="26"/>
        <v>3908.333333</v>
      </c>
      <c r="E251" s="70" t="s">
        <v>3423</v>
      </c>
      <c r="F251" s="59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idden="1">
      <c r="A252" s="6" t="s">
        <v>83</v>
      </c>
      <c r="B252" s="93" t="s">
        <v>3400</v>
      </c>
      <c r="C252" s="94">
        <v>234.5</v>
      </c>
      <c r="D252" s="95">
        <f t="shared" si="26"/>
        <v>3908.333333</v>
      </c>
      <c r="E252" s="70" t="s">
        <v>3423</v>
      </c>
      <c r="F252" s="59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idden="1">
      <c r="A253" s="6" t="s">
        <v>83</v>
      </c>
      <c r="B253" s="71" t="s">
        <v>3401</v>
      </c>
      <c r="C253" s="94">
        <v>234.5</v>
      </c>
      <c r="D253" s="95">
        <f t="shared" si="26"/>
        <v>3908.333333</v>
      </c>
      <c r="E253" s="70" t="s">
        <v>3423</v>
      </c>
      <c r="F253" s="59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idden="1">
      <c r="A254" s="6" t="s">
        <v>83</v>
      </c>
      <c r="B254" s="93" t="s">
        <v>3402</v>
      </c>
      <c r="C254" s="94">
        <v>234.5</v>
      </c>
      <c r="D254" s="95">
        <f t="shared" si="26"/>
        <v>3908.333333</v>
      </c>
      <c r="E254" s="70" t="s">
        <v>3423</v>
      </c>
      <c r="F254" s="59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idden="1">
      <c r="A255" s="6" t="s">
        <v>83</v>
      </c>
      <c r="B255" s="93" t="s">
        <v>3403</v>
      </c>
      <c r="C255" s="94">
        <v>234.5</v>
      </c>
      <c r="D255" s="95">
        <f>C255*30</f>
        <v>7035</v>
      </c>
      <c r="E255" s="70" t="s">
        <v>3423</v>
      </c>
      <c r="F255" s="59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idden="1">
      <c r="A256" s="6" t="s">
        <v>85</v>
      </c>
      <c r="B256" s="93" t="s">
        <v>3394</v>
      </c>
      <c r="C256" s="94">
        <v>201.5</v>
      </c>
      <c r="D256" s="95">
        <f t="shared" ref="D256:D263" si="27">C256*150/8</f>
        <v>3778.125</v>
      </c>
      <c r="E256" s="70" t="s">
        <v>3406</v>
      </c>
      <c r="F256" s="59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idden="1">
      <c r="A257" s="6" t="s">
        <v>85</v>
      </c>
      <c r="B257" s="93" t="s">
        <v>458</v>
      </c>
      <c r="C257" s="94">
        <v>201.5</v>
      </c>
      <c r="D257" s="95">
        <f t="shared" si="27"/>
        <v>3778.125</v>
      </c>
      <c r="E257" s="70" t="s">
        <v>3406</v>
      </c>
      <c r="F257" s="59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idden="1">
      <c r="A258" s="6" t="s">
        <v>85</v>
      </c>
      <c r="B258" s="93" t="s">
        <v>3396</v>
      </c>
      <c r="C258" s="94">
        <v>201.5</v>
      </c>
      <c r="D258" s="95">
        <f t="shared" si="27"/>
        <v>3778.125</v>
      </c>
      <c r="E258" s="70" t="s">
        <v>3406</v>
      </c>
      <c r="F258" s="59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idden="1">
      <c r="A259" s="6" t="s">
        <v>85</v>
      </c>
      <c r="B259" s="93" t="s">
        <v>3397</v>
      </c>
      <c r="C259" s="94">
        <v>201.5</v>
      </c>
      <c r="D259" s="95">
        <f t="shared" si="27"/>
        <v>3778.125</v>
      </c>
      <c r="E259" s="70" t="s">
        <v>3406</v>
      </c>
      <c r="F259" s="59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idden="1">
      <c r="A260" s="6" t="s">
        <v>85</v>
      </c>
      <c r="B260" s="93" t="s">
        <v>3398</v>
      </c>
      <c r="C260" s="94">
        <v>201.5</v>
      </c>
      <c r="D260" s="95">
        <f t="shared" si="27"/>
        <v>3778.125</v>
      </c>
      <c r="E260" s="70" t="s">
        <v>3406</v>
      </c>
      <c r="F260" s="59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idden="1">
      <c r="A261" s="6" t="s">
        <v>85</v>
      </c>
      <c r="B261" s="93" t="s">
        <v>3399</v>
      </c>
      <c r="C261" s="94">
        <v>201.5</v>
      </c>
      <c r="D261" s="95">
        <f t="shared" si="27"/>
        <v>3778.125</v>
      </c>
      <c r="E261" s="70" t="s">
        <v>3406</v>
      </c>
      <c r="F261" s="59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idden="1">
      <c r="A262" s="6" t="s">
        <v>85</v>
      </c>
      <c r="B262" s="93" t="s">
        <v>3400</v>
      </c>
      <c r="C262" s="94">
        <v>201.5</v>
      </c>
      <c r="D262" s="95">
        <f t="shared" si="27"/>
        <v>3778.125</v>
      </c>
      <c r="E262" s="70" t="s">
        <v>3406</v>
      </c>
      <c r="F262" s="59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idden="1">
      <c r="A263" s="6" t="s">
        <v>85</v>
      </c>
      <c r="B263" s="93" t="s">
        <v>3402</v>
      </c>
      <c r="C263" s="94">
        <v>201.5</v>
      </c>
      <c r="D263" s="95">
        <f t="shared" si="27"/>
        <v>3778.125</v>
      </c>
      <c r="E263" s="70" t="s">
        <v>3406</v>
      </c>
      <c r="F263" s="59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idden="1">
      <c r="A264" s="6" t="s">
        <v>85</v>
      </c>
      <c r="B264" s="93" t="s">
        <v>3403</v>
      </c>
      <c r="C264" s="94">
        <v>201.5</v>
      </c>
      <c r="D264" s="95">
        <f>C264*30</f>
        <v>6045</v>
      </c>
      <c r="E264" s="70" t="s">
        <v>3406</v>
      </c>
      <c r="F264" s="59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idden="1">
      <c r="A265" s="6" t="s">
        <v>87</v>
      </c>
      <c r="B265" s="93" t="s">
        <v>3394</v>
      </c>
      <c r="C265" s="94">
        <v>168.0</v>
      </c>
      <c r="D265" s="95">
        <f t="shared" ref="D265:D272" si="28">C265*150/8</f>
        <v>3150</v>
      </c>
      <c r="E265" s="70" t="s">
        <v>3424</v>
      </c>
      <c r="F265" s="59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idden="1">
      <c r="A266" s="6" t="s">
        <v>87</v>
      </c>
      <c r="B266" s="93" t="s">
        <v>458</v>
      </c>
      <c r="C266" s="94">
        <v>168.0</v>
      </c>
      <c r="D266" s="95">
        <f t="shared" si="28"/>
        <v>3150</v>
      </c>
      <c r="E266" s="70" t="s">
        <v>3424</v>
      </c>
      <c r="F266" s="59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idden="1">
      <c r="A267" s="6" t="s">
        <v>87</v>
      </c>
      <c r="B267" s="93" t="s">
        <v>3396</v>
      </c>
      <c r="C267" s="94">
        <v>168.0</v>
      </c>
      <c r="D267" s="95">
        <f t="shared" si="28"/>
        <v>3150</v>
      </c>
      <c r="E267" s="70" t="s">
        <v>3424</v>
      </c>
      <c r="F267" s="59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idden="1">
      <c r="A268" s="6" t="s">
        <v>87</v>
      </c>
      <c r="B268" s="93" t="s">
        <v>3397</v>
      </c>
      <c r="C268" s="94">
        <v>168.0</v>
      </c>
      <c r="D268" s="95">
        <f t="shared" si="28"/>
        <v>3150</v>
      </c>
      <c r="E268" s="70" t="s">
        <v>3424</v>
      </c>
      <c r="F268" s="59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idden="1">
      <c r="A269" s="6" t="s">
        <v>87</v>
      </c>
      <c r="B269" s="93" t="s">
        <v>3398</v>
      </c>
      <c r="C269" s="94">
        <v>168.0</v>
      </c>
      <c r="D269" s="95">
        <f t="shared" si="28"/>
        <v>3150</v>
      </c>
      <c r="E269" s="70" t="s">
        <v>3424</v>
      </c>
      <c r="F269" s="59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idden="1">
      <c r="A270" s="6" t="s">
        <v>87</v>
      </c>
      <c r="B270" s="93" t="s">
        <v>3399</v>
      </c>
      <c r="C270" s="94">
        <v>168.0</v>
      </c>
      <c r="D270" s="95">
        <f t="shared" si="28"/>
        <v>3150</v>
      </c>
      <c r="E270" s="70" t="s">
        <v>3424</v>
      </c>
      <c r="F270" s="59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idden="1">
      <c r="A271" s="6" t="s">
        <v>87</v>
      </c>
      <c r="B271" s="93" t="s">
        <v>3400</v>
      </c>
      <c r="C271" s="94">
        <v>168.0</v>
      </c>
      <c r="D271" s="95">
        <f t="shared" si="28"/>
        <v>3150</v>
      </c>
      <c r="E271" s="70" t="s">
        <v>3424</v>
      </c>
      <c r="F271" s="59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idden="1">
      <c r="A272" s="6" t="s">
        <v>87</v>
      </c>
      <c r="B272" s="93" t="s">
        <v>3402</v>
      </c>
      <c r="C272" s="94">
        <v>168.0</v>
      </c>
      <c r="D272" s="95">
        <f t="shared" si="28"/>
        <v>3150</v>
      </c>
      <c r="E272" s="70" t="s">
        <v>3424</v>
      </c>
      <c r="F272" s="59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idden="1">
      <c r="A273" s="6" t="s">
        <v>87</v>
      </c>
      <c r="B273" s="93" t="s">
        <v>3403</v>
      </c>
      <c r="C273" s="94">
        <v>168.0</v>
      </c>
      <c r="D273" s="95">
        <f>C273*30</f>
        <v>5040</v>
      </c>
      <c r="E273" s="70" t="s">
        <v>3424</v>
      </c>
      <c r="F273" s="59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idden="1">
      <c r="A274" s="6" t="s">
        <v>89</v>
      </c>
      <c r="B274" s="93" t="s">
        <v>3394</v>
      </c>
      <c r="C274" s="94">
        <v>244.0</v>
      </c>
      <c r="D274" s="95">
        <f t="shared" ref="D274:D281" si="29">C274*150/8</f>
        <v>4575</v>
      </c>
      <c r="E274" s="70" t="s">
        <v>3425</v>
      </c>
      <c r="F274" s="59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idden="1">
      <c r="A275" s="6" t="s">
        <v>89</v>
      </c>
      <c r="B275" s="93" t="s">
        <v>458</v>
      </c>
      <c r="C275" s="94">
        <v>244.0</v>
      </c>
      <c r="D275" s="95">
        <f t="shared" si="29"/>
        <v>4575</v>
      </c>
      <c r="E275" s="70" t="s">
        <v>3425</v>
      </c>
      <c r="F275" s="59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idden="1">
      <c r="A276" s="6" t="s">
        <v>89</v>
      </c>
      <c r="B276" s="93" t="s">
        <v>3396</v>
      </c>
      <c r="C276" s="94">
        <v>244.0</v>
      </c>
      <c r="D276" s="95">
        <f t="shared" si="29"/>
        <v>4575</v>
      </c>
      <c r="E276" s="70" t="s">
        <v>3425</v>
      </c>
      <c r="F276" s="59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idden="1">
      <c r="A277" s="6" t="s">
        <v>89</v>
      </c>
      <c r="B277" s="93" t="s">
        <v>3397</v>
      </c>
      <c r="C277" s="94">
        <v>244.0</v>
      </c>
      <c r="D277" s="95">
        <f t="shared" si="29"/>
        <v>4575</v>
      </c>
      <c r="E277" s="70" t="s">
        <v>3425</v>
      </c>
      <c r="F277" s="59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idden="1">
      <c r="A278" s="6" t="s">
        <v>89</v>
      </c>
      <c r="B278" s="93" t="s">
        <v>3398</v>
      </c>
      <c r="C278" s="94">
        <v>244.0</v>
      </c>
      <c r="D278" s="95">
        <f t="shared" si="29"/>
        <v>4575</v>
      </c>
      <c r="E278" s="70" t="s">
        <v>3425</v>
      </c>
      <c r="F278" s="59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idden="1">
      <c r="A279" s="6" t="s">
        <v>89</v>
      </c>
      <c r="B279" s="93" t="s">
        <v>3399</v>
      </c>
      <c r="C279" s="94">
        <v>244.0</v>
      </c>
      <c r="D279" s="95">
        <f t="shared" si="29"/>
        <v>4575</v>
      </c>
      <c r="E279" s="70" t="s">
        <v>3425</v>
      </c>
      <c r="F279" s="59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idden="1">
      <c r="A280" s="6" t="s">
        <v>89</v>
      </c>
      <c r="B280" s="93" t="s">
        <v>3400</v>
      </c>
      <c r="C280" s="94">
        <v>244.0</v>
      </c>
      <c r="D280" s="95">
        <f t="shared" si="29"/>
        <v>4575</v>
      </c>
      <c r="E280" s="70" t="s">
        <v>3425</v>
      </c>
      <c r="F280" s="59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idden="1">
      <c r="A281" s="6" t="s">
        <v>89</v>
      </c>
      <c r="B281" s="93" t="s">
        <v>3402</v>
      </c>
      <c r="C281" s="94">
        <v>244.0</v>
      </c>
      <c r="D281" s="95">
        <f t="shared" si="29"/>
        <v>4575</v>
      </c>
      <c r="E281" s="70" t="s">
        <v>3425</v>
      </c>
      <c r="F281" s="59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idden="1">
      <c r="A282" s="6" t="s">
        <v>89</v>
      </c>
      <c r="B282" s="93" t="s">
        <v>3403</v>
      </c>
      <c r="C282" s="94">
        <v>244.0</v>
      </c>
      <c r="D282" s="95">
        <f>C282*30</f>
        <v>7320</v>
      </c>
      <c r="E282" s="70" t="s">
        <v>3425</v>
      </c>
      <c r="F282" s="59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idden="1">
      <c r="A283" s="6" t="s">
        <v>92</v>
      </c>
      <c r="B283" s="93" t="s">
        <v>3394</v>
      </c>
      <c r="C283" s="94">
        <v>246.5</v>
      </c>
      <c r="D283" s="95">
        <f t="shared" ref="D283:D290" si="30">C283*150/8</f>
        <v>4621.875</v>
      </c>
      <c r="E283" s="59"/>
      <c r="F283" s="59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idden="1">
      <c r="A284" s="6" t="s">
        <v>92</v>
      </c>
      <c r="B284" s="93" t="s">
        <v>458</v>
      </c>
      <c r="C284" s="94">
        <v>246.5</v>
      </c>
      <c r="D284" s="95">
        <f t="shared" si="30"/>
        <v>4621.875</v>
      </c>
      <c r="E284" s="59"/>
      <c r="F284" s="59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idden="1">
      <c r="A285" s="6" t="s">
        <v>92</v>
      </c>
      <c r="B285" s="93" t="s">
        <v>3396</v>
      </c>
      <c r="C285" s="94">
        <v>246.5</v>
      </c>
      <c r="D285" s="95">
        <f t="shared" si="30"/>
        <v>4621.875</v>
      </c>
      <c r="E285" s="59"/>
      <c r="F285" s="59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idden="1">
      <c r="A286" s="6" t="s">
        <v>92</v>
      </c>
      <c r="B286" s="93" t="s">
        <v>3397</v>
      </c>
      <c r="C286" s="94">
        <v>246.5</v>
      </c>
      <c r="D286" s="95">
        <f t="shared" si="30"/>
        <v>4621.875</v>
      </c>
      <c r="E286" s="59"/>
      <c r="F286" s="59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idden="1">
      <c r="A287" s="6" t="s">
        <v>92</v>
      </c>
      <c r="B287" s="93" t="s">
        <v>3398</v>
      </c>
      <c r="C287" s="94">
        <v>246.5</v>
      </c>
      <c r="D287" s="95">
        <f t="shared" si="30"/>
        <v>4621.875</v>
      </c>
      <c r="E287" s="59"/>
      <c r="F287" s="59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idden="1">
      <c r="A288" s="6" t="s">
        <v>92</v>
      </c>
      <c r="B288" s="93" t="s">
        <v>3399</v>
      </c>
      <c r="C288" s="94">
        <v>246.5</v>
      </c>
      <c r="D288" s="95">
        <f t="shared" si="30"/>
        <v>4621.875</v>
      </c>
      <c r="E288" s="59"/>
      <c r="F288" s="59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idden="1">
      <c r="A289" s="6" t="s">
        <v>92</v>
      </c>
      <c r="B289" s="93" t="s">
        <v>3400</v>
      </c>
      <c r="C289" s="94">
        <v>246.5</v>
      </c>
      <c r="D289" s="95">
        <f t="shared" si="30"/>
        <v>4621.875</v>
      </c>
      <c r="E289" s="59"/>
      <c r="F289" s="59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idden="1">
      <c r="A290" s="6" t="s">
        <v>92</v>
      </c>
      <c r="B290" s="93" t="s">
        <v>3402</v>
      </c>
      <c r="C290" s="94">
        <v>246.5</v>
      </c>
      <c r="D290" s="95">
        <f t="shared" si="30"/>
        <v>4621.875</v>
      </c>
      <c r="E290" s="59"/>
      <c r="F290" s="59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idden="1">
      <c r="A291" s="6" t="s">
        <v>92</v>
      </c>
      <c r="B291" s="93" t="s">
        <v>3403</v>
      </c>
      <c r="C291" s="94">
        <v>246.5</v>
      </c>
      <c r="D291" s="95">
        <f>C291*30</f>
        <v>7395</v>
      </c>
      <c r="E291" s="59"/>
      <c r="F291" s="59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idden="1">
      <c r="A292" s="6" t="s">
        <v>95</v>
      </c>
      <c r="B292" s="93" t="s">
        <v>3394</v>
      </c>
      <c r="C292" s="94">
        <v>241.0</v>
      </c>
      <c r="D292" s="95">
        <f t="shared" ref="D292:D299" si="31">C292*150/8</f>
        <v>4518.75</v>
      </c>
      <c r="E292" s="59"/>
      <c r="F292" s="59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idden="1">
      <c r="A293" s="6" t="s">
        <v>95</v>
      </c>
      <c r="B293" s="93" t="s">
        <v>458</v>
      </c>
      <c r="C293" s="94">
        <v>241.0</v>
      </c>
      <c r="D293" s="95">
        <f t="shared" si="31"/>
        <v>4518.75</v>
      </c>
      <c r="E293" s="59"/>
      <c r="F293" s="59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idden="1">
      <c r="A294" s="6" t="s">
        <v>95</v>
      </c>
      <c r="B294" s="93" t="s">
        <v>3396</v>
      </c>
      <c r="C294" s="94">
        <v>241.0</v>
      </c>
      <c r="D294" s="95">
        <f t="shared" si="31"/>
        <v>4518.75</v>
      </c>
      <c r="E294" s="59"/>
      <c r="F294" s="59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idden="1">
      <c r="A295" s="6" t="s">
        <v>95</v>
      </c>
      <c r="B295" s="93" t="s">
        <v>3397</v>
      </c>
      <c r="C295" s="94">
        <v>241.0</v>
      </c>
      <c r="D295" s="95">
        <f t="shared" si="31"/>
        <v>4518.75</v>
      </c>
      <c r="E295" s="59"/>
      <c r="F295" s="59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idden="1">
      <c r="A296" s="6" t="s">
        <v>95</v>
      </c>
      <c r="B296" s="93" t="s">
        <v>3398</v>
      </c>
      <c r="C296" s="94">
        <v>241.0</v>
      </c>
      <c r="D296" s="95">
        <f t="shared" si="31"/>
        <v>4518.75</v>
      </c>
      <c r="E296" s="59"/>
      <c r="F296" s="59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idden="1">
      <c r="A297" s="6" t="s">
        <v>95</v>
      </c>
      <c r="B297" s="93" t="s">
        <v>3399</v>
      </c>
      <c r="C297" s="94">
        <v>241.0</v>
      </c>
      <c r="D297" s="95">
        <f t="shared" si="31"/>
        <v>4518.75</v>
      </c>
      <c r="E297" s="59"/>
      <c r="F297" s="59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idden="1">
      <c r="A298" s="6" t="s">
        <v>95</v>
      </c>
      <c r="B298" s="93" t="s">
        <v>3400</v>
      </c>
      <c r="C298" s="94">
        <v>241.0</v>
      </c>
      <c r="D298" s="95">
        <f t="shared" si="31"/>
        <v>4518.75</v>
      </c>
      <c r="E298" s="59"/>
      <c r="F298" s="59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idden="1">
      <c r="A299" s="6" t="s">
        <v>95</v>
      </c>
      <c r="B299" s="93" t="s">
        <v>3402</v>
      </c>
      <c r="C299" s="94">
        <v>241.0</v>
      </c>
      <c r="D299" s="95">
        <f t="shared" si="31"/>
        <v>4518.75</v>
      </c>
      <c r="E299" s="59"/>
      <c r="F299" s="59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idden="1">
      <c r="A300" s="6" t="s">
        <v>95</v>
      </c>
      <c r="B300" s="93" t="s">
        <v>3403</v>
      </c>
      <c r="C300" s="94">
        <v>241.0</v>
      </c>
      <c r="D300" s="95">
        <f>C300*30</f>
        <v>7230</v>
      </c>
      <c r="E300" s="45"/>
      <c r="F300" s="45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idden="1">
      <c r="A301" s="6" t="s">
        <v>97</v>
      </c>
      <c r="B301" s="93" t="s">
        <v>3394</v>
      </c>
      <c r="C301" s="94">
        <v>241.0</v>
      </c>
      <c r="D301" s="95">
        <f t="shared" ref="D301:D308" si="32">C301*150/8</f>
        <v>4518.75</v>
      </c>
      <c r="E301" s="59"/>
      <c r="F301" s="59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idden="1">
      <c r="A302" s="6" t="s">
        <v>97</v>
      </c>
      <c r="B302" s="93" t="s">
        <v>458</v>
      </c>
      <c r="C302" s="94">
        <v>241.0</v>
      </c>
      <c r="D302" s="95">
        <f t="shared" si="32"/>
        <v>4518.75</v>
      </c>
      <c r="E302" s="59"/>
      <c r="F302" s="59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idden="1">
      <c r="A303" s="6" t="s">
        <v>97</v>
      </c>
      <c r="B303" s="93" t="s">
        <v>3396</v>
      </c>
      <c r="C303" s="94">
        <v>241.0</v>
      </c>
      <c r="D303" s="95">
        <f t="shared" si="32"/>
        <v>4518.75</v>
      </c>
      <c r="E303" s="59"/>
      <c r="F303" s="59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idden="1">
      <c r="A304" s="6" t="s">
        <v>97</v>
      </c>
      <c r="B304" s="93" t="s">
        <v>3397</v>
      </c>
      <c r="C304" s="94">
        <v>241.0</v>
      </c>
      <c r="D304" s="95">
        <f t="shared" si="32"/>
        <v>4518.75</v>
      </c>
      <c r="E304" s="59"/>
      <c r="F304" s="59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idden="1">
      <c r="A305" s="6" t="s">
        <v>97</v>
      </c>
      <c r="B305" s="93" t="s">
        <v>3398</v>
      </c>
      <c r="C305" s="94">
        <v>241.0</v>
      </c>
      <c r="D305" s="95">
        <f t="shared" si="32"/>
        <v>4518.75</v>
      </c>
      <c r="E305" s="59"/>
      <c r="F305" s="59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idden="1">
      <c r="A306" s="6" t="s">
        <v>97</v>
      </c>
      <c r="B306" s="93" t="s">
        <v>3399</v>
      </c>
      <c r="C306" s="94">
        <v>241.0</v>
      </c>
      <c r="D306" s="95">
        <f t="shared" si="32"/>
        <v>4518.75</v>
      </c>
      <c r="E306" s="59"/>
      <c r="F306" s="59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idden="1">
      <c r="A307" s="6" t="s">
        <v>97</v>
      </c>
      <c r="B307" s="93" t="s">
        <v>3400</v>
      </c>
      <c r="C307" s="94">
        <v>241.0</v>
      </c>
      <c r="D307" s="95">
        <f t="shared" si="32"/>
        <v>4518.75</v>
      </c>
      <c r="E307" s="59"/>
      <c r="F307" s="59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idden="1">
      <c r="A308" s="6" t="s">
        <v>97</v>
      </c>
      <c r="B308" s="93" t="s">
        <v>3402</v>
      </c>
      <c r="C308" s="94">
        <v>241.0</v>
      </c>
      <c r="D308" s="95">
        <f t="shared" si="32"/>
        <v>4518.75</v>
      </c>
      <c r="E308" s="59"/>
      <c r="F308" s="59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idden="1">
      <c r="A309" s="6" t="s">
        <v>97</v>
      </c>
      <c r="B309" s="93" t="s">
        <v>3403</v>
      </c>
      <c r="C309" s="94">
        <v>241.0</v>
      </c>
      <c r="D309" s="95">
        <f>C309*30</f>
        <v>7230</v>
      </c>
      <c r="E309" s="70">
        <v>4718.75</v>
      </c>
      <c r="F309" s="59">
        <f>D309-E309</f>
        <v>2511.25</v>
      </c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idden="1">
      <c r="A310" s="6" t="s">
        <v>98</v>
      </c>
      <c r="B310" s="93" t="s">
        <v>3394</v>
      </c>
      <c r="C310" s="94">
        <v>255.0</v>
      </c>
      <c r="D310" s="95">
        <f t="shared" ref="D310:D317" si="33">C310*150/8</f>
        <v>4781.25</v>
      </c>
      <c r="E310" s="59"/>
      <c r="F310" s="59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idden="1">
      <c r="A311" s="6" t="s">
        <v>98</v>
      </c>
      <c r="B311" s="93" t="s">
        <v>458</v>
      </c>
      <c r="C311" s="94">
        <v>255.0</v>
      </c>
      <c r="D311" s="95">
        <f t="shared" si="33"/>
        <v>4781.25</v>
      </c>
      <c r="E311" s="59"/>
      <c r="F311" s="59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idden="1">
      <c r="A312" s="6" t="s">
        <v>98</v>
      </c>
      <c r="B312" s="93" t="s">
        <v>3396</v>
      </c>
      <c r="C312" s="94">
        <v>255.0</v>
      </c>
      <c r="D312" s="95">
        <f t="shared" si="33"/>
        <v>4781.25</v>
      </c>
      <c r="E312" s="59"/>
      <c r="F312" s="59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idden="1">
      <c r="A313" s="6" t="s">
        <v>98</v>
      </c>
      <c r="B313" s="93" t="s">
        <v>3397</v>
      </c>
      <c r="C313" s="94">
        <v>255.0</v>
      </c>
      <c r="D313" s="95">
        <f t="shared" si="33"/>
        <v>4781.25</v>
      </c>
      <c r="E313" s="59"/>
      <c r="F313" s="59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idden="1">
      <c r="A314" s="6" t="s">
        <v>98</v>
      </c>
      <c r="B314" s="93" t="s">
        <v>3398</v>
      </c>
      <c r="C314" s="94">
        <v>255.0</v>
      </c>
      <c r="D314" s="95">
        <f t="shared" si="33"/>
        <v>4781.25</v>
      </c>
      <c r="E314" s="59"/>
      <c r="F314" s="59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idden="1">
      <c r="A315" s="6" t="s">
        <v>98</v>
      </c>
      <c r="B315" s="93" t="s">
        <v>3399</v>
      </c>
      <c r="C315" s="94">
        <v>255.0</v>
      </c>
      <c r="D315" s="95">
        <f t="shared" si="33"/>
        <v>4781.25</v>
      </c>
      <c r="E315" s="59"/>
      <c r="F315" s="59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idden="1">
      <c r="A316" s="6" t="s">
        <v>98</v>
      </c>
      <c r="B316" s="93" t="s">
        <v>3400</v>
      </c>
      <c r="C316" s="94">
        <v>255.0</v>
      </c>
      <c r="D316" s="95">
        <f t="shared" si="33"/>
        <v>4781.25</v>
      </c>
      <c r="E316" s="59"/>
      <c r="F316" s="59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idden="1">
      <c r="A317" s="6" t="s">
        <v>98</v>
      </c>
      <c r="B317" s="93" t="s">
        <v>3402</v>
      </c>
      <c r="C317" s="94">
        <v>255.0</v>
      </c>
      <c r="D317" s="95">
        <f t="shared" si="33"/>
        <v>4781.25</v>
      </c>
      <c r="E317" s="59"/>
      <c r="F317" s="59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idden="1">
      <c r="A318" s="6" t="s">
        <v>98</v>
      </c>
      <c r="B318" s="93" t="s">
        <v>3403</v>
      </c>
      <c r="C318" s="94">
        <v>255.0</v>
      </c>
      <c r="D318" s="95">
        <f>C318*30</f>
        <v>7650</v>
      </c>
      <c r="E318" s="59"/>
      <c r="F318" s="59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idden="1">
      <c r="A319" s="6" t="s">
        <v>99</v>
      </c>
      <c r="B319" s="93" t="s">
        <v>458</v>
      </c>
      <c r="C319" s="94">
        <v>259.5</v>
      </c>
      <c r="D319" s="95">
        <f t="shared" ref="D319:D326" si="34">C319*150/8</f>
        <v>4865.625</v>
      </c>
      <c r="E319" s="59"/>
      <c r="F319" s="59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idden="1">
      <c r="A320" s="6" t="s">
        <v>99</v>
      </c>
      <c r="B320" s="93" t="s">
        <v>3394</v>
      </c>
      <c r="C320" s="94">
        <v>259.5</v>
      </c>
      <c r="D320" s="95">
        <f t="shared" si="34"/>
        <v>4865.625</v>
      </c>
      <c r="E320" s="59"/>
      <c r="F320" s="59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idden="1">
      <c r="A321" s="6" t="s">
        <v>99</v>
      </c>
      <c r="B321" s="93" t="s">
        <v>3396</v>
      </c>
      <c r="C321" s="94">
        <v>259.5</v>
      </c>
      <c r="D321" s="95">
        <f t="shared" si="34"/>
        <v>4865.625</v>
      </c>
      <c r="E321" s="59"/>
      <c r="F321" s="59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idden="1">
      <c r="A322" s="6" t="s">
        <v>99</v>
      </c>
      <c r="B322" s="93" t="s">
        <v>3397</v>
      </c>
      <c r="C322" s="94">
        <v>259.5</v>
      </c>
      <c r="D322" s="95">
        <f t="shared" si="34"/>
        <v>4865.625</v>
      </c>
      <c r="E322" s="59"/>
      <c r="F322" s="59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idden="1">
      <c r="A323" s="6" t="s">
        <v>99</v>
      </c>
      <c r="B323" s="93" t="s">
        <v>3398</v>
      </c>
      <c r="C323" s="94">
        <v>259.5</v>
      </c>
      <c r="D323" s="95">
        <f t="shared" si="34"/>
        <v>4865.625</v>
      </c>
      <c r="E323" s="59"/>
      <c r="F323" s="59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idden="1">
      <c r="A324" s="6" t="s">
        <v>99</v>
      </c>
      <c r="B324" s="93" t="s">
        <v>3399</v>
      </c>
      <c r="C324" s="94">
        <v>259.5</v>
      </c>
      <c r="D324" s="95">
        <f t="shared" si="34"/>
        <v>4865.625</v>
      </c>
      <c r="E324" s="59"/>
      <c r="F324" s="59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idden="1">
      <c r="A325" s="6" t="s">
        <v>99</v>
      </c>
      <c r="B325" s="93" t="s">
        <v>3400</v>
      </c>
      <c r="C325" s="94">
        <v>259.5</v>
      </c>
      <c r="D325" s="95">
        <f t="shared" si="34"/>
        <v>4865.625</v>
      </c>
      <c r="E325" s="59"/>
      <c r="F325" s="59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idden="1">
      <c r="A326" s="6" t="s">
        <v>99</v>
      </c>
      <c r="B326" s="93" t="s">
        <v>3402</v>
      </c>
      <c r="C326" s="94">
        <v>259.5</v>
      </c>
      <c r="D326" s="95">
        <f t="shared" si="34"/>
        <v>4865.625</v>
      </c>
      <c r="E326" s="59"/>
      <c r="F326" s="59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idden="1">
      <c r="A327" s="6" t="s">
        <v>99</v>
      </c>
      <c r="B327" s="93" t="s">
        <v>3403</v>
      </c>
      <c r="C327" s="94">
        <v>259.5</v>
      </c>
      <c r="D327" s="95">
        <f>C327*30</f>
        <v>7785</v>
      </c>
      <c r="E327" s="59"/>
      <c r="F327" s="59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idden="1">
      <c r="A328" s="6" t="s">
        <v>100</v>
      </c>
      <c r="B328" s="93" t="s">
        <v>458</v>
      </c>
      <c r="C328" s="94">
        <v>196.5</v>
      </c>
      <c r="D328" s="95">
        <f t="shared" ref="D328:D335" si="35">C328*150/8</f>
        <v>3684.375</v>
      </c>
      <c r="E328" s="59"/>
      <c r="F328" s="59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idden="1">
      <c r="A329" s="6" t="s">
        <v>100</v>
      </c>
      <c r="B329" s="93" t="s">
        <v>3394</v>
      </c>
      <c r="C329" s="94">
        <v>196.5</v>
      </c>
      <c r="D329" s="95">
        <f t="shared" si="35"/>
        <v>3684.375</v>
      </c>
      <c r="E329" s="59"/>
      <c r="F329" s="59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idden="1">
      <c r="A330" s="6" t="s">
        <v>100</v>
      </c>
      <c r="B330" s="93" t="s">
        <v>3396</v>
      </c>
      <c r="C330" s="94">
        <v>196.5</v>
      </c>
      <c r="D330" s="95">
        <f t="shared" si="35"/>
        <v>3684.375</v>
      </c>
      <c r="E330" s="59"/>
      <c r="F330" s="59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idden="1">
      <c r="A331" s="6" t="s">
        <v>100</v>
      </c>
      <c r="B331" s="93" t="s">
        <v>3397</v>
      </c>
      <c r="C331" s="94">
        <v>196.5</v>
      </c>
      <c r="D331" s="95">
        <f t="shared" si="35"/>
        <v>3684.375</v>
      </c>
      <c r="E331" s="59"/>
      <c r="F331" s="59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idden="1">
      <c r="A332" s="6" t="s">
        <v>100</v>
      </c>
      <c r="B332" s="93" t="s">
        <v>3398</v>
      </c>
      <c r="C332" s="94">
        <v>196.5</v>
      </c>
      <c r="D332" s="95">
        <f t="shared" si="35"/>
        <v>3684.375</v>
      </c>
      <c r="E332" s="59"/>
      <c r="F332" s="59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idden="1">
      <c r="A333" s="6" t="s">
        <v>100</v>
      </c>
      <c r="B333" s="93" t="s">
        <v>3399</v>
      </c>
      <c r="C333" s="94">
        <v>196.5</v>
      </c>
      <c r="D333" s="95">
        <f t="shared" si="35"/>
        <v>3684.375</v>
      </c>
      <c r="E333" s="59"/>
      <c r="F333" s="59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idden="1">
      <c r="A334" s="6" t="s">
        <v>100</v>
      </c>
      <c r="B334" s="93" t="s">
        <v>3400</v>
      </c>
      <c r="C334" s="94">
        <v>196.5</v>
      </c>
      <c r="D334" s="95">
        <f t="shared" si="35"/>
        <v>3684.375</v>
      </c>
      <c r="E334" s="59"/>
      <c r="F334" s="59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idden="1">
      <c r="A335" s="6" t="s">
        <v>100</v>
      </c>
      <c r="B335" s="93" t="s">
        <v>3402</v>
      </c>
      <c r="C335" s="94">
        <v>196.5</v>
      </c>
      <c r="D335" s="95">
        <f t="shared" si="35"/>
        <v>3684.375</v>
      </c>
      <c r="E335" s="59"/>
      <c r="F335" s="59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idden="1">
      <c r="A336" s="6" t="s">
        <v>100</v>
      </c>
      <c r="B336" s="93" t="s">
        <v>3403</v>
      </c>
      <c r="C336" s="94">
        <v>196.5</v>
      </c>
      <c r="D336" s="95">
        <f>C336*30</f>
        <v>5895</v>
      </c>
      <c r="E336" s="59"/>
      <c r="F336" s="59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idden="1">
      <c r="A337" s="6" t="s">
        <v>102</v>
      </c>
      <c r="B337" s="93" t="s">
        <v>458</v>
      </c>
      <c r="C337" s="94">
        <v>208.5</v>
      </c>
      <c r="D337" s="95">
        <f t="shared" ref="D337:D344" si="36">C337*150/8</f>
        <v>3909.375</v>
      </c>
      <c r="E337" s="59"/>
      <c r="F337" s="59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idden="1">
      <c r="A338" s="6" t="s">
        <v>102</v>
      </c>
      <c r="B338" s="93" t="s">
        <v>3394</v>
      </c>
      <c r="C338" s="94">
        <v>208.5</v>
      </c>
      <c r="D338" s="95">
        <f t="shared" si="36"/>
        <v>3909.375</v>
      </c>
      <c r="E338" s="59"/>
      <c r="F338" s="59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idden="1">
      <c r="A339" s="6" t="s">
        <v>102</v>
      </c>
      <c r="B339" s="93" t="s">
        <v>3396</v>
      </c>
      <c r="C339" s="94">
        <v>208.5</v>
      </c>
      <c r="D339" s="95">
        <f t="shared" si="36"/>
        <v>3909.375</v>
      </c>
      <c r="E339" s="59"/>
      <c r="F339" s="59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idden="1">
      <c r="A340" s="6" t="s">
        <v>102</v>
      </c>
      <c r="B340" s="93" t="s">
        <v>3397</v>
      </c>
      <c r="C340" s="94">
        <v>208.5</v>
      </c>
      <c r="D340" s="95">
        <f t="shared" si="36"/>
        <v>3909.375</v>
      </c>
      <c r="E340" s="59"/>
      <c r="F340" s="59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idden="1">
      <c r="A341" s="6" t="s">
        <v>102</v>
      </c>
      <c r="B341" s="93" t="s">
        <v>3398</v>
      </c>
      <c r="C341" s="94">
        <v>208.5</v>
      </c>
      <c r="D341" s="95">
        <f t="shared" si="36"/>
        <v>3909.375</v>
      </c>
      <c r="E341" s="59"/>
      <c r="F341" s="59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idden="1">
      <c r="A342" s="6" t="s">
        <v>102</v>
      </c>
      <c r="B342" s="93" t="s">
        <v>3399</v>
      </c>
      <c r="C342" s="94">
        <v>208.5</v>
      </c>
      <c r="D342" s="95">
        <f t="shared" si="36"/>
        <v>3909.375</v>
      </c>
      <c r="E342" s="59"/>
      <c r="F342" s="59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idden="1">
      <c r="A343" s="6" t="s">
        <v>102</v>
      </c>
      <c r="B343" s="93" t="s">
        <v>3400</v>
      </c>
      <c r="C343" s="94">
        <v>208.5</v>
      </c>
      <c r="D343" s="95">
        <f t="shared" si="36"/>
        <v>3909.375</v>
      </c>
      <c r="E343" s="59"/>
      <c r="F343" s="59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idden="1">
      <c r="A344" s="6" t="s">
        <v>102</v>
      </c>
      <c r="B344" s="93" t="s">
        <v>3402</v>
      </c>
      <c r="C344" s="94">
        <v>208.5</v>
      </c>
      <c r="D344" s="95">
        <f t="shared" si="36"/>
        <v>3909.375</v>
      </c>
      <c r="E344" s="59"/>
      <c r="F344" s="59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idden="1">
      <c r="A345" s="6" t="s">
        <v>102</v>
      </c>
      <c r="B345" s="93" t="s">
        <v>3403</v>
      </c>
      <c r="C345" s="94">
        <v>208.5</v>
      </c>
      <c r="D345" s="95">
        <f>C345*30</f>
        <v>6255</v>
      </c>
      <c r="E345" s="59"/>
      <c r="F345" s="59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idden="1">
      <c r="A346" s="6" t="s">
        <v>104</v>
      </c>
      <c r="B346" s="93" t="s">
        <v>458</v>
      </c>
      <c r="C346" s="94">
        <v>301.0</v>
      </c>
      <c r="D346" s="95">
        <f t="shared" ref="D346:D353" si="37">C346*150/8</f>
        <v>5643.75</v>
      </c>
      <c r="E346" s="59"/>
      <c r="F346" s="59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idden="1">
      <c r="A347" s="6" t="s">
        <v>104</v>
      </c>
      <c r="B347" s="93" t="s">
        <v>3394</v>
      </c>
      <c r="C347" s="94">
        <v>301.0</v>
      </c>
      <c r="D347" s="95">
        <f t="shared" si="37"/>
        <v>5643.75</v>
      </c>
      <c r="E347" s="59"/>
      <c r="F347" s="59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idden="1">
      <c r="A348" s="6" t="s">
        <v>104</v>
      </c>
      <c r="B348" s="93" t="s">
        <v>3396</v>
      </c>
      <c r="C348" s="94">
        <v>301.0</v>
      </c>
      <c r="D348" s="95">
        <f t="shared" si="37"/>
        <v>5643.75</v>
      </c>
      <c r="E348" s="59"/>
      <c r="F348" s="59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idden="1">
      <c r="A349" s="6" t="s">
        <v>104</v>
      </c>
      <c r="B349" s="93" t="s">
        <v>3397</v>
      </c>
      <c r="C349" s="94">
        <v>301.0</v>
      </c>
      <c r="D349" s="95">
        <f t="shared" si="37"/>
        <v>5643.75</v>
      </c>
      <c r="E349" s="59"/>
      <c r="F349" s="59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idden="1">
      <c r="A350" s="6" t="s">
        <v>104</v>
      </c>
      <c r="B350" s="93" t="s">
        <v>3398</v>
      </c>
      <c r="C350" s="94">
        <v>301.0</v>
      </c>
      <c r="D350" s="95">
        <f t="shared" si="37"/>
        <v>5643.75</v>
      </c>
      <c r="E350" s="59"/>
      <c r="F350" s="59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idden="1">
      <c r="A351" s="6" t="s">
        <v>104</v>
      </c>
      <c r="B351" s="93" t="s">
        <v>3399</v>
      </c>
      <c r="C351" s="94">
        <v>301.0</v>
      </c>
      <c r="D351" s="95">
        <f t="shared" si="37"/>
        <v>5643.75</v>
      </c>
      <c r="E351" s="59"/>
      <c r="F351" s="59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idden="1">
      <c r="A352" s="6" t="s">
        <v>104</v>
      </c>
      <c r="B352" s="93" t="s">
        <v>3400</v>
      </c>
      <c r="C352" s="94">
        <v>301.0</v>
      </c>
      <c r="D352" s="95">
        <f t="shared" si="37"/>
        <v>5643.75</v>
      </c>
      <c r="E352" s="59"/>
      <c r="F352" s="59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idden="1">
      <c r="A353" s="6" t="s">
        <v>104</v>
      </c>
      <c r="B353" s="93" t="s">
        <v>3402</v>
      </c>
      <c r="C353" s="94">
        <v>301.0</v>
      </c>
      <c r="D353" s="95">
        <f t="shared" si="37"/>
        <v>5643.75</v>
      </c>
      <c r="E353" s="59"/>
      <c r="F353" s="59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idden="1">
      <c r="A354" s="6" t="s">
        <v>104</v>
      </c>
      <c r="B354" s="93" t="s">
        <v>3403</v>
      </c>
      <c r="C354" s="94">
        <v>301.0</v>
      </c>
      <c r="D354" s="95">
        <f>C354*30</f>
        <v>9030</v>
      </c>
      <c r="E354" s="59"/>
      <c r="F354" s="59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idden="1">
      <c r="A355" s="6" t="s">
        <v>105</v>
      </c>
      <c r="B355" s="93" t="s">
        <v>458</v>
      </c>
      <c r="C355" s="94">
        <v>235.5</v>
      </c>
      <c r="D355" s="95">
        <f t="shared" ref="D355:D362" si="38">C355*150/8</f>
        <v>4415.625</v>
      </c>
      <c r="E355" s="59"/>
      <c r="F355" s="59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idden="1">
      <c r="A356" s="6" t="s">
        <v>105</v>
      </c>
      <c r="B356" s="93" t="s">
        <v>3394</v>
      </c>
      <c r="C356" s="94">
        <v>235.5</v>
      </c>
      <c r="D356" s="95">
        <f t="shared" si="38"/>
        <v>4415.625</v>
      </c>
      <c r="E356" s="59"/>
      <c r="F356" s="59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idden="1">
      <c r="A357" s="6" t="s">
        <v>105</v>
      </c>
      <c r="B357" s="93" t="s">
        <v>3396</v>
      </c>
      <c r="C357" s="94">
        <v>235.5</v>
      </c>
      <c r="D357" s="95">
        <f t="shared" si="38"/>
        <v>4415.625</v>
      </c>
      <c r="E357" s="59"/>
      <c r="F357" s="59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idden="1">
      <c r="A358" s="6" t="s">
        <v>105</v>
      </c>
      <c r="B358" s="93" t="s">
        <v>3397</v>
      </c>
      <c r="C358" s="94">
        <v>235.5</v>
      </c>
      <c r="D358" s="95">
        <f t="shared" si="38"/>
        <v>4415.625</v>
      </c>
      <c r="E358" s="59"/>
      <c r="F358" s="59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idden="1">
      <c r="A359" s="6" t="s">
        <v>105</v>
      </c>
      <c r="B359" s="93" t="s">
        <v>3398</v>
      </c>
      <c r="C359" s="94">
        <v>235.5</v>
      </c>
      <c r="D359" s="95">
        <f t="shared" si="38"/>
        <v>4415.625</v>
      </c>
      <c r="E359" s="59"/>
      <c r="F359" s="59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idden="1">
      <c r="A360" s="6" t="s">
        <v>105</v>
      </c>
      <c r="B360" s="93" t="s">
        <v>3399</v>
      </c>
      <c r="C360" s="94">
        <v>235.5</v>
      </c>
      <c r="D360" s="95">
        <f t="shared" si="38"/>
        <v>4415.625</v>
      </c>
      <c r="E360" s="59"/>
      <c r="F360" s="59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idden="1">
      <c r="A361" s="6" t="s">
        <v>105</v>
      </c>
      <c r="B361" s="93" t="s">
        <v>3400</v>
      </c>
      <c r="C361" s="94">
        <v>235.5</v>
      </c>
      <c r="D361" s="95">
        <f t="shared" si="38"/>
        <v>4415.625</v>
      </c>
      <c r="E361" s="59"/>
      <c r="F361" s="59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idden="1">
      <c r="A362" s="6" t="s">
        <v>105</v>
      </c>
      <c r="B362" s="93" t="s">
        <v>3402</v>
      </c>
      <c r="C362" s="94">
        <v>235.5</v>
      </c>
      <c r="D362" s="95">
        <f t="shared" si="38"/>
        <v>4415.625</v>
      </c>
      <c r="E362" s="59"/>
      <c r="F362" s="59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idden="1">
      <c r="A363" s="6" t="s">
        <v>105</v>
      </c>
      <c r="B363" s="93" t="s">
        <v>3403</v>
      </c>
      <c r="C363" s="94">
        <v>235.5</v>
      </c>
      <c r="D363" s="95">
        <f>C363*30</f>
        <v>7065</v>
      </c>
      <c r="E363" s="59"/>
      <c r="F363" s="59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idden="1">
      <c r="A364" s="6" t="s">
        <v>106</v>
      </c>
      <c r="B364" s="93" t="s">
        <v>458</v>
      </c>
      <c r="C364" s="94">
        <v>218.0</v>
      </c>
      <c r="D364" s="95">
        <f t="shared" ref="D364:D371" si="39">C364*150/8</f>
        <v>4087.5</v>
      </c>
      <c r="E364" s="59"/>
      <c r="F364" s="59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idden="1">
      <c r="A365" s="6" t="s">
        <v>106</v>
      </c>
      <c r="B365" s="93" t="s">
        <v>3394</v>
      </c>
      <c r="C365" s="94">
        <v>218.0</v>
      </c>
      <c r="D365" s="95">
        <f t="shared" si="39"/>
        <v>4087.5</v>
      </c>
      <c r="E365" s="59"/>
      <c r="F365" s="59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idden="1">
      <c r="A366" s="6" t="s">
        <v>106</v>
      </c>
      <c r="B366" s="93" t="s">
        <v>3396</v>
      </c>
      <c r="C366" s="94">
        <v>218.0</v>
      </c>
      <c r="D366" s="95">
        <f t="shared" si="39"/>
        <v>4087.5</v>
      </c>
      <c r="E366" s="59"/>
      <c r="F366" s="59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idden="1">
      <c r="A367" s="6" t="s">
        <v>106</v>
      </c>
      <c r="B367" s="93" t="s">
        <v>3397</v>
      </c>
      <c r="C367" s="94">
        <v>218.0</v>
      </c>
      <c r="D367" s="95">
        <f t="shared" si="39"/>
        <v>4087.5</v>
      </c>
      <c r="E367" s="59"/>
      <c r="F367" s="59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idden="1">
      <c r="A368" s="6" t="s">
        <v>106</v>
      </c>
      <c r="B368" s="93" t="s">
        <v>3398</v>
      </c>
      <c r="C368" s="94">
        <v>218.0</v>
      </c>
      <c r="D368" s="95">
        <f t="shared" si="39"/>
        <v>4087.5</v>
      </c>
      <c r="E368" s="59"/>
      <c r="F368" s="59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idden="1">
      <c r="A369" s="6" t="s">
        <v>106</v>
      </c>
      <c r="B369" s="93" t="s">
        <v>3399</v>
      </c>
      <c r="C369" s="94">
        <v>218.0</v>
      </c>
      <c r="D369" s="95">
        <f t="shared" si="39"/>
        <v>4087.5</v>
      </c>
      <c r="E369" s="59"/>
      <c r="F369" s="59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idden="1">
      <c r="A370" s="6" t="s">
        <v>106</v>
      </c>
      <c r="B370" s="93" t="s">
        <v>3400</v>
      </c>
      <c r="C370" s="94">
        <v>218.0</v>
      </c>
      <c r="D370" s="95">
        <f t="shared" si="39"/>
        <v>4087.5</v>
      </c>
      <c r="E370" s="59"/>
      <c r="F370" s="59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idden="1">
      <c r="A371" s="6" t="s">
        <v>106</v>
      </c>
      <c r="B371" s="93" t="s">
        <v>3402</v>
      </c>
      <c r="C371" s="94">
        <v>218.0</v>
      </c>
      <c r="D371" s="95">
        <f t="shared" si="39"/>
        <v>4087.5</v>
      </c>
      <c r="E371" s="59"/>
      <c r="F371" s="59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idden="1">
      <c r="A372" s="6" t="s">
        <v>106</v>
      </c>
      <c r="B372" s="93" t="s">
        <v>3403</v>
      </c>
      <c r="C372" s="94">
        <v>218.0</v>
      </c>
      <c r="D372" s="95">
        <f>C372*30</f>
        <v>6540</v>
      </c>
      <c r="E372" s="59"/>
      <c r="F372" s="59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idden="1">
      <c r="A373" s="6" t="s">
        <v>107</v>
      </c>
      <c r="B373" s="93" t="s">
        <v>458</v>
      </c>
      <c r="C373" s="94">
        <v>184.5</v>
      </c>
      <c r="D373" s="95">
        <f t="shared" ref="D373:D380" si="40">C373*150/8</f>
        <v>3459.375</v>
      </c>
      <c r="E373" s="97"/>
      <c r="F373" s="97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idden="1">
      <c r="A374" s="6" t="s">
        <v>107</v>
      </c>
      <c r="B374" s="93" t="s">
        <v>3394</v>
      </c>
      <c r="C374" s="94">
        <v>184.5</v>
      </c>
      <c r="D374" s="95">
        <f t="shared" si="40"/>
        <v>3459.375</v>
      </c>
      <c r="E374" s="97"/>
      <c r="F374" s="97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idden="1">
      <c r="A375" s="6" t="s">
        <v>107</v>
      </c>
      <c r="B375" s="93" t="s">
        <v>3396</v>
      </c>
      <c r="C375" s="94">
        <v>184.5</v>
      </c>
      <c r="D375" s="95">
        <f t="shared" si="40"/>
        <v>3459.375</v>
      </c>
      <c r="E375" s="97"/>
      <c r="F375" s="97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idden="1">
      <c r="A376" s="6" t="s">
        <v>107</v>
      </c>
      <c r="B376" s="93" t="s">
        <v>3397</v>
      </c>
      <c r="C376" s="94">
        <v>184.5</v>
      </c>
      <c r="D376" s="95">
        <f t="shared" si="40"/>
        <v>3459.375</v>
      </c>
      <c r="E376" s="97"/>
      <c r="F376" s="97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idden="1">
      <c r="A377" s="6" t="s">
        <v>107</v>
      </c>
      <c r="B377" s="93" t="s">
        <v>3398</v>
      </c>
      <c r="C377" s="94">
        <v>184.5</v>
      </c>
      <c r="D377" s="95">
        <f t="shared" si="40"/>
        <v>3459.375</v>
      </c>
      <c r="E377" s="97"/>
      <c r="F377" s="97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idden="1">
      <c r="A378" s="6" t="s">
        <v>107</v>
      </c>
      <c r="B378" s="93" t="s">
        <v>3399</v>
      </c>
      <c r="C378" s="94">
        <v>184.5</v>
      </c>
      <c r="D378" s="95">
        <f t="shared" si="40"/>
        <v>3459.375</v>
      </c>
      <c r="E378" s="97"/>
      <c r="F378" s="97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idden="1">
      <c r="A379" s="6" t="s">
        <v>107</v>
      </c>
      <c r="B379" s="93" t="s">
        <v>3400</v>
      </c>
      <c r="C379" s="94">
        <v>184.5</v>
      </c>
      <c r="D379" s="95">
        <f t="shared" si="40"/>
        <v>3459.375</v>
      </c>
      <c r="E379" s="97"/>
      <c r="F379" s="97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idden="1">
      <c r="A380" s="6" t="s">
        <v>107</v>
      </c>
      <c r="B380" s="93" t="s">
        <v>3402</v>
      </c>
      <c r="C380" s="94">
        <v>184.5</v>
      </c>
      <c r="D380" s="95">
        <f t="shared" si="40"/>
        <v>3459.375</v>
      </c>
      <c r="E380" s="97"/>
      <c r="F380" s="97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idden="1">
      <c r="A381" s="6" t="s">
        <v>107</v>
      </c>
      <c r="B381" s="93" t="s">
        <v>3403</v>
      </c>
      <c r="C381" s="94">
        <v>184.5</v>
      </c>
      <c r="D381" s="95">
        <f>C381*30</f>
        <v>5535</v>
      </c>
      <c r="E381" s="97"/>
      <c r="F381" s="97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idden="1">
      <c r="A382" s="6" t="s">
        <v>108</v>
      </c>
      <c r="B382" s="13" t="s">
        <v>458</v>
      </c>
      <c r="C382" s="15">
        <v>233.0</v>
      </c>
      <c r="D382" s="45">
        <f t="shared" ref="D382:D389" si="41">C382*150/8</f>
        <v>4368.75</v>
      </c>
      <c r="E382" s="59"/>
      <c r="F382" s="59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idden="1">
      <c r="A383" s="6" t="s">
        <v>108</v>
      </c>
      <c r="B383" s="7" t="s">
        <v>3394</v>
      </c>
      <c r="C383" s="15">
        <v>233.0</v>
      </c>
      <c r="D383" s="45">
        <f t="shared" si="41"/>
        <v>4368.75</v>
      </c>
      <c r="E383" s="59"/>
      <c r="F383" s="59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idden="1">
      <c r="A384" s="6" t="s">
        <v>108</v>
      </c>
      <c r="B384" s="7" t="s">
        <v>3396</v>
      </c>
      <c r="C384" s="15">
        <v>233.0</v>
      </c>
      <c r="D384" s="45">
        <f t="shared" si="41"/>
        <v>4368.75</v>
      </c>
      <c r="E384" s="59"/>
      <c r="F384" s="59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idden="1">
      <c r="A385" s="6" t="s">
        <v>108</v>
      </c>
      <c r="B385" s="7" t="s">
        <v>3397</v>
      </c>
      <c r="C385" s="15">
        <v>233.0</v>
      </c>
      <c r="D385" s="45">
        <f t="shared" si="41"/>
        <v>4368.75</v>
      </c>
      <c r="E385" s="59"/>
      <c r="F385" s="59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idden="1">
      <c r="A386" s="6" t="s">
        <v>108</v>
      </c>
      <c r="B386" s="7" t="s">
        <v>3398</v>
      </c>
      <c r="C386" s="15">
        <v>233.0</v>
      </c>
      <c r="D386" s="45">
        <f t="shared" si="41"/>
        <v>4368.75</v>
      </c>
      <c r="E386" s="59"/>
      <c r="F386" s="59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idden="1">
      <c r="A387" s="6" t="s">
        <v>108</v>
      </c>
      <c r="B387" s="7" t="s">
        <v>3399</v>
      </c>
      <c r="C387" s="15">
        <v>233.0</v>
      </c>
      <c r="D387" s="45">
        <f t="shared" si="41"/>
        <v>4368.75</v>
      </c>
      <c r="E387" s="59"/>
      <c r="F387" s="59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idden="1">
      <c r="A388" s="6" t="s">
        <v>108</v>
      </c>
      <c r="B388" s="7" t="s">
        <v>3400</v>
      </c>
      <c r="C388" s="15">
        <v>233.0</v>
      </c>
      <c r="D388" s="45">
        <f t="shared" si="41"/>
        <v>4368.75</v>
      </c>
      <c r="E388" s="59"/>
      <c r="F388" s="59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idden="1">
      <c r="A389" s="6" t="s">
        <v>108</v>
      </c>
      <c r="B389" s="7" t="s">
        <v>3402</v>
      </c>
      <c r="C389" s="15">
        <v>233.0</v>
      </c>
      <c r="D389" s="45">
        <f t="shared" si="41"/>
        <v>4368.75</v>
      </c>
      <c r="E389" s="59"/>
      <c r="F389" s="59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idden="1">
      <c r="A390" s="6" t="s">
        <v>108</v>
      </c>
      <c r="B390" s="7" t="s">
        <v>3403</v>
      </c>
      <c r="C390" s="15">
        <v>233.0</v>
      </c>
      <c r="D390" s="45">
        <f>C390*30</f>
        <v>6990</v>
      </c>
      <c r="E390" s="59"/>
      <c r="F390" s="59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idden="1">
      <c r="A391" s="6" t="s">
        <v>109</v>
      </c>
      <c r="B391" s="13" t="s">
        <v>458</v>
      </c>
      <c r="C391" s="15">
        <v>228.0</v>
      </c>
      <c r="D391" s="45">
        <f t="shared" ref="D391:D398" si="42">C391*150/8</f>
        <v>4275</v>
      </c>
      <c r="E391" s="59"/>
      <c r="F391" s="59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idden="1">
      <c r="A392" s="6" t="s">
        <v>109</v>
      </c>
      <c r="B392" s="7" t="s">
        <v>3394</v>
      </c>
      <c r="C392" s="15">
        <v>228.0</v>
      </c>
      <c r="D392" s="45">
        <f t="shared" si="42"/>
        <v>4275</v>
      </c>
      <c r="E392" s="59"/>
      <c r="F392" s="59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idden="1">
      <c r="A393" s="6" t="s">
        <v>109</v>
      </c>
      <c r="B393" s="7" t="s">
        <v>3396</v>
      </c>
      <c r="C393" s="15">
        <v>228.0</v>
      </c>
      <c r="D393" s="45">
        <f t="shared" si="42"/>
        <v>4275</v>
      </c>
      <c r="E393" s="59"/>
      <c r="F393" s="59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idden="1">
      <c r="A394" s="6" t="s">
        <v>109</v>
      </c>
      <c r="B394" s="7" t="s">
        <v>3397</v>
      </c>
      <c r="C394" s="15">
        <v>228.0</v>
      </c>
      <c r="D394" s="45">
        <f t="shared" si="42"/>
        <v>4275</v>
      </c>
      <c r="E394" s="59"/>
      <c r="F394" s="59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idden="1">
      <c r="A395" s="6" t="s">
        <v>109</v>
      </c>
      <c r="B395" s="7" t="s">
        <v>3398</v>
      </c>
      <c r="C395" s="15">
        <v>228.0</v>
      </c>
      <c r="D395" s="45">
        <f t="shared" si="42"/>
        <v>4275</v>
      </c>
      <c r="E395" s="59"/>
      <c r="F395" s="59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idden="1">
      <c r="A396" s="6" t="s">
        <v>109</v>
      </c>
      <c r="B396" s="7" t="s">
        <v>3399</v>
      </c>
      <c r="C396" s="15">
        <v>228.0</v>
      </c>
      <c r="D396" s="45">
        <f t="shared" si="42"/>
        <v>4275</v>
      </c>
      <c r="E396" s="59"/>
      <c r="F396" s="59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idden="1">
      <c r="A397" s="6" t="s">
        <v>109</v>
      </c>
      <c r="B397" s="7" t="s">
        <v>3400</v>
      </c>
      <c r="C397" s="15">
        <v>228.0</v>
      </c>
      <c r="D397" s="45">
        <f t="shared" si="42"/>
        <v>4275</v>
      </c>
      <c r="E397" s="59"/>
      <c r="F397" s="59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idden="1">
      <c r="A398" s="6" t="s">
        <v>109</v>
      </c>
      <c r="B398" s="7" t="s">
        <v>3402</v>
      </c>
      <c r="C398" s="15">
        <v>228.0</v>
      </c>
      <c r="D398" s="45">
        <f t="shared" si="42"/>
        <v>4275</v>
      </c>
      <c r="E398" s="59"/>
      <c r="F398" s="59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idden="1">
      <c r="A399" s="6" t="s">
        <v>109</v>
      </c>
      <c r="B399" s="7" t="s">
        <v>3403</v>
      </c>
      <c r="C399" s="15">
        <v>228.0</v>
      </c>
      <c r="D399" s="45">
        <f>C399*30</f>
        <v>6840</v>
      </c>
      <c r="E399" s="59"/>
      <c r="F399" s="59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idden="1">
      <c r="A400" s="6" t="s">
        <v>110</v>
      </c>
      <c r="B400" s="7" t="s">
        <v>3394</v>
      </c>
      <c r="C400" s="15">
        <v>178.5</v>
      </c>
      <c r="D400" s="45">
        <f t="shared" ref="D400:D407" si="43">C400*150/8</f>
        <v>3346.875</v>
      </c>
      <c r="E400" s="59"/>
      <c r="F400" s="59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idden="1">
      <c r="A401" s="6" t="s">
        <v>110</v>
      </c>
      <c r="B401" s="7" t="s">
        <v>3396</v>
      </c>
      <c r="C401" s="15">
        <v>178.5</v>
      </c>
      <c r="D401" s="45">
        <f t="shared" si="43"/>
        <v>3346.875</v>
      </c>
      <c r="E401" s="59"/>
      <c r="F401" s="59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idden="1">
      <c r="A402" s="6" t="s">
        <v>110</v>
      </c>
      <c r="B402" s="7" t="s">
        <v>3397</v>
      </c>
      <c r="C402" s="15">
        <v>178.5</v>
      </c>
      <c r="D402" s="45">
        <f t="shared" si="43"/>
        <v>3346.875</v>
      </c>
      <c r="E402" s="59"/>
      <c r="F402" s="59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idden="1">
      <c r="A403" s="6" t="s">
        <v>110</v>
      </c>
      <c r="B403" s="7" t="s">
        <v>3398</v>
      </c>
      <c r="C403" s="15">
        <v>178.5</v>
      </c>
      <c r="D403" s="45">
        <f t="shared" si="43"/>
        <v>3346.875</v>
      </c>
      <c r="E403" s="59"/>
      <c r="F403" s="59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idden="1">
      <c r="A404" s="6" t="s">
        <v>110</v>
      </c>
      <c r="B404" s="7" t="s">
        <v>3399</v>
      </c>
      <c r="C404" s="15">
        <v>178.5</v>
      </c>
      <c r="D404" s="45">
        <f t="shared" si="43"/>
        <v>3346.875</v>
      </c>
      <c r="E404" s="59"/>
      <c r="F404" s="59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idden="1">
      <c r="A405" s="6" t="s">
        <v>110</v>
      </c>
      <c r="B405" s="7" t="s">
        <v>3400</v>
      </c>
      <c r="C405" s="15">
        <v>178.5</v>
      </c>
      <c r="D405" s="45">
        <f t="shared" si="43"/>
        <v>3346.875</v>
      </c>
      <c r="E405" s="59"/>
      <c r="F405" s="59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idden="1">
      <c r="A406" s="6" t="s">
        <v>110</v>
      </c>
      <c r="B406" s="7" t="s">
        <v>3402</v>
      </c>
      <c r="C406" s="15">
        <v>178.5</v>
      </c>
      <c r="D406" s="45">
        <f t="shared" si="43"/>
        <v>3346.875</v>
      </c>
      <c r="E406" s="59"/>
      <c r="F406" s="59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idden="1">
      <c r="A407" s="6" t="s">
        <v>110</v>
      </c>
      <c r="B407" s="7" t="s">
        <v>3341</v>
      </c>
      <c r="C407" s="15">
        <v>178.5</v>
      </c>
      <c r="D407" s="45">
        <f t="shared" si="43"/>
        <v>3346.875</v>
      </c>
      <c r="E407" s="59"/>
      <c r="F407" s="59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idden="1">
      <c r="A408" s="6" t="s">
        <v>110</v>
      </c>
      <c r="B408" s="7" t="s">
        <v>3403</v>
      </c>
      <c r="C408" s="15">
        <v>178.5</v>
      </c>
      <c r="D408" s="45">
        <f>C408*30</f>
        <v>5355</v>
      </c>
      <c r="E408" s="59"/>
      <c r="F408" s="59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idden="1">
      <c r="A409" s="6" t="s">
        <v>10</v>
      </c>
      <c r="B409" s="7" t="s">
        <v>3394</v>
      </c>
      <c r="C409" s="15">
        <v>183.0</v>
      </c>
      <c r="D409" s="45">
        <f t="shared" ref="D409:D416" si="44">C409*150/8</f>
        <v>3431.25</v>
      </c>
      <c r="E409" s="59"/>
      <c r="F409" s="59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idden="1">
      <c r="A410" s="6" t="s">
        <v>10</v>
      </c>
      <c r="B410" s="7" t="s">
        <v>3396</v>
      </c>
      <c r="C410" s="15">
        <v>183.0</v>
      </c>
      <c r="D410" s="45">
        <f t="shared" si="44"/>
        <v>3431.25</v>
      </c>
      <c r="E410" s="59"/>
      <c r="F410" s="59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idden="1">
      <c r="A411" s="6" t="s">
        <v>10</v>
      </c>
      <c r="B411" s="7" t="s">
        <v>3397</v>
      </c>
      <c r="C411" s="15">
        <v>183.0</v>
      </c>
      <c r="D411" s="45">
        <f t="shared" si="44"/>
        <v>3431.25</v>
      </c>
      <c r="E411" s="59"/>
      <c r="F411" s="59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idden="1">
      <c r="A412" s="6" t="s">
        <v>10</v>
      </c>
      <c r="B412" s="7" t="s">
        <v>3398</v>
      </c>
      <c r="C412" s="15">
        <v>183.0</v>
      </c>
      <c r="D412" s="45">
        <f t="shared" si="44"/>
        <v>3431.25</v>
      </c>
      <c r="E412" s="59"/>
      <c r="F412" s="59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idden="1">
      <c r="A413" s="6" t="s">
        <v>10</v>
      </c>
      <c r="B413" s="7" t="s">
        <v>3399</v>
      </c>
      <c r="C413" s="15">
        <v>183.0</v>
      </c>
      <c r="D413" s="45">
        <f t="shared" si="44"/>
        <v>3431.25</v>
      </c>
      <c r="E413" s="59"/>
      <c r="F413" s="59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idden="1">
      <c r="A414" s="6" t="s">
        <v>10</v>
      </c>
      <c r="B414" s="7" t="s">
        <v>3400</v>
      </c>
      <c r="C414" s="15">
        <v>183.0</v>
      </c>
      <c r="D414" s="45">
        <f t="shared" si="44"/>
        <v>3431.25</v>
      </c>
      <c r="E414" s="59"/>
      <c r="F414" s="59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idden="1">
      <c r="A415" s="6" t="s">
        <v>10</v>
      </c>
      <c r="B415" s="7" t="s">
        <v>3402</v>
      </c>
      <c r="C415" s="15">
        <v>183.0</v>
      </c>
      <c r="D415" s="45">
        <f t="shared" si="44"/>
        <v>3431.25</v>
      </c>
      <c r="E415" s="59"/>
      <c r="F415" s="59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idden="1">
      <c r="A416" s="6" t="s">
        <v>10</v>
      </c>
      <c r="B416" s="7" t="s">
        <v>3341</v>
      </c>
      <c r="C416" s="15">
        <v>183.0</v>
      </c>
      <c r="D416" s="45">
        <f t="shared" si="44"/>
        <v>3431.25</v>
      </c>
      <c r="E416" s="59"/>
      <c r="F416" s="59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idden="1">
      <c r="A417" s="6" t="s">
        <v>10</v>
      </c>
      <c r="B417" s="7" t="s">
        <v>3403</v>
      </c>
      <c r="C417" s="15">
        <v>183.0</v>
      </c>
      <c r="D417" s="45">
        <f>C417*30</f>
        <v>5490</v>
      </c>
      <c r="E417" s="59"/>
      <c r="F417" s="59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idden="1">
      <c r="A418" s="6" t="s">
        <v>24</v>
      </c>
      <c r="B418" s="7" t="s">
        <v>3394</v>
      </c>
      <c r="C418" s="15">
        <v>221.5</v>
      </c>
      <c r="D418" s="45">
        <f t="shared" ref="D418:D425" si="45">C418*150/8</f>
        <v>4153.125</v>
      </c>
      <c r="E418" s="59"/>
      <c r="F418" s="59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idden="1">
      <c r="A419" s="6" t="s">
        <v>24</v>
      </c>
      <c r="B419" s="7" t="s">
        <v>3396</v>
      </c>
      <c r="C419" s="15">
        <v>221.5</v>
      </c>
      <c r="D419" s="45">
        <f t="shared" si="45"/>
        <v>4153.125</v>
      </c>
      <c r="E419" s="59"/>
      <c r="F419" s="59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idden="1">
      <c r="A420" s="6" t="s">
        <v>24</v>
      </c>
      <c r="B420" s="7" t="s">
        <v>3397</v>
      </c>
      <c r="C420" s="15">
        <v>221.5</v>
      </c>
      <c r="D420" s="45">
        <f t="shared" si="45"/>
        <v>4153.125</v>
      </c>
      <c r="E420" s="59"/>
      <c r="F420" s="59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idden="1">
      <c r="A421" s="6" t="s">
        <v>24</v>
      </c>
      <c r="B421" s="7" t="s">
        <v>3398</v>
      </c>
      <c r="C421" s="15">
        <v>221.5</v>
      </c>
      <c r="D421" s="45">
        <f t="shared" si="45"/>
        <v>4153.125</v>
      </c>
      <c r="E421" s="59"/>
      <c r="F421" s="59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idden="1">
      <c r="A422" s="6" t="s">
        <v>24</v>
      </c>
      <c r="B422" s="7" t="s">
        <v>3399</v>
      </c>
      <c r="C422" s="15">
        <v>221.5</v>
      </c>
      <c r="D422" s="45">
        <f t="shared" si="45"/>
        <v>4153.125</v>
      </c>
      <c r="E422" s="59"/>
      <c r="F422" s="59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idden="1">
      <c r="A423" s="6" t="s">
        <v>24</v>
      </c>
      <c r="B423" s="7" t="s">
        <v>3400</v>
      </c>
      <c r="C423" s="15">
        <v>221.5</v>
      </c>
      <c r="D423" s="45">
        <f t="shared" si="45"/>
        <v>4153.125</v>
      </c>
      <c r="E423" s="59"/>
      <c r="F423" s="59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idden="1">
      <c r="A424" s="6" t="s">
        <v>24</v>
      </c>
      <c r="B424" s="7" t="s">
        <v>3402</v>
      </c>
      <c r="C424" s="15">
        <v>221.5</v>
      </c>
      <c r="D424" s="45">
        <f t="shared" si="45"/>
        <v>4153.125</v>
      </c>
      <c r="E424" s="59"/>
      <c r="F424" s="59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idden="1">
      <c r="A425" s="6" t="s">
        <v>24</v>
      </c>
      <c r="B425" s="7" t="s">
        <v>3341</v>
      </c>
      <c r="C425" s="15">
        <v>221.5</v>
      </c>
      <c r="D425" s="45">
        <f t="shared" si="45"/>
        <v>4153.125</v>
      </c>
      <c r="E425" s="59"/>
      <c r="F425" s="59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idden="1">
      <c r="A426" s="6" t="s">
        <v>24</v>
      </c>
      <c r="B426" s="7" t="s">
        <v>3403</v>
      </c>
      <c r="C426" s="15">
        <v>221.5</v>
      </c>
      <c r="D426" s="45">
        <f>C426*30</f>
        <v>6645</v>
      </c>
      <c r="E426" s="59"/>
      <c r="F426" s="59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idden="1">
      <c r="A427" s="6" t="s">
        <v>25</v>
      </c>
      <c r="B427" s="7" t="s">
        <v>3394</v>
      </c>
      <c r="C427" s="15">
        <v>192.0</v>
      </c>
      <c r="D427" s="45">
        <f t="shared" ref="D427:D434" si="46">C427*150/8</f>
        <v>3600</v>
      </c>
      <c r="E427" s="59"/>
      <c r="F427" s="59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idden="1">
      <c r="A428" s="6" t="s">
        <v>25</v>
      </c>
      <c r="B428" s="7" t="s">
        <v>3396</v>
      </c>
      <c r="C428" s="15">
        <v>192.0</v>
      </c>
      <c r="D428" s="45">
        <f t="shared" si="46"/>
        <v>3600</v>
      </c>
      <c r="E428" s="59"/>
      <c r="F428" s="59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idden="1">
      <c r="A429" s="6" t="s">
        <v>25</v>
      </c>
      <c r="B429" s="7" t="s">
        <v>3397</v>
      </c>
      <c r="C429" s="15">
        <v>192.0</v>
      </c>
      <c r="D429" s="45">
        <f t="shared" si="46"/>
        <v>3600</v>
      </c>
      <c r="E429" s="59"/>
      <c r="F429" s="59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idden="1">
      <c r="A430" s="6" t="s">
        <v>25</v>
      </c>
      <c r="B430" s="7" t="s">
        <v>3398</v>
      </c>
      <c r="C430" s="15">
        <v>192.0</v>
      </c>
      <c r="D430" s="45">
        <f t="shared" si="46"/>
        <v>3600</v>
      </c>
      <c r="E430" s="59"/>
      <c r="F430" s="59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idden="1">
      <c r="A431" s="6" t="s">
        <v>25</v>
      </c>
      <c r="B431" s="7" t="s">
        <v>3399</v>
      </c>
      <c r="C431" s="15">
        <v>192.0</v>
      </c>
      <c r="D431" s="45">
        <f t="shared" si="46"/>
        <v>3600</v>
      </c>
      <c r="E431" s="59"/>
      <c r="F431" s="59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idden="1">
      <c r="A432" s="6" t="s">
        <v>25</v>
      </c>
      <c r="B432" s="7" t="s">
        <v>3400</v>
      </c>
      <c r="C432" s="15">
        <v>192.0</v>
      </c>
      <c r="D432" s="45">
        <f t="shared" si="46"/>
        <v>3600</v>
      </c>
      <c r="E432" s="59"/>
      <c r="F432" s="59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idden="1">
      <c r="A433" s="6" t="s">
        <v>25</v>
      </c>
      <c r="B433" s="7" t="s">
        <v>3402</v>
      </c>
      <c r="C433" s="15">
        <v>192.0</v>
      </c>
      <c r="D433" s="45">
        <f t="shared" si="46"/>
        <v>3600</v>
      </c>
      <c r="E433" s="59"/>
      <c r="F433" s="59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idden="1">
      <c r="A434" s="6" t="s">
        <v>25</v>
      </c>
      <c r="B434" s="7" t="s">
        <v>3341</v>
      </c>
      <c r="C434" s="15">
        <v>192.0</v>
      </c>
      <c r="D434" s="45">
        <f t="shared" si="46"/>
        <v>3600</v>
      </c>
      <c r="E434" s="59"/>
      <c r="F434" s="59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idden="1">
      <c r="A435" s="6" t="s">
        <v>25</v>
      </c>
      <c r="B435" s="7" t="s">
        <v>3403</v>
      </c>
      <c r="C435" s="15">
        <v>192.0</v>
      </c>
      <c r="D435" s="45">
        <f>C435*30</f>
        <v>5760</v>
      </c>
      <c r="E435" s="59"/>
      <c r="F435" s="59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idden="1">
      <c r="A436" s="6" t="s">
        <v>26</v>
      </c>
      <c r="B436" s="7" t="s">
        <v>3394</v>
      </c>
      <c r="C436" s="15">
        <v>201.0</v>
      </c>
      <c r="D436" s="45">
        <f t="shared" ref="D436:D443" si="47">C436*150/8</f>
        <v>3768.75</v>
      </c>
      <c r="E436" s="59"/>
      <c r="F436" s="59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idden="1">
      <c r="A437" s="6" t="s">
        <v>26</v>
      </c>
      <c r="B437" s="7" t="s">
        <v>3396</v>
      </c>
      <c r="C437" s="15">
        <v>201.0</v>
      </c>
      <c r="D437" s="45">
        <f t="shared" si="47"/>
        <v>3768.75</v>
      </c>
      <c r="E437" s="59"/>
      <c r="F437" s="59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idden="1">
      <c r="A438" s="6" t="s">
        <v>26</v>
      </c>
      <c r="B438" s="7" t="s">
        <v>3397</v>
      </c>
      <c r="C438" s="15">
        <v>201.0</v>
      </c>
      <c r="D438" s="45">
        <f t="shared" si="47"/>
        <v>3768.75</v>
      </c>
      <c r="E438" s="59"/>
      <c r="F438" s="59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idden="1">
      <c r="A439" s="6" t="s">
        <v>26</v>
      </c>
      <c r="B439" s="7" t="s">
        <v>3398</v>
      </c>
      <c r="C439" s="15">
        <v>201.0</v>
      </c>
      <c r="D439" s="45">
        <f t="shared" si="47"/>
        <v>3768.75</v>
      </c>
      <c r="E439" s="59"/>
      <c r="F439" s="59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idden="1">
      <c r="A440" s="6" t="s">
        <v>26</v>
      </c>
      <c r="B440" s="7" t="s">
        <v>3399</v>
      </c>
      <c r="C440" s="15">
        <v>201.0</v>
      </c>
      <c r="D440" s="45">
        <f t="shared" si="47"/>
        <v>3768.75</v>
      </c>
      <c r="E440" s="59"/>
      <c r="F440" s="59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idden="1">
      <c r="A441" s="6" t="s">
        <v>26</v>
      </c>
      <c r="B441" s="7" t="s">
        <v>3400</v>
      </c>
      <c r="C441" s="15">
        <v>201.0</v>
      </c>
      <c r="D441" s="45">
        <f t="shared" si="47"/>
        <v>3768.75</v>
      </c>
      <c r="E441" s="59"/>
      <c r="F441" s="59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idden="1">
      <c r="A442" s="6" t="s">
        <v>26</v>
      </c>
      <c r="B442" s="7" t="s">
        <v>3402</v>
      </c>
      <c r="C442" s="15">
        <v>201.0</v>
      </c>
      <c r="D442" s="45">
        <f t="shared" si="47"/>
        <v>3768.75</v>
      </c>
      <c r="E442" s="59"/>
      <c r="F442" s="59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idden="1">
      <c r="A443" s="6" t="s">
        <v>26</v>
      </c>
      <c r="B443" s="7" t="s">
        <v>3341</v>
      </c>
      <c r="C443" s="15">
        <v>201.0</v>
      </c>
      <c r="D443" s="45">
        <f t="shared" si="47"/>
        <v>3768.75</v>
      </c>
      <c r="E443" s="59"/>
      <c r="F443" s="59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idden="1">
      <c r="A444" s="6" t="s">
        <v>26</v>
      </c>
      <c r="B444" s="7" t="s">
        <v>3403</v>
      </c>
      <c r="C444" s="15">
        <v>201.0</v>
      </c>
      <c r="D444" s="45">
        <f>C444*30</f>
        <v>6030</v>
      </c>
      <c r="E444" s="59"/>
      <c r="F444" s="59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idden="1">
      <c r="A445" s="6" t="s">
        <v>27</v>
      </c>
      <c r="B445" s="7" t="s">
        <v>3394</v>
      </c>
      <c r="C445" s="15">
        <v>184.0</v>
      </c>
      <c r="D445" s="45">
        <f t="shared" ref="D445:D452" si="48">C445*150/8</f>
        <v>3450</v>
      </c>
      <c r="E445" s="45"/>
      <c r="F445" s="45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idden="1">
      <c r="A446" s="6" t="s">
        <v>27</v>
      </c>
      <c r="B446" s="7" t="s">
        <v>3396</v>
      </c>
      <c r="C446" s="15">
        <v>184.0</v>
      </c>
      <c r="D446" s="45">
        <f t="shared" si="48"/>
        <v>3450</v>
      </c>
      <c r="E446" s="45"/>
      <c r="F446" s="45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idden="1">
      <c r="A447" s="6" t="s">
        <v>27</v>
      </c>
      <c r="B447" s="7" t="s">
        <v>3397</v>
      </c>
      <c r="C447" s="15">
        <v>184.0</v>
      </c>
      <c r="D447" s="45">
        <f t="shared" si="48"/>
        <v>3450</v>
      </c>
      <c r="E447" s="45"/>
      <c r="F447" s="45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idden="1">
      <c r="A448" s="6" t="s">
        <v>27</v>
      </c>
      <c r="B448" s="7" t="s">
        <v>3398</v>
      </c>
      <c r="C448" s="15">
        <v>184.0</v>
      </c>
      <c r="D448" s="45">
        <f t="shared" si="48"/>
        <v>3450</v>
      </c>
      <c r="E448" s="45"/>
      <c r="F448" s="45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idden="1">
      <c r="A449" s="6" t="s">
        <v>27</v>
      </c>
      <c r="B449" s="7" t="s">
        <v>3399</v>
      </c>
      <c r="C449" s="15">
        <v>184.0</v>
      </c>
      <c r="D449" s="45">
        <f t="shared" si="48"/>
        <v>3450</v>
      </c>
      <c r="E449" s="45"/>
      <c r="F449" s="45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idden="1">
      <c r="A450" s="6" t="s">
        <v>27</v>
      </c>
      <c r="B450" s="7" t="s">
        <v>3400</v>
      </c>
      <c r="C450" s="15">
        <v>184.0</v>
      </c>
      <c r="D450" s="45">
        <f t="shared" si="48"/>
        <v>3450</v>
      </c>
      <c r="E450" s="45"/>
      <c r="F450" s="45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idden="1">
      <c r="A451" s="6" t="s">
        <v>27</v>
      </c>
      <c r="B451" s="7" t="s">
        <v>3402</v>
      </c>
      <c r="C451" s="15">
        <v>184.0</v>
      </c>
      <c r="D451" s="45">
        <f t="shared" si="48"/>
        <v>3450</v>
      </c>
      <c r="E451" s="45"/>
      <c r="F451" s="45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idden="1">
      <c r="A452" s="6" t="s">
        <v>27</v>
      </c>
      <c r="B452" s="7" t="s">
        <v>3341</v>
      </c>
      <c r="C452" s="15">
        <v>184.0</v>
      </c>
      <c r="D452" s="45">
        <f t="shared" si="48"/>
        <v>3450</v>
      </c>
      <c r="E452" s="45"/>
      <c r="F452" s="45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idden="1">
      <c r="A453" s="6" t="s">
        <v>27</v>
      </c>
      <c r="B453" s="7" t="s">
        <v>3403</v>
      </c>
      <c r="C453" s="15">
        <v>184.0</v>
      </c>
      <c r="D453" s="45">
        <f>C453*30</f>
        <v>5520</v>
      </c>
      <c r="E453" s="59"/>
      <c r="F453" s="59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idden="1">
      <c r="A454" s="6" t="s">
        <v>28</v>
      </c>
      <c r="B454" s="7" t="s">
        <v>3394</v>
      </c>
      <c r="C454" s="15">
        <v>181.0</v>
      </c>
      <c r="D454" s="45">
        <f t="shared" ref="D454:D461" si="49">C454*150/8</f>
        <v>3393.75</v>
      </c>
      <c r="E454" s="70">
        <v>3008.33</v>
      </c>
      <c r="F454" s="70">
        <f t="shared" ref="F454:F462" si="50">D454-E454</f>
        <v>385.42</v>
      </c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idden="1">
      <c r="A455" s="6" t="s">
        <v>28</v>
      </c>
      <c r="B455" s="7" t="s">
        <v>3396</v>
      </c>
      <c r="C455" s="15">
        <v>181.0</v>
      </c>
      <c r="D455" s="45">
        <f t="shared" si="49"/>
        <v>3393.75</v>
      </c>
      <c r="E455" s="70">
        <v>3008.33</v>
      </c>
      <c r="F455" s="70">
        <f t="shared" si="50"/>
        <v>385.42</v>
      </c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idden="1">
      <c r="A456" s="6" t="s">
        <v>28</v>
      </c>
      <c r="B456" s="7" t="s">
        <v>3397</v>
      </c>
      <c r="C456" s="15">
        <v>181.0</v>
      </c>
      <c r="D456" s="45">
        <f t="shared" si="49"/>
        <v>3393.75</v>
      </c>
      <c r="E456" s="70">
        <v>3008.33</v>
      </c>
      <c r="F456" s="70">
        <f t="shared" si="50"/>
        <v>385.42</v>
      </c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idden="1">
      <c r="A457" s="6" t="s">
        <v>28</v>
      </c>
      <c r="B457" s="7" t="s">
        <v>3398</v>
      </c>
      <c r="C457" s="15">
        <v>181.0</v>
      </c>
      <c r="D457" s="45">
        <f t="shared" si="49"/>
        <v>3393.75</v>
      </c>
      <c r="E457" s="70">
        <v>3008.33</v>
      </c>
      <c r="F457" s="70">
        <f t="shared" si="50"/>
        <v>385.42</v>
      </c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idden="1">
      <c r="A458" s="6" t="s">
        <v>28</v>
      </c>
      <c r="B458" s="7" t="s">
        <v>3399</v>
      </c>
      <c r="C458" s="15">
        <v>181.0</v>
      </c>
      <c r="D458" s="45">
        <f t="shared" si="49"/>
        <v>3393.75</v>
      </c>
      <c r="E458" s="70">
        <v>3008.33</v>
      </c>
      <c r="F458" s="70">
        <f t="shared" si="50"/>
        <v>385.42</v>
      </c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idden="1">
      <c r="A459" s="6" t="s">
        <v>28</v>
      </c>
      <c r="B459" s="7" t="s">
        <v>3400</v>
      </c>
      <c r="C459" s="15">
        <v>181.0</v>
      </c>
      <c r="D459" s="45">
        <f t="shared" si="49"/>
        <v>3393.75</v>
      </c>
      <c r="E459" s="70">
        <v>3008.33</v>
      </c>
      <c r="F459" s="70">
        <f t="shared" si="50"/>
        <v>385.42</v>
      </c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idden="1">
      <c r="A460" s="6" t="s">
        <v>28</v>
      </c>
      <c r="B460" s="7" t="s">
        <v>3402</v>
      </c>
      <c r="C460" s="15">
        <v>181.0</v>
      </c>
      <c r="D460" s="45">
        <f t="shared" si="49"/>
        <v>3393.75</v>
      </c>
      <c r="E460" s="70">
        <v>3008.33</v>
      </c>
      <c r="F460" s="70">
        <f t="shared" si="50"/>
        <v>385.42</v>
      </c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idden="1">
      <c r="A461" s="6" t="s">
        <v>28</v>
      </c>
      <c r="B461" s="7" t="s">
        <v>3341</v>
      </c>
      <c r="C461" s="15">
        <v>181.0</v>
      </c>
      <c r="D461" s="45">
        <f t="shared" si="49"/>
        <v>3393.75</v>
      </c>
      <c r="E461" s="70">
        <v>3008.33</v>
      </c>
      <c r="F461" s="70">
        <f t="shared" si="50"/>
        <v>385.42</v>
      </c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idden="1">
      <c r="A462" s="6" t="s">
        <v>28</v>
      </c>
      <c r="B462" s="13" t="s">
        <v>3403</v>
      </c>
      <c r="C462" s="100">
        <v>181.0</v>
      </c>
      <c r="D462" s="45">
        <f>C462*30</f>
        <v>5430</v>
      </c>
      <c r="E462" s="70">
        <v>5415.0</v>
      </c>
      <c r="F462" s="70">
        <f t="shared" si="50"/>
        <v>15</v>
      </c>
      <c r="G462" s="46"/>
      <c r="H462" s="13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idden="1">
      <c r="A463" s="6" t="s">
        <v>111</v>
      </c>
      <c r="B463" s="7" t="s">
        <v>3394</v>
      </c>
      <c r="C463" s="15">
        <v>219.0</v>
      </c>
      <c r="D463" s="45">
        <f t="shared" ref="D463:D535" si="51">C463*150/9</f>
        <v>3650</v>
      </c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idden="1">
      <c r="A464" s="6" t="s">
        <v>111</v>
      </c>
      <c r="B464" s="7" t="s">
        <v>3410</v>
      </c>
      <c r="C464" s="15">
        <v>219.0</v>
      </c>
      <c r="D464" s="45">
        <f t="shared" si="51"/>
        <v>3650</v>
      </c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idden="1">
      <c r="A465" s="6" t="s">
        <v>111</v>
      </c>
      <c r="B465" s="7" t="s">
        <v>3396</v>
      </c>
      <c r="C465" s="15">
        <v>219.0</v>
      </c>
      <c r="D465" s="45">
        <f t="shared" si="51"/>
        <v>3650</v>
      </c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idden="1">
      <c r="A466" s="6" t="s">
        <v>111</v>
      </c>
      <c r="B466" s="7" t="s">
        <v>3397</v>
      </c>
      <c r="C466" s="15">
        <v>219.0</v>
      </c>
      <c r="D466" s="45">
        <f t="shared" si="51"/>
        <v>3650</v>
      </c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idden="1">
      <c r="A467" s="6" t="s">
        <v>111</v>
      </c>
      <c r="B467" s="7" t="s">
        <v>3398</v>
      </c>
      <c r="C467" s="15">
        <v>219.0</v>
      </c>
      <c r="D467" s="45">
        <f t="shared" si="51"/>
        <v>3650</v>
      </c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idden="1">
      <c r="A468" s="6" t="s">
        <v>111</v>
      </c>
      <c r="B468" s="7" t="s">
        <v>3399</v>
      </c>
      <c r="C468" s="15">
        <v>219.0</v>
      </c>
      <c r="D468" s="45">
        <f t="shared" si="51"/>
        <v>3650</v>
      </c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idden="1">
      <c r="A469" s="6" t="s">
        <v>111</v>
      </c>
      <c r="B469" s="7" t="s">
        <v>3400</v>
      </c>
      <c r="C469" s="15">
        <v>219.0</v>
      </c>
      <c r="D469" s="45">
        <f t="shared" si="51"/>
        <v>3650</v>
      </c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idden="1">
      <c r="A470" s="6" t="s">
        <v>111</v>
      </c>
      <c r="B470" s="7" t="s">
        <v>3402</v>
      </c>
      <c r="C470" s="15">
        <v>219.0</v>
      </c>
      <c r="D470" s="45">
        <f t="shared" si="51"/>
        <v>3650</v>
      </c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idden="1">
      <c r="A471" s="6" t="s">
        <v>111</v>
      </c>
      <c r="B471" s="7" t="s">
        <v>3341</v>
      </c>
      <c r="C471" s="15">
        <v>219.0</v>
      </c>
      <c r="D471" s="45">
        <f t="shared" si="51"/>
        <v>3650</v>
      </c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idden="1">
      <c r="A472" s="6" t="s">
        <v>112</v>
      </c>
      <c r="B472" s="7" t="s">
        <v>3394</v>
      </c>
      <c r="C472" s="15">
        <v>204.0</v>
      </c>
      <c r="D472" s="45">
        <f t="shared" si="51"/>
        <v>3400</v>
      </c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idden="1">
      <c r="A473" s="6" t="s">
        <v>112</v>
      </c>
      <c r="B473" s="7" t="s">
        <v>3410</v>
      </c>
      <c r="C473" s="15">
        <v>204.0</v>
      </c>
      <c r="D473" s="45">
        <f t="shared" si="51"/>
        <v>3400</v>
      </c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idden="1">
      <c r="A474" s="6" t="s">
        <v>112</v>
      </c>
      <c r="B474" s="7" t="s">
        <v>3396</v>
      </c>
      <c r="C474" s="15">
        <v>204.0</v>
      </c>
      <c r="D474" s="45">
        <f t="shared" si="51"/>
        <v>3400</v>
      </c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idden="1">
      <c r="A475" s="6" t="s">
        <v>112</v>
      </c>
      <c r="B475" s="7" t="s">
        <v>3397</v>
      </c>
      <c r="C475" s="15">
        <v>204.0</v>
      </c>
      <c r="D475" s="45">
        <f t="shared" si="51"/>
        <v>3400</v>
      </c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idden="1">
      <c r="A476" s="6" t="s">
        <v>112</v>
      </c>
      <c r="B476" s="7" t="s">
        <v>3398</v>
      </c>
      <c r="C476" s="15">
        <v>204.0</v>
      </c>
      <c r="D476" s="45">
        <f t="shared" si="51"/>
        <v>3400</v>
      </c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idden="1">
      <c r="A477" s="6" t="s">
        <v>112</v>
      </c>
      <c r="B477" s="7" t="s">
        <v>3399</v>
      </c>
      <c r="C477" s="15">
        <v>204.0</v>
      </c>
      <c r="D477" s="45">
        <f t="shared" si="51"/>
        <v>3400</v>
      </c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idden="1">
      <c r="A478" s="6" t="s">
        <v>112</v>
      </c>
      <c r="B478" s="7" t="s">
        <v>3400</v>
      </c>
      <c r="C478" s="15">
        <v>204.0</v>
      </c>
      <c r="D478" s="45">
        <f t="shared" si="51"/>
        <v>3400</v>
      </c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idden="1">
      <c r="A479" s="6" t="s">
        <v>112</v>
      </c>
      <c r="B479" s="7" t="s">
        <v>3402</v>
      </c>
      <c r="C479" s="15">
        <v>204.0</v>
      </c>
      <c r="D479" s="45">
        <f t="shared" si="51"/>
        <v>3400</v>
      </c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idden="1">
      <c r="A480" s="6" t="s">
        <v>112</v>
      </c>
      <c r="B480" s="7" t="s">
        <v>3341</v>
      </c>
      <c r="C480" s="15">
        <v>204.0</v>
      </c>
      <c r="D480" s="45">
        <f t="shared" si="51"/>
        <v>3400</v>
      </c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idden="1">
      <c r="A481" s="6" t="s">
        <v>114</v>
      </c>
      <c r="B481" s="7" t="s">
        <v>3394</v>
      </c>
      <c r="C481" s="15">
        <v>208.0</v>
      </c>
      <c r="D481" s="45">
        <f t="shared" si="51"/>
        <v>3466.666667</v>
      </c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idden="1">
      <c r="A482" s="6" t="s">
        <v>114</v>
      </c>
      <c r="B482" s="7" t="s">
        <v>3410</v>
      </c>
      <c r="C482" s="15">
        <v>208.0</v>
      </c>
      <c r="D482" s="45">
        <f t="shared" si="51"/>
        <v>3466.666667</v>
      </c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idden="1">
      <c r="A483" s="6" t="s">
        <v>114</v>
      </c>
      <c r="B483" s="7" t="s">
        <v>3396</v>
      </c>
      <c r="C483" s="15">
        <v>208.0</v>
      </c>
      <c r="D483" s="45">
        <f t="shared" si="51"/>
        <v>3466.666667</v>
      </c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idden="1">
      <c r="A484" s="6" t="s">
        <v>114</v>
      </c>
      <c r="B484" s="7" t="s">
        <v>3397</v>
      </c>
      <c r="C484" s="15">
        <v>208.0</v>
      </c>
      <c r="D484" s="45">
        <f t="shared" si="51"/>
        <v>3466.666667</v>
      </c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idden="1">
      <c r="A485" s="6" t="s">
        <v>114</v>
      </c>
      <c r="B485" s="7" t="s">
        <v>3398</v>
      </c>
      <c r="C485" s="15">
        <v>208.0</v>
      </c>
      <c r="D485" s="45">
        <f t="shared" si="51"/>
        <v>3466.666667</v>
      </c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idden="1">
      <c r="A486" s="6" t="s">
        <v>114</v>
      </c>
      <c r="B486" s="7" t="s">
        <v>3399</v>
      </c>
      <c r="C486" s="15">
        <v>208.0</v>
      </c>
      <c r="D486" s="45">
        <f t="shared" si="51"/>
        <v>3466.666667</v>
      </c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idden="1">
      <c r="A487" s="6" t="s">
        <v>114</v>
      </c>
      <c r="B487" s="7" t="s">
        <v>3400</v>
      </c>
      <c r="C487" s="15">
        <v>208.0</v>
      </c>
      <c r="D487" s="45">
        <f t="shared" si="51"/>
        <v>3466.666667</v>
      </c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idden="1">
      <c r="A488" s="6" t="s">
        <v>114</v>
      </c>
      <c r="B488" s="7" t="s">
        <v>3402</v>
      </c>
      <c r="C488" s="15">
        <v>208.0</v>
      </c>
      <c r="D488" s="45">
        <f t="shared" si="51"/>
        <v>3466.666667</v>
      </c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idden="1">
      <c r="A489" s="6" t="s">
        <v>114</v>
      </c>
      <c r="B489" s="7" t="s">
        <v>3341</v>
      </c>
      <c r="C489" s="15">
        <v>208.0</v>
      </c>
      <c r="D489" s="45">
        <f t="shared" si="51"/>
        <v>3466.666667</v>
      </c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idden="1">
      <c r="A490" s="20" t="s">
        <v>383</v>
      </c>
      <c r="B490" s="7" t="s">
        <v>3394</v>
      </c>
      <c r="C490" s="15">
        <v>159.5</v>
      </c>
      <c r="D490" s="45">
        <f t="shared" si="51"/>
        <v>2658.333333</v>
      </c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idden="1">
      <c r="A491" s="20" t="s">
        <v>383</v>
      </c>
      <c r="B491" s="7" t="s">
        <v>3410</v>
      </c>
      <c r="C491" s="15">
        <v>159.5</v>
      </c>
      <c r="D491" s="45">
        <f t="shared" si="51"/>
        <v>2658.333333</v>
      </c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idden="1">
      <c r="A492" s="20" t="s">
        <v>383</v>
      </c>
      <c r="B492" s="7" t="s">
        <v>3396</v>
      </c>
      <c r="C492" s="15">
        <v>159.5</v>
      </c>
      <c r="D492" s="45">
        <f t="shared" si="51"/>
        <v>2658.333333</v>
      </c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idden="1">
      <c r="A493" s="20" t="s">
        <v>383</v>
      </c>
      <c r="B493" s="7" t="s">
        <v>3397</v>
      </c>
      <c r="C493" s="15">
        <v>159.5</v>
      </c>
      <c r="D493" s="45">
        <f t="shared" si="51"/>
        <v>2658.333333</v>
      </c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idden="1">
      <c r="A494" s="20" t="s">
        <v>383</v>
      </c>
      <c r="B494" s="7" t="s">
        <v>3398</v>
      </c>
      <c r="C494" s="15">
        <v>159.5</v>
      </c>
      <c r="D494" s="45">
        <f t="shared" si="51"/>
        <v>2658.333333</v>
      </c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idden="1">
      <c r="A495" s="20" t="s">
        <v>383</v>
      </c>
      <c r="B495" s="7" t="s">
        <v>3399</v>
      </c>
      <c r="C495" s="15">
        <v>159.5</v>
      </c>
      <c r="D495" s="45">
        <f t="shared" si="51"/>
        <v>2658.333333</v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idden="1">
      <c r="A496" s="20" t="s">
        <v>383</v>
      </c>
      <c r="B496" s="7" t="s">
        <v>3400</v>
      </c>
      <c r="C496" s="15">
        <v>159.5</v>
      </c>
      <c r="D496" s="45">
        <f t="shared" si="51"/>
        <v>2658.333333</v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idden="1">
      <c r="A497" s="20" t="s">
        <v>383</v>
      </c>
      <c r="B497" s="7" t="s">
        <v>3402</v>
      </c>
      <c r="C497" s="15">
        <v>159.5</v>
      </c>
      <c r="D497" s="45">
        <f t="shared" si="51"/>
        <v>2658.333333</v>
      </c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idden="1">
      <c r="A498" s="20" t="s">
        <v>383</v>
      </c>
      <c r="B498" s="7" t="s">
        <v>3341</v>
      </c>
      <c r="C498" s="15">
        <v>159.5</v>
      </c>
      <c r="D498" s="45">
        <f t="shared" si="51"/>
        <v>2658.333333</v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idden="1">
      <c r="A499" s="24" t="s">
        <v>116</v>
      </c>
      <c r="B499" s="25" t="s">
        <v>3394</v>
      </c>
      <c r="C499" s="25">
        <v>193.0</v>
      </c>
      <c r="D499" s="63">
        <f t="shared" si="51"/>
        <v>3216.666667</v>
      </c>
    </row>
    <row r="500" hidden="1">
      <c r="A500" s="24" t="s">
        <v>116</v>
      </c>
      <c r="B500" s="25" t="s">
        <v>3410</v>
      </c>
      <c r="C500" s="25">
        <v>193.0</v>
      </c>
      <c r="D500" s="63">
        <f t="shared" si="51"/>
        <v>3216.666667</v>
      </c>
    </row>
    <row r="501" hidden="1">
      <c r="A501" s="24" t="s">
        <v>116</v>
      </c>
      <c r="B501" s="25" t="s">
        <v>3396</v>
      </c>
      <c r="C501" s="25">
        <v>193.0</v>
      </c>
      <c r="D501" s="63">
        <f t="shared" si="51"/>
        <v>3216.666667</v>
      </c>
    </row>
    <row r="502" hidden="1">
      <c r="A502" s="24" t="s">
        <v>116</v>
      </c>
      <c r="B502" s="25" t="s">
        <v>3397</v>
      </c>
      <c r="C502" s="25">
        <v>193.0</v>
      </c>
      <c r="D502" s="63">
        <f t="shared" si="51"/>
        <v>3216.666667</v>
      </c>
    </row>
    <row r="503" hidden="1">
      <c r="A503" s="24" t="s">
        <v>116</v>
      </c>
      <c r="B503" s="25" t="s">
        <v>3398</v>
      </c>
      <c r="C503" s="25">
        <v>193.0</v>
      </c>
      <c r="D503" s="63">
        <f t="shared" si="51"/>
        <v>3216.666667</v>
      </c>
    </row>
    <row r="504" hidden="1">
      <c r="A504" s="24" t="s">
        <v>116</v>
      </c>
      <c r="B504" s="25" t="s">
        <v>3399</v>
      </c>
      <c r="C504" s="25">
        <v>193.0</v>
      </c>
      <c r="D504" s="63">
        <f t="shared" si="51"/>
        <v>3216.666667</v>
      </c>
    </row>
    <row r="505" hidden="1">
      <c r="A505" s="24" t="s">
        <v>116</v>
      </c>
      <c r="B505" s="25" t="s">
        <v>3400</v>
      </c>
      <c r="C505" s="25">
        <v>193.0</v>
      </c>
      <c r="D505" s="63">
        <f t="shared" si="51"/>
        <v>3216.666667</v>
      </c>
    </row>
    <row r="506" hidden="1">
      <c r="A506" s="24" t="s">
        <v>116</v>
      </c>
      <c r="B506" s="25" t="s">
        <v>3402</v>
      </c>
      <c r="C506" s="25">
        <v>193.0</v>
      </c>
      <c r="D506" s="63">
        <f t="shared" si="51"/>
        <v>3216.666667</v>
      </c>
    </row>
    <row r="507" hidden="1">
      <c r="A507" s="24" t="s">
        <v>116</v>
      </c>
      <c r="B507" s="25" t="s">
        <v>3341</v>
      </c>
      <c r="C507" s="25">
        <v>193.0</v>
      </c>
      <c r="D507" s="63">
        <f t="shared" si="51"/>
        <v>3216.666667</v>
      </c>
    </row>
    <row r="508" hidden="1">
      <c r="A508" s="24" t="s">
        <v>119</v>
      </c>
      <c r="B508" s="25" t="s">
        <v>3394</v>
      </c>
      <c r="C508" s="25">
        <v>221.0</v>
      </c>
      <c r="D508" s="63">
        <f t="shared" si="51"/>
        <v>3683.333333</v>
      </c>
    </row>
    <row r="509" hidden="1">
      <c r="A509" s="24" t="s">
        <v>119</v>
      </c>
      <c r="B509" s="25" t="s">
        <v>3410</v>
      </c>
      <c r="C509" s="25">
        <v>221.0</v>
      </c>
      <c r="D509" s="63">
        <f t="shared" si="51"/>
        <v>3683.333333</v>
      </c>
    </row>
    <row r="510" hidden="1">
      <c r="A510" s="24" t="s">
        <v>119</v>
      </c>
      <c r="B510" s="25" t="s">
        <v>3396</v>
      </c>
      <c r="C510" s="25">
        <v>221.0</v>
      </c>
      <c r="D510" s="63">
        <f t="shared" si="51"/>
        <v>3683.333333</v>
      </c>
    </row>
    <row r="511" hidden="1">
      <c r="A511" s="24" t="s">
        <v>119</v>
      </c>
      <c r="B511" s="25" t="s">
        <v>3397</v>
      </c>
      <c r="C511" s="25">
        <v>221.0</v>
      </c>
      <c r="D511" s="63">
        <f t="shared" si="51"/>
        <v>3683.333333</v>
      </c>
    </row>
    <row r="512" hidden="1">
      <c r="A512" s="24" t="s">
        <v>119</v>
      </c>
      <c r="B512" s="25" t="s">
        <v>3398</v>
      </c>
      <c r="C512" s="25">
        <v>221.0</v>
      </c>
      <c r="D512" s="63">
        <f t="shared" si="51"/>
        <v>3683.333333</v>
      </c>
    </row>
    <row r="513" hidden="1">
      <c r="A513" s="24" t="s">
        <v>119</v>
      </c>
      <c r="B513" s="25" t="s">
        <v>3399</v>
      </c>
      <c r="C513" s="25">
        <v>221.0</v>
      </c>
      <c r="D513" s="63">
        <f t="shared" si="51"/>
        <v>3683.333333</v>
      </c>
    </row>
    <row r="514" hidden="1">
      <c r="A514" s="24" t="s">
        <v>119</v>
      </c>
      <c r="B514" s="25" t="s">
        <v>3400</v>
      </c>
      <c r="C514" s="25">
        <v>221.0</v>
      </c>
      <c r="D514" s="63">
        <f t="shared" si="51"/>
        <v>3683.333333</v>
      </c>
    </row>
    <row r="515" hidden="1">
      <c r="A515" s="24" t="s">
        <v>119</v>
      </c>
      <c r="B515" s="25" t="s">
        <v>3402</v>
      </c>
      <c r="C515" s="25">
        <v>221.0</v>
      </c>
      <c r="D515" s="63">
        <f t="shared" si="51"/>
        <v>3683.333333</v>
      </c>
    </row>
    <row r="516" hidden="1">
      <c r="A516" s="24" t="s">
        <v>119</v>
      </c>
      <c r="B516" s="25" t="s">
        <v>3341</v>
      </c>
      <c r="C516" s="25">
        <v>221.0</v>
      </c>
      <c r="D516" s="63">
        <f t="shared" si="51"/>
        <v>3683.333333</v>
      </c>
    </row>
    <row r="517" hidden="1">
      <c r="D517" s="63">
        <f t="shared" si="51"/>
        <v>0</v>
      </c>
    </row>
    <row r="518" hidden="1">
      <c r="D518" s="63">
        <f t="shared" si="51"/>
        <v>0</v>
      </c>
    </row>
    <row r="519" hidden="1">
      <c r="D519" s="63">
        <f t="shared" si="51"/>
        <v>0</v>
      </c>
    </row>
    <row r="520" hidden="1">
      <c r="D520" s="63">
        <f t="shared" si="51"/>
        <v>0</v>
      </c>
    </row>
    <row r="521" hidden="1">
      <c r="D521" s="63">
        <f t="shared" si="51"/>
        <v>0</v>
      </c>
    </row>
    <row r="522" hidden="1">
      <c r="D522" s="63">
        <f t="shared" si="51"/>
        <v>0</v>
      </c>
    </row>
    <row r="523" hidden="1">
      <c r="D523" s="63">
        <f t="shared" si="51"/>
        <v>0</v>
      </c>
    </row>
    <row r="524" hidden="1">
      <c r="D524" s="63">
        <f t="shared" si="51"/>
        <v>0</v>
      </c>
    </row>
    <row r="525" hidden="1">
      <c r="D525" s="63">
        <f t="shared" si="51"/>
        <v>0</v>
      </c>
    </row>
    <row r="526" hidden="1">
      <c r="D526" s="63">
        <f t="shared" si="51"/>
        <v>0</v>
      </c>
    </row>
    <row r="527" hidden="1">
      <c r="D527" s="63">
        <f t="shared" si="51"/>
        <v>0</v>
      </c>
    </row>
    <row r="528" hidden="1">
      <c r="D528" s="63">
        <f t="shared" si="51"/>
        <v>0</v>
      </c>
    </row>
    <row r="529" hidden="1">
      <c r="D529" s="63">
        <f t="shared" si="51"/>
        <v>0</v>
      </c>
    </row>
    <row r="530" hidden="1">
      <c r="D530" s="63">
        <f t="shared" si="51"/>
        <v>0</v>
      </c>
    </row>
    <row r="531" hidden="1">
      <c r="D531" s="63">
        <f t="shared" si="51"/>
        <v>0</v>
      </c>
    </row>
    <row r="532" hidden="1">
      <c r="D532" s="63">
        <f t="shared" si="51"/>
        <v>0</v>
      </c>
    </row>
    <row r="533" hidden="1">
      <c r="D533" s="63">
        <f t="shared" si="51"/>
        <v>0</v>
      </c>
    </row>
    <row r="534" hidden="1">
      <c r="D534" s="63">
        <f t="shared" si="51"/>
        <v>0</v>
      </c>
    </row>
    <row r="535" hidden="1">
      <c r="D535" s="63">
        <f t="shared" si="51"/>
        <v>0</v>
      </c>
    </row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</sheetData>
  <autoFilter ref="$A$3:$D$1504">
    <filterColumn colId="0">
      <filters>
        <filter val="Week 3/22/26 - 3/28/26"/>
      </filters>
    </filterColumn>
    <sortState ref="A3:D1504">
      <sortCondition ref="B3:B1504"/>
    </sortState>
  </autoFilter>
  <dataValidations>
    <dataValidation type="list" allowBlank="1" showErrorMessage="1" sqref="A418:A435">
      <formula1>"Week 5/18/25 - 5/24/25,Week 5/25/25 - 5/31/25"</formula1>
    </dataValidation>
    <dataValidation type="list" allowBlank="1" showErrorMessage="1" sqref="A310:A318">
      <formula1>"Week 8/17/25 - 8/23/25"</formula1>
    </dataValidation>
    <dataValidation type="list" allowBlank="1" showErrorMessage="1" sqref="A14:A23">
      <formula1>"Week 3/22/26 - 3/28/26"</formula1>
    </dataValidation>
    <dataValidation type="list" allowBlank="1" showErrorMessage="1" sqref="A436:A516">
      <formula1>"Week 3/16/25 - 3/22/25,Week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206:A215">
      <formula1>"Week 11/2/25 - 11/8/25"</formula1>
    </dataValidation>
    <dataValidation type="list" allowBlank="1" showErrorMessage="1" sqref="A355:A363">
      <formula1>"Week 7/13/25 - 7/19/25"</formula1>
    </dataValidation>
    <dataValidation type="list" allowBlank="1" showErrorMessage="1" sqref="A283:A291">
      <formula1>"Week 9/07/25 - 9/13/25"</formula1>
    </dataValidation>
    <dataValidation type="list" allowBlank="1" showErrorMessage="1" sqref="A265:A273">
      <formula1>"Week 9/21/25 - 9/27/25"</formula1>
    </dataValidation>
    <dataValidation type="list" allowBlank="1" showErrorMessage="1" sqref="A274:A282">
      <formula1>"Week 9/14/25 - 9/20/25"</formula1>
    </dataValidation>
    <dataValidation type="list" allowBlank="1" showErrorMessage="1" sqref="A328:A336">
      <formula1>"Week 8/3/25 - 8/9/25"</formula1>
    </dataValidation>
    <dataValidation type="list" allowBlank="1" showErrorMessage="1" sqref="A292:A300">
      <formula1>"Week 8/31/25 - 9/06/25"</formula1>
    </dataValidation>
    <dataValidation type="list" allowBlank="1" showErrorMessage="1" sqref="A166:A175">
      <formula1>"Week 11/30/25 - 12/6/25"</formula1>
    </dataValidation>
    <dataValidation type="list" allowBlank="1" showErrorMessage="1" sqref="A391:A399">
      <formula1>"Week 6/15/25 - 6/21/25"</formula1>
    </dataValidation>
    <dataValidation type="list" allowBlank="1" showErrorMessage="1" sqref="A4:A13">
      <formula1>"Week 2/8/26 - 2/14/26"</formula1>
    </dataValidation>
    <dataValidation type="list" allowBlank="1" showErrorMessage="1" sqref="A34:A43">
      <formula1>"Week 3/8/26 - 3/14/26"</formula1>
    </dataValidation>
    <dataValidation type="list" allowBlank="1" showErrorMessage="1" sqref="A116:A125">
      <formula1>"Week 1/4/26 - 1/10/26"</formula1>
    </dataValidation>
    <dataValidation type="list" allowBlank="1" showErrorMessage="1" sqref="A319:A327">
      <formula1>"Week 8/10/25 - 8/16/25 "</formula1>
    </dataValidation>
    <dataValidation type="list" allowBlank="1" showErrorMessage="1" sqref="A301:A309">
      <formula1>"Week 8/24/25 - 8/30/25"</formula1>
    </dataValidation>
    <dataValidation type="list" allowBlank="1" showErrorMessage="1" sqref="A400:A408">
      <formula1>"Week 6/8/25 - 6/14/25"</formula1>
    </dataValidation>
    <dataValidation type="list" allowBlank="1" showErrorMessage="1" sqref="A74:A84">
      <formula1>"Week 2/1/26 - 2/7/26"</formula1>
    </dataValidation>
    <dataValidation type="list" allowBlank="1" showErrorMessage="1" sqref="A409:A417">
      <formula1>"Week 6/1/25 - 6/7/25"</formula1>
    </dataValidation>
    <dataValidation type="list" allowBlank="1" showErrorMessage="1" sqref="A346:A354">
      <formula1>"Week 7/20/25 - 7/26/25"</formula1>
    </dataValidation>
    <dataValidation type="list" allowBlank="1" showErrorMessage="1" sqref="A136:A145">
      <formula1>"Week 12/21/25 - 12/27/25 "</formula1>
    </dataValidation>
    <dataValidation type="list" allowBlank="1" showErrorMessage="1" sqref="A44:A53">
      <formula1>"Week 3/1/26 - 3/7/26"</formula1>
    </dataValidation>
    <dataValidation type="list" allowBlank="1" showErrorMessage="1" sqref="A337:A345">
      <formula1>"Week 7/27/25 - 8/2/25"</formula1>
    </dataValidation>
    <dataValidation type="list" allowBlank="1" showErrorMessage="1" sqref="A256:A264">
      <formula1>"Week 9/28/25 - 10/4/25"</formula1>
    </dataValidation>
    <dataValidation type="list" allowBlank="1" showErrorMessage="1" sqref="A226:A235">
      <formula1>"Week 10/19/25 - 10/25/25"</formula1>
    </dataValidation>
    <dataValidation type="list" allowBlank="1" showErrorMessage="1" sqref="A382:A390">
      <formula1>"Week 6/22/25 - 6/28/25"</formula1>
    </dataValidation>
    <dataValidation type="list" allowBlank="1" showErrorMessage="1" sqref="A106:A115">
      <formula1>"Week 1/11/26 - 1/17/26"</formula1>
    </dataValidation>
    <dataValidation type="list" allowBlank="1" showErrorMessage="1" sqref="A246:A255">
      <formula1>"Week 10/5/25 - 10/11/25"</formula1>
    </dataValidation>
    <dataValidation type="list" allowBlank="1" showErrorMessage="1" sqref="A54:A63">
      <formula1>"Week 2/22/26 - 2/28/26"</formula1>
    </dataValidation>
    <dataValidation type="list" allowBlank="1" showErrorMessage="1" sqref="A96:A105">
      <formula1>"Week 1/18/26 - 1/24/26"</formula1>
    </dataValidation>
    <dataValidation type="list" allowBlank="1" showErrorMessage="1" sqref="A196:A205">
      <formula1>"Week 11/9/25 - 11/15/25"</formula1>
    </dataValidation>
    <dataValidation type="list" allowBlank="1" showErrorMessage="1" sqref="A364:A372">
      <formula1>"Week 7/6/25 - 7/12/25 "</formula1>
    </dataValidation>
    <dataValidation type="list" allowBlank="1" showErrorMessage="1" sqref="A176:A185">
      <formula1>"Week 11/23/25 - 11/29/25"</formula1>
    </dataValidation>
    <dataValidation type="list" allowBlank="1" showErrorMessage="1" sqref="A373:A381">
      <formula1>"Week 6/29/25 - 7/5/25"</formula1>
    </dataValidation>
    <dataValidation type="list" allowBlank="1" showErrorMessage="1" sqref="A24:A33">
      <formula1>"Week 3/15/26 - 3/21/26"</formula1>
    </dataValidation>
    <dataValidation type="list" allowBlank="1" showErrorMessage="1" sqref="A64:A73">
      <formula1>"Week 2/15/26 - 2/21/26"</formula1>
    </dataValidation>
    <dataValidation type="list" allowBlank="1" showErrorMessage="1" sqref="A85:A95">
      <formula1>"Week 1/25/26 - 1/31/26"</formula1>
    </dataValidation>
    <dataValidation type="list" allowBlank="1" showErrorMessage="1" sqref="A146:A155">
      <formula1>"Week 12/14/25 - 12/20/25"</formula1>
    </dataValidation>
    <dataValidation type="list" allowBlank="1" showErrorMessage="1" sqref="A126:A135">
      <formula1>"Week 12/28/25 - 1/3/25 "</formula1>
    </dataValidation>
    <dataValidation type="list" allowBlank="1" showErrorMessage="1" sqref="A216:A225">
      <formula1>"Week 10/26/25 - 11/1/25"</formula1>
    </dataValidation>
    <dataValidation type="list" allowBlank="1" showErrorMessage="1" sqref="A156:A165">
      <formula1>"Week 12/7/25 - 12/13/25"</formula1>
    </dataValidation>
    <dataValidation type="list" allowBlank="1" showErrorMessage="1" sqref="A186:A195">
      <formula1>"Week 11/16/25 - 11/22/25"</formula1>
    </dataValidation>
    <dataValidation type="list" allowBlank="1" showErrorMessage="1" sqref="A236:A245">
      <formula1>"Week 10/12/25 - 10/18/25"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6.38"/>
  </cols>
  <sheetData>
    <row r="1">
      <c r="A1" s="90" t="s">
        <v>3426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2" t="s">
        <v>2</v>
      </c>
      <c r="B3" s="92" t="s">
        <v>122</v>
      </c>
      <c r="C3" s="92" t="s">
        <v>3393</v>
      </c>
      <c r="D3" s="92" t="s">
        <v>9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6" t="s">
        <v>29</v>
      </c>
      <c r="B4" s="7" t="s">
        <v>3427</v>
      </c>
      <c r="C4" s="94">
        <v>270.5</v>
      </c>
      <c r="D4" s="95">
        <f t="shared" ref="D4:D94" si="1">C4*25</f>
        <v>6762.5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6" t="s">
        <v>29</v>
      </c>
      <c r="B5" s="93" t="s">
        <v>3428</v>
      </c>
      <c r="C5" s="94">
        <v>270.5</v>
      </c>
      <c r="D5" s="95">
        <f t="shared" si="1"/>
        <v>6762.5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idden="1">
      <c r="A6" s="6" t="s">
        <v>38</v>
      </c>
      <c r="B6" s="7" t="s">
        <v>3427</v>
      </c>
      <c r="C6" s="94">
        <v>201.0</v>
      </c>
      <c r="D6" s="95">
        <f t="shared" si="1"/>
        <v>5025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idden="1">
      <c r="A7" s="6" t="s">
        <v>38</v>
      </c>
      <c r="B7" s="93" t="s">
        <v>3428</v>
      </c>
      <c r="C7" s="94">
        <v>201.0</v>
      </c>
      <c r="D7" s="95">
        <f t="shared" si="1"/>
        <v>5025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idden="1">
      <c r="A8" s="6" t="s">
        <v>40</v>
      </c>
      <c r="B8" s="7" t="s">
        <v>3427</v>
      </c>
      <c r="C8" s="94">
        <v>201.5</v>
      </c>
      <c r="D8" s="95">
        <f t="shared" si="1"/>
        <v>5037.5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idden="1">
      <c r="A9" s="6" t="s">
        <v>40</v>
      </c>
      <c r="B9" s="93" t="s">
        <v>3428</v>
      </c>
      <c r="C9" s="94">
        <v>201.5</v>
      </c>
      <c r="D9" s="95">
        <f t="shared" si="1"/>
        <v>5037.5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idden="1">
      <c r="A10" s="6" t="s">
        <v>42</v>
      </c>
      <c r="B10" s="7" t="s">
        <v>3427</v>
      </c>
      <c r="C10" s="94">
        <v>232.0</v>
      </c>
      <c r="D10" s="95">
        <f t="shared" si="1"/>
        <v>5800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idden="1">
      <c r="A11" s="6" t="s">
        <v>42</v>
      </c>
      <c r="B11" s="93" t="s">
        <v>3428</v>
      </c>
      <c r="C11" s="94">
        <v>232.0</v>
      </c>
      <c r="D11" s="95">
        <f t="shared" si="1"/>
        <v>5800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idden="1">
      <c r="A12" s="6" t="s">
        <v>44</v>
      </c>
      <c r="B12" s="7" t="s">
        <v>3427</v>
      </c>
      <c r="C12" s="94">
        <v>183.5</v>
      </c>
      <c r="D12" s="95">
        <f t="shared" si="1"/>
        <v>4587.5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idden="1">
      <c r="A13" s="6" t="s">
        <v>44</v>
      </c>
      <c r="B13" s="93" t="s">
        <v>3428</v>
      </c>
      <c r="C13" s="94">
        <v>183.5</v>
      </c>
      <c r="D13" s="95">
        <f t="shared" si="1"/>
        <v>4587.5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idden="1">
      <c r="A14" s="6" t="s">
        <v>46</v>
      </c>
      <c r="B14" s="7" t="s">
        <v>3427</v>
      </c>
      <c r="C14" s="94">
        <v>197.5</v>
      </c>
      <c r="D14" s="95">
        <f t="shared" si="1"/>
        <v>4937.5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idden="1">
      <c r="A15" s="6" t="s">
        <v>46</v>
      </c>
      <c r="B15" s="93" t="s">
        <v>3428</v>
      </c>
      <c r="C15" s="94">
        <v>197.5</v>
      </c>
      <c r="D15" s="95">
        <f t="shared" si="1"/>
        <v>4937.5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idden="1">
      <c r="A16" s="6" t="s">
        <v>48</v>
      </c>
      <c r="B16" s="7" t="s">
        <v>3427</v>
      </c>
      <c r="C16" s="94">
        <v>272.0</v>
      </c>
      <c r="D16" s="95">
        <f t="shared" si="1"/>
        <v>6800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idden="1">
      <c r="A17" s="6" t="s">
        <v>48</v>
      </c>
      <c r="B17" s="93" t="s">
        <v>3428</v>
      </c>
      <c r="C17" s="94">
        <v>272.0</v>
      </c>
      <c r="D17" s="95">
        <f t="shared" si="1"/>
        <v>6800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idden="1">
      <c r="A18" s="6" t="s">
        <v>50</v>
      </c>
      <c r="B18" s="7" t="s">
        <v>3427</v>
      </c>
      <c r="C18" s="94">
        <v>203.5</v>
      </c>
      <c r="D18" s="95">
        <f t="shared" si="1"/>
        <v>5087.5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idden="1">
      <c r="A19" s="6" t="s">
        <v>50</v>
      </c>
      <c r="B19" s="93" t="s">
        <v>3428</v>
      </c>
      <c r="C19" s="94">
        <v>203.5</v>
      </c>
      <c r="D19" s="95">
        <f t="shared" si="1"/>
        <v>5087.5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idden="1">
      <c r="A20" s="6" t="s">
        <v>50</v>
      </c>
      <c r="B20" s="16" t="s">
        <v>683</v>
      </c>
      <c r="C20" s="94">
        <v>169.0</v>
      </c>
      <c r="D20" s="95">
        <f t="shared" si="1"/>
        <v>4225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idden="1">
      <c r="A21" s="6" t="s">
        <v>52</v>
      </c>
      <c r="B21" s="7" t="s">
        <v>3427</v>
      </c>
      <c r="C21" s="94">
        <v>197.5</v>
      </c>
      <c r="D21" s="95">
        <f t="shared" si="1"/>
        <v>4937.5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idden="1">
      <c r="A22" s="6" t="s">
        <v>52</v>
      </c>
      <c r="B22" s="16" t="s">
        <v>683</v>
      </c>
      <c r="C22" s="94">
        <v>197.5</v>
      </c>
      <c r="D22" s="95">
        <f t="shared" si="1"/>
        <v>4937.5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idden="1">
      <c r="A23" s="6" t="s">
        <v>52</v>
      </c>
      <c r="B23" s="93" t="s">
        <v>3428</v>
      </c>
      <c r="C23" s="94">
        <v>197.5</v>
      </c>
      <c r="D23" s="95">
        <f t="shared" si="1"/>
        <v>4937.5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idden="1">
      <c r="A24" s="6" t="s">
        <v>55</v>
      </c>
      <c r="B24" s="7" t="s">
        <v>3427</v>
      </c>
      <c r="C24" s="94">
        <v>185.5</v>
      </c>
      <c r="D24" s="95">
        <f t="shared" si="1"/>
        <v>4637.5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idden="1">
      <c r="A25" s="6" t="s">
        <v>55</v>
      </c>
      <c r="B25" s="16" t="s">
        <v>683</v>
      </c>
      <c r="C25" s="94">
        <v>185.5</v>
      </c>
      <c r="D25" s="95">
        <f t="shared" si="1"/>
        <v>4637.5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idden="1">
      <c r="A26" s="6" t="s">
        <v>55</v>
      </c>
      <c r="B26" s="93" t="s">
        <v>3428</v>
      </c>
      <c r="C26" s="94">
        <v>185.5</v>
      </c>
      <c r="D26" s="95">
        <f t="shared" si="1"/>
        <v>4637.5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idden="1">
      <c r="A27" s="6" t="s">
        <v>57</v>
      </c>
      <c r="B27" s="16" t="s">
        <v>683</v>
      </c>
      <c r="C27" s="94">
        <v>160.0</v>
      </c>
      <c r="D27" s="95">
        <f t="shared" si="1"/>
        <v>4000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idden="1">
      <c r="A28" s="6" t="s">
        <v>57</v>
      </c>
      <c r="B28" s="93" t="s">
        <v>3428</v>
      </c>
      <c r="C28" s="94">
        <v>160.0</v>
      </c>
      <c r="D28" s="95">
        <f t="shared" si="1"/>
        <v>4000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idden="1">
      <c r="A29" s="6" t="s">
        <v>59</v>
      </c>
      <c r="B29" s="16" t="s">
        <v>683</v>
      </c>
      <c r="C29" s="94">
        <v>200.5</v>
      </c>
      <c r="D29" s="95">
        <f t="shared" si="1"/>
        <v>5012.5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idden="1">
      <c r="A30" s="6" t="s">
        <v>59</v>
      </c>
      <c r="B30" s="93" t="s">
        <v>3428</v>
      </c>
      <c r="C30" s="94">
        <v>200.5</v>
      </c>
      <c r="D30" s="95">
        <f t="shared" si="1"/>
        <v>5012.5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idden="1">
      <c r="A31" s="6" t="s">
        <v>62</v>
      </c>
      <c r="B31" s="16" t="s">
        <v>683</v>
      </c>
      <c r="C31" s="94">
        <v>92.0</v>
      </c>
      <c r="D31" s="95">
        <f t="shared" si="1"/>
        <v>2300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idden="1">
      <c r="A32" s="6" t="s">
        <v>62</v>
      </c>
      <c r="B32" s="93" t="s">
        <v>3428</v>
      </c>
      <c r="C32" s="94">
        <v>92.0</v>
      </c>
      <c r="D32" s="95">
        <f t="shared" si="1"/>
        <v>2300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idden="1">
      <c r="A33" s="6" t="s">
        <v>63</v>
      </c>
      <c r="B33" s="16" t="s">
        <v>683</v>
      </c>
      <c r="C33" s="94">
        <v>47.5</v>
      </c>
      <c r="D33" s="95">
        <f t="shared" si="1"/>
        <v>1187.5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idden="1">
      <c r="A34" s="6" t="s">
        <v>63</v>
      </c>
      <c r="B34" s="93" t="s">
        <v>3428</v>
      </c>
      <c r="C34" s="94">
        <v>47.5</v>
      </c>
      <c r="D34" s="95">
        <f t="shared" si="1"/>
        <v>1187.5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idden="1">
      <c r="A35" s="6" t="s">
        <v>65</v>
      </c>
      <c r="B35" s="16" t="s">
        <v>683</v>
      </c>
      <c r="C35" s="94">
        <v>189.5</v>
      </c>
      <c r="D35" s="95">
        <f t="shared" si="1"/>
        <v>4737.5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idden="1">
      <c r="A36" s="6" t="s">
        <v>65</v>
      </c>
      <c r="B36" s="93" t="s">
        <v>3428</v>
      </c>
      <c r="C36" s="94">
        <v>189.5</v>
      </c>
      <c r="D36" s="95">
        <f t="shared" si="1"/>
        <v>4737.5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idden="1">
      <c r="A37" s="6" t="s">
        <v>67</v>
      </c>
      <c r="B37" s="16" t="s">
        <v>683</v>
      </c>
      <c r="C37" s="94">
        <v>157.0</v>
      </c>
      <c r="D37" s="95">
        <f t="shared" si="1"/>
        <v>3925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idden="1">
      <c r="A38" s="6" t="s">
        <v>67</v>
      </c>
      <c r="B38" s="93" t="s">
        <v>3428</v>
      </c>
      <c r="C38" s="94">
        <v>157.0</v>
      </c>
      <c r="D38" s="95">
        <f t="shared" si="1"/>
        <v>3925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idden="1">
      <c r="A39" s="6" t="s">
        <v>69</v>
      </c>
      <c r="B39" s="16" t="s">
        <v>683</v>
      </c>
      <c r="C39" s="94">
        <v>214.0</v>
      </c>
      <c r="D39" s="95">
        <f t="shared" si="1"/>
        <v>5350</v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idden="1">
      <c r="A40" s="6" t="s">
        <v>69</v>
      </c>
      <c r="B40" s="93" t="s">
        <v>3428</v>
      </c>
      <c r="C40" s="94">
        <v>214.0</v>
      </c>
      <c r="D40" s="95">
        <f t="shared" si="1"/>
        <v>5350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idden="1">
      <c r="A41" s="6" t="s">
        <v>71</v>
      </c>
      <c r="B41" s="16" t="s">
        <v>683</v>
      </c>
      <c r="C41" s="94">
        <v>81.5</v>
      </c>
      <c r="D41" s="95">
        <f t="shared" si="1"/>
        <v>2037.5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idden="1">
      <c r="A42" s="6" t="s">
        <v>71</v>
      </c>
      <c r="B42" s="93" t="s">
        <v>3428</v>
      </c>
      <c r="C42" s="94">
        <v>81.5</v>
      </c>
      <c r="D42" s="95">
        <f t="shared" si="1"/>
        <v>2037.5</v>
      </c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idden="1">
      <c r="A43" s="6" t="s">
        <v>73</v>
      </c>
      <c r="B43" s="16" t="s">
        <v>683</v>
      </c>
      <c r="C43" s="98">
        <v>212.0</v>
      </c>
      <c r="D43" s="95">
        <f t="shared" si="1"/>
        <v>5300</v>
      </c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idden="1">
      <c r="A44" s="6" t="s">
        <v>73</v>
      </c>
      <c r="B44" s="93" t="s">
        <v>3428</v>
      </c>
      <c r="C44" s="98">
        <v>212.0</v>
      </c>
      <c r="D44" s="95">
        <f t="shared" si="1"/>
        <v>5300</v>
      </c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idden="1">
      <c r="A45" s="16" t="s">
        <v>74</v>
      </c>
      <c r="B45" s="16" t="s">
        <v>683</v>
      </c>
      <c r="C45" s="94">
        <v>212.0</v>
      </c>
      <c r="D45" s="95">
        <f t="shared" si="1"/>
        <v>5300</v>
      </c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idden="1">
      <c r="A46" s="16" t="s">
        <v>74</v>
      </c>
      <c r="B46" s="93" t="s">
        <v>3428</v>
      </c>
      <c r="C46" s="94">
        <v>212.0</v>
      </c>
      <c r="D46" s="95">
        <f t="shared" si="1"/>
        <v>5300</v>
      </c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idden="1">
      <c r="A47" s="6" t="s">
        <v>75</v>
      </c>
      <c r="B47" s="16" t="s">
        <v>683</v>
      </c>
      <c r="C47" s="94">
        <v>191.0</v>
      </c>
      <c r="D47" s="95">
        <f t="shared" si="1"/>
        <v>4775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idden="1">
      <c r="A48" s="6" t="s">
        <v>75</v>
      </c>
      <c r="B48" s="93" t="s">
        <v>3428</v>
      </c>
      <c r="C48" s="94">
        <v>191.0</v>
      </c>
      <c r="D48" s="95">
        <f t="shared" si="1"/>
        <v>4775</v>
      </c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idden="1">
      <c r="A49" s="6" t="s">
        <v>77</v>
      </c>
      <c r="B49" s="16" t="s">
        <v>683</v>
      </c>
      <c r="C49" s="94">
        <v>198.0</v>
      </c>
      <c r="D49" s="95">
        <f t="shared" si="1"/>
        <v>4950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idden="1">
      <c r="A50" s="6" t="s">
        <v>77</v>
      </c>
      <c r="B50" s="93" t="s">
        <v>3428</v>
      </c>
      <c r="C50" s="94">
        <v>198.0</v>
      </c>
      <c r="D50" s="95">
        <f t="shared" si="1"/>
        <v>4950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idden="1">
      <c r="A51" s="6" t="s">
        <v>79</v>
      </c>
      <c r="B51" s="16" t="s">
        <v>683</v>
      </c>
      <c r="C51" s="94">
        <v>222.0</v>
      </c>
      <c r="D51" s="95">
        <f t="shared" si="1"/>
        <v>5550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idden="1">
      <c r="A52" s="6" t="s">
        <v>79</v>
      </c>
      <c r="B52" s="93" t="s">
        <v>3428</v>
      </c>
      <c r="C52" s="94">
        <v>222.0</v>
      </c>
      <c r="D52" s="95">
        <f t="shared" si="1"/>
        <v>5550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idden="1">
      <c r="A53" s="6" t="s">
        <v>81</v>
      </c>
      <c r="B53" s="16" t="s">
        <v>683</v>
      </c>
      <c r="C53" s="94">
        <v>201.0</v>
      </c>
      <c r="D53" s="95">
        <f t="shared" si="1"/>
        <v>5025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idden="1">
      <c r="A54" s="6" t="s">
        <v>81</v>
      </c>
      <c r="B54" s="93" t="s">
        <v>3428</v>
      </c>
      <c r="C54" s="94">
        <v>201.0</v>
      </c>
      <c r="D54" s="95">
        <f t="shared" si="1"/>
        <v>5025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idden="1">
      <c r="A55" s="6" t="s">
        <v>83</v>
      </c>
      <c r="B55" s="16" t="s">
        <v>683</v>
      </c>
      <c r="C55" s="94">
        <v>234.5</v>
      </c>
      <c r="D55" s="95">
        <f t="shared" si="1"/>
        <v>5862.5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idden="1">
      <c r="A56" s="6" t="s">
        <v>83</v>
      </c>
      <c r="B56" s="93" t="s">
        <v>3428</v>
      </c>
      <c r="C56" s="94">
        <v>234.5</v>
      </c>
      <c r="D56" s="95">
        <f t="shared" si="1"/>
        <v>5862.5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idden="1">
      <c r="A57" s="6" t="s">
        <v>85</v>
      </c>
      <c r="B57" s="16" t="s">
        <v>683</v>
      </c>
      <c r="C57" s="94">
        <v>201.5</v>
      </c>
      <c r="D57" s="95">
        <f t="shared" si="1"/>
        <v>5037.5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idden="1">
      <c r="A58" s="6" t="s">
        <v>85</v>
      </c>
      <c r="B58" s="93" t="s">
        <v>3428</v>
      </c>
      <c r="C58" s="94">
        <v>201.5</v>
      </c>
      <c r="D58" s="95">
        <f t="shared" si="1"/>
        <v>5037.5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idden="1">
      <c r="A59" s="6" t="s">
        <v>87</v>
      </c>
      <c r="B59" s="44" t="s">
        <v>683</v>
      </c>
      <c r="C59" s="94">
        <v>168.0</v>
      </c>
      <c r="D59" s="45">
        <f t="shared" si="1"/>
        <v>4200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idden="1">
      <c r="A60" s="6" t="s">
        <v>87</v>
      </c>
      <c r="B60" s="7" t="s">
        <v>3428</v>
      </c>
      <c r="C60" s="94">
        <v>168.0</v>
      </c>
      <c r="D60" s="45">
        <f t="shared" si="1"/>
        <v>4200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idden="1">
      <c r="A61" s="6" t="s">
        <v>89</v>
      </c>
      <c r="B61" s="44" t="s">
        <v>683</v>
      </c>
      <c r="C61" s="94">
        <v>244.0</v>
      </c>
      <c r="D61" s="45">
        <f t="shared" si="1"/>
        <v>6100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idden="1">
      <c r="A62" s="6" t="s">
        <v>89</v>
      </c>
      <c r="B62" s="7" t="s">
        <v>3428</v>
      </c>
      <c r="C62" s="94">
        <v>244.0</v>
      </c>
      <c r="D62" s="45">
        <f t="shared" si="1"/>
        <v>6100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idden="1">
      <c r="A63" s="6" t="s">
        <v>92</v>
      </c>
      <c r="B63" s="44" t="s">
        <v>683</v>
      </c>
      <c r="C63" s="94">
        <v>246.5</v>
      </c>
      <c r="D63" s="45">
        <f t="shared" si="1"/>
        <v>6162.5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idden="1">
      <c r="A64" s="6" t="s">
        <v>92</v>
      </c>
      <c r="B64" s="7" t="s">
        <v>3428</v>
      </c>
      <c r="C64" s="94">
        <v>246.5</v>
      </c>
      <c r="D64" s="45">
        <f t="shared" si="1"/>
        <v>6162.5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idden="1">
      <c r="A65" s="6" t="s">
        <v>95</v>
      </c>
      <c r="B65" s="44" t="s">
        <v>683</v>
      </c>
      <c r="C65" s="94">
        <v>241.0</v>
      </c>
      <c r="D65" s="45">
        <f t="shared" si="1"/>
        <v>6025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idden="1">
      <c r="A66" s="6" t="s">
        <v>95</v>
      </c>
      <c r="B66" s="7" t="s">
        <v>3428</v>
      </c>
      <c r="C66" s="94">
        <v>241.0</v>
      </c>
      <c r="D66" s="45">
        <f t="shared" si="1"/>
        <v>6025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idden="1">
      <c r="A67" s="6" t="s">
        <v>97</v>
      </c>
      <c r="B67" s="8" t="s">
        <v>683</v>
      </c>
      <c r="C67" s="94">
        <v>49.0</v>
      </c>
      <c r="D67" s="45">
        <f t="shared" si="1"/>
        <v>1225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idden="1">
      <c r="A68" s="6" t="s">
        <v>97</v>
      </c>
      <c r="B68" s="7" t="s">
        <v>3428</v>
      </c>
      <c r="C68" s="94">
        <v>241.0</v>
      </c>
      <c r="D68" s="45">
        <f t="shared" si="1"/>
        <v>6025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idden="1">
      <c r="A69" s="6" t="s">
        <v>98</v>
      </c>
      <c r="B69" s="7" t="s">
        <v>3427</v>
      </c>
      <c r="C69" s="94">
        <v>255.0</v>
      </c>
      <c r="D69" s="45">
        <f t="shared" si="1"/>
        <v>6375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idden="1">
      <c r="A70" s="6" t="s">
        <v>98</v>
      </c>
      <c r="B70" s="7" t="s">
        <v>3428</v>
      </c>
      <c r="C70" s="94">
        <v>255.0</v>
      </c>
      <c r="D70" s="45">
        <f t="shared" si="1"/>
        <v>6375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idden="1">
      <c r="A71" s="6" t="s">
        <v>99</v>
      </c>
      <c r="B71" s="7" t="s">
        <v>3427</v>
      </c>
      <c r="C71" s="94">
        <v>259.5</v>
      </c>
      <c r="D71" s="45">
        <f t="shared" si="1"/>
        <v>6487.5</v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idden="1">
      <c r="A72" s="6" t="s">
        <v>99</v>
      </c>
      <c r="B72" s="7" t="s">
        <v>3428</v>
      </c>
      <c r="C72" s="94">
        <v>259.5</v>
      </c>
      <c r="D72" s="45">
        <f t="shared" si="1"/>
        <v>6487.5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idden="1">
      <c r="A73" s="6" t="s">
        <v>100</v>
      </c>
      <c r="B73" s="7" t="s">
        <v>3427</v>
      </c>
      <c r="C73" s="94">
        <v>196.5</v>
      </c>
      <c r="D73" s="45">
        <f t="shared" si="1"/>
        <v>4912.5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idden="1">
      <c r="A74" s="6" t="s">
        <v>100</v>
      </c>
      <c r="B74" s="7" t="s">
        <v>3428</v>
      </c>
      <c r="C74" s="94">
        <v>196.5</v>
      </c>
      <c r="D74" s="45">
        <f t="shared" si="1"/>
        <v>4912.5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idden="1">
      <c r="A75" s="6" t="s">
        <v>102</v>
      </c>
      <c r="B75" s="7" t="s">
        <v>3427</v>
      </c>
      <c r="C75" s="94">
        <v>208.5</v>
      </c>
      <c r="D75" s="45">
        <f t="shared" si="1"/>
        <v>5212.5</v>
      </c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idden="1">
      <c r="A76" s="6" t="s">
        <v>102</v>
      </c>
      <c r="B76" s="13" t="s">
        <v>3428</v>
      </c>
      <c r="C76" s="94">
        <v>208.5</v>
      </c>
      <c r="D76" s="45">
        <f t="shared" si="1"/>
        <v>5212.5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idden="1">
      <c r="A77" s="6" t="s">
        <v>104</v>
      </c>
      <c r="B77" s="7" t="s">
        <v>3427</v>
      </c>
      <c r="C77" s="94">
        <v>301.0</v>
      </c>
      <c r="D77" s="45">
        <f t="shared" si="1"/>
        <v>7525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idden="1">
      <c r="A78" s="6" t="s">
        <v>105</v>
      </c>
      <c r="B78" s="7" t="s">
        <v>3427</v>
      </c>
      <c r="C78" s="94">
        <v>235.5</v>
      </c>
      <c r="D78" s="45">
        <f t="shared" si="1"/>
        <v>5887.5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idden="1">
      <c r="A79" s="6" t="s">
        <v>106</v>
      </c>
      <c r="B79" s="7" t="s">
        <v>3427</v>
      </c>
      <c r="C79" s="94">
        <v>218.0</v>
      </c>
      <c r="D79" s="45">
        <f t="shared" si="1"/>
        <v>5450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idden="1">
      <c r="A80" s="6" t="s">
        <v>107</v>
      </c>
      <c r="B80" s="7" t="s">
        <v>3427</v>
      </c>
      <c r="C80" s="94">
        <v>184.5</v>
      </c>
      <c r="D80" s="45">
        <f t="shared" si="1"/>
        <v>4612.5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idden="1">
      <c r="A81" s="6" t="s">
        <v>108</v>
      </c>
      <c r="B81" s="7" t="s">
        <v>3427</v>
      </c>
      <c r="C81" s="94">
        <v>233.0</v>
      </c>
      <c r="D81" s="45">
        <f t="shared" si="1"/>
        <v>5825</v>
      </c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idden="1">
      <c r="A82" s="6" t="s">
        <v>109</v>
      </c>
      <c r="B82" s="7" t="s">
        <v>3427</v>
      </c>
      <c r="C82" s="94">
        <v>228.0</v>
      </c>
      <c r="D82" s="45">
        <f t="shared" si="1"/>
        <v>5700</v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idden="1">
      <c r="A83" s="6" t="s">
        <v>110</v>
      </c>
      <c r="B83" s="7" t="s">
        <v>3427</v>
      </c>
      <c r="C83" s="94">
        <v>178.5</v>
      </c>
      <c r="D83" s="45">
        <f t="shared" si="1"/>
        <v>4462.5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idden="1">
      <c r="A84" s="6" t="s">
        <v>10</v>
      </c>
      <c r="B84" s="7" t="s">
        <v>3427</v>
      </c>
      <c r="C84" s="94">
        <v>183.0</v>
      </c>
      <c r="D84" s="45">
        <f t="shared" si="1"/>
        <v>4575</v>
      </c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idden="1">
      <c r="A85" s="6" t="s">
        <v>24</v>
      </c>
      <c r="B85" s="7" t="s">
        <v>3427</v>
      </c>
      <c r="C85" s="94">
        <v>221.5</v>
      </c>
      <c r="D85" s="45">
        <f t="shared" si="1"/>
        <v>5537.5</v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idden="1">
      <c r="A86" s="6" t="s">
        <v>25</v>
      </c>
      <c r="B86" s="7" t="s">
        <v>3427</v>
      </c>
      <c r="C86" s="94">
        <v>192.0</v>
      </c>
      <c r="D86" s="45">
        <f t="shared" si="1"/>
        <v>4800</v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idden="1">
      <c r="A87" s="6" t="s">
        <v>26</v>
      </c>
      <c r="B87" s="7" t="s">
        <v>3427</v>
      </c>
      <c r="C87" s="94">
        <v>201.0</v>
      </c>
      <c r="D87" s="45">
        <f t="shared" si="1"/>
        <v>5025</v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idden="1">
      <c r="A88" s="6" t="s">
        <v>27</v>
      </c>
      <c r="B88" s="7" t="s">
        <v>3427</v>
      </c>
      <c r="C88" s="94">
        <v>184.0</v>
      </c>
      <c r="D88" s="45">
        <f t="shared" si="1"/>
        <v>4600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idden="1">
      <c r="A89" s="6" t="s">
        <v>28</v>
      </c>
      <c r="B89" s="7" t="s">
        <v>3427</v>
      </c>
      <c r="C89" s="94">
        <v>180.0</v>
      </c>
      <c r="D89" s="45">
        <f t="shared" si="1"/>
        <v>4500</v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idden="1">
      <c r="A90" s="20" t="s">
        <v>111</v>
      </c>
      <c r="B90" s="7" t="s">
        <v>3427</v>
      </c>
      <c r="C90" s="94">
        <v>219.0</v>
      </c>
      <c r="D90" s="45">
        <f t="shared" si="1"/>
        <v>5475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idden="1">
      <c r="A91" s="20" t="s">
        <v>112</v>
      </c>
      <c r="B91" s="7" t="s">
        <v>3427</v>
      </c>
      <c r="C91" s="15">
        <v>204.0</v>
      </c>
      <c r="D91" s="45">
        <f t="shared" si="1"/>
        <v>5100</v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idden="1">
      <c r="A92" s="20" t="s">
        <v>114</v>
      </c>
      <c r="B92" s="7" t="s">
        <v>3427</v>
      </c>
      <c r="C92" s="15">
        <v>208.0</v>
      </c>
      <c r="D92" s="45">
        <f t="shared" si="1"/>
        <v>5200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idden="1">
      <c r="A93" s="24" t="s">
        <v>116</v>
      </c>
      <c r="B93" s="25" t="s">
        <v>3427</v>
      </c>
      <c r="C93" s="25">
        <v>193.0</v>
      </c>
      <c r="D93" s="63">
        <f t="shared" si="1"/>
        <v>4825</v>
      </c>
    </row>
    <row r="94" hidden="1">
      <c r="A94" s="24" t="s">
        <v>119</v>
      </c>
      <c r="B94" s="25" t="s">
        <v>3427</v>
      </c>
      <c r="C94" s="25">
        <v>221.0</v>
      </c>
      <c r="D94" s="63">
        <f t="shared" si="1"/>
        <v>5525</v>
      </c>
    </row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</sheetData>
  <autoFilter ref="$A$3:$D$1090">
    <filterColumn colId="0">
      <filters>
        <filter val="Week 3/22/26 - 3/28/26"/>
      </filters>
    </filterColumn>
  </autoFilter>
  <dataValidations>
    <dataValidation type="list" allowBlank="1" showErrorMessage="1" sqref="A85:A86">
      <formula1>"Week 5/18/25 - 5/24/25,Week 5/25/25 - 5/31/25"</formula1>
    </dataValidation>
    <dataValidation type="list" allowBlank="1" showErrorMessage="1" sqref="A69:A70">
      <formula1>"Week 8/17/25 - 8/23/25"</formula1>
    </dataValidation>
    <dataValidation type="list" allowBlank="1" showErrorMessage="1" sqref="A4:A5">
      <formula1>"Week 3/22/26 - 3/28/26"</formula1>
    </dataValidation>
    <dataValidation type="list" allowBlank="1" showErrorMessage="1" sqref="A87:A93">
      <formula1>"Week 3/16/25 - 3/22/25,Week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47:A48">
      <formula1>"Week 11/2/25 - 11/8/25"</formula1>
    </dataValidation>
    <dataValidation type="list" allowBlank="1" showErrorMessage="1" sqref="A78">
      <formula1>"Week 7/13/25 - 7/19/25"</formula1>
    </dataValidation>
    <dataValidation type="list" allowBlank="1" showErrorMessage="1" sqref="A63:A64">
      <formula1>"Week 9/07/25 - 9/13/25"</formula1>
    </dataValidation>
    <dataValidation type="list" allowBlank="1" showErrorMessage="1" sqref="A59:A60">
      <formula1>"Week 9/21/25 - 9/27/25"</formula1>
    </dataValidation>
    <dataValidation type="list" allowBlank="1" showErrorMessage="1" sqref="A61:A62">
      <formula1>"Week 9/14/25 - 9/20/25"</formula1>
    </dataValidation>
    <dataValidation type="list" allowBlank="1" showErrorMessage="1" sqref="A73:A74">
      <formula1>"Week 8/3/25 - 8/9/25"</formula1>
    </dataValidation>
    <dataValidation type="list" allowBlank="1" showErrorMessage="1" sqref="A65:A66">
      <formula1>"Week 8/31/25 - 9/06/25"</formula1>
    </dataValidation>
    <dataValidation type="list" allowBlank="1" showErrorMessage="1" sqref="A39:A40">
      <formula1>"Week 11/30/25 - 12/6/25"</formula1>
    </dataValidation>
    <dataValidation type="list" allowBlank="1" showErrorMessage="1" sqref="A82">
      <formula1>"Week 6/15/25 - 6/21/25"</formula1>
    </dataValidation>
    <dataValidation type="list" allowBlank="1" showErrorMessage="1" sqref="A16:A17">
      <formula1>"Week 2/8/26 - 2/14/26"</formula1>
    </dataValidation>
    <dataValidation type="list" allowBlank="1" showErrorMessage="1" sqref="A8:A9">
      <formula1>"Week 3/8/26 - 3/14/26"</formula1>
    </dataValidation>
    <dataValidation type="list" allowBlank="1" showErrorMessage="1" sqref="A29:A30">
      <formula1>"Week 1/4/26 - 1/10/26"</formula1>
    </dataValidation>
    <dataValidation type="list" allowBlank="1" showErrorMessage="1" sqref="A71:A72">
      <formula1>"Week 8/10/25 - 8/16/25 "</formula1>
    </dataValidation>
    <dataValidation type="list" allowBlank="1" showErrorMessage="1" sqref="A67:A68">
      <formula1>"Week 8/24/25 - 8/30/25"</formula1>
    </dataValidation>
    <dataValidation type="list" allowBlank="1" showErrorMessage="1" sqref="A83">
      <formula1>"Week 6/8/25 - 6/14/25"</formula1>
    </dataValidation>
    <dataValidation type="list" allowBlank="1" showErrorMessage="1" sqref="A18:A20">
      <formula1>"Week 2/1/26 - 2/7/26"</formula1>
    </dataValidation>
    <dataValidation type="list" allowBlank="1" showErrorMessage="1" sqref="A94">
      <formula1>"Week 3/16/25 - 3/22/25"</formula1>
    </dataValidation>
    <dataValidation type="list" allowBlank="1" showErrorMessage="1" sqref="A84">
      <formula1>"Week 6/1/25 - 6/7/25"</formula1>
    </dataValidation>
    <dataValidation type="list" allowBlank="1" showErrorMessage="1" sqref="A77">
      <formula1>"Week 7/20/25 - 7/26/25"</formula1>
    </dataValidation>
    <dataValidation type="list" allowBlank="1" showErrorMessage="1" sqref="A33:A34">
      <formula1>"Week 12/21/25 - 12/27/25 "</formula1>
    </dataValidation>
    <dataValidation type="list" allowBlank="1" showErrorMessage="1" sqref="A10:A11">
      <formula1>"Week 3/1/26 - 3/7/26"</formula1>
    </dataValidation>
    <dataValidation type="list" allowBlank="1" showErrorMessage="1" sqref="A75:A76">
      <formula1>"Week 7/27/25 - 8/2/25"</formula1>
    </dataValidation>
    <dataValidation type="list" allowBlank="1" showErrorMessage="1" sqref="A57:A58">
      <formula1>"Week 9/28/25 - 10/4/25"</formula1>
    </dataValidation>
    <dataValidation type="list" allowBlank="1" showErrorMessage="1" sqref="A51:A52">
      <formula1>"Week 10/19/25 - 10/25/25"</formula1>
    </dataValidation>
    <dataValidation type="list" allowBlank="1" showErrorMessage="1" sqref="A81">
      <formula1>"Week 6/22/25 - 6/28/25"</formula1>
    </dataValidation>
    <dataValidation type="list" allowBlank="1" showErrorMessage="1" sqref="A27:A28">
      <formula1>"Week 1/11/26 - 1/17/26"</formula1>
    </dataValidation>
    <dataValidation type="list" allowBlank="1" showErrorMessage="1" sqref="A55:A56">
      <formula1>"Week 10/5/25 - 10/11/25"</formula1>
    </dataValidation>
    <dataValidation type="list" allowBlank="1" showErrorMessage="1" sqref="A12:A13">
      <formula1>"Week 2/22/26 - 2/28/26"</formula1>
    </dataValidation>
    <dataValidation type="list" allowBlank="1" showErrorMessage="1" sqref="A24:A26">
      <formula1>"Week 1/18/26 - 1/24/26"</formula1>
    </dataValidation>
    <dataValidation type="list" allowBlank="1" showErrorMessage="1" sqref="A45:A46">
      <formula1>"Week 11/9/25 - 11/15/25"</formula1>
    </dataValidation>
    <dataValidation type="list" allowBlank="1" showErrorMessage="1" sqref="A79">
      <formula1>"Week 7/6/25 - 7/12/25 "</formula1>
    </dataValidation>
    <dataValidation type="list" allowBlank="1" showErrorMessage="1" sqref="A41:A42">
      <formula1>"Week 11/23/25 - 11/29/25"</formula1>
    </dataValidation>
    <dataValidation type="list" allowBlank="1" showErrorMessage="1" sqref="A80">
      <formula1>"Week 6/29/25 - 7/5/25"</formula1>
    </dataValidation>
    <dataValidation type="list" allowBlank="1" showErrorMessage="1" sqref="A6:A7">
      <formula1>"Week 3/15/26 - 3/21/26"</formula1>
    </dataValidation>
    <dataValidation type="list" allowBlank="1" showErrorMessage="1" sqref="A14:A15">
      <formula1>"Week 2/15/26 - 2/21/26"</formula1>
    </dataValidation>
    <dataValidation type="list" allowBlank="1" showErrorMessage="1" sqref="A21:A23">
      <formula1>"Week 1/25/26 - 1/31/26"</formula1>
    </dataValidation>
    <dataValidation type="list" allowBlank="1" showErrorMessage="1" sqref="A35:A36">
      <formula1>"Week 12/14/25 - 12/20/25"</formula1>
    </dataValidation>
    <dataValidation type="list" allowBlank="1" showErrorMessage="1" sqref="A31:A32">
      <formula1>"Week 12/28/25 - 1/3/25 "</formula1>
    </dataValidation>
    <dataValidation type="list" allowBlank="1" showErrorMessage="1" sqref="A49:A50">
      <formula1>"Week 10/26/25 - 11/1/25"</formula1>
    </dataValidation>
    <dataValidation type="list" allowBlank="1" showErrorMessage="1" sqref="A37:A38">
      <formula1>"Week 12/7/25 - 12/13/25"</formula1>
    </dataValidation>
    <dataValidation type="list" allowBlank="1" showErrorMessage="1" sqref="A43:A44">
      <formula1>"Week 11/16/25 - 11/22/25"</formula1>
    </dataValidation>
    <dataValidation type="list" allowBlank="1" showErrorMessage="1" sqref="A53:A54">
      <formula1>"Week 10/12/25 - 10/18/25"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88"/>
    <col customWidth="1" min="2" max="2" width="13.38"/>
    <col customWidth="1" min="3" max="3" width="10.13"/>
    <col customWidth="1" min="5" max="5" width="13.38"/>
    <col customWidth="1" min="6" max="6" width="11.88"/>
    <col customWidth="1" min="7" max="7" width="13.38"/>
  </cols>
  <sheetData>
    <row r="1">
      <c r="A1" s="101" t="s">
        <v>3429</v>
      </c>
      <c r="B1" s="7"/>
      <c r="C1" s="7"/>
      <c r="D1" s="7"/>
      <c r="E1" s="44"/>
      <c r="F1" s="7"/>
      <c r="G1" s="102"/>
      <c r="H1" s="102"/>
      <c r="I1" s="102"/>
      <c r="J1" s="102"/>
    </row>
    <row r="2">
      <c r="A2" s="102" t="s">
        <v>395</v>
      </c>
      <c r="B2" s="102" t="s">
        <v>3430</v>
      </c>
      <c r="C2" s="102" t="s">
        <v>3431</v>
      </c>
      <c r="D2" s="102" t="s">
        <v>3432</v>
      </c>
      <c r="E2" s="102" t="s">
        <v>3433</v>
      </c>
      <c r="F2" s="102" t="s">
        <v>3434</v>
      </c>
      <c r="G2" s="102" t="s">
        <v>3435</v>
      </c>
      <c r="H2" s="102" t="s">
        <v>3436</v>
      </c>
      <c r="I2" s="102" t="s">
        <v>124</v>
      </c>
      <c r="J2" s="102" t="s">
        <v>3437</v>
      </c>
    </row>
    <row r="3" hidden="1">
      <c r="A3" s="24"/>
      <c r="B3" s="103"/>
      <c r="C3" s="25"/>
      <c r="D3" s="86"/>
      <c r="E3" s="104" t="str">
        <f t="shared" ref="E3:E4" si="1">IF(ISNUMBER(B3), B3 + 28, "")</f>
        <v/>
      </c>
      <c r="F3" s="15">
        <v>6.0</v>
      </c>
      <c r="G3" s="105"/>
      <c r="H3" s="106"/>
      <c r="I3" s="64">
        <f t="shared" ref="I3:I11" si="2">sum(G3*1000/F3)</f>
        <v>0</v>
      </c>
      <c r="J3" s="107" t="s">
        <v>3438</v>
      </c>
    </row>
    <row r="4" hidden="1">
      <c r="A4" s="6" t="s">
        <v>42</v>
      </c>
      <c r="B4" s="103">
        <v>46066.0</v>
      </c>
      <c r="C4" s="25"/>
      <c r="D4" s="86"/>
      <c r="E4" s="104">
        <f t="shared" si="1"/>
        <v>46094</v>
      </c>
      <c r="F4" s="15">
        <v>6.0</v>
      </c>
      <c r="G4" s="105">
        <v>1.0</v>
      </c>
      <c r="H4" s="106"/>
      <c r="I4" s="64">
        <f t="shared" si="2"/>
        <v>166.6666667</v>
      </c>
      <c r="J4" s="107" t="s">
        <v>3438</v>
      </c>
    </row>
    <row r="5">
      <c r="A5" s="6" t="s">
        <v>29</v>
      </c>
      <c r="B5" s="103">
        <v>46090.0</v>
      </c>
      <c r="C5" s="25"/>
      <c r="D5" s="86"/>
      <c r="E5" s="104">
        <v>46111.0</v>
      </c>
      <c r="F5" s="15">
        <v>6.0</v>
      </c>
      <c r="G5" s="105">
        <v>21.0</v>
      </c>
      <c r="H5" s="106"/>
      <c r="I5" s="64">
        <f t="shared" si="2"/>
        <v>3500</v>
      </c>
      <c r="J5" s="107" t="s">
        <v>3437</v>
      </c>
    </row>
    <row r="6">
      <c r="A6" s="6" t="s">
        <v>38</v>
      </c>
      <c r="B6" s="103">
        <v>46083.0</v>
      </c>
      <c r="C6" s="25"/>
      <c r="D6" s="86"/>
      <c r="E6" s="104">
        <v>46104.0</v>
      </c>
      <c r="F6" s="15">
        <v>6.0</v>
      </c>
      <c r="G6" s="105">
        <v>26.0</v>
      </c>
      <c r="H6" s="106"/>
      <c r="I6" s="64">
        <f t="shared" si="2"/>
        <v>4333.333333</v>
      </c>
      <c r="J6" s="107" t="s">
        <v>3437</v>
      </c>
    </row>
    <row r="7">
      <c r="A7" s="6" t="s">
        <v>40</v>
      </c>
      <c r="B7" s="103">
        <v>46076.0</v>
      </c>
      <c r="C7" s="25"/>
      <c r="D7" s="86"/>
      <c r="E7" s="104">
        <v>46097.0</v>
      </c>
      <c r="F7" s="15">
        <v>6.0</v>
      </c>
      <c r="G7" s="105">
        <v>8.0</v>
      </c>
      <c r="H7" s="106"/>
      <c r="I7" s="64">
        <f t="shared" si="2"/>
        <v>1333.333333</v>
      </c>
      <c r="J7" s="107" t="s">
        <v>3437</v>
      </c>
    </row>
    <row r="8">
      <c r="A8" s="6" t="s">
        <v>42</v>
      </c>
      <c r="B8" s="103">
        <v>46069.0</v>
      </c>
      <c r="C8" s="25"/>
      <c r="D8" s="86"/>
      <c r="E8" s="104">
        <v>46090.0</v>
      </c>
      <c r="F8" s="15">
        <v>6.0</v>
      </c>
      <c r="G8" s="105">
        <v>23.0</v>
      </c>
      <c r="H8" s="106"/>
      <c r="I8" s="64">
        <f t="shared" si="2"/>
        <v>3833.333333</v>
      </c>
      <c r="J8" s="107" t="s">
        <v>3437</v>
      </c>
    </row>
    <row r="9">
      <c r="A9" s="6" t="s">
        <v>44</v>
      </c>
      <c r="B9" s="103">
        <v>46062.0</v>
      </c>
      <c r="C9" s="25"/>
      <c r="D9" s="86"/>
      <c r="E9" s="104">
        <v>46083.0</v>
      </c>
      <c r="F9" s="15">
        <v>6.0</v>
      </c>
      <c r="G9" s="105">
        <v>2.0</v>
      </c>
      <c r="H9" s="106"/>
      <c r="I9" s="64">
        <f t="shared" si="2"/>
        <v>333.3333333</v>
      </c>
      <c r="J9" s="107" t="s">
        <v>3437</v>
      </c>
    </row>
    <row r="10">
      <c r="A10" s="6" t="s">
        <v>46</v>
      </c>
      <c r="B10" s="103">
        <v>46055.0</v>
      </c>
      <c r="C10" s="25"/>
      <c r="D10" s="86"/>
      <c r="E10" s="104">
        <v>46076.0</v>
      </c>
      <c r="F10" s="15">
        <v>6.0</v>
      </c>
      <c r="G10" s="105">
        <v>0.0</v>
      </c>
      <c r="H10" s="106"/>
      <c r="I10" s="64">
        <f t="shared" si="2"/>
        <v>0</v>
      </c>
      <c r="J10" s="107" t="s">
        <v>3437</v>
      </c>
    </row>
    <row r="11" hidden="1">
      <c r="A11" s="6" t="s">
        <v>48</v>
      </c>
      <c r="B11" s="103">
        <v>46048.0</v>
      </c>
      <c r="C11" s="25"/>
      <c r="D11" s="86"/>
      <c r="E11" s="104">
        <v>46069.0</v>
      </c>
      <c r="F11" s="15">
        <v>6.0</v>
      </c>
      <c r="G11" s="105">
        <v>1.0</v>
      </c>
      <c r="H11" s="106"/>
      <c r="I11" s="64">
        <f t="shared" si="2"/>
        <v>166.6666667</v>
      </c>
      <c r="J11" s="107" t="s">
        <v>3438</v>
      </c>
    </row>
    <row r="12">
      <c r="A12" s="6" t="s">
        <v>50</v>
      </c>
      <c r="B12" s="103">
        <v>46041.0</v>
      </c>
      <c r="C12" s="25"/>
      <c r="D12" s="86"/>
      <c r="E12" s="104">
        <v>46062.0</v>
      </c>
      <c r="F12" s="15">
        <v>2.0</v>
      </c>
      <c r="G12" s="105">
        <v>1.0</v>
      </c>
      <c r="H12" s="106"/>
      <c r="I12" s="64">
        <f>sum(G12*750/F12)</f>
        <v>375</v>
      </c>
      <c r="J12" s="107" t="s">
        <v>3437</v>
      </c>
    </row>
    <row r="13">
      <c r="A13" s="6" t="s">
        <v>52</v>
      </c>
      <c r="B13" s="103">
        <v>46034.0</v>
      </c>
      <c r="C13" s="25"/>
      <c r="D13" s="86"/>
      <c r="E13" s="104">
        <v>46055.0</v>
      </c>
      <c r="F13" s="15">
        <v>6.0</v>
      </c>
      <c r="G13" s="105">
        <v>34.0</v>
      </c>
      <c r="H13" s="106"/>
      <c r="I13" s="64">
        <f t="shared" ref="I13:I33" si="3">sum(G13*1000/F13)</f>
        <v>5666.666667</v>
      </c>
      <c r="J13" s="107" t="s">
        <v>3437</v>
      </c>
    </row>
    <row r="14">
      <c r="A14" s="6" t="s">
        <v>55</v>
      </c>
      <c r="B14" s="103">
        <v>46027.0</v>
      </c>
      <c r="C14" s="25"/>
      <c r="D14" s="86"/>
      <c r="E14" s="104">
        <v>46048.0</v>
      </c>
      <c r="F14" s="15">
        <v>6.0</v>
      </c>
      <c r="G14" s="105">
        <v>21.0</v>
      </c>
      <c r="H14" s="106"/>
      <c r="I14" s="64">
        <f t="shared" si="3"/>
        <v>3500</v>
      </c>
      <c r="J14" s="107" t="s">
        <v>3437</v>
      </c>
    </row>
    <row r="15" hidden="1">
      <c r="A15" s="6" t="s">
        <v>57</v>
      </c>
      <c r="B15" s="103">
        <v>46020.0</v>
      </c>
      <c r="C15" s="25"/>
      <c r="D15" s="86"/>
      <c r="E15" s="104">
        <v>46041.0</v>
      </c>
      <c r="F15" s="15">
        <v>6.0</v>
      </c>
      <c r="G15" s="105">
        <v>11.0</v>
      </c>
      <c r="H15" s="106"/>
      <c r="I15" s="64">
        <f t="shared" si="3"/>
        <v>1833.333333</v>
      </c>
      <c r="J15" s="107" t="s">
        <v>3437</v>
      </c>
    </row>
    <row r="16" hidden="1">
      <c r="A16" s="6" t="s">
        <v>59</v>
      </c>
      <c r="B16" s="103">
        <v>45999.0</v>
      </c>
      <c r="C16" s="25"/>
      <c r="D16" s="86"/>
      <c r="E16" s="104">
        <v>46034.0</v>
      </c>
      <c r="F16" s="15">
        <v>6.0</v>
      </c>
      <c r="G16" s="105">
        <v>23.0</v>
      </c>
      <c r="H16" s="106"/>
      <c r="I16" s="64">
        <f t="shared" si="3"/>
        <v>3833.333333</v>
      </c>
      <c r="J16" s="107" t="s">
        <v>3437</v>
      </c>
    </row>
    <row r="17" hidden="1">
      <c r="A17" s="6" t="s">
        <v>62</v>
      </c>
      <c r="B17" s="103">
        <v>45992.0</v>
      </c>
      <c r="C17" s="25"/>
      <c r="D17" s="86"/>
      <c r="E17" s="104">
        <v>46027.0</v>
      </c>
      <c r="F17" s="15">
        <v>6.0</v>
      </c>
      <c r="G17" s="105">
        <v>15.0</v>
      </c>
      <c r="H17" s="106"/>
      <c r="I17" s="64">
        <f t="shared" si="3"/>
        <v>2500</v>
      </c>
      <c r="J17" s="107" t="s">
        <v>3437</v>
      </c>
    </row>
    <row r="18" hidden="1">
      <c r="A18" s="6" t="s">
        <v>63</v>
      </c>
      <c r="B18" s="103">
        <v>45985.0</v>
      </c>
      <c r="C18" s="25"/>
      <c r="D18" s="86"/>
      <c r="E18" s="104">
        <v>46020.0</v>
      </c>
      <c r="F18" s="15">
        <v>6.0</v>
      </c>
      <c r="G18" s="105">
        <v>11.0</v>
      </c>
      <c r="H18" s="106"/>
      <c r="I18" s="64">
        <f t="shared" si="3"/>
        <v>1833.333333</v>
      </c>
      <c r="J18" s="107" t="s">
        <v>3437</v>
      </c>
    </row>
    <row r="19" hidden="1">
      <c r="A19" s="6" t="s">
        <v>65</v>
      </c>
      <c r="B19" s="103">
        <v>45978.0</v>
      </c>
      <c r="C19" s="25"/>
      <c r="D19" s="86"/>
      <c r="E19" s="104">
        <v>46013.0</v>
      </c>
      <c r="F19" s="15">
        <v>6.0</v>
      </c>
      <c r="G19" s="105">
        <v>12.0</v>
      </c>
      <c r="H19" s="106"/>
      <c r="I19" s="64">
        <f t="shared" si="3"/>
        <v>2000</v>
      </c>
      <c r="J19" s="107" t="s">
        <v>3437</v>
      </c>
    </row>
    <row r="20" hidden="1">
      <c r="A20" s="6" t="s">
        <v>67</v>
      </c>
      <c r="B20" s="103">
        <v>45971.0</v>
      </c>
      <c r="C20" s="25"/>
      <c r="D20" s="86"/>
      <c r="E20" s="104">
        <v>46006.0</v>
      </c>
      <c r="F20" s="15">
        <v>6.0</v>
      </c>
      <c r="G20" s="105">
        <v>10.0</v>
      </c>
      <c r="H20" s="106"/>
      <c r="I20" s="64">
        <f t="shared" si="3"/>
        <v>1666.666667</v>
      </c>
      <c r="J20" s="107" t="s">
        <v>3437</v>
      </c>
    </row>
    <row r="21" hidden="1">
      <c r="A21" s="6" t="s">
        <v>69</v>
      </c>
      <c r="B21" s="103">
        <v>45964.0</v>
      </c>
      <c r="C21" s="25"/>
      <c r="D21" s="86"/>
      <c r="E21" s="104">
        <v>45999.0</v>
      </c>
      <c r="F21" s="15">
        <v>6.0</v>
      </c>
      <c r="G21" s="105">
        <v>24.0</v>
      </c>
      <c r="H21" s="106"/>
      <c r="I21" s="64">
        <f t="shared" si="3"/>
        <v>4000</v>
      </c>
      <c r="J21" s="107" t="s">
        <v>3437</v>
      </c>
    </row>
    <row r="22" hidden="1">
      <c r="A22" s="6" t="s">
        <v>71</v>
      </c>
      <c r="B22" s="103">
        <v>45957.0</v>
      </c>
      <c r="C22" s="25"/>
      <c r="D22" s="86"/>
      <c r="E22" s="104">
        <v>45992.0</v>
      </c>
      <c r="F22" s="15">
        <v>6.0</v>
      </c>
      <c r="G22" s="105">
        <v>10.0</v>
      </c>
      <c r="H22" s="106"/>
      <c r="I22" s="64">
        <f t="shared" si="3"/>
        <v>1666.666667</v>
      </c>
      <c r="J22" s="107" t="s">
        <v>3437</v>
      </c>
    </row>
    <row r="23" hidden="1">
      <c r="A23" s="6" t="s">
        <v>73</v>
      </c>
      <c r="B23" s="103">
        <v>45950.0</v>
      </c>
      <c r="C23" s="25"/>
      <c r="D23" s="86"/>
      <c r="E23" s="104">
        <v>45985.0</v>
      </c>
      <c r="F23" s="15">
        <v>6.0</v>
      </c>
      <c r="G23" s="105">
        <v>8.0</v>
      </c>
      <c r="H23" s="106"/>
      <c r="I23" s="64">
        <f t="shared" si="3"/>
        <v>1333.333333</v>
      </c>
      <c r="J23" s="107" t="s">
        <v>3437</v>
      </c>
    </row>
    <row r="24" hidden="1">
      <c r="A24" s="16" t="s">
        <v>74</v>
      </c>
      <c r="B24" s="103">
        <v>45943.0</v>
      </c>
      <c r="C24" s="25"/>
      <c r="D24" s="86"/>
      <c r="E24" s="104">
        <v>45978.0</v>
      </c>
      <c r="F24" s="15">
        <v>6.0</v>
      </c>
      <c r="G24" s="105">
        <v>10.0</v>
      </c>
      <c r="H24" s="106"/>
      <c r="I24" s="64">
        <f t="shared" si="3"/>
        <v>1666.666667</v>
      </c>
      <c r="J24" s="107" t="s">
        <v>3437</v>
      </c>
    </row>
    <row r="25" hidden="1">
      <c r="A25" s="6" t="s">
        <v>75</v>
      </c>
      <c r="B25" s="103">
        <v>45936.0</v>
      </c>
      <c r="C25" s="25"/>
      <c r="D25" s="86"/>
      <c r="E25" s="104">
        <v>45971.0</v>
      </c>
      <c r="F25" s="15">
        <v>6.0</v>
      </c>
      <c r="G25" s="105">
        <v>21.0</v>
      </c>
      <c r="H25" s="106"/>
      <c r="I25" s="64">
        <f t="shared" si="3"/>
        <v>3500</v>
      </c>
      <c r="J25" s="107" t="s">
        <v>3437</v>
      </c>
    </row>
    <row r="26" hidden="1">
      <c r="A26" s="6" t="s">
        <v>77</v>
      </c>
      <c r="B26" s="103">
        <v>45929.0</v>
      </c>
      <c r="C26" s="25"/>
      <c r="D26" s="86"/>
      <c r="E26" s="104">
        <v>45964.0</v>
      </c>
      <c r="F26" s="15">
        <v>6.0</v>
      </c>
      <c r="G26" s="105">
        <v>18.0</v>
      </c>
      <c r="H26" s="106"/>
      <c r="I26" s="64">
        <f t="shared" si="3"/>
        <v>3000</v>
      </c>
      <c r="J26" s="107" t="s">
        <v>3437</v>
      </c>
    </row>
    <row r="27" hidden="1">
      <c r="A27" s="6" t="s">
        <v>79</v>
      </c>
      <c r="B27" s="103">
        <v>45922.0</v>
      </c>
      <c r="C27" s="25"/>
      <c r="D27" s="86"/>
      <c r="E27" s="104">
        <v>45957.0</v>
      </c>
      <c r="F27" s="15">
        <v>6.0</v>
      </c>
      <c r="G27" s="105">
        <v>13.0</v>
      </c>
      <c r="H27" s="106"/>
      <c r="I27" s="64">
        <f t="shared" si="3"/>
        <v>2166.666667</v>
      </c>
      <c r="J27" s="107" t="s">
        <v>3437</v>
      </c>
    </row>
    <row r="28" hidden="1">
      <c r="A28" s="6" t="s">
        <v>81</v>
      </c>
      <c r="B28" s="103">
        <v>45915.0</v>
      </c>
      <c r="C28" s="25"/>
      <c r="D28" s="86"/>
      <c r="E28" s="104">
        <v>45950.0</v>
      </c>
      <c r="F28" s="15">
        <v>6.0</v>
      </c>
      <c r="G28" s="105">
        <v>23.0</v>
      </c>
      <c r="H28" s="106"/>
      <c r="I28" s="64">
        <f t="shared" si="3"/>
        <v>3833.333333</v>
      </c>
      <c r="J28" s="107" t="s">
        <v>3437</v>
      </c>
    </row>
    <row r="29" hidden="1">
      <c r="A29" s="6" t="s">
        <v>83</v>
      </c>
      <c r="B29" s="103">
        <v>45908.0</v>
      </c>
      <c r="C29" s="25"/>
      <c r="D29" s="86"/>
      <c r="E29" s="104">
        <v>45943.0</v>
      </c>
      <c r="F29" s="15">
        <v>6.0</v>
      </c>
      <c r="G29" s="105">
        <v>17.0</v>
      </c>
      <c r="H29" s="106"/>
      <c r="I29" s="64">
        <f t="shared" si="3"/>
        <v>2833.333333</v>
      </c>
      <c r="J29" s="107"/>
    </row>
    <row r="30" hidden="1">
      <c r="A30" s="6" t="s">
        <v>85</v>
      </c>
      <c r="B30" s="103">
        <v>45902.0</v>
      </c>
      <c r="C30" s="25"/>
      <c r="D30" s="86"/>
      <c r="E30" s="104">
        <f t="shared" ref="E30:E48" si="4">IF(ISNUMBER(B30), B30 + 28, "")</f>
        <v>45930</v>
      </c>
      <c r="F30" s="15">
        <v>6.0</v>
      </c>
      <c r="G30" s="105">
        <v>16.0</v>
      </c>
      <c r="H30" s="106"/>
      <c r="I30" s="64">
        <f t="shared" si="3"/>
        <v>2666.666667</v>
      </c>
      <c r="J30" s="107" t="s">
        <v>3437</v>
      </c>
    </row>
    <row r="31" hidden="1">
      <c r="A31" s="6" t="s">
        <v>87</v>
      </c>
      <c r="B31" s="103">
        <v>45894.0</v>
      </c>
      <c r="C31" s="25"/>
      <c r="D31" s="86"/>
      <c r="E31" s="104">
        <f t="shared" si="4"/>
        <v>45922</v>
      </c>
      <c r="F31" s="15">
        <v>6.0</v>
      </c>
      <c r="G31" s="105">
        <v>18.0</v>
      </c>
      <c r="H31" s="106"/>
      <c r="I31" s="64">
        <f t="shared" si="3"/>
        <v>3000</v>
      </c>
      <c r="J31" s="107" t="s">
        <v>3437</v>
      </c>
    </row>
    <row r="32" hidden="1">
      <c r="A32" s="6" t="s">
        <v>89</v>
      </c>
      <c r="B32" s="103">
        <v>45887.0</v>
      </c>
      <c r="C32" s="25"/>
      <c r="D32" s="86"/>
      <c r="E32" s="104">
        <f t="shared" si="4"/>
        <v>45915</v>
      </c>
      <c r="F32" s="15">
        <v>6.0</v>
      </c>
      <c r="G32" s="105">
        <v>15.0</v>
      </c>
      <c r="H32" s="106"/>
      <c r="I32" s="64">
        <f t="shared" si="3"/>
        <v>2500</v>
      </c>
      <c r="J32" s="107" t="s">
        <v>3437</v>
      </c>
    </row>
    <row r="33" hidden="1">
      <c r="A33" s="6" t="s">
        <v>92</v>
      </c>
      <c r="B33" s="103">
        <v>45880.0</v>
      </c>
      <c r="C33" s="25"/>
      <c r="D33" s="86"/>
      <c r="E33" s="104">
        <f t="shared" si="4"/>
        <v>45908</v>
      </c>
      <c r="F33" s="15">
        <v>6.0</v>
      </c>
      <c r="G33" s="105">
        <v>13.0</v>
      </c>
      <c r="H33" s="106"/>
      <c r="I33" s="64">
        <f t="shared" si="3"/>
        <v>2166.666667</v>
      </c>
      <c r="J33" s="107" t="s">
        <v>3437</v>
      </c>
    </row>
    <row r="34" hidden="1">
      <c r="A34" s="6" t="s">
        <v>95</v>
      </c>
      <c r="B34" s="103">
        <v>45873.0</v>
      </c>
      <c r="C34" s="25"/>
      <c r="D34" s="86"/>
      <c r="E34" s="104">
        <f t="shared" si="4"/>
        <v>45901</v>
      </c>
      <c r="F34" s="103"/>
      <c r="G34" s="105">
        <v>25.0</v>
      </c>
      <c r="H34" s="106"/>
      <c r="I34" s="64">
        <f t="shared" ref="I34:I35" si="5">sum(G34*250/6)</f>
        <v>1041.666667</v>
      </c>
      <c r="J34" s="107" t="s">
        <v>3437</v>
      </c>
    </row>
    <row r="35" hidden="1">
      <c r="A35" s="6" t="s">
        <v>97</v>
      </c>
      <c r="B35" s="103">
        <v>45866.0</v>
      </c>
      <c r="C35" s="25"/>
      <c r="D35" s="86"/>
      <c r="E35" s="104">
        <f t="shared" si="4"/>
        <v>45894</v>
      </c>
      <c r="F35" s="103"/>
      <c r="G35" s="105">
        <v>19.0</v>
      </c>
      <c r="H35" s="106"/>
      <c r="I35" s="64">
        <f t="shared" si="5"/>
        <v>791.6666667</v>
      </c>
      <c r="J35" s="107" t="s">
        <v>3437</v>
      </c>
    </row>
    <row r="36" hidden="1">
      <c r="A36" s="6" t="s">
        <v>98</v>
      </c>
      <c r="B36" s="103">
        <v>45859.0</v>
      </c>
      <c r="C36" s="25"/>
      <c r="D36" s="86"/>
      <c r="E36" s="104">
        <f t="shared" si="4"/>
        <v>45887</v>
      </c>
      <c r="F36" s="103"/>
      <c r="G36" s="105">
        <v>18.0</v>
      </c>
      <c r="H36" s="106"/>
      <c r="I36" s="25">
        <f>sum(G36*750/6)</f>
        <v>2250</v>
      </c>
      <c r="J36" s="107" t="s">
        <v>3437</v>
      </c>
    </row>
    <row r="37" hidden="1">
      <c r="A37" s="6" t="s">
        <v>99</v>
      </c>
      <c r="B37" s="103">
        <v>45852.0</v>
      </c>
      <c r="C37" s="25"/>
      <c r="D37" s="86"/>
      <c r="E37" s="104">
        <f t="shared" si="4"/>
        <v>45880</v>
      </c>
      <c r="F37" s="103"/>
      <c r="G37" s="105">
        <v>17.0</v>
      </c>
      <c r="H37" s="106"/>
      <c r="I37" s="25">
        <f t="shared" ref="I37:I48" si="6">sum(G37*250)</f>
        <v>4250</v>
      </c>
      <c r="J37" s="107" t="s">
        <v>3437</v>
      </c>
    </row>
    <row r="38" hidden="1">
      <c r="A38" s="6" t="s">
        <v>100</v>
      </c>
      <c r="B38" s="103">
        <v>45845.0</v>
      </c>
      <c r="C38" s="25"/>
      <c r="D38" s="86"/>
      <c r="E38" s="104">
        <f t="shared" si="4"/>
        <v>45873</v>
      </c>
      <c r="F38" s="103"/>
      <c r="G38" s="105">
        <v>21.0</v>
      </c>
      <c r="H38" s="106"/>
      <c r="I38" s="25">
        <f t="shared" si="6"/>
        <v>5250</v>
      </c>
      <c r="J38" s="107" t="s">
        <v>3437</v>
      </c>
    </row>
    <row r="39" hidden="1">
      <c r="A39" s="6" t="s">
        <v>102</v>
      </c>
      <c r="B39" s="103">
        <v>45838.0</v>
      </c>
      <c r="C39" s="25"/>
      <c r="D39" s="86"/>
      <c r="E39" s="104">
        <f t="shared" si="4"/>
        <v>45866</v>
      </c>
      <c r="F39" s="103"/>
      <c r="G39" s="105">
        <v>22.0</v>
      </c>
      <c r="H39" s="106"/>
      <c r="I39" s="25">
        <f t="shared" si="6"/>
        <v>5500</v>
      </c>
      <c r="J39" s="107" t="s">
        <v>3437</v>
      </c>
    </row>
    <row r="40" hidden="1">
      <c r="A40" s="6" t="s">
        <v>104</v>
      </c>
      <c r="B40" s="103">
        <v>45831.0</v>
      </c>
      <c r="C40" s="25"/>
      <c r="D40" s="86"/>
      <c r="E40" s="104">
        <f t="shared" si="4"/>
        <v>45859</v>
      </c>
      <c r="F40" s="103"/>
      <c r="G40" s="105">
        <v>18.0</v>
      </c>
      <c r="H40" s="106"/>
      <c r="I40" s="25">
        <f t="shared" si="6"/>
        <v>4500</v>
      </c>
      <c r="J40" s="107" t="s">
        <v>3437</v>
      </c>
    </row>
    <row r="41" hidden="1">
      <c r="A41" s="6" t="s">
        <v>105</v>
      </c>
      <c r="B41" s="103">
        <v>45824.0</v>
      </c>
      <c r="C41" s="25"/>
      <c r="D41" s="86"/>
      <c r="E41" s="104">
        <f t="shared" si="4"/>
        <v>45852</v>
      </c>
      <c r="F41" s="103"/>
      <c r="G41" s="105">
        <v>15.0</v>
      </c>
      <c r="H41" s="106"/>
      <c r="I41" s="25">
        <f t="shared" si="6"/>
        <v>3750</v>
      </c>
      <c r="J41" s="107" t="s">
        <v>3437</v>
      </c>
    </row>
    <row r="42" hidden="1">
      <c r="A42" s="6" t="s">
        <v>106</v>
      </c>
      <c r="B42" s="103">
        <v>45817.0</v>
      </c>
      <c r="C42" s="25"/>
      <c r="D42" s="86"/>
      <c r="E42" s="104">
        <f t="shared" si="4"/>
        <v>45845</v>
      </c>
      <c r="F42" s="103"/>
      <c r="G42" s="105">
        <v>15.0</v>
      </c>
      <c r="H42" s="106"/>
      <c r="I42" s="25">
        <f t="shared" si="6"/>
        <v>3750</v>
      </c>
      <c r="J42" s="107" t="s">
        <v>3437</v>
      </c>
    </row>
    <row r="43" hidden="1">
      <c r="A43" s="6" t="s">
        <v>107</v>
      </c>
      <c r="B43" s="103">
        <v>45810.0</v>
      </c>
      <c r="C43" s="25"/>
      <c r="D43" s="86"/>
      <c r="E43" s="104">
        <f t="shared" si="4"/>
        <v>45838</v>
      </c>
      <c r="F43" s="103"/>
      <c r="G43" s="105">
        <v>18.0</v>
      </c>
      <c r="H43" s="106"/>
      <c r="I43" s="25">
        <f t="shared" si="6"/>
        <v>4500</v>
      </c>
      <c r="J43" s="107" t="s">
        <v>3437</v>
      </c>
    </row>
    <row r="44" hidden="1">
      <c r="A44" s="6" t="s">
        <v>108</v>
      </c>
      <c r="B44" s="103">
        <v>45803.0</v>
      </c>
      <c r="C44" s="25"/>
      <c r="D44" s="86"/>
      <c r="E44" s="104">
        <f t="shared" si="4"/>
        <v>45831</v>
      </c>
      <c r="F44" s="103"/>
      <c r="G44" s="105">
        <v>15.0</v>
      </c>
      <c r="H44" s="106"/>
      <c r="I44" s="25">
        <f t="shared" si="6"/>
        <v>3750</v>
      </c>
      <c r="J44" s="107" t="s">
        <v>3437</v>
      </c>
    </row>
    <row r="45" hidden="1">
      <c r="A45" s="6" t="s">
        <v>109</v>
      </c>
      <c r="B45" s="108">
        <v>45796.0</v>
      </c>
      <c r="C45" s="25">
        <v>50.0</v>
      </c>
      <c r="D45" s="86">
        <v>44.0</v>
      </c>
      <c r="E45" s="104">
        <f t="shared" si="4"/>
        <v>45824</v>
      </c>
      <c r="F45" s="108"/>
      <c r="G45" s="105">
        <v>18.0</v>
      </c>
      <c r="H45" s="106"/>
      <c r="I45" s="25">
        <f t="shared" si="6"/>
        <v>4500</v>
      </c>
      <c r="J45" s="107" t="s">
        <v>3437</v>
      </c>
    </row>
    <row r="46" hidden="1">
      <c r="A46" s="6" t="s">
        <v>110</v>
      </c>
      <c r="B46" s="108">
        <v>45789.0</v>
      </c>
      <c r="C46" s="25"/>
      <c r="D46" s="86"/>
      <c r="E46" s="104">
        <f t="shared" si="4"/>
        <v>45817</v>
      </c>
      <c r="F46" s="108"/>
      <c r="G46" s="105">
        <v>17.0</v>
      </c>
      <c r="H46" s="106"/>
      <c r="I46" s="25">
        <f t="shared" si="6"/>
        <v>4250</v>
      </c>
      <c r="J46" s="107" t="s">
        <v>3437</v>
      </c>
    </row>
    <row r="47" hidden="1">
      <c r="A47" s="24" t="s">
        <v>10</v>
      </c>
      <c r="B47" s="108">
        <v>45782.0</v>
      </c>
      <c r="C47" s="25"/>
      <c r="D47" s="86"/>
      <c r="E47" s="104">
        <f t="shared" si="4"/>
        <v>45810</v>
      </c>
      <c r="F47" s="108"/>
      <c r="G47" s="105">
        <v>13.0</v>
      </c>
      <c r="H47" s="106"/>
      <c r="I47" s="25">
        <f t="shared" si="6"/>
        <v>3250</v>
      </c>
      <c r="J47" s="107" t="s">
        <v>3437</v>
      </c>
    </row>
    <row r="48" hidden="1">
      <c r="A48" s="24" t="s">
        <v>24</v>
      </c>
      <c r="B48" s="104">
        <v>45775.0</v>
      </c>
      <c r="D48" s="86"/>
      <c r="E48" s="104">
        <f t="shared" si="4"/>
        <v>45803</v>
      </c>
      <c r="F48" s="104"/>
      <c r="G48" s="105">
        <v>13.0</v>
      </c>
      <c r="H48" s="106"/>
      <c r="I48" s="25">
        <f t="shared" si="6"/>
        <v>3250</v>
      </c>
      <c r="J48" s="107" t="s">
        <v>3437</v>
      </c>
    </row>
    <row r="49" hidden="1">
      <c r="A49" s="109" t="s">
        <v>27</v>
      </c>
      <c r="B49" s="110"/>
      <c r="C49" s="111"/>
      <c r="D49" s="112"/>
      <c r="E49" s="110"/>
      <c r="F49" s="110"/>
      <c r="G49" s="110"/>
      <c r="H49" s="113">
        <v>45793.0</v>
      </c>
      <c r="I49" s="114">
        <v>3000.0</v>
      </c>
      <c r="J49" s="115" t="s">
        <v>3437</v>
      </c>
    </row>
    <row r="50" hidden="1">
      <c r="A50" s="116" t="s">
        <v>28</v>
      </c>
      <c r="B50" s="117"/>
      <c r="C50" s="118"/>
      <c r="D50" s="119"/>
      <c r="E50" s="117"/>
      <c r="F50" s="117"/>
      <c r="G50" s="117"/>
      <c r="H50" s="106">
        <v>45786.0</v>
      </c>
      <c r="I50" s="25">
        <v>3000.0</v>
      </c>
      <c r="J50" s="107" t="s">
        <v>3437</v>
      </c>
    </row>
    <row r="51" hidden="1">
      <c r="A51" s="116" t="s">
        <v>111</v>
      </c>
      <c r="B51" s="117"/>
      <c r="C51" s="118"/>
      <c r="D51" s="119"/>
      <c r="E51" s="117"/>
      <c r="F51" s="117"/>
      <c r="G51" s="117"/>
      <c r="H51" s="106">
        <v>45779.0</v>
      </c>
      <c r="I51" s="25">
        <v>3000.0</v>
      </c>
      <c r="J51" s="107" t="s">
        <v>3437</v>
      </c>
    </row>
    <row r="52" hidden="1">
      <c r="A52" s="116" t="s">
        <v>112</v>
      </c>
      <c r="B52" s="117"/>
      <c r="C52" s="118"/>
      <c r="D52" s="119"/>
      <c r="E52" s="117"/>
      <c r="F52" s="117"/>
      <c r="G52" s="117"/>
      <c r="H52" s="106">
        <v>45772.0</v>
      </c>
      <c r="I52" s="25">
        <v>3000.0</v>
      </c>
      <c r="J52" s="107" t="s">
        <v>3437</v>
      </c>
    </row>
    <row r="53" hidden="1">
      <c r="A53" s="120" t="s">
        <v>114</v>
      </c>
      <c r="B53" s="121">
        <v>45761.0</v>
      </c>
      <c r="C53" s="114">
        <v>25.0</v>
      </c>
      <c r="D53" s="122">
        <v>19.0</v>
      </c>
      <c r="E53" s="121"/>
      <c r="F53" s="121"/>
      <c r="G53" s="121"/>
      <c r="H53" s="113">
        <v>45765.0</v>
      </c>
      <c r="I53" s="123">
        <f t="shared" ref="I53:I55" si="7">D53*250</f>
        <v>4750</v>
      </c>
      <c r="J53" s="115" t="s">
        <v>3437</v>
      </c>
    </row>
    <row r="54" hidden="1">
      <c r="A54" s="24" t="s">
        <v>383</v>
      </c>
      <c r="B54" s="104">
        <v>45754.0</v>
      </c>
      <c r="C54" s="25">
        <v>27.0</v>
      </c>
      <c r="D54" s="86">
        <v>21.0</v>
      </c>
      <c r="E54" s="104"/>
      <c r="F54" s="104"/>
      <c r="G54" s="104"/>
      <c r="H54" s="106">
        <v>45758.0</v>
      </c>
      <c r="I54" s="1">
        <f t="shared" si="7"/>
        <v>5250</v>
      </c>
      <c r="J54" s="107" t="s">
        <v>3437</v>
      </c>
    </row>
    <row r="55" hidden="1">
      <c r="A55" s="24" t="s">
        <v>116</v>
      </c>
      <c r="B55" s="104">
        <v>45747.0</v>
      </c>
      <c r="C55" s="25">
        <v>23.0</v>
      </c>
      <c r="D55" s="25">
        <v>21.0</v>
      </c>
      <c r="E55" s="104"/>
      <c r="F55" s="104"/>
      <c r="G55" s="104"/>
      <c r="H55" s="106">
        <v>45751.0</v>
      </c>
      <c r="I55" s="27">
        <f t="shared" si="7"/>
        <v>5250</v>
      </c>
      <c r="J55" s="107" t="s">
        <v>3437</v>
      </c>
    </row>
    <row r="56" hidden="1">
      <c r="A56" s="24" t="s">
        <v>119</v>
      </c>
      <c r="B56" s="104">
        <v>45740.0</v>
      </c>
      <c r="C56" s="25">
        <v>20.0</v>
      </c>
      <c r="D56" s="25">
        <v>17.0</v>
      </c>
      <c r="E56" s="104"/>
      <c r="F56" s="104"/>
      <c r="G56" s="104"/>
      <c r="H56" s="106">
        <v>45744.0</v>
      </c>
      <c r="I56" s="64">
        <v>4250.0</v>
      </c>
      <c r="J56" s="107" t="s">
        <v>3437</v>
      </c>
    </row>
    <row r="57" hidden="1">
      <c r="A57" s="24" t="s">
        <v>125</v>
      </c>
      <c r="B57" s="104">
        <v>45733.0</v>
      </c>
      <c r="C57" s="25">
        <v>23.0</v>
      </c>
      <c r="D57" s="25">
        <f t="shared" ref="D57:D60" si="8">I57/250</f>
        <v>12</v>
      </c>
      <c r="E57" s="104"/>
      <c r="F57" s="104"/>
      <c r="G57" s="104"/>
      <c r="H57" s="106">
        <v>45737.0</v>
      </c>
      <c r="I57" s="64">
        <v>3000.0</v>
      </c>
      <c r="J57" s="107" t="s">
        <v>3437</v>
      </c>
    </row>
    <row r="58" hidden="1">
      <c r="A58" s="24" t="s">
        <v>118</v>
      </c>
      <c r="B58" s="104">
        <v>45726.0</v>
      </c>
      <c r="C58" s="25">
        <v>20.0</v>
      </c>
      <c r="D58" s="25">
        <f t="shared" si="8"/>
        <v>41</v>
      </c>
      <c r="E58" s="104"/>
      <c r="F58" s="104"/>
      <c r="G58" s="104"/>
      <c r="H58" s="106">
        <v>45730.0</v>
      </c>
      <c r="I58" s="64">
        <v>10250.0</v>
      </c>
      <c r="J58" s="107" t="s">
        <v>3437</v>
      </c>
    </row>
    <row r="59" hidden="1">
      <c r="A59" s="24" t="s">
        <v>3439</v>
      </c>
      <c r="B59" s="104">
        <v>45719.0</v>
      </c>
      <c r="C59" s="25">
        <v>16.0</v>
      </c>
      <c r="D59" s="25">
        <f t="shared" si="8"/>
        <v>46</v>
      </c>
      <c r="E59" s="104"/>
      <c r="F59" s="104"/>
      <c r="G59" s="104"/>
      <c r="H59" s="106">
        <v>45723.0</v>
      </c>
      <c r="I59" s="64">
        <v>11500.0</v>
      </c>
      <c r="J59" s="107" t="s">
        <v>3437</v>
      </c>
    </row>
    <row r="60" hidden="1">
      <c r="A60" s="24" t="s">
        <v>3440</v>
      </c>
      <c r="B60" s="104">
        <v>45712.0</v>
      </c>
      <c r="C60" s="25">
        <v>43.0</v>
      </c>
      <c r="D60" s="25">
        <f t="shared" si="8"/>
        <v>34</v>
      </c>
      <c r="E60" s="104"/>
      <c r="F60" s="104"/>
      <c r="G60" s="104"/>
      <c r="H60" s="106">
        <v>45716.0</v>
      </c>
      <c r="I60" s="64">
        <v>8500.0</v>
      </c>
      <c r="J60" s="107" t="s">
        <v>3437</v>
      </c>
    </row>
    <row r="61" hidden="1">
      <c r="A61" s="24" t="s">
        <v>3441</v>
      </c>
      <c r="B61" s="104">
        <v>45705.0</v>
      </c>
      <c r="C61" s="25">
        <v>51.0</v>
      </c>
      <c r="D61" s="25">
        <v>34.0</v>
      </c>
      <c r="E61" s="104"/>
      <c r="F61" s="104"/>
      <c r="G61" s="104"/>
      <c r="H61" s="106">
        <v>45709.0</v>
      </c>
      <c r="I61" s="64">
        <v>7750.0</v>
      </c>
      <c r="J61" s="107" t="s">
        <v>3437</v>
      </c>
    </row>
    <row r="62" hidden="1">
      <c r="A62" s="24" t="s">
        <v>3442</v>
      </c>
      <c r="B62" s="104">
        <v>45698.0</v>
      </c>
      <c r="C62" s="25">
        <v>42.0</v>
      </c>
      <c r="D62" s="25">
        <v>30.0</v>
      </c>
      <c r="E62" s="104"/>
      <c r="F62" s="104"/>
      <c r="G62" s="104"/>
      <c r="H62" s="106">
        <v>45702.0</v>
      </c>
      <c r="I62" s="64">
        <v>4750.0</v>
      </c>
      <c r="J62" s="107" t="s">
        <v>3437</v>
      </c>
    </row>
  </sheetData>
  <autoFilter ref="$A$2:$J$62">
    <filterColumn colId="0">
      <filters>
        <filter val="Week 2/15/26 - 2/21/26"/>
        <filter val="Week 3/22/26 - 3/28/26"/>
        <filter val="Week 3/8/26 - 3/14/26"/>
        <filter val="Week 2/1/26 - 2/7/26"/>
        <filter val="Week 1/18/26 - 1/24/26"/>
        <filter val="Week 2/22/26 - 2/28/26"/>
        <filter val="Week 1/25/26 - 1/31/26"/>
        <filter val="Week 3/15/26 - 3/21/26"/>
      </filters>
    </filterColumn>
  </autoFilter>
  <conditionalFormatting sqref="J1:J62">
    <cfRule type="containsText" dxfId="0" priority="1" operator="containsText" text="Not Paid">
      <formula>NOT(ISERROR(SEARCH(("Not Paid"),(J1))))</formula>
    </cfRule>
  </conditionalFormatting>
  <conditionalFormatting sqref="J1:J62">
    <cfRule type="containsText" dxfId="1" priority="2" operator="containsText" text="Problem">
      <formula>NOT(ISERROR(SEARCH(("Problem"),(J1))))</formula>
    </cfRule>
  </conditionalFormatting>
  <conditionalFormatting sqref="J3:J62">
    <cfRule type="containsText" dxfId="2" priority="3" operator="containsText" text="Paid">
      <formula>NOT(ISERROR(SEARCH(("Paid"),(J3))))</formula>
    </cfRule>
  </conditionalFormatting>
  <dataValidations>
    <dataValidation type="list" allowBlank="1" showErrorMessage="1" sqref="A36">
      <formula1>"Week 8/17/25 - 8/23/25"</formula1>
    </dataValidation>
    <dataValidation type="list" allowBlank="1" showErrorMessage="1" sqref="A5">
      <formula1>"Week 3/22/26 - 3/28/26"</formula1>
    </dataValidation>
    <dataValidation type="list" allowBlank="1" showErrorMessage="1" sqref="A25">
      <formula1>"Week 11/2/25 - 11/8/25"</formula1>
    </dataValidation>
    <dataValidation type="list" allowBlank="1" showErrorMessage="1" sqref="A41">
      <formula1>"Week 7/13/25 - 7/19/25"</formula1>
    </dataValidation>
    <dataValidation type="list" allowBlank="1" showErrorMessage="1" sqref="A33">
      <formula1>"Week 9/07/25 - 9/13/25"</formula1>
    </dataValidation>
    <dataValidation type="list" allowBlank="1" showErrorMessage="1" sqref="A3 A48:A52">
      <formula1>"Week 3/30/25 - 4/5/25,Week 4/6/25 - 4/12/25,Week 4/13/25 - 4/19/25,Week 4/20/25 - 4/26/25,Week 4/27/25 - 5/3/25,Week 5/4/25 - 5/10/25,Week 5/25/25 - 5/31/25"</formula1>
    </dataValidation>
    <dataValidation type="list" allowBlank="1" showErrorMessage="1" sqref="A31">
      <formula1>"Week 9/21/25 - 9/27/25"</formula1>
    </dataValidation>
    <dataValidation type="list" allowBlank="1" showErrorMessage="1" sqref="A56:A62">
      <formula1>"Week 3/16/25 - 3/22/25,Week 3/9/25 - 3/15/25,Week 3/2/25 - 3/8/25,Week 2/23/25 - 3/1/25,Week 2/16/25 - 2/22/25,Week 2/9/25 - 2/15/25,Week 2/2/25 - 2/8/25"</formula1>
    </dataValidation>
    <dataValidation type="list" allowBlank="1" showErrorMessage="1" sqref="A32">
      <formula1>"Week 9/14/25 - 9/20/25"</formula1>
    </dataValidation>
    <dataValidation type="list" allowBlank="1" showErrorMessage="1" sqref="A38">
      <formula1>"Week 8/3/25 - 8/9/25"</formula1>
    </dataValidation>
    <dataValidation type="list" allowBlank="1" showErrorMessage="1" sqref="A34">
      <formula1>"Week 8/31/25 - 9/06/25"</formula1>
    </dataValidation>
    <dataValidation type="list" allowBlank="1" showErrorMessage="1" sqref="A21">
      <formula1>"Week 11/30/25 - 12/6/25"</formula1>
    </dataValidation>
    <dataValidation type="list" allowBlank="1" showErrorMessage="1" sqref="A45">
      <formula1>"Week 6/15/25 - 6/21/25"</formula1>
    </dataValidation>
    <dataValidation type="list" allowBlank="1" showErrorMessage="1" sqref="A11">
      <formula1>"Week 2/8/26 - 2/14/26"</formula1>
    </dataValidation>
    <dataValidation type="list" allowBlank="1" showErrorMessage="1" sqref="A7">
      <formula1>"Week 3/8/26 - 3/14/26"</formula1>
    </dataValidation>
    <dataValidation type="list" allowBlank="1" showErrorMessage="1" sqref="A16">
      <formula1>"Week 1/4/26 - 1/10/26"</formula1>
    </dataValidation>
    <dataValidation type="list" allowBlank="1" showErrorMessage="1" sqref="A37">
      <formula1>"Week 8/10/25 - 8/16/25 "</formula1>
    </dataValidation>
    <dataValidation type="list" allowBlank="1" showErrorMessage="1" sqref="A35">
      <formula1>"Week 8/24/25 - 8/30/25"</formula1>
    </dataValidation>
    <dataValidation type="list" allowBlank="1" showErrorMessage="1" sqref="A46">
      <formula1>"Week 6/8/25 - 6/14/25"</formula1>
    </dataValidation>
    <dataValidation type="list" allowBlank="1" showErrorMessage="1" sqref="A12">
      <formula1>"Week 2/1/26 - 2/7/26"</formula1>
    </dataValidation>
    <dataValidation type="list" allowBlank="1" showErrorMessage="1" sqref="A47">
      <formula1>"Week 6/1/25 - 6/7/25"</formula1>
    </dataValidation>
    <dataValidation type="list" allowBlank="1" showErrorMessage="1" sqref="A40">
      <formula1>"Week 7/20/25 - 7/26/25"</formula1>
    </dataValidation>
    <dataValidation type="list" allowBlank="1" showErrorMessage="1" sqref="A55">
      <formula1>"Week 3/23/25 - 3/29/25"</formula1>
    </dataValidation>
    <dataValidation type="list" allowBlank="1" showErrorMessage="1" sqref="A18">
      <formula1>"Week 12/21/25 - 12/27/25 "</formula1>
    </dataValidation>
    <dataValidation type="list" allowBlank="1" showErrorMessage="1" sqref="A4 A8">
      <formula1>"Week 3/1/26 - 3/7/26"</formula1>
    </dataValidation>
    <dataValidation type="list" allowBlank="1" showErrorMessage="1" sqref="A39">
      <formula1>"Week 7/27/25 - 8/2/25"</formula1>
    </dataValidation>
    <dataValidation type="list" allowBlank="1" showErrorMessage="1" sqref="A30">
      <formula1>"Week 9/28/25 - 10/4/25"</formula1>
    </dataValidation>
    <dataValidation type="list" allowBlank="1" showErrorMessage="1" sqref="A27">
      <formula1>"Week 10/19/25 - 10/25/25"</formula1>
    </dataValidation>
    <dataValidation type="list" allowBlank="1" showErrorMessage="1" sqref="A44">
      <formula1>"Week 6/22/25 - 6/28/25"</formula1>
    </dataValidation>
    <dataValidation type="list" allowBlank="1" showErrorMessage="1" sqref="A15">
      <formula1>"Week 1/11/26 - 1/17/26"</formula1>
    </dataValidation>
    <dataValidation type="list" allowBlank="1" showErrorMessage="1" sqref="A29">
      <formula1>"Week 10/5/25 - 10/11/25"</formula1>
    </dataValidation>
    <dataValidation type="list" allowBlank="1" showErrorMessage="1" sqref="J3:J62">
      <formula1>"Not Paid,Paid,Problem,No Bonus"</formula1>
    </dataValidation>
    <dataValidation type="list" allowBlank="1" showErrorMessage="1" sqref="A9">
      <formula1>"Week 2/22/26 - 2/28/26"</formula1>
    </dataValidation>
    <dataValidation type="list" allowBlank="1" showErrorMessage="1" sqref="A14">
      <formula1>"Week 1/18/26 - 1/24/26"</formula1>
    </dataValidation>
    <dataValidation type="list" allowBlank="1" showErrorMessage="1" sqref="A24">
      <formula1>"Week 11/9/25 - 11/15/25"</formula1>
    </dataValidation>
    <dataValidation type="list" allowBlank="1" showErrorMessage="1" sqref="A42">
      <formula1>"Week 7/6/25 - 7/12/25 "</formula1>
    </dataValidation>
    <dataValidation type="list" allowBlank="1" showErrorMessage="1" sqref="A22">
      <formula1>"Week 11/23/25 - 11/29/25"</formula1>
    </dataValidation>
    <dataValidation type="list" allowBlank="1" showErrorMessage="1" sqref="A53:A54">
      <formula1>"Week 3/30/25 - 4/5/25,Week 4/6/25 - 4/12/25"</formula1>
    </dataValidation>
    <dataValidation type="list" allowBlank="1" showErrorMessage="1" sqref="A43">
      <formula1>"Week 6/29/25 - 7/5/25"</formula1>
    </dataValidation>
    <dataValidation type="list" allowBlank="1" showErrorMessage="1" sqref="A6">
      <formula1>"Week 3/15/26 - 3/21/26"</formula1>
    </dataValidation>
    <dataValidation type="list" allowBlank="1" showErrorMessage="1" sqref="A10">
      <formula1>"Week 2/15/26 - 2/21/26"</formula1>
    </dataValidation>
    <dataValidation type="list" allowBlank="1" showErrorMessage="1" sqref="A13">
      <formula1>"Week 1/25/26 - 1/31/26"</formula1>
    </dataValidation>
    <dataValidation type="list" allowBlank="1" showErrorMessage="1" sqref="A19">
      <formula1>"Week 12/14/25 - 12/20/25"</formula1>
    </dataValidation>
    <dataValidation type="list" allowBlank="1" showErrorMessage="1" sqref="A17">
      <formula1>"Week 12/28/25 - 1/3/25 "</formula1>
    </dataValidation>
    <dataValidation type="list" allowBlank="1" showErrorMessage="1" sqref="A26">
      <formula1>"Week 10/26/25 - 11/1/25"</formula1>
    </dataValidation>
    <dataValidation type="list" allowBlank="1" showErrorMessage="1" sqref="A20">
      <formula1>"Week 12/7/25 - 12/13/25"</formula1>
    </dataValidation>
    <dataValidation type="list" allowBlank="1" showErrorMessage="1" sqref="A23">
      <formula1>"Week 11/16/25 - 11/22/25"</formula1>
    </dataValidation>
    <dataValidation type="list" allowBlank="1" showErrorMessage="1" sqref="A28">
      <formula1>"Week 10/12/25 - 10/18/25"</formula1>
    </dataValidation>
  </dataValidations>
  <hyperlinks>
    <hyperlink r:id="rId1" location="gid=0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7.38"/>
  </cols>
  <sheetData>
    <row r="1">
      <c r="A1" s="90" t="s">
        <v>3443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2" t="s">
        <v>2</v>
      </c>
      <c r="B3" s="92" t="s">
        <v>3444</v>
      </c>
      <c r="C3" s="92" t="s">
        <v>3445</v>
      </c>
      <c r="D3" s="92" t="s">
        <v>3393</v>
      </c>
      <c r="E3" s="92" t="s">
        <v>124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6" t="s">
        <v>29</v>
      </c>
      <c r="B4" s="93" t="s">
        <v>3446</v>
      </c>
      <c r="C4" s="93" t="s">
        <v>3447</v>
      </c>
      <c r="D4" s="124" t="s">
        <v>3448</v>
      </c>
      <c r="E4" s="95">
        <f t="shared" ref="E4:E6" si="1">D4*150</f>
        <v>4275</v>
      </c>
      <c r="F4" s="99" t="str">
        <f t="shared" ref="F4:F274" si="2">D4 &amp; " Units Sold"</f>
        <v>28.5 Units Sold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6" t="s">
        <v>29</v>
      </c>
      <c r="B5" s="93" t="s">
        <v>3449</v>
      </c>
      <c r="C5" s="93" t="s">
        <v>3450</v>
      </c>
      <c r="D5" s="124" t="s">
        <v>3451</v>
      </c>
      <c r="E5" s="95">
        <f t="shared" si="1"/>
        <v>4125</v>
      </c>
      <c r="F5" s="99" t="str">
        <f t="shared" si="2"/>
        <v>27.5 Units Sold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6" t="s">
        <v>29</v>
      </c>
      <c r="B6" s="93" t="s">
        <v>726</v>
      </c>
      <c r="C6" s="93" t="s">
        <v>3452</v>
      </c>
      <c r="D6" s="124" t="s">
        <v>3453</v>
      </c>
      <c r="E6" s="95">
        <f t="shared" si="1"/>
        <v>1800</v>
      </c>
      <c r="F6" s="99" t="str">
        <f t="shared" si="2"/>
        <v>12 Units Sold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6" t="s">
        <v>29</v>
      </c>
      <c r="B7" s="93" t="s">
        <v>1144</v>
      </c>
      <c r="C7" s="93" t="s">
        <v>3454</v>
      </c>
      <c r="D7" s="124" t="s">
        <v>3455</v>
      </c>
      <c r="E7" s="95">
        <f t="shared" ref="E7:E8" si="3">D7*150/2</f>
        <v>3750</v>
      </c>
      <c r="F7" s="99" t="str">
        <f t="shared" si="2"/>
        <v>50 Units Sold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6" t="s">
        <v>29</v>
      </c>
      <c r="B8" s="93" t="s">
        <v>883</v>
      </c>
      <c r="C8" s="93" t="s">
        <v>3454</v>
      </c>
      <c r="D8" s="124" t="s">
        <v>3455</v>
      </c>
      <c r="E8" s="95">
        <f t="shared" si="3"/>
        <v>3750</v>
      </c>
      <c r="F8" s="99" t="str">
        <f t="shared" si="2"/>
        <v>50 Units Sold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6" t="s">
        <v>29</v>
      </c>
      <c r="B9" s="93" t="s">
        <v>3456</v>
      </c>
      <c r="C9" s="93" t="s">
        <v>3457</v>
      </c>
      <c r="D9" s="124" t="s">
        <v>3458</v>
      </c>
      <c r="E9" s="95">
        <f>D9*150</f>
        <v>2925</v>
      </c>
      <c r="F9" s="99" t="str">
        <f t="shared" si="2"/>
        <v>19.5 Units Sold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6" t="s">
        <v>29</v>
      </c>
      <c r="B10" s="93" t="s">
        <v>3459</v>
      </c>
      <c r="C10" s="93" t="s">
        <v>3460</v>
      </c>
      <c r="D10" s="124" t="s">
        <v>3461</v>
      </c>
      <c r="E10" s="95">
        <f t="shared" ref="E10:E11" si="4">D10*150/2</f>
        <v>2925</v>
      </c>
      <c r="F10" s="99" t="str">
        <f t="shared" si="2"/>
        <v>39 Units Sold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6" t="s">
        <v>29</v>
      </c>
      <c r="B11" s="93" t="s">
        <v>3462</v>
      </c>
      <c r="C11" s="93" t="s">
        <v>3460</v>
      </c>
      <c r="D11" s="124" t="s">
        <v>3461</v>
      </c>
      <c r="E11" s="95">
        <f t="shared" si="4"/>
        <v>2925</v>
      </c>
      <c r="F11" s="99" t="str">
        <f t="shared" si="2"/>
        <v>39 Units Sold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6" t="s">
        <v>29</v>
      </c>
      <c r="B12" s="93" t="s">
        <v>3463</v>
      </c>
      <c r="C12" s="93" t="s">
        <v>3464</v>
      </c>
      <c r="D12" s="124" t="s">
        <v>3465</v>
      </c>
      <c r="E12" s="95">
        <f t="shared" ref="E12:E15" si="5">D12*150</f>
        <v>3900</v>
      </c>
      <c r="F12" s="99" t="str">
        <f t="shared" si="2"/>
        <v>26 Units Sold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idden="1">
      <c r="A13" s="6" t="s">
        <v>38</v>
      </c>
      <c r="B13" s="93" t="s">
        <v>3446</v>
      </c>
      <c r="C13" s="93" t="s">
        <v>3447</v>
      </c>
      <c r="D13" s="124" t="s">
        <v>3466</v>
      </c>
      <c r="E13" s="95">
        <f t="shared" si="5"/>
        <v>3825</v>
      </c>
      <c r="F13" s="99" t="str">
        <f t="shared" si="2"/>
        <v>25.5 Units Sold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idden="1">
      <c r="A14" s="6" t="s">
        <v>38</v>
      </c>
      <c r="B14" s="93" t="s">
        <v>3449</v>
      </c>
      <c r="C14" s="93" t="s">
        <v>3450</v>
      </c>
      <c r="D14" s="124" t="s">
        <v>3467</v>
      </c>
      <c r="E14" s="95">
        <f t="shared" si="5"/>
        <v>4575</v>
      </c>
      <c r="F14" s="99" t="str">
        <f t="shared" si="2"/>
        <v>30.5 Units Sold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idden="1">
      <c r="A15" s="6" t="s">
        <v>38</v>
      </c>
      <c r="B15" s="93" t="s">
        <v>726</v>
      </c>
      <c r="C15" s="93" t="s">
        <v>3452</v>
      </c>
      <c r="D15" s="124" t="s">
        <v>3468</v>
      </c>
      <c r="E15" s="95">
        <f t="shared" si="5"/>
        <v>1650</v>
      </c>
      <c r="F15" s="99" t="str">
        <f t="shared" si="2"/>
        <v>11 Units Sold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idden="1">
      <c r="A16" s="6" t="s">
        <v>38</v>
      </c>
      <c r="B16" s="93" t="s">
        <v>1144</v>
      </c>
      <c r="C16" s="93" t="s">
        <v>3454</v>
      </c>
      <c r="D16" s="124" t="s">
        <v>3469</v>
      </c>
      <c r="E16" s="95">
        <f t="shared" ref="E16:E17" si="6">D16*150/2</f>
        <v>4087.5</v>
      </c>
      <c r="F16" s="99" t="str">
        <f t="shared" si="2"/>
        <v>54.5 Units Sold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idden="1">
      <c r="A17" s="6" t="s">
        <v>38</v>
      </c>
      <c r="B17" s="93" t="s">
        <v>883</v>
      </c>
      <c r="C17" s="93" t="s">
        <v>3454</v>
      </c>
      <c r="D17" s="124" t="s">
        <v>3469</v>
      </c>
      <c r="E17" s="95">
        <f t="shared" si="6"/>
        <v>4087.5</v>
      </c>
      <c r="F17" s="99" t="str">
        <f t="shared" si="2"/>
        <v>54.5 Units Sold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idden="1">
      <c r="A18" s="6" t="s">
        <v>38</v>
      </c>
      <c r="B18" s="93" t="s">
        <v>3456</v>
      </c>
      <c r="C18" s="93" t="s">
        <v>3457</v>
      </c>
      <c r="D18" s="124" t="s">
        <v>3470</v>
      </c>
      <c r="E18" s="95">
        <f>D18*150</f>
        <v>2250</v>
      </c>
      <c r="F18" s="99" t="str">
        <f t="shared" si="2"/>
        <v>15 Units Sold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idden="1">
      <c r="A19" s="6" t="s">
        <v>38</v>
      </c>
      <c r="B19" s="93" t="s">
        <v>3459</v>
      </c>
      <c r="C19" s="93" t="s">
        <v>3460</v>
      </c>
      <c r="D19" s="124" t="s">
        <v>3471</v>
      </c>
      <c r="E19" s="95">
        <f t="shared" ref="E19:E20" si="7">D19*150/2</f>
        <v>2625</v>
      </c>
      <c r="F19" s="99" t="str">
        <f t="shared" si="2"/>
        <v>35 Units Sold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idden="1">
      <c r="A20" s="6" t="s">
        <v>38</v>
      </c>
      <c r="B20" s="93" t="s">
        <v>3462</v>
      </c>
      <c r="C20" s="93" t="s">
        <v>3460</v>
      </c>
      <c r="D20" s="124" t="s">
        <v>3471</v>
      </c>
      <c r="E20" s="95">
        <f t="shared" si="7"/>
        <v>2625</v>
      </c>
      <c r="F20" s="99" t="str">
        <f t="shared" si="2"/>
        <v>35 Units Sold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idden="1">
      <c r="A21" s="6" t="s">
        <v>38</v>
      </c>
      <c r="B21" s="93" t="s">
        <v>3463</v>
      </c>
      <c r="C21" s="93" t="s">
        <v>3464</v>
      </c>
      <c r="D21" s="124" t="s">
        <v>3470</v>
      </c>
      <c r="E21" s="95">
        <f t="shared" ref="E21:E24" si="8">D21*150</f>
        <v>2250</v>
      </c>
      <c r="F21" s="99" t="str">
        <f t="shared" si="2"/>
        <v>15 Units Sold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idden="1">
      <c r="A22" s="6" t="s">
        <v>40</v>
      </c>
      <c r="B22" s="93" t="s">
        <v>3446</v>
      </c>
      <c r="C22" s="93" t="s">
        <v>3447</v>
      </c>
      <c r="D22" s="124" t="s">
        <v>3472</v>
      </c>
      <c r="E22" s="95">
        <f t="shared" si="8"/>
        <v>4050</v>
      </c>
      <c r="F22" s="99" t="str">
        <f t="shared" si="2"/>
        <v>27 Units Sold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idden="1">
      <c r="A23" s="6" t="s">
        <v>40</v>
      </c>
      <c r="B23" s="93" t="s">
        <v>3449</v>
      </c>
      <c r="C23" s="93" t="s">
        <v>3450</v>
      </c>
      <c r="D23" s="124" t="s">
        <v>3471</v>
      </c>
      <c r="E23" s="95">
        <f t="shared" si="8"/>
        <v>5250</v>
      </c>
      <c r="F23" s="99" t="str">
        <f t="shared" si="2"/>
        <v>35 Units Sold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idden="1">
      <c r="A24" s="6" t="s">
        <v>40</v>
      </c>
      <c r="B24" s="93" t="s">
        <v>726</v>
      </c>
      <c r="C24" s="93" t="s">
        <v>3452</v>
      </c>
      <c r="D24" s="124" t="s">
        <v>3473</v>
      </c>
      <c r="E24" s="95">
        <f t="shared" si="8"/>
        <v>975</v>
      </c>
      <c r="F24" s="99" t="str">
        <f t="shared" si="2"/>
        <v>6.5 Units Sold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idden="1">
      <c r="A25" s="6" t="s">
        <v>40</v>
      </c>
      <c r="B25" s="93" t="s">
        <v>1144</v>
      </c>
      <c r="C25" s="93" t="s">
        <v>3454</v>
      </c>
      <c r="D25" s="124" t="s">
        <v>3474</v>
      </c>
      <c r="E25" s="95">
        <f t="shared" ref="E25:E26" si="9">D25*150/2</f>
        <v>2700</v>
      </c>
      <c r="F25" s="99" t="str">
        <f t="shared" si="2"/>
        <v>36 Units Sold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idden="1">
      <c r="A26" s="6" t="s">
        <v>40</v>
      </c>
      <c r="B26" s="93" t="s">
        <v>883</v>
      </c>
      <c r="C26" s="93" t="s">
        <v>3454</v>
      </c>
      <c r="D26" s="124" t="s">
        <v>3474</v>
      </c>
      <c r="E26" s="95">
        <f t="shared" si="9"/>
        <v>2700</v>
      </c>
      <c r="F26" s="99" t="str">
        <f t="shared" si="2"/>
        <v>36 Units Sold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idden="1">
      <c r="A27" s="6" t="s">
        <v>40</v>
      </c>
      <c r="B27" s="93" t="s">
        <v>3456</v>
      </c>
      <c r="C27" s="93" t="s">
        <v>3457</v>
      </c>
      <c r="D27" s="124" t="s">
        <v>3475</v>
      </c>
      <c r="E27" s="95">
        <f>D27*150</f>
        <v>3675</v>
      </c>
      <c r="F27" s="99" t="str">
        <f t="shared" si="2"/>
        <v>24.5 Units Sold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idden="1">
      <c r="A28" s="6" t="s">
        <v>40</v>
      </c>
      <c r="B28" s="93" t="s">
        <v>3459</v>
      </c>
      <c r="C28" s="93" t="s">
        <v>3460</v>
      </c>
      <c r="D28" s="124" t="s">
        <v>3467</v>
      </c>
      <c r="E28" s="95">
        <f t="shared" ref="E28:E29" si="10">D28*150/2</f>
        <v>2287.5</v>
      </c>
      <c r="F28" s="99" t="str">
        <f t="shared" si="2"/>
        <v>30.5 Units Sold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idden="1">
      <c r="A29" s="6" t="s">
        <v>40</v>
      </c>
      <c r="B29" s="93" t="s">
        <v>3462</v>
      </c>
      <c r="C29" s="93" t="s">
        <v>3460</v>
      </c>
      <c r="D29" s="124" t="s">
        <v>3467</v>
      </c>
      <c r="E29" s="95">
        <f t="shared" si="10"/>
        <v>2287.5</v>
      </c>
      <c r="F29" s="99" t="str">
        <f t="shared" si="2"/>
        <v>30.5 Units Sold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idden="1">
      <c r="A30" s="6" t="s">
        <v>40</v>
      </c>
      <c r="B30" s="71" t="s">
        <v>3463</v>
      </c>
      <c r="C30" s="93" t="s">
        <v>3464</v>
      </c>
      <c r="D30" s="124" t="s">
        <v>3476</v>
      </c>
      <c r="E30" s="95">
        <f t="shared" ref="E30:E33" si="11">D30*150</f>
        <v>4350</v>
      </c>
      <c r="F30" s="99" t="str">
        <f t="shared" si="2"/>
        <v>29 Units Sold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idden="1">
      <c r="A31" s="6" t="s">
        <v>42</v>
      </c>
      <c r="B31" s="93" t="s">
        <v>3446</v>
      </c>
      <c r="C31" s="93" t="s">
        <v>3447</v>
      </c>
      <c r="D31" s="124" t="s">
        <v>3465</v>
      </c>
      <c r="E31" s="95">
        <f t="shared" si="11"/>
        <v>3900</v>
      </c>
      <c r="F31" s="99" t="str">
        <f t="shared" si="2"/>
        <v>26 Units Sold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idden="1">
      <c r="A32" s="6" t="s">
        <v>42</v>
      </c>
      <c r="B32" s="93" t="s">
        <v>3449</v>
      </c>
      <c r="C32" s="93" t="s">
        <v>3450</v>
      </c>
      <c r="D32" s="124" t="s">
        <v>3477</v>
      </c>
      <c r="E32" s="95">
        <f t="shared" si="11"/>
        <v>6000</v>
      </c>
      <c r="F32" s="99" t="str">
        <f t="shared" si="2"/>
        <v>40 Units Sold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idden="1">
      <c r="A33" s="6" t="s">
        <v>42</v>
      </c>
      <c r="B33" s="93" t="s">
        <v>726</v>
      </c>
      <c r="C33" s="93" t="s">
        <v>3452</v>
      </c>
      <c r="D33" s="124" t="s">
        <v>3478</v>
      </c>
      <c r="E33" s="95">
        <f t="shared" si="11"/>
        <v>2400</v>
      </c>
      <c r="F33" s="99" t="str">
        <f t="shared" si="2"/>
        <v>16 Units Sold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idden="1">
      <c r="A34" s="6" t="s">
        <v>42</v>
      </c>
      <c r="B34" s="93" t="s">
        <v>1144</v>
      </c>
      <c r="C34" s="93" t="s">
        <v>3454</v>
      </c>
      <c r="D34" s="124" t="s">
        <v>3479</v>
      </c>
      <c r="E34" s="95">
        <f t="shared" ref="E34:E35" si="12">D34*150/2</f>
        <v>3637.5</v>
      </c>
      <c r="F34" s="99" t="str">
        <f t="shared" si="2"/>
        <v>48.5 Units Sold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idden="1">
      <c r="A35" s="6" t="s">
        <v>42</v>
      </c>
      <c r="B35" s="93" t="s">
        <v>883</v>
      </c>
      <c r="C35" s="93" t="s">
        <v>3454</v>
      </c>
      <c r="D35" s="124" t="s">
        <v>3479</v>
      </c>
      <c r="E35" s="95">
        <f t="shared" si="12"/>
        <v>3637.5</v>
      </c>
      <c r="F35" s="99" t="str">
        <f t="shared" si="2"/>
        <v>48.5 Units Sold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idden="1">
      <c r="A36" s="6" t="s">
        <v>42</v>
      </c>
      <c r="B36" s="93" t="s">
        <v>3456</v>
      </c>
      <c r="C36" s="93" t="s">
        <v>3457</v>
      </c>
      <c r="D36" s="124" t="s">
        <v>3480</v>
      </c>
      <c r="E36" s="95">
        <f>D36*150</f>
        <v>3750</v>
      </c>
      <c r="F36" s="99" t="str">
        <f t="shared" si="2"/>
        <v>25 Units Sold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idden="1">
      <c r="A37" s="6" t="s">
        <v>42</v>
      </c>
      <c r="B37" s="93" t="s">
        <v>3459</v>
      </c>
      <c r="C37" s="93" t="s">
        <v>3460</v>
      </c>
      <c r="D37" s="124" t="s">
        <v>3481</v>
      </c>
      <c r="E37" s="95">
        <f t="shared" ref="E37:E38" si="13">D37*150/2</f>
        <v>2325</v>
      </c>
      <c r="F37" s="99" t="str">
        <f t="shared" si="2"/>
        <v>31 Units Sold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idden="1">
      <c r="A38" s="6" t="s">
        <v>42</v>
      </c>
      <c r="B38" s="93" t="s">
        <v>3462</v>
      </c>
      <c r="C38" s="93" t="s">
        <v>3460</v>
      </c>
      <c r="D38" s="124" t="s">
        <v>3481</v>
      </c>
      <c r="E38" s="95">
        <f t="shared" si="13"/>
        <v>2325</v>
      </c>
      <c r="F38" s="99" t="str">
        <f t="shared" si="2"/>
        <v>31 Units Sold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idden="1">
      <c r="A39" s="6" t="s">
        <v>42</v>
      </c>
      <c r="B39" s="93" t="s">
        <v>3482</v>
      </c>
      <c r="C39" s="93" t="s">
        <v>3464</v>
      </c>
      <c r="D39" s="124" t="s">
        <v>3483</v>
      </c>
      <c r="E39" s="95">
        <f t="shared" ref="E39:E42" si="14">D39*150</f>
        <v>2850</v>
      </c>
      <c r="F39" s="99" t="str">
        <f t="shared" si="2"/>
        <v>19 Units Sold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idden="1">
      <c r="A40" s="6" t="s">
        <v>44</v>
      </c>
      <c r="B40" s="93" t="s">
        <v>3446</v>
      </c>
      <c r="C40" s="93" t="s">
        <v>3447</v>
      </c>
      <c r="D40" s="124" t="s">
        <v>3467</v>
      </c>
      <c r="E40" s="95">
        <f t="shared" si="14"/>
        <v>4575</v>
      </c>
      <c r="F40" s="99" t="str">
        <f t="shared" si="2"/>
        <v>30.5 Units Sold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idden="1">
      <c r="A41" s="6" t="s">
        <v>44</v>
      </c>
      <c r="B41" s="93" t="s">
        <v>3449</v>
      </c>
      <c r="C41" s="93" t="s">
        <v>3450</v>
      </c>
      <c r="D41" s="124" t="s">
        <v>3483</v>
      </c>
      <c r="E41" s="95">
        <f t="shared" si="14"/>
        <v>2850</v>
      </c>
      <c r="F41" s="99" t="str">
        <f t="shared" si="2"/>
        <v>19 Units Sold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idden="1">
      <c r="A42" s="6" t="s">
        <v>44</v>
      </c>
      <c r="B42" s="93" t="s">
        <v>726</v>
      </c>
      <c r="C42" s="93" t="s">
        <v>3452</v>
      </c>
      <c r="D42" s="124" t="s">
        <v>3484</v>
      </c>
      <c r="E42" s="95">
        <f t="shared" si="14"/>
        <v>900</v>
      </c>
      <c r="F42" s="99" t="str">
        <f t="shared" si="2"/>
        <v>6 Units Sold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idden="1">
      <c r="A43" s="6" t="s">
        <v>44</v>
      </c>
      <c r="B43" s="93" t="s">
        <v>1144</v>
      </c>
      <c r="C43" s="93" t="s">
        <v>3454</v>
      </c>
      <c r="D43" s="124" t="s">
        <v>3485</v>
      </c>
      <c r="E43" s="95">
        <f t="shared" ref="E43:E44" si="15">D43*150/2</f>
        <v>3937.5</v>
      </c>
      <c r="F43" s="99" t="str">
        <f t="shared" si="2"/>
        <v>52.5 Units Sold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idden="1">
      <c r="A44" s="6" t="s">
        <v>44</v>
      </c>
      <c r="B44" s="93" t="s">
        <v>883</v>
      </c>
      <c r="C44" s="93" t="s">
        <v>3454</v>
      </c>
      <c r="D44" s="124" t="s">
        <v>3485</v>
      </c>
      <c r="E44" s="95">
        <f t="shared" si="15"/>
        <v>3937.5</v>
      </c>
      <c r="F44" s="99" t="str">
        <f t="shared" si="2"/>
        <v>52.5 Units Sold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idden="1">
      <c r="A45" s="6" t="s">
        <v>44</v>
      </c>
      <c r="B45" s="93" t="s">
        <v>3456</v>
      </c>
      <c r="C45" s="93" t="s">
        <v>3457</v>
      </c>
      <c r="D45" s="124" t="s">
        <v>3486</v>
      </c>
      <c r="E45" s="95">
        <f>D45*150</f>
        <v>2625</v>
      </c>
      <c r="F45" s="99" t="str">
        <f t="shared" si="2"/>
        <v>17.5 Units Sold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idden="1">
      <c r="A46" s="6" t="s">
        <v>44</v>
      </c>
      <c r="B46" s="93" t="s">
        <v>3459</v>
      </c>
      <c r="C46" s="93" t="s">
        <v>3460</v>
      </c>
      <c r="D46" s="124" t="s">
        <v>3465</v>
      </c>
      <c r="E46" s="95">
        <f t="shared" ref="E46:E47" si="16">D46*150/2</f>
        <v>1950</v>
      </c>
      <c r="F46" s="99" t="str">
        <f t="shared" si="2"/>
        <v>26 Units Sold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idden="1">
      <c r="A47" s="6" t="s">
        <v>44</v>
      </c>
      <c r="B47" s="93" t="s">
        <v>3462</v>
      </c>
      <c r="C47" s="93" t="s">
        <v>3460</v>
      </c>
      <c r="D47" s="124" t="s">
        <v>3465</v>
      </c>
      <c r="E47" s="95">
        <f t="shared" si="16"/>
        <v>1950</v>
      </c>
      <c r="F47" s="99" t="str">
        <f t="shared" si="2"/>
        <v>26 Units Sold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idden="1">
      <c r="A48" s="6" t="s">
        <v>44</v>
      </c>
      <c r="B48" s="93" t="s">
        <v>3482</v>
      </c>
      <c r="C48" s="93" t="s">
        <v>3464</v>
      </c>
      <c r="D48" s="124" t="s">
        <v>3487</v>
      </c>
      <c r="E48" s="95">
        <f t="shared" ref="E48:E51" si="17">D48*150</f>
        <v>3075</v>
      </c>
      <c r="F48" s="99" t="str">
        <f t="shared" si="2"/>
        <v>20.5 Units Sold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idden="1">
      <c r="A49" s="6" t="s">
        <v>46</v>
      </c>
      <c r="B49" s="93" t="s">
        <v>3446</v>
      </c>
      <c r="C49" s="93" t="s">
        <v>3447</v>
      </c>
      <c r="D49" s="124" t="s">
        <v>3488</v>
      </c>
      <c r="E49" s="95">
        <f t="shared" si="17"/>
        <v>3525</v>
      </c>
      <c r="F49" s="99" t="str">
        <f t="shared" si="2"/>
        <v>23.5 Units Sold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idden="1">
      <c r="A50" s="6" t="s">
        <v>46</v>
      </c>
      <c r="B50" s="93" t="s">
        <v>3449</v>
      </c>
      <c r="C50" s="93" t="s">
        <v>3450</v>
      </c>
      <c r="D50" s="124" t="s">
        <v>3489</v>
      </c>
      <c r="E50" s="95">
        <f t="shared" si="17"/>
        <v>3000</v>
      </c>
      <c r="F50" s="99" t="str">
        <f t="shared" si="2"/>
        <v>20 Units Sold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idden="1">
      <c r="A51" s="6" t="s">
        <v>46</v>
      </c>
      <c r="B51" s="93" t="s">
        <v>726</v>
      </c>
      <c r="C51" s="93" t="s">
        <v>3452</v>
      </c>
      <c r="D51" s="124" t="s">
        <v>3453</v>
      </c>
      <c r="E51" s="95">
        <f t="shared" si="17"/>
        <v>1800</v>
      </c>
      <c r="F51" s="99" t="str">
        <f t="shared" si="2"/>
        <v>12 Units Sold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idden="1">
      <c r="A52" s="6" t="s">
        <v>46</v>
      </c>
      <c r="B52" s="93" t="s">
        <v>1144</v>
      </c>
      <c r="C52" s="93" t="s">
        <v>3454</v>
      </c>
      <c r="D52" s="124" t="s">
        <v>3490</v>
      </c>
      <c r="E52" s="95">
        <f t="shared" ref="E52:E53" si="18">D52*150/2</f>
        <v>3150</v>
      </c>
      <c r="F52" s="99" t="str">
        <f t="shared" si="2"/>
        <v>42 Units Sold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idden="1">
      <c r="A53" s="6" t="s">
        <v>46</v>
      </c>
      <c r="B53" s="93" t="s">
        <v>883</v>
      </c>
      <c r="C53" s="93" t="s">
        <v>3454</v>
      </c>
      <c r="D53" s="124" t="s">
        <v>3490</v>
      </c>
      <c r="E53" s="95">
        <f t="shared" si="18"/>
        <v>3150</v>
      </c>
      <c r="F53" s="99" t="str">
        <f t="shared" si="2"/>
        <v>42 Units Sold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idden="1">
      <c r="A54" s="6" t="s">
        <v>46</v>
      </c>
      <c r="B54" s="93" t="s">
        <v>3456</v>
      </c>
      <c r="C54" s="93" t="s">
        <v>3457</v>
      </c>
      <c r="D54" s="124" t="s">
        <v>3470</v>
      </c>
      <c r="E54" s="95">
        <f>D54*150</f>
        <v>2250</v>
      </c>
      <c r="F54" s="99" t="str">
        <f t="shared" si="2"/>
        <v>15 Units Sold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idden="1">
      <c r="A55" s="6" t="s">
        <v>46</v>
      </c>
      <c r="B55" s="93" t="s">
        <v>3459</v>
      </c>
      <c r="C55" s="93" t="s">
        <v>3460</v>
      </c>
      <c r="D55" s="124" t="s">
        <v>3472</v>
      </c>
      <c r="E55" s="95">
        <f t="shared" ref="E55:E56" si="19">D55*150/2</f>
        <v>2025</v>
      </c>
      <c r="F55" s="99" t="str">
        <f t="shared" si="2"/>
        <v>27 Units Sold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idden="1">
      <c r="A56" s="6" t="s">
        <v>46</v>
      </c>
      <c r="B56" s="93" t="s">
        <v>3462</v>
      </c>
      <c r="C56" s="93" t="s">
        <v>3460</v>
      </c>
      <c r="D56" s="124" t="s">
        <v>3472</v>
      </c>
      <c r="E56" s="95">
        <f t="shared" si="19"/>
        <v>2025</v>
      </c>
      <c r="F56" s="99" t="str">
        <f t="shared" si="2"/>
        <v>27 Units Sold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idden="1">
      <c r="A57" s="6" t="s">
        <v>46</v>
      </c>
      <c r="B57" s="93" t="s">
        <v>3482</v>
      </c>
      <c r="C57" s="93" t="s">
        <v>3464</v>
      </c>
      <c r="D57" s="124" t="s">
        <v>3491</v>
      </c>
      <c r="E57" s="95">
        <f t="shared" ref="E57:E60" si="20">D57*150</f>
        <v>3375</v>
      </c>
      <c r="F57" s="99" t="str">
        <f t="shared" si="2"/>
        <v>22.5 Units Sold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idden="1">
      <c r="A58" s="6" t="s">
        <v>48</v>
      </c>
      <c r="B58" s="93" t="s">
        <v>3446</v>
      </c>
      <c r="C58" s="93" t="s">
        <v>3447</v>
      </c>
      <c r="D58" s="124" t="s">
        <v>3492</v>
      </c>
      <c r="E58" s="95">
        <f t="shared" si="20"/>
        <v>3600</v>
      </c>
      <c r="F58" s="99" t="str">
        <f t="shared" si="2"/>
        <v>24 Units Sold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idden="1">
      <c r="A59" s="6" t="s">
        <v>48</v>
      </c>
      <c r="B59" s="93" t="s">
        <v>3449</v>
      </c>
      <c r="C59" s="93" t="s">
        <v>3450</v>
      </c>
      <c r="D59" s="124" t="s">
        <v>3493</v>
      </c>
      <c r="E59" s="95">
        <f t="shared" si="20"/>
        <v>4425</v>
      </c>
      <c r="F59" s="99" t="str">
        <f t="shared" si="2"/>
        <v>29.5 Units Sold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idden="1">
      <c r="A60" s="6" t="s">
        <v>48</v>
      </c>
      <c r="B60" s="93" t="s">
        <v>726</v>
      </c>
      <c r="C60" s="93" t="s">
        <v>3452</v>
      </c>
      <c r="D60" s="124" t="s">
        <v>3494</v>
      </c>
      <c r="E60" s="95">
        <f t="shared" si="20"/>
        <v>1950</v>
      </c>
      <c r="F60" s="99" t="str">
        <f t="shared" si="2"/>
        <v>13 Units Sold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idden="1">
      <c r="A61" s="6" t="s">
        <v>48</v>
      </c>
      <c r="B61" s="93" t="s">
        <v>1144</v>
      </c>
      <c r="C61" s="93" t="s">
        <v>3454</v>
      </c>
      <c r="D61" s="124" t="s">
        <v>3495</v>
      </c>
      <c r="E61" s="95">
        <f t="shared" ref="E61:E62" si="21">D61*150/2</f>
        <v>4125</v>
      </c>
      <c r="F61" s="99" t="str">
        <f t="shared" si="2"/>
        <v>55 Units Sold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idden="1">
      <c r="A62" s="6" t="s">
        <v>48</v>
      </c>
      <c r="B62" s="93" t="s">
        <v>883</v>
      </c>
      <c r="C62" s="93" t="s">
        <v>3454</v>
      </c>
      <c r="D62" s="124" t="s">
        <v>3495</v>
      </c>
      <c r="E62" s="95">
        <f t="shared" si="21"/>
        <v>4125</v>
      </c>
      <c r="F62" s="99" t="str">
        <f t="shared" si="2"/>
        <v>55 Units Sold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idden="1">
      <c r="A63" s="6" t="s">
        <v>48</v>
      </c>
      <c r="B63" s="93" t="s">
        <v>3456</v>
      </c>
      <c r="C63" s="93" t="s">
        <v>3457</v>
      </c>
      <c r="D63" s="124" t="s">
        <v>3481</v>
      </c>
      <c r="E63" s="95">
        <f>D63*150</f>
        <v>4650</v>
      </c>
      <c r="F63" s="99" t="str">
        <f t="shared" si="2"/>
        <v>31 Units Sold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idden="1">
      <c r="A64" s="6" t="s">
        <v>48</v>
      </c>
      <c r="B64" s="93" t="s">
        <v>3459</v>
      </c>
      <c r="C64" s="93" t="s">
        <v>3460</v>
      </c>
      <c r="D64" s="124" t="s">
        <v>3451</v>
      </c>
      <c r="E64" s="95">
        <f t="shared" ref="E64:E65" si="22">D64*150/2</f>
        <v>2062.5</v>
      </c>
      <c r="F64" s="99" t="str">
        <f t="shared" si="2"/>
        <v>27.5 Units Sold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idden="1">
      <c r="A65" s="6" t="s">
        <v>48</v>
      </c>
      <c r="B65" s="93" t="s">
        <v>3462</v>
      </c>
      <c r="C65" s="93" t="s">
        <v>3460</v>
      </c>
      <c r="D65" s="124" t="s">
        <v>3451</v>
      </c>
      <c r="E65" s="95">
        <f t="shared" si="22"/>
        <v>2062.5</v>
      </c>
      <c r="F65" s="99" t="str">
        <f t="shared" si="2"/>
        <v>27.5 Units Sold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idden="1">
      <c r="A66" s="6" t="s">
        <v>48</v>
      </c>
      <c r="B66" s="93" t="s">
        <v>3482</v>
      </c>
      <c r="C66" s="93" t="s">
        <v>3464</v>
      </c>
      <c r="D66" s="124" t="s">
        <v>3472</v>
      </c>
      <c r="E66" s="95">
        <f t="shared" ref="E66:E69" si="23">D66*150</f>
        <v>4050</v>
      </c>
      <c r="F66" s="99" t="str">
        <f t="shared" si="2"/>
        <v>27 Units Sold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idden="1">
      <c r="A67" s="6" t="s">
        <v>50</v>
      </c>
      <c r="B67" s="93" t="s">
        <v>3446</v>
      </c>
      <c r="C67" s="93" t="s">
        <v>3447</v>
      </c>
      <c r="D67" s="124" t="s">
        <v>3488</v>
      </c>
      <c r="E67" s="95">
        <f t="shared" si="23"/>
        <v>3525</v>
      </c>
      <c r="F67" s="99" t="str">
        <f t="shared" si="2"/>
        <v>23.5 Units Sold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idden="1">
      <c r="A68" s="6" t="s">
        <v>50</v>
      </c>
      <c r="B68" s="93" t="s">
        <v>3449</v>
      </c>
      <c r="C68" s="93" t="s">
        <v>3450</v>
      </c>
      <c r="D68" s="124" t="s">
        <v>3451</v>
      </c>
      <c r="E68" s="95">
        <f t="shared" si="23"/>
        <v>4125</v>
      </c>
      <c r="F68" s="99" t="str">
        <f t="shared" si="2"/>
        <v>27.5 Units Sold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idden="1">
      <c r="A69" s="6" t="s">
        <v>50</v>
      </c>
      <c r="B69" s="93" t="s">
        <v>726</v>
      </c>
      <c r="C69" s="93" t="s">
        <v>3452</v>
      </c>
      <c r="D69" s="124" t="s">
        <v>3483</v>
      </c>
      <c r="E69" s="95">
        <f t="shared" si="23"/>
        <v>2850</v>
      </c>
      <c r="F69" s="99" t="str">
        <f t="shared" si="2"/>
        <v>19 Units Sold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idden="1">
      <c r="A70" s="6" t="s">
        <v>50</v>
      </c>
      <c r="B70" s="93" t="s">
        <v>1144</v>
      </c>
      <c r="C70" s="93" t="s">
        <v>3454</v>
      </c>
      <c r="D70" s="124" t="s">
        <v>3496</v>
      </c>
      <c r="E70" s="95">
        <f t="shared" ref="E70:E71" si="24">D70*150/2</f>
        <v>2850</v>
      </c>
      <c r="F70" s="99" t="str">
        <f t="shared" si="2"/>
        <v>38 Units Sold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idden="1">
      <c r="A71" s="6" t="s">
        <v>50</v>
      </c>
      <c r="B71" s="93" t="s">
        <v>883</v>
      </c>
      <c r="C71" s="93" t="s">
        <v>3454</v>
      </c>
      <c r="D71" s="124" t="s">
        <v>3496</v>
      </c>
      <c r="E71" s="95">
        <f t="shared" si="24"/>
        <v>2850</v>
      </c>
      <c r="F71" s="99" t="str">
        <f t="shared" si="2"/>
        <v>38 Units Sold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idden="1">
      <c r="A72" s="6" t="s">
        <v>50</v>
      </c>
      <c r="B72" s="93" t="s">
        <v>3456</v>
      </c>
      <c r="C72" s="93" t="s">
        <v>3457</v>
      </c>
      <c r="D72" s="124" t="s">
        <v>3497</v>
      </c>
      <c r="E72" s="95">
        <f>D72*150</f>
        <v>1275</v>
      </c>
      <c r="F72" s="99" t="str">
        <f t="shared" si="2"/>
        <v>8.5 Units Sold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idden="1">
      <c r="A73" s="6" t="s">
        <v>50</v>
      </c>
      <c r="B73" s="93" t="s">
        <v>3459</v>
      </c>
      <c r="C73" s="93" t="s">
        <v>3460</v>
      </c>
      <c r="D73" s="124" t="s">
        <v>3498</v>
      </c>
      <c r="E73" s="95">
        <f t="shared" ref="E73:E74" si="25">D73*150/2</f>
        <v>2400</v>
      </c>
      <c r="F73" s="99" t="str">
        <f t="shared" si="2"/>
        <v>32 Units Sold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idden="1">
      <c r="A74" s="6" t="s">
        <v>50</v>
      </c>
      <c r="B74" s="93" t="s">
        <v>3462</v>
      </c>
      <c r="C74" s="93" t="s">
        <v>3460</v>
      </c>
      <c r="D74" s="124" t="s">
        <v>3498</v>
      </c>
      <c r="E74" s="95">
        <f t="shared" si="25"/>
        <v>2400</v>
      </c>
      <c r="F74" s="99" t="str">
        <f t="shared" si="2"/>
        <v>32 Units Sold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idden="1">
      <c r="A75" s="6" t="s">
        <v>50</v>
      </c>
      <c r="B75" s="93" t="s">
        <v>3482</v>
      </c>
      <c r="C75" s="93" t="s">
        <v>3464</v>
      </c>
      <c r="D75" s="124" t="s">
        <v>3498</v>
      </c>
      <c r="E75" s="95">
        <f t="shared" ref="E75:E78" si="26">D75*150</f>
        <v>4800</v>
      </c>
      <c r="F75" s="99" t="str">
        <f t="shared" si="2"/>
        <v>32 Units Sold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idden="1">
      <c r="A76" s="6" t="s">
        <v>52</v>
      </c>
      <c r="B76" s="93" t="s">
        <v>3446</v>
      </c>
      <c r="C76" s="93" t="s">
        <v>3447</v>
      </c>
      <c r="D76" s="124" t="s">
        <v>3499</v>
      </c>
      <c r="E76" s="95">
        <f t="shared" si="26"/>
        <v>4200</v>
      </c>
      <c r="F76" s="99" t="str">
        <f t="shared" si="2"/>
        <v>28 Units Sold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idden="1">
      <c r="A77" s="6" t="s">
        <v>52</v>
      </c>
      <c r="B77" s="93" t="s">
        <v>3449</v>
      </c>
      <c r="C77" s="93" t="s">
        <v>3450</v>
      </c>
      <c r="D77" s="124" t="s">
        <v>3500</v>
      </c>
      <c r="E77" s="95">
        <f t="shared" si="26"/>
        <v>3975</v>
      </c>
      <c r="F77" s="99" t="str">
        <f t="shared" si="2"/>
        <v>26.5 Units Sold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idden="1">
      <c r="A78" s="6" t="s">
        <v>52</v>
      </c>
      <c r="B78" s="93" t="s">
        <v>726</v>
      </c>
      <c r="C78" s="93" t="s">
        <v>3452</v>
      </c>
      <c r="D78" s="124" t="s">
        <v>3501</v>
      </c>
      <c r="E78" s="95">
        <f t="shared" si="26"/>
        <v>1875</v>
      </c>
      <c r="F78" s="99" t="str">
        <f t="shared" si="2"/>
        <v>12.5 Units Sold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idden="1">
      <c r="A79" s="6" t="s">
        <v>52</v>
      </c>
      <c r="B79" s="93" t="s">
        <v>1144</v>
      </c>
      <c r="C79" s="93" t="s">
        <v>3454</v>
      </c>
      <c r="D79" s="124" t="s">
        <v>3502</v>
      </c>
      <c r="E79" s="95">
        <f t="shared" ref="E79:E80" si="27">D79*150/2</f>
        <v>3450</v>
      </c>
      <c r="F79" s="99" t="str">
        <f t="shared" si="2"/>
        <v>46 Units Sold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idden="1">
      <c r="A80" s="6" t="s">
        <v>52</v>
      </c>
      <c r="B80" s="93" t="s">
        <v>883</v>
      </c>
      <c r="C80" s="93" t="s">
        <v>3454</v>
      </c>
      <c r="D80" s="124" t="s">
        <v>3502</v>
      </c>
      <c r="E80" s="95">
        <f t="shared" si="27"/>
        <v>3450</v>
      </c>
      <c r="F80" s="99" t="str">
        <f t="shared" si="2"/>
        <v>46 Units Sold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idden="1">
      <c r="A81" s="6" t="s">
        <v>52</v>
      </c>
      <c r="B81" s="93" t="s">
        <v>3456</v>
      </c>
      <c r="C81" s="93" t="s">
        <v>3457</v>
      </c>
      <c r="D81" s="124" t="s">
        <v>3503</v>
      </c>
      <c r="E81" s="95">
        <f>D81*150</f>
        <v>2325</v>
      </c>
      <c r="F81" s="99" t="str">
        <f t="shared" si="2"/>
        <v>15.5 Units Sold</v>
      </c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idden="1">
      <c r="A82" s="6" t="s">
        <v>52</v>
      </c>
      <c r="B82" s="93" t="s">
        <v>3459</v>
      </c>
      <c r="C82" s="93" t="s">
        <v>3460</v>
      </c>
      <c r="D82" s="124" t="s">
        <v>3476</v>
      </c>
      <c r="E82" s="95">
        <f t="shared" ref="E82:E83" si="28">D82*150/2</f>
        <v>2175</v>
      </c>
      <c r="F82" s="99" t="str">
        <f t="shared" si="2"/>
        <v>29 Units Sold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idden="1">
      <c r="A83" s="6" t="s">
        <v>52</v>
      </c>
      <c r="B83" s="93" t="s">
        <v>3462</v>
      </c>
      <c r="C83" s="93" t="s">
        <v>3460</v>
      </c>
      <c r="D83" s="124" t="s">
        <v>3476</v>
      </c>
      <c r="E83" s="95">
        <f t="shared" si="28"/>
        <v>2175</v>
      </c>
      <c r="F83" s="99" t="str">
        <f t="shared" si="2"/>
        <v>29 Units Sold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idden="1">
      <c r="A84" s="6" t="s">
        <v>52</v>
      </c>
      <c r="B84" s="93" t="s">
        <v>3482</v>
      </c>
      <c r="C84" s="93" t="s">
        <v>3464</v>
      </c>
      <c r="D84" s="124" t="s">
        <v>3504</v>
      </c>
      <c r="E84" s="95">
        <f t="shared" ref="E84:E87" si="29">D84*150</f>
        <v>1500</v>
      </c>
      <c r="F84" s="99" t="str">
        <f t="shared" si="2"/>
        <v>10 Units Sold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idden="1">
      <c r="A85" s="6" t="s">
        <v>55</v>
      </c>
      <c r="B85" s="93" t="s">
        <v>3446</v>
      </c>
      <c r="C85" s="93" t="s">
        <v>3447</v>
      </c>
      <c r="D85" s="124" t="s">
        <v>3505</v>
      </c>
      <c r="E85" s="95">
        <f t="shared" si="29"/>
        <v>3300</v>
      </c>
      <c r="F85" s="99" t="str">
        <f t="shared" si="2"/>
        <v>22 Units Sold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idden="1">
      <c r="A86" s="6" t="s">
        <v>55</v>
      </c>
      <c r="B86" s="93" t="s">
        <v>3449</v>
      </c>
      <c r="C86" s="93" t="s">
        <v>3450</v>
      </c>
      <c r="D86" s="124" t="s">
        <v>3489</v>
      </c>
      <c r="E86" s="95">
        <f t="shared" si="29"/>
        <v>3000</v>
      </c>
      <c r="F86" s="99" t="str">
        <f t="shared" si="2"/>
        <v>20 Units Sold</v>
      </c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idden="1">
      <c r="A87" s="6" t="s">
        <v>55</v>
      </c>
      <c r="B87" s="93" t="s">
        <v>726</v>
      </c>
      <c r="C87" s="93" t="s">
        <v>3452</v>
      </c>
      <c r="D87" s="124" t="s">
        <v>3468</v>
      </c>
      <c r="E87" s="95">
        <f t="shared" si="29"/>
        <v>1650</v>
      </c>
      <c r="F87" s="99" t="str">
        <f t="shared" si="2"/>
        <v>11 Units Sold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idden="1">
      <c r="A88" s="6" t="s">
        <v>55</v>
      </c>
      <c r="B88" s="93" t="s">
        <v>1144</v>
      </c>
      <c r="C88" s="93" t="s">
        <v>3454</v>
      </c>
      <c r="D88" s="124" t="s">
        <v>3495</v>
      </c>
      <c r="E88" s="95">
        <f t="shared" ref="E88:E89" si="30">D88*150/2</f>
        <v>4125</v>
      </c>
      <c r="F88" s="99" t="str">
        <f t="shared" si="2"/>
        <v>55 Units Sold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idden="1">
      <c r="A89" s="6" t="s">
        <v>55</v>
      </c>
      <c r="B89" s="93" t="s">
        <v>883</v>
      </c>
      <c r="C89" s="93" t="s">
        <v>3454</v>
      </c>
      <c r="D89" s="124" t="s">
        <v>3495</v>
      </c>
      <c r="E89" s="95">
        <f t="shared" si="30"/>
        <v>4125</v>
      </c>
      <c r="F89" s="99" t="str">
        <f t="shared" si="2"/>
        <v>55 Units Sold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idden="1">
      <c r="A90" s="6" t="s">
        <v>55</v>
      </c>
      <c r="B90" s="93" t="s">
        <v>3456</v>
      </c>
      <c r="C90" s="93" t="s">
        <v>3457</v>
      </c>
      <c r="D90" s="124" t="s">
        <v>3492</v>
      </c>
      <c r="E90" s="95">
        <f>D90*150</f>
        <v>3600</v>
      </c>
      <c r="F90" s="99" t="str">
        <f t="shared" si="2"/>
        <v>24 Units Sold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idden="1">
      <c r="A91" s="6" t="s">
        <v>55</v>
      </c>
      <c r="B91" s="93" t="s">
        <v>3459</v>
      </c>
      <c r="C91" s="93" t="s">
        <v>3460</v>
      </c>
      <c r="D91" s="124" t="s">
        <v>3506</v>
      </c>
      <c r="E91" s="95">
        <f t="shared" ref="E91:E92" si="31">D91*150/2</f>
        <v>1387.5</v>
      </c>
      <c r="F91" s="99" t="str">
        <f t="shared" si="2"/>
        <v>18.5 Units Sold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idden="1">
      <c r="A92" s="6" t="s">
        <v>55</v>
      </c>
      <c r="B92" s="93" t="s">
        <v>3462</v>
      </c>
      <c r="C92" s="93" t="s">
        <v>3460</v>
      </c>
      <c r="D92" s="124" t="s">
        <v>3506</v>
      </c>
      <c r="E92" s="95">
        <f t="shared" si="31"/>
        <v>1387.5</v>
      </c>
      <c r="F92" s="99" t="str">
        <f t="shared" si="2"/>
        <v>18.5 Units Sold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idden="1">
      <c r="A93" s="6" t="s">
        <v>55</v>
      </c>
      <c r="B93" s="93" t="s">
        <v>3482</v>
      </c>
      <c r="C93" s="93" t="s">
        <v>3464</v>
      </c>
      <c r="D93" s="124" t="s">
        <v>3507</v>
      </c>
      <c r="E93" s="95">
        <f t="shared" ref="E93:E96" si="32">D93*150</f>
        <v>2175</v>
      </c>
      <c r="F93" s="99" t="str">
        <f t="shared" si="2"/>
        <v>14.5 Units Sold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idden="1">
      <c r="A94" s="6" t="s">
        <v>57</v>
      </c>
      <c r="B94" s="93" t="s">
        <v>3446</v>
      </c>
      <c r="C94" s="93" t="s">
        <v>3447</v>
      </c>
      <c r="D94" s="124" t="s">
        <v>3491</v>
      </c>
      <c r="E94" s="95">
        <f t="shared" si="32"/>
        <v>3375</v>
      </c>
      <c r="F94" s="99" t="str">
        <f t="shared" si="2"/>
        <v>22.5 Units Sold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idden="1">
      <c r="A95" s="6" t="s">
        <v>57</v>
      </c>
      <c r="B95" s="93" t="s">
        <v>3449</v>
      </c>
      <c r="C95" s="93" t="s">
        <v>3450</v>
      </c>
      <c r="D95" s="124" t="s">
        <v>3508</v>
      </c>
      <c r="E95" s="95">
        <f t="shared" si="32"/>
        <v>2025</v>
      </c>
      <c r="F95" s="99" t="str">
        <f t="shared" si="2"/>
        <v>13.5 Units Sold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idden="1">
      <c r="A96" s="6" t="s">
        <v>57</v>
      </c>
      <c r="B96" s="93" t="s">
        <v>726</v>
      </c>
      <c r="C96" s="93" t="s">
        <v>3452</v>
      </c>
      <c r="D96" s="124" t="s">
        <v>3507</v>
      </c>
      <c r="E96" s="95">
        <f t="shared" si="32"/>
        <v>2175</v>
      </c>
      <c r="F96" s="99" t="str">
        <f t="shared" si="2"/>
        <v>14.5 Units Sold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idden="1">
      <c r="A97" s="6" t="s">
        <v>57</v>
      </c>
      <c r="B97" s="93" t="s">
        <v>1144</v>
      </c>
      <c r="C97" s="93" t="s">
        <v>3454</v>
      </c>
      <c r="D97" s="124" t="s">
        <v>3509</v>
      </c>
      <c r="E97" s="95">
        <f t="shared" ref="E97:E98" si="33">D97*150/2</f>
        <v>2775</v>
      </c>
      <c r="F97" s="99" t="str">
        <f t="shared" si="2"/>
        <v>37 Units Sold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idden="1">
      <c r="A98" s="6" t="s">
        <v>57</v>
      </c>
      <c r="B98" s="93" t="s">
        <v>883</v>
      </c>
      <c r="C98" s="93" t="s">
        <v>3454</v>
      </c>
      <c r="D98" s="124" t="s">
        <v>3509</v>
      </c>
      <c r="E98" s="95">
        <f t="shared" si="33"/>
        <v>2775</v>
      </c>
      <c r="F98" s="99" t="str">
        <f t="shared" si="2"/>
        <v>37 Units Sold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idden="1">
      <c r="A99" s="6" t="s">
        <v>57</v>
      </c>
      <c r="B99" s="93" t="s">
        <v>3456</v>
      </c>
      <c r="C99" s="93" t="s">
        <v>3457</v>
      </c>
      <c r="D99" s="124" t="s">
        <v>3489</v>
      </c>
      <c r="E99" s="95">
        <f>D99*150</f>
        <v>3000</v>
      </c>
      <c r="F99" s="99" t="str">
        <f t="shared" si="2"/>
        <v>20 Units Sold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idden="1">
      <c r="A100" s="6" t="s">
        <v>57</v>
      </c>
      <c r="B100" s="93" t="s">
        <v>3459</v>
      </c>
      <c r="C100" s="93" t="s">
        <v>3460</v>
      </c>
      <c r="D100" s="124" t="s">
        <v>3475</v>
      </c>
      <c r="E100" s="95">
        <f t="shared" ref="E100:E101" si="34">D100*150/2</f>
        <v>1837.5</v>
      </c>
      <c r="F100" s="99" t="str">
        <f t="shared" si="2"/>
        <v>24.5 Units Sold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idden="1">
      <c r="A101" s="6" t="s">
        <v>57</v>
      </c>
      <c r="B101" s="93" t="s">
        <v>3462</v>
      </c>
      <c r="C101" s="93" t="s">
        <v>3460</v>
      </c>
      <c r="D101" s="124" t="s">
        <v>3475</v>
      </c>
      <c r="E101" s="95">
        <f t="shared" si="34"/>
        <v>1837.5</v>
      </c>
      <c r="F101" s="99" t="str">
        <f t="shared" si="2"/>
        <v>24.5 Units Sold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idden="1">
      <c r="A102" s="6" t="s">
        <v>57</v>
      </c>
      <c r="B102" s="93" t="s">
        <v>3482</v>
      </c>
      <c r="C102" s="93" t="s">
        <v>3464</v>
      </c>
      <c r="D102" s="124" t="s">
        <v>3503</v>
      </c>
      <c r="E102" s="95">
        <f t="shared" ref="E102:E105" si="35">D102*150</f>
        <v>2325</v>
      </c>
      <c r="F102" s="99" t="str">
        <f t="shared" si="2"/>
        <v>15.5 Units Sold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idden="1">
      <c r="A103" s="6" t="s">
        <v>59</v>
      </c>
      <c r="B103" s="93" t="s">
        <v>3446</v>
      </c>
      <c r="C103" s="93" t="s">
        <v>3447</v>
      </c>
      <c r="D103" s="124" t="s">
        <v>3487</v>
      </c>
      <c r="E103" s="95">
        <f t="shared" si="35"/>
        <v>3075</v>
      </c>
      <c r="F103" s="99" t="str">
        <f t="shared" si="2"/>
        <v>20.5 Units Sold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idden="1">
      <c r="A104" s="6" t="s">
        <v>59</v>
      </c>
      <c r="B104" s="93" t="s">
        <v>3449</v>
      </c>
      <c r="C104" s="93" t="s">
        <v>3450</v>
      </c>
      <c r="D104" s="124" t="s">
        <v>3510</v>
      </c>
      <c r="E104" s="95">
        <f t="shared" si="35"/>
        <v>5775</v>
      </c>
      <c r="F104" s="99" t="str">
        <f t="shared" si="2"/>
        <v>38.5 Units Sold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idden="1">
      <c r="A105" s="6" t="s">
        <v>59</v>
      </c>
      <c r="B105" s="93" t="s">
        <v>726</v>
      </c>
      <c r="C105" s="93" t="s">
        <v>3452</v>
      </c>
      <c r="D105" s="124" t="s">
        <v>3504</v>
      </c>
      <c r="E105" s="95">
        <f t="shared" si="35"/>
        <v>1500</v>
      </c>
      <c r="F105" s="99" t="str">
        <f t="shared" si="2"/>
        <v>10 Units Sold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idden="1">
      <c r="A106" s="6" t="s">
        <v>59</v>
      </c>
      <c r="B106" s="93" t="s">
        <v>1144</v>
      </c>
      <c r="C106" s="93" t="s">
        <v>3454</v>
      </c>
      <c r="D106" s="124" t="s">
        <v>3511</v>
      </c>
      <c r="E106" s="95">
        <f t="shared" ref="E106:E107" si="36">D106*150/2</f>
        <v>3037.5</v>
      </c>
      <c r="F106" s="99" t="str">
        <f t="shared" si="2"/>
        <v>40.5 Units Sold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idden="1">
      <c r="A107" s="6" t="s">
        <v>59</v>
      </c>
      <c r="B107" s="93" t="s">
        <v>883</v>
      </c>
      <c r="C107" s="93" t="s">
        <v>3454</v>
      </c>
      <c r="D107" s="124" t="s">
        <v>3511</v>
      </c>
      <c r="E107" s="95">
        <f t="shared" si="36"/>
        <v>3037.5</v>
      </c>
      <c r="F107" s="99" t="str">
        <f t="shared" si="2"/>
        <v>40.5 Units Sold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idden="1">
      <c r="A108" s="6" t="s">
        <v>59</v>
      </c>
      <c r="B108" s="93" t="s">
        <v>3456</v>
      </c>
      <c r="C108" s="93" t="s">
        <v>3457</v>
      </c>
      <c r="D108" s="124" t="s">
        <v>3505</v>
      </c>
      <c r="E108" s="95">
        <f>D108*150</f>
        <v>3300</v>
      </c>
      <c r="F108" s="99" t="str">
        <f t="shared" si="2"/>
        <v>22 Units Sold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idden="1">
      <c r="A109" s="6" t="s">
        <v>59</v>
      </c>
      <c r="B109" s="93" t="s">
        <v>3459</v>
      </c>
      <c r="C109" s="93" t="s">
        <v>3460</v>
      </c>
      <c r="D109" s="124" t="s">
        <v>3500</v>
      </c>
      <c r="E109" s="95">
        <f t="shared" ref="E109:E110" si="37">D109*150/2</f>
        <v>1987.5</v>
      </c>
      <c r="F109" s="99" t="str">
        <f t="shared" si="2"/>
        <v>26.5 Units Sold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idden="1">
      <c r="A110" s="6" t="s">
        <v>59</v>
      </c>
      <c r="B110" s="93" t="s">
        <v>3462</v>
      </c>
      <c r="C110" s="93" t="s">
        <v>3460</v>
      </c>
      <c r="D110" s="124" t="s">
        <v>3500</v>
      </c>
      <c r="E110" s="95">
        <f t="shared" si="37"/>
        <v>1987.5</v>
      </c>
      <c r="F110" s="99" t="str">
        <f t="shared" si="2"/>
        <v>26.5 Units Sold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idden="1">
      <c r="A111" s="6" t="s">
        <v>59</v>
      </c>
      <c r="B111" s="93" t="s">
        <v>3482</v>
      </c>
      <c r="C111" s="93" t="s">
        <v>3464</v>
      </c>
      <c r="D111" s="124" t="s">
        <v>3480</v>
      </c>
      <c r="E111" s="95">
        <f t="shared" ref="E111:E114" si="38">D111*150</f>
        <v>3750</v>
      </c>
      <c r="F111" s="99" t="str">
        <f t="shared" si="2"/>
        <v>25 Units Sold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idden="1">
      <c r="A112" s="6" t="s">
        <v>62</v>
      </c>
      <c r="B112" s="93" t="s">
        <v>3446</v>
      </c>
      <c r="C112" s="93" t="s">
        <v>3447</v>
      </c>
      <c r="D112" s="124" t="s">
        <v>3512</v>
      </c>
      <c r="E112" s="95">
        <f t="shared" si="38"/>
        <v>225</v>
      </c>
      <c r="F112" s="99" t="str">
        <f t="shared" si="2"/>
        <v>1.5 Units Sold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idden="1">
      <c r="A113" s="6" t="s">
        <v>62</v>
      </c>
      <c r="B113" s="93" t="s">
        <v>3449</v>
      </c>
      <c r="C113" s="93" t="s">
        <v>3450</v>
      </c>
      <c r="D113" s="124" t="s">
        <v>3513</v>
      </c>
      <c r="E113" s="95">
        <f t="shared" si="38"/>
        <v>1125</v>
      </c>
      <c r="F113" s="99" t="str">
        <f t="shared" si="2"/>
        <v>7.5 Units Sold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idden="1">
      <c r="A114" s="6" t="s">
        <v>62</v>
      </c>
      <c r="B114" s="93" t="s">
        <v>726</v>
      </c>
      <c r="C114" s="93" t="s">
        <v>3452</v>
      </c>
      <c r="D114" s="124" t="s">
        <v>3468</v>
      </c>
      <c r="E114" s="95">
        <f t="shared" si="38"/>
        <v>1650</v>
      </c>
      <c r="F114" s="99" t="str">
        <f t="shared" si="2"/>
        <v>11 Units Sold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idden="1">
      <c r="A115" s="6" t="s">
        <v>62</v>
      </c>
      <c r="B115" s="93" t="s">
        <v>1144</v>
      </c>
      <c r="C115" s="93" t="s">
        <v>3454</v>
      </c>
      <c r="D115" s="124" t="s">
        <v>3514</v>
      </c>
      <c r="E115" s="95">
        <f t="shared" ref="E115:E116" si="39">D115*150/2</f>
        <v>2587.5</v>
      </c>
      <c r="F115" s="99" t="str">
        <f t="shared" si="2"/>
        <v>34.5 Units Sold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idden="1">
      <c r="A116" s="6" t="s">
        <v>62</v>
      </c>
      <c r="B116" s="93" t="s">
        <v>883</v>
      </c>
      <c r="C116" s="93" t="s">
        <v>3454</v>
      </c>
      <c r="D116" s="124" t="s">
        <v>3514</v>
      </c>
      <c r="E116" s="95">
        <f t="shared" si="39"/>
        <v>2587.5</v>
      </c>
      <c r="F116" s="99" t="str">
        <f t="shared" si="2"/>
        <v>34.5 Units Sold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idden="1">
      <c r="A117" s="6" t="s">
        <v>62</v>
      </c>
      <c r="B117" s="93" t="s">
        <v>3456</v>
      </c>
      <c r="C117" s="93" t="s">
        <v>3457</v>
      </c>
      <c r="D117" s="124" t="s">
        <v>3515</v>
      </c>
      <c r="E117" s="95">
        <f>D117*150</f>
        <v>375</v>
      </c>
      <c r="F117" s="99" t="str">
        <f t="shared" si="2"/>
        <v>2.5 Units Sold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idden="1">
      <c r="A118" s="6" t="s">
        <v>62</v>
      </c>
      <c r="B118" s="93" t="s">
        <v>3459</v>
      </c>
      <c r="C118" s="93" t="s">
        <v>3460</v>
      </c>
      <c r="D118" s="124" t="s">
        <v>3516</v>
      </c>
      <c r="E118" s="95">
        <f t="shared" ref="E118:E119" si="40">D118*150/2</f>
        <v>862.5</v>
      </c>
      <c r="F118" s="99" t="str">
        <f t="shared" si="2"/>
        <v>11.5 Units Sold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idden="1">
      <c r="A119" s="6" t="s">
        <v>62</v>
      </c>
      <c r="B119" s="93" t="s">
        <v>3462</v>
      </c>
      <c r="C119" s="93" t="s">
        <v>3460</v>
      </c>
      <c r="D119" s="124" t="s">
        <v>3516</v>
      </c>
      <c r="E119" s="95">
        <f t="shared" si="40"/>
        <v>862.5</v>
      </c>
      <c r="F119" s="99" t="str">
        <f t="shared" si="2"/>
        <v>11.5 Units Sold</v>
      </c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idden="1">
      <c r="A120" s="6" t="s">
        <v>62</v>
      </c>
      <c r="B120" s="93" t="s">
        <v>3482</v>
      </c>
      <c r="C120" s="93" t="s">
        <v>3464</v>
      </c>
      <c r="D120" s="124" t="s">
        <v>3517</v>
      </c>
      <c r="E120" s="95">
        <f t="shared" ref="E120:E123" si="41">D120*150</f>
        <v>0</v>
      </c>
      <c r="F120" s="99" t="str">
        <f t="shared" si="2"/>
        <v>0 Units Sold</v>
      </c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idden="1">
      <c r="A121" s="6" t="s">
        <v>63</v>
      </c>
      <c r="B121" s="93" t="s">
        <v>3446</v>
      </c>
      <c r="C121" s="93" t="s">
        <v>3447</v>
      </c>
      <c r="D121" s="124" t="s">
        <v>3518</v>
      </c>
      <c r="E121" s="95">
        <f t="shared" si="41"/>
        <v>300</v>
      </c>
      <c r="F121" s="99" t="str">
        <f t="shared" si="2"/>
        <v>2 Units Sold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idden="1">
      <c r="A122" s="6" t="s">
        <v>63</v>
      </c>
      <c r="B122" s="93" t="s">
        <v>3449</v>
      </c>
      <c r="C122" s="93" t="s">
        <v>3450</v>
      </c>
      <c r="D122" s="124" t="s">
        <v>3517</v>
      </c>
      <c r="E122" s="95">
        <f t="shared" si="41"/>
        <v>0</v>
      </c>
      <c r="F122" s="99" t="str">
        <f t="shared" si="2"/>
        <v>0 Units Sold</v>
      </c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idden="1">
      <c r="A123" s="6" t="s">
        <v>63</v>
      </c>
      <c r="B123" s="93" t="s">
        <v>726</v>
      </c>
      <c r="C123" s="93" t="s">
        <v>3452</v>
      </c>
      <c r="D123" s="124" t="s">
        <v>3517</v>
      </c>
      <c r="E123" s="95">
        <f t="shared" si="41"/>
        <v>0</v>
      </c>
      <c r="F123" s="99" t="str">
        <f t="shared" si="2"/>
        <v>0 Units Sold</v>
      </c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idden="1">
      <c r="A124" s="6" t="s">
        <v>63</v>
      </c>
      <c r="B124" s="93" t="s">
        <v>1144</v>
      </c>
      <c r="C124" s="93" t="s">
        <v>3454</v>
      </c>
      <c r="D124" s="124" t="s">
        <v>3519</v>
      </c>
      <c r="E124" s="95">
        <f t="shared" ref="E124:E125" si="42">D124*150/2</f>
        <v>1612.5</v>
      </c>
      <c r="F124" s="99" t="str">
        <f t="shared" si="2"/>
        <v>21.5 Units Sold</v>
      </c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idden="1">
      <c r="A125" s="6" t="s">
        <v>63</v>
      </c>
      <c r="B125" s="93" t="s">
        <v>883</v>
      </c>
      <c r="C125" s="93" t="s">
        <v>3454</v>
      </c>
      <c r="D125" s="124" t="s">
        <v>3519</v>
      </c>
      <c r="E125" s="95">
        <f t="shared" si="42"/>
        <v>1612.5</v>
      </c>
      <c r="F125" s="99" t="str">
        <f t="shared" si="2"/>
        <v>21.5 Units Sold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idden="1">
      <c r="A126" s="6" t="s">
        <v>63</v>
      </c>
      <c r="B126" s="93" t="s">
        <v>3456</v>
      </c>
      <c r="C126" s="93" t="s">
        <v>3457</v>
      </c>
      <c r="D126" s="124" t="s">
        <v>3484</v>
      </c>
      <c r="E126" s="95">
        <f>D126*150</f>
        <v>900</v>
      </c>
      <c r="F126" s="99" t="str">
        <f t="shared" si="2"/>
        <v>6 Units Sold</v>
      </c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idden="1">
      <c r="A127" s="6" t="s">
        <v>63</v>
      </c>
      <c r="B127" s="93" t="s">
        <v>3459</v>
      </c>
      <c r="C127" s="93" t="s">
        <v>3460</v>
      </c>
      <c r="D127" s="124" t="s">
        <v>3468</v>
      </c>
      <c r="E127" s="95">
        <f t="shared" ref="E127:E128" si="43">D127*150/2</f>
        <v>825</v>
      </c>
      <c r="F127" s="99" t="str">
        <f t="shared" si="2"/>
        <v>11 Units Sold</v>
      </c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idden="1">
      <c r="A128" s="6" t="s">
        <v>63</v>
      </c>
      <c r="B128" s="93" t="s">
        <v>3462</v>
      </c>
      <c r="C128" s="93" t="s">
        <v>3460</v>
      </c>
      <c r="D128" s="124" t="s">
        <v>3468</v>
      </c>
      <c r="E128" s="95">
        <f t="shared" si="43"/>
        <v>825</v>
      </c>
      <c r="F128" s="99" t="str">
        <f t="shared" si="2"/>
        <v>11 Units Sold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idden="1">
      <c r="A129" s="6" t="s">
        <v>63</v>
      </c>
      <c r="B129" s="93" t="s">
        <v>3482</v>
      </c>
      <c r="C129" s="93" t="s">
        <v>3464</v>
      </c>
      <c r="D129" s="124" t="s">
        <v>3517</v>
      </c>
      <c r="E129" s="95">
        <f t="shared" ref="E129:E132" si="44">D129*150</f>
        <v>0</v>
      </c>
      <c r="F129" s="99" t="str">
        <f t="shared" si="2"/>
        <v>0 Units Sold</v>
      </c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idden="1">
      <c r="A130" s="6" t="s">
        <v>65</v>
      </c>
      <c r="B130" s="93" t="s">
        <v>3446</v>
      </c>
      <c r="C130" s="93" t="s">
        <v>3447</v>
      </c>
      <c r="D130" s="124" t="s">
        <v>3472</v>
      </c>
      <c r="E130" s="95">
        <f t="shared" si="44"/>
        <v>4050</v>
      </c>
      <c r="F130" s="99" t="str">
        <f t="shared" si="2"/>
        <v>27 Units Sold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idden="1">
      <c r="A131" s="6" t="s">
        <v>65</v>
      </c>
      <c r="B131" s="93" t="s">
        <v>3449</v>
      </c>
      <c r="C131" s="93" t="s">
        <v>3450</v>
      </c>
      <c r="D131" s="124" t="s">
        <v>3520</v>
      </c>
      <c r="E131" s="95">
        <f t="shared" si="44"/>
        <v>4875</v>
      </c>
      <c r="F131" s="99" t="str">
        <f t="shared" si="2"/>
        <v>32.5 Units Sold</v>
      </c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idden="1">
      <c r="A132" s="6" t="s">
        <v>65</v>
      </c>
      <c r="B132" s="93" t="s">
        <v>726</v>
      </c>
      <c r="C132" s="93" t="s">
        <v>3452</v>
      </c>
      <c r="D132" s="124" t="s">
        <v>3516</v>
      </c>
      <c r="E132" s="95">
        <f t="shared" si="44"/>
        <v>1725</v>
      </c>
      <c r="F132" s="99" t="str">
        <f t="shared" si="2"/>
        <v>11.5 Units Sold</v>
      </c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idden="1">
      <c r="A133" s="6" t="s">
        <v>65</v>
      </c>
      <c r="B133" s="93" t="s">
        <v>1144</v>
      </c>
      <c r="C133" s="93" t="s">
        <v>3454</v>
      </c>
      <c r="D133" s="124" t="s">
        <v>3514</v>
      </c>
      <c r="E133" s="95">
        <f t="shared" ref="E133:E134" si="45">D133*150/2</f>
        <v>2587.5</v>
      </c>
      <c r="F133" s="99" t="str">
        <f t="shared" si="2"/>
        <v>34.5 Units Sold</v>
      </c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idden="1">
      <c r="A134" s="6" t="s">
        <v>65</v>
      </c>
      <c r="B134" s="93" t="s">
        <v>883</v>
      </c>
      <c r="C134" s="93" t="s">
        <v>3454</v>
      </c>
      <c r="D134" s="124" t="s">
        <v>3514</v>
      </c>
      <c r="E134" s="95">
        <f t="shared" si="45"/>
        <v>2587.5</v>
      </c>
      <c r="F134" s="99" t="str">
        <f t="shared" si="2"/>
        <v>34.5 Units Sold</v>
      </c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idden="1">
      <c r="A135" s="6" t="s">
        <v>65</v>
      </c>
      <c r="B135" s="93" t="s">
        <v>3456</v>
      </c>
      <c r="C135" s="93" t="s">
        <v>3457</v>
      </c>
      <c r="D135" s="124" t="s">
        <v>3521</v>
      </c>
      <c r="E135" s="95">
        <f>D135*150</f>
        <v>3150</v>
      </c>
      <c r="F135" s="99" t="str">
        <f t="shared" si="2"/>
        <v>21 Units Sold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idden="1">
      <c r="A136" s="6" t="s">
        <v>65</v>
      </c>
      <c r="B136" s="93" t="s">
        <v>3459</v>
      </c>
      <c r="C136" s="93" t="s">
        <v>3460</v>
      </c>
      <c r="D136" s="124" t="s">
        <v>3522</v>
      </c>
      <c r="E136" s="95">
        <f t="shared" ref="E136:E137" si="46">D136*150/2</f>
        <v>1350</v>
      </c>
      <c r="F136" s="99" t="str">
        <f t="shared" si="2"/>
        <v>18 Units Sold</v>
      </c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idden="1">
      <c r="A137" s="6" t="s">
        <v>65</v>
      </c>
      <c r="B137" s="93" t="s">
        <v>3462</v>
      </c>
      <c r="C137" s="93" t="s">
        <v>3460</v>
      </c>
      <c r="D137" s="124" t="s">
        <v>3522</v>
      </c>
      <c r="E137" s="95">
        <f t="shared" si="46"/>
        <v>1350</v>
      </c>
      <c r="F137" s="99" t="str">
        <f t="shared" si="2"/>
        <v>18 Units Sold</v>
      </c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idden="1">
      <c r="A138" s="6" t="s">
        <v>65</v>
      </c>
      <c r="B138" s="93" t="s">
        <v>3482</v>
      </c>
      <c r="C138" s="93" t="s">
        <v>3464</v>
      </c>
      <c r="D138" s="124" t="s">
        <v>3517</v>
      </c>
      <c r="E138" s="95">
        <f t="shared" ref="E138:E141" si="47">D138*150</f>
        <v>0</v>
      </c>
      <c r="F138" s="99" t="str">
        <f t="shared" si="2"/>
        <v>0 Units Sold</v>
      </c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idden="1">
      <c r="A139" s="6" t="s">
        <v>67</v>
      </c>
      <c r="B139" s="93" t="s">
        <v>3446</v>
      </c>
      <c r="C139" s="93" t="s">
        <v>3447</v>
      </c>
      <c r="D139" s="124" t="s">
        <v>3519</v>
      </c>
      <c r="E139" s="95">
        <f t="shared" si="47"/>
        <v>3225</v>
      </c>
      <c r="F139" s="99" t="str">
        <f t="shared" si="2"/>
        <v>21.5 Units Sold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idden="1">
      <c r="A140" s="6" t="s">
        <v>67</v>
      </c>
      <c r="B140" s="93" t="s">
        <v>3449</v>
      </c>
      <c r="C140" s="93" t="s">
        <v>3450</v>
      </c>
      <c r="D140" s="124" t="s">
        <v>3505</v>
      </c>
      <c r="E140" s="95">
        <f t="shared" si="47"/>
        <v>3300</v>
      </c>
      <c r="F140" s="99" t="str">
        <f t="shared" si="2"/>
        <v>22 Units Sold</v>
      </c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idden="1">
      <c r="A141" s="6" t="s">
        <v>67</v>
      </c>
      <c r="B141" s="93" t="s">
        <v>726</v>
      </c>
      <c r="C141" s="93" t="s">
        <v>3452</v>
      </c>
      <c r="D141" s="124" t="s">
        <v>3468</v>
      </c>
      <c r="E141" s="95">
        <f t="shared" si="47"/>
        <v>1650</v>
      </c>
      <c r="F141" s="99" t="str">
        <f t="shared" si="2"/>
        <v>11 Units Sold</v>
      </c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idden="1">
      <c r="A142" s="6" t="s">
        <v>67</v>
      </c>
      <c r="B142" s="93" t="s">
        <v>1144</v>
      </c>
      <c r="C142" s="93" t="s">
        <v>3454</v>
      </c>
      <c r="D142" s="124" t="s">
        <v>3472</v>
      </c>
      <c r="E142" s="95">
        <f t="shared" ref="E142:E143" si="48">D142*150/2</f>
        <v>2025</v>
      </c>
      <c r="F142" s="99" t="str">
        <f t="shared" si="2"/>
        <v>27 Units Sold</v>
      </c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idden="1">
      <c r="A143" s="6" t="s">
        <v>67</v>
      </c>
      <c r="B143" s="93" t="s">
        <v>883</v>
      </c>
      <c r="C143" s="93" t="s">
        <v>3454</v>
      </c>
      <c r="D143" s="124" t="s">
        <v>3472</v>
      </c>
      <c r="E143" s="95">
        <f t="shared" si="48"/>
        <v>2025</v>
      </c>
      <c r="F143" s="99" t="str">
        <f t="shared" si="2"/>
        <v>27 Units Sold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idden="1">
      <c r="A144" s="6" t="s">
        <v>67</v>
      </c>
      <c r="B144" s="93" t="s">
        <v>3456</v>
      </c>
      <c r="C144" s="93" t="s">
        <v>3457</v>
      </c>
      <c r="D144" s="124" t="s">
        <v>3458</v>
      </c>
      <c r="E144" s="95">
        <f>D144*150</f>
        <v>2925</v>
      </c>
      <c r="F144" s="99" t="str">
        <f t="shared" si="2"/>
        <v>19.5 Units Sold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idden="1">
      <c r="A145" s="6" t="s">
        <v>67</v>
      </c>
      <c r="B145" s="93" t="s">
        <v>3459</v>
      </c>
      <c r="C145" s="93" t="s">
        <v>3460</v>
      </c>
      <c r="D145" s="124" t="s">
        <v>3523</v>
      </c>
      <c r="E145" s="95">
        <f t="shared" ref="E145:E146" si="49">D145*150/2</f>
        <v>1725</v>
      </c>
      <c r="F145" s="99" t="str">
        <f t="shared" si="2"/>
        <v>23 Units Sold</v>
      </c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idden="1">
      <c r="A146" s="6" t="s">
        <v>67</v>
      </c>
      <c r="B146" s="93" t="s">
        <v>3462</v>
      </c>
      <c r="C146" s="93" t="s">
        <v>3460</v>
      </c>
      <c r="D146" s="124" t="s">
        <v>3523</v>
      </c>
      <c r="E146" s="95">
        <f t="shared" si="49"/>
        <v>1725</v>
      </c>
      <c r="F146" s="99" t="str">
        <f t="shared" si="2"/>
        <v>23 Units Sold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idden="1">
      <c r="A147" s="6" t="s">
        <v>67</v>
      </c>
      <c r="B147" s="93" t="s">
        <v>3482</v>
      </c>
      <c r="C147" s="93" t="s">
        <v>3464</v>
      </c>
      <c r="D147" s="124" t="s">
        <v>3497</v>
      </c>
      <c r="E147" s="95">
        <f t="shared" ref="E147:E150" si="50">D147*150</f>
        <v>1275</v>
      </c>
      <c r="F147" s="99" t="str">
        <f t="shared" si="2"/>
        <v>8.5 Units Sold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idden="1">
      <c r="A148" s="6" t="s">
        <v>69</v>
      </c>
      <c r="B148" s="93" t="s">
        <v>3446</v>
      </c>
      <c r="C148" s="93" t="s">
        <v>3447</v>
      </c>
      <c r="D148" s="124" t="s">
        <v>3465</v>
      </c>
      <c r="E148" s="95">
        <f t="shared" si="50"/>
        <v>3900</v>
      </c>
      <c r="F148" s="99" t="str">
        <f t="shared" si="2"/>
        <v>26 Units Sold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idden="1">
      <c r="A149" s="6" t="s">
        <v>69</v>
      </c>
      <c r="B149" s="93" t="s">
        <v>3449</v>
      </c>
      <c r="C149" s="93" t="s">
        <v>3450</v>
      </c>
      <c r="D149" s="124" t="s">
        <v>3524</v>
      </c>
      <c r="E149" s="95">
        <f t="shared" si="50"/>
        <v>5025</v>
      </c>
      <c r="F149" s="99" t="str">
        <f t="shared" si="2"/>
        <v>33.5 Units Sold</v>
      </c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idden="1">
      <c r="A150" s="6" t="s">
        <v>69</v>
      </c>
      <c r="B150" s="93" t="s">
        <v>726</v>
      </c>
      <c r="C150" s="93" t="s">
        <v>3452</v>
      </c>
      <c r="D150" s="124" t="s">
        <v>3516</v>
      </c>
      <c r="E150" s="95">
        <f t="shared" si="50"/>
        <v>1725</v>
      </c>
      <c r="F150" s="99" t="str">
        <f t="shared" si="2"/>
        <v>11.5 Units Sold</v>
      </c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idden="1">
      <c r="A151" s="6" t="s">
        <v>69</v>
      </c>
      <c r="B151" s="93" t="s">
        <v>1144</v>
      </c>
      <c r="C151" s="93" t="s">
        <v>3454</v>
      </c>
      <c r="D151" s="124" t="s">
        <v>3525</v>
      </c>
      <c r="E151" s="95">
        <f t="shared" ref="E151:E152" si="51">D151*150/2</f>
        <v>3525</v>
      </c>
      <c r="F151" s="99" t="str">
        <f t="shared" si="2"/>
        <v>47 Units Sold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idden="1">
      <c r="A152" s="6" t="s">
        <v>69</v>
      </c>
      <c r="B152" s="93" t="s">
        <v>883</v>
      </c>
      <c r="C152" s="93" t="s">
        <v>3454</v>
      </c>
      <c r="D152" s="124" t="s">
        <v>3525</v>
      </c>
      <c r="E152" s="95">
        <f t="shared" si="51"/>
        <v>3525</v>
      </c>
      <c r="F152" s="99" t="str">
        <f t="shared" si="2"/>
        <v>47 Units Sold</v>
      </c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idden="1">
      <c r="A153" s="6" t="s">
        <v>69</v>
      </c>
      <c r="B153" s="93" t="s">
        <v>3456</v>
      </c>
      <c r="C153" s="93" t="s">
        <v>3457</v>
      </c>
      <c r="D153" s="124" t="s">
        <v>3519</v>
      </c>
      <c r="E153" s="95">
        <f>D153*150</f>
        <v>3225</v>
      </c>
      <c r="F153" s="99" t="str">
        <f t="shared" si="2"/>
        <v>21.5 Units Sold</v>
      </c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idden="1">
      <c r="A154" s="6" t="s">
        <v>69</v>
      </c>
      <c r="B154" s="93" t="s">
        <v>3459</v>
      </c>
      <c r="C154" s="93" t="s">
        <v>3460</v>
      </c>
      <c r="D154" s="124" t="s">
        <v>3526</v>
      </c>
      <c r="E154" s="95">
        <f t="shared" ref="E154:E155" si="52">D154*150/2</f>
        <v>2250</v>
      </c>
      <c r="F154" s="99" t="str">
        <f t="shared" si="2"/>
        <v>30 Units Sold</v>
      </c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idden="1">
      <c r="A155" s="6" t="s">
        <v>69</v>
      </c>
      <c r="B155" s="93" t="s">
        <v>3462</v>
      </c>
      <c r="C155" s="93" t="s">
        <v>3460</v>
      </c>
      <c r="D155" s="124" t="s">
        <v>3526</v>
      </c>
      <c r="E155" s="95">
        <f t="shared" si="52"/>
        <v>2250</v>
      </c>
      <c r="F155" s="99" t="str">
        <f t="shared" si="2"/>
        <v>30 Units Sold</v>
      </c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idden="1">
      <c r="A156" s="6" t="s">
        <v>69</v>
      </c>
      <c r="B156" s="93" t="s">
        <v>3482</v>
      </c>
      <c r="C156" s="93" t="s">
        <v>3464</v>
      </c>
      <c r="D156" s="124" t="s">
        <v>3508</v>
      </c>
      <c r="E156" s="95">
        <f t="shared" ref="E156:E159" si="53">D156*150</f>
        <v>2025</v>
      </c>
      <c r="F156" s="99" t="str">
        <f t="shared" si="2"/>
        <v>13.5 Units Sold</v>
      </c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idden="1">
      <c r="A157" s="6" t="s">
        <v>71</v>
      </c>
      <c r="B157" s="93" t="s">
        <v>3446</v>
      </c>
      <c r="C157" s="93" t="s">
        <v>3447</v>
      </c>
      <c r="D157" s="124" t="s">
        <v>3515</v>
      </c>
      <c r="E157" s="95">
        <f t="shared" si="53"/>
        <v>375</v>
      </c>
      <c r="F157" s="99" t="str">
        <f t="shared" si="2"/>
        <v>2.5 Units Sold</v>
      </c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idden="1">
      <c r="A158" s="6" t="s">
        <v>71</v>
      </c>
      <c r="B158" s="93" t="s">
        <v>3449</v>
      </c>
      <c r="C158" s="93" t="s">
        <v>3450</v>
      </c>
      <c r="D158" s="124" t="s">
        <v>3507</v>
      </c>
      <c r="E158" s="95">
        <f t="shared" si="53"/>
        <v>2175</v>
      </c>
      <c r="F158" s="99" t="str">
        <f t="shared" si="2"/>
        <v>14.5 Units Sold</v>
      </c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idden="1">
      <c r="A159" s="6" t="s">
        <v>71</v>
      </c>
      <c r="B159" s="93" t="s">
        <v>726</v>
      </c>
      <c r="C159" s="93" t="s">
        <v>3452</v>
      </c>
      <c r="D159" s="124" t="s">
        <v>3527</v>
      </c>
      <c r="E159" s="95">
        <f t="shared" si="53"/>
        <v>750</v>
      </c>
      <c r="F159" s="99" t="str">
        <f t="shared" si="2"/>
        <v>5 Units Sold</v>
      </c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idden="1">
      <c r="A160" s="6" t="s">
        <v>71</v>
      </c>
      <c r="B160" s="93" t="s">
        <v>1144</v>
      </c>
      <c r="C160" s="93" t="s">
        <v>3454</v>
      </c>
      <c r="D160" s="124" t="s">
        <v>3505</v>
      </c>
      <c r="E160" s="95">
        <f t="shared" ref="E160:E161" si="54">D160*150/2</f>
        <v>1650</v>
      </c>
      <c r="F160" s="99" t="str">
        <f t="shared" si="2"/>
        <v>22 Units Sold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idden="1">
      <c r="A161" s="6" t="s">
        <v>71</v>
      </c>
      <c r="B161" s="93" t="s">
        <v>883</v>
      </c>
      <c r="C161" s="93" t="s">
        <v>3454</v>
      </c>
      <c r="D161" s="124" t="s">
        <v>3505</v>
      </c>
      <c r="E161" s="95">
        <f t="shared" si="54"/>
        <v>1650</v>
      </c>
      <c r="F161" s="99" t="str">
        <f t="shared" si="2"/>
        <v>22 Units Sold</v>
      </c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idden="1">
      <c r="A162" s="6" t="s">
        <v>71</v>
      </c>
      <c r="B162" s="93" t="s">
        <v>3456</v>
      </c>
      <c r="C162" s="93" t="s">
        <v>3457</v>
      </c>
      <c r="D162" s="124" t="s">
        <v>3528</v>
      </c>
      <c r="E162" s="95">
        <f>D162*150</f>
        <v>825</v>
      </c>
      <c r="F162" s="99" t="str">
        <f t="shared" si="2"/>
        <v>5.5 Units Sold</v>
      </c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idden="1">
      <c r="A163" s="6" t="s">
        <v>71</v>
      </c>
      <c r="B163" s="93" t="s">
        <v>3459</v>
      </c>
      <c r="C163" s="93" t="s">
        <v>3460</v>
      </c>
      <c r="D163" s="124" t="s">
        <v>3487</v>
      </c>
      <c r="E163" s="95">
        <f t="shared" ref="E163:E164" si="55">D163*150/2</f>
        <v>1537.5</v>
      </c>
      <c r="F163" s="99" t="str">
        <f t="shared" si="2"/>
        <v>20.5 Units Sold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idden="1">
      <c r="A164" s="6" t="s">
        <v>71</v>
      </c>
      <c r="B164" s="93" t="s">
        <v>3462</v>
      </c>
      <c r="C164" s="93" t="s">
        <v>3460</v>
      </c>
      <c r="D164" s="124" t="s">
        <v>3487</v>
      </c>
      <c r="E164" s="95">
        <f t="shared" si="55"/>
        <v>1537.5</v>
      </c>
      <c r="F164" s="99" t="str">
        <f t="shared" si="2"/>
        <v>20.5 Units Sold</v>
      </c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idden="1">
      <c r="A165" s="6" t="s">
        <v>71</v>
      </c>
      <c r="B165" s="93" t="s">
        <v>3482</v>
      </c>
      <c r="C165" s="93" t="s">
        <v>3464</v>
      </c>
      <c r="D165" s="124" t="s">
        <v>3529</v>
      </c>
      <c r="E165" s="95">
        <f t="shared" ref="E165:E168" si="56">D165*150</f>
        <v>150</v>
      </c>
      <c r="F165" s="99" t="str">
        <f t="shared" si="2"/>
        <v>1 Units Sold</v>
      </c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idden="1">
      <c r="A166" s="6" t="s">
        <v>73</v>
      </c>
      <c r="B166" s="93" t="s">
        <v>3446</v>
      </c>
      <c r="C166" s="93" t="s">
        <v>3447</v>
      </c>
      <c r="D166" s="124" t="s">
        <v>3489</v>
      </c>
      <c r="E166" s="95">
        <f t="shared" si="56"/>
        <v>3000</v>
      </c>
      <c r="F166" s="99" t="str">
        <f t="shared" si="2"/>
        <v>20 Units Sold</v>
      </c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idden="1">
      <c r="A167" s="6" t="s">
        <v>73</v>
      </c>
      <c r="B167" s="93" t="s">
        <v>3449</v>
      </c>
      <c r="C167" s="93" t="s">
        <v>3450</v>
      </c>
      <c r="D167" s="124" t="s">
        <v>3467</v>
      </c>
      <c r="E167" s="95">
        <f t="shared" si="56"/>
        <v>4575</v>
      </c>
      <c r="F167" s="99" t="str">
        <f t="shared" si="2"/>
        <v>30.5 Units Sold</v>
      </c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idden="1">
      <c r="A168" s="6" t="s">
        <v>73</v>
      </c>
      <c r="B168" s="93" t="s">
        <v>726</v>
      </c>
      <c r="C168" s="93" t="s">
        <v>3452</v>
      </c>
      <c r="D168" s="124" t="s">
        <v>3506</v>
      </c>
      <c r="E168" s="95">
        <f t="shared" si="56"/>
        <v>2775</v>
      </c>
      <c r="F168" s="99" t="str">
        <f t="shared" si="2"/>
        <v>18.5 Units Sold</v>
      </c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idden="1">
      <c r="A169" s="6" t="s">
        <v>73</v>
      </c>
      <c r="B169" s="93" t="s">
        <v>1144</v>
      </c>
      <c r="C169" s="93" t="s">
        <v>3454</v>
      </c>
      <c r="D169" s="124" t="s">
        <v>3530</v>
      </c>
      <c r="E169" s="95">
        <f t="shared" ref="E169:E170" si="57">D169*150/2</f>
        <v>3412.5</v>
      </c>
      <c r="F169" s="99" t="str">
        <f t="shared" si="2"/>
        <v>45.5 Units Sold</v>
      </c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idden="1">
      <c r="A170" s="6" t="s">
        <v>73</v>
      </c>
      <c r="B170" s="93" t="s">
        <v>883</v>
      </c>
      <c r="C170" s="93" t="s">
        <v>3454</v>
      </c>
      <c r="D170" s="124" t="s">
        <v>3530</v>
      </c>
      <c r="E170" s="95">
        <f t="shared" si="57"/>
        <v>3412.5</v>
      </c>
      <c r="F170" s="99" t="str">
        <f t="shared" si="2"/>
        <v>45.5 Units Sold</v>
      </c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idden="1">
      <c r="A171" s="6" t="s">
        <v>73</v>
      </c>
      <c r="B171" s="93" t="s">
        <v>3456</v>
      </c>
      <c r="C171" s="93" t="s">
        <v>3457</v>
      </c>
      <c r="D171" s="124" t="s">
        <v>3531</v>
      </c>
      <c r="E171" s="95">
        <f>D171*150</f>
        <v>2550</v>
      </c>
      <c r="F171" s="99" t="str">
        <f t="shared" si="2"/>
        <v>17 Units Sold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idden="1">
      <c r="A172" s="6" t="s">
        <v>73</v>
      </c>
      <c r="B172" s="93" t="s">
        <v>3459</v>
      </c>
      <c r="C172" s="93" t="s">
        <v>3460</v>
      </c>
      <c r="D172" s="124" t="s">
        <v>3500</v>
      </c>
      <c r="E172" s="95">
        <f t="shared" ref="E172:E173" si="58">D172*150/2</f>
        <v>1987.5</v>
      </c>
      <c r="F172" s="99" t="str">
        <f t="shared" si="2"/>
        <v>26.5 Units Sold</v>
      </c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idden="1">
      <c r="A173" s="6" t="s">
        <v>73</v>
      </c>
      <c r="B173" s="93" t="s">
        <v>3462</v>
      </c>
      <c r="C173" s="93" t="s">
        <v>3460</v>
      </c>
      <c r="D173" s="124" t="s">
        <v>3500</v>
      </c>
      <c r="E173" s="95">
        <f t="shared" si="58"/>
        <v>1987.5</v>
      </c>
      <c r="F173" s="99" t="str">
        <f t="shared" si="2"/>
        <v>26.5 Units Sold</v>
      </c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idden="1">
      <c r="A174" s="6" t="s">
        <v>73</v>
      </c>
      <c r="B174" s="71" t="s">
        <v>3482</v>
      </c>
      <c r="C174" s="93" t="s">
        <v>3464</v>
      </c>
      <c r="D174" s="124" t="s">
        <v>3480</v>
      </c>
      <c r="E174" s="95">
        <f t="shared" ref="E174:E177" si="59">D174*150</f>
        <v>3750</v>
      </c>
      <c r="F174" s="99" t="str">
        <f t="shared" si="2"/>
        <v>25 Units Sold</v>
      </c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idden="1">
      <c r="A175" s="16" t="s">
        <v>74</v>
      </c>
      <c r="B175" s="93" t="s">
        <v>3446</v>
      </c>
      <c r="C175" s="93" t="s">
        <v>3447</v>
      </c>
      <c r="D175" s="124" t="s">
        <v>3519</v>
      </c>
      <c r="E175" s="95">
        <f t="shared" si="59"/>
        <v>3225</v>
      </c>
      <c r="F175" s="99" t="str">
        <f t="shared" si="2"/>
        <v>21.5 Units Sold</v>
      </c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idden="1">
      <c r="A176" s="16" t="s">
        <v>74</v>
      </c>
      <c r="B176" s="93" t="s">
        <v>3449</v>
      </c>
      <c r="C176" s="93" t="s">
        <v>3450</v>
      </c>
      <c r="D176" s="124" t="s">
        <v>3532</v>
      </c>
      <c r="E176" s="95">
        <f t="shared" si="59"/>
        <v>6525</v>
      </c>
      <c r="F176" s="99" t="str">
        <f t="shared" si="2"/>
        <v>43.5 Units Sold</v>
      </c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idden="1">
      <c r="A177" s="16" t="s">
        <v>74</v>
      </c>
      <c r="B177" s="93" t="s">
        <v>726</v>
      </c>
      <c r="C177" s="93" t="s">
        <v>3452</v>
      </c>
      <c r="D177" s="124" t="s">
        <v>3533</v>
      </c>
      <c r="E177" s="95">
        <f t="shared" si="59"/>
        <v>1575</v>
      </c>
      <c r="F177" s="99" t="str">
        <f t="shared" si="2"/>
        <v>10.5 Units Sold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idden="1">
      <c r="A178" s="16" t="s">
        <v>74</v>
      </c>
      <c r="B178" s="93" t="s">
        <v>1144</v>
      </c>
      <c r="C178" s="93" t="s">
        <v>3454</v>
      </c>
      <c r="D178" s="124" t="s">
        <v>3534</v>
      </c>
      <c r="E178" s="95">
        <f t="shared" ref="E178:E179" si="60">D178*150/2</f>
        <v>3712.5</v>
      </c>
      <c r="F178" s="99" t="str">
        <f t="shared" si="2"/>
        <v>49.5 Units Sold</v>
      </c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idden="1">
      <c r="A179" s="16" t="s">
        <v>74</v>
      </c>
      <c r="B179" s="93" t="s">
        <v>883</v>
      </c>
      <c r="C179" s="93" t="s">
        <v>3454</v>
      </c>
      <c r="D179" s="124" t="s">
        <v>3534</v>
      </c>
      <c r="E179" s="95">
        <f t="shared" si="60"/>
        <v>3712.5</v>
      </c>
      <c r="F179" s="99" t="str">
        <f t="shared" si="2"/>
        <v>49.5 Units Sold</v>
      </c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idden="1">
      <c r="A180" s="16" t="s">
        <v>74</v>
      </c>
      <c r="B180" s="93" t="s">
        <v>3456</v>
      </c>
      <c r="C180" s="93" t="s">
        <v>3457</v>
      </c>
      <c r="D180" s="124" t="s">
        <v>3521</v>
      </c>
      <c r="E180" s="95">
        <f>D180*150</f>
        <v>3150</v>
      </c>
      <c r="F180" s="99" t="str">
        <f t="shared" si="2"/>
        <v>21 Units Sold</v>
      </c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idden="1">
      <c r="A181" s="16" t="s">
        <v>74</v>
      </c>
      <c r="B181" s="93" t="s">
        <v>3459</v>
      </c>
      <c r="C181" s="93" t="s">
        <v>3460</v>
      </c>
      <c r="D181" s="124" t="s">
        <v>3475</v>
      </c>
      <c r="E181" s="95">
        <f t="shared" ref="E181:E182" si="61">D181*150/2</f>
        <v>1837.5</v>
      </c>
      <c r="F181" s="99" t="str">
        <f t="shared" si="2"/>
        <v>24.5 Units Sold</v>
      </c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idden="1">
      <c r="A182" s="16" t="s">
        <v>74</v>
      </c>
      <c r="B182" s="93" t="s">
        <v>3462</v>
      </c>
      <c r="C182" s="93" t="s">
        <v>3460</v>
      </c>
      <c r="D182" s="124" t="s">
        <v>3475</v>
      </c>
      <c r="E182" s="95">
        <f t="shared" si="61"/>
        <v>1837.5</v>
      </c>
      <c r="F182" s="99" t="str">
        <f t="shared" si="2"/>
        <v>24.5 Units Sold</v>
      </c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idden="1">
      <c r="A183" s="16" t="s">
        <v>74</v>
      </c>
      <c r="B183" s="93" t="s">
        <v>3535</v>
      </c>
      <c r="C183" s="93" t="s">
        <v>3464</v>
      </c>
      <c r="D183" s="124" t="s">
        <v>3478</v>
      </c>
      <c r="E183" s="95">
        <f t="shared" ref="E183:E186" si="62">D183*150</f>
        <v>2400</v>
      </c>
      <c r="F183" s="99" t="str">
        <f t="shared" si="2"/>
        <v>16 Units Sold</v>
      </c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idden="1">
      <c r="A184" s="6" t="s">
        <v>75</v>
      </c>
      <c r="B184" s="93" t="s">
        <v>3446</v>
      </c>
      <c r="C184" s="93" t="s">
        <v>3447</v>
      </c>
      <c r="D184" s="124" t="s">
        <v>3458</v>
      </c>
      <c r="E184" s="95">
        <f t="shared" si="62"/>
        <v>2925</v>
      </c>
      <c r="F184" s="99" t="str">
        <f t="shared" si="2"/>
        <v>19.5 Units Sold</v>
      </c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idden="1">
      <c r="A185" s="6" t="s">
        <v>75</v>
      </c>
      <c r="B185" s="93" t="s">
        <v>3449</v>
      </c>
      <c r="C185" s="93" t="s">
        <v>3450</v>
      </c>
      <c r="D185" s="124" t="s">
        <v>3503</v>
      </c>
      <c r="E185" s="95">
        <f t="shared" si="62"/>
        <v>2325</v>
      </c>
      <c r="F185" s="99" t="str">
        <f t="shared" si="2"/>
        <v>15.5 Units Sold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idden="1">
      <c r="A186" s="6" t="s">
        <v>75</v>
      </c>
      <c r="B186" s="93" t="s">
        <v>726</v>
      </c>
      <c r="C186" s="93" t="s">
        <v>3452</v>
      </c>
      <c r="D186" s="124" t="s">
        <v>3516</v>
      </c>
      <c r="E186" s="95">
        <f t="shared" si="62"/>
        <v>1725</v>
      </c>
      <c r="F186" s="99" t="str">
        <f t="shared" si="2"/>
        <v>11.5 Units Sold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idden="1">
      <c r="A187" s="6" t="s">
        <v>75</v>
      </c>
      <c r="B187" s="93" t="s">
        <v>1144</v>
      </c>
      <c r="C187" s="93" t="s">
        <v>3454</v>
      </c>
      <c r="D187" s="124" t="s">
        <v>3536</v>
      </c>
      <c r="E187" s="95">
        <f t="shared" ref="E187:E188" si="63">D187*150/2</f>
        <v>3337.5</v>
      </c>
      <c r="F187" s="99" t="str">
        <f t="shared" si="2"/>
        <v>44.5 Units Sold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idden="1">
      <c r="A188" s="6" t="s">
        <v>75</v>
      </c>
      <c r="B188" s="93" t="s">
        <v>883</v>
      </c>
      <c r="C188" s="93" t="s">
        <v>3454</v>
      </c>
      <c r="D188" s="124" t="s">
        <v>3536</v>
      </c>
      <c r="E188" s="95">
        <f t="shared" si="63"/>
        <v>3337.5</v>
      </c>
      <c r="F188" s="99" t="str">
        <f t="shared" si="2"/>
        <v>44.5 Units Sold</v>
      </c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idden="1">
      <c r="A189" s="6" t="s">
        <v>75</v>
      </c>
      <c r="B189" s="93" t="s">
        <v>3456</v>
      </c>
      <c r="C189" s="93" t="s">
        <v>3457</v>
      </c>
      <c r="D189" s="124" t="s">
        <v>3489</v>
      </c>
      <c r="E189" s="95">
        <f>D189*150</f>
        <v>3000</v>
      </c>
      <c r="F189" s="99" t="str">
        <f t="shared" si="2"/>
        <v>20 Units Sold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idden="1">
      <c r="A190" s="6" t="s">
        <v>75</v>
      </c>
      <c r="B190" s="93" t="s">
        <v>3459</v>
      </c>
      <c r="C190" s="93" t="s">
        <v>3460</v>
      </c>
      <c r="D190" s="124" t="s">
        <v>3472</v>
      </c>
      <c r="E190" s="95">
        <f t="shared" ref="E190:E191" si="64">D190*150/2</f>
        <v>2025</v>
      </c>
      <c r="F190" s="99" t="str">
        <f t="shared" si="2"/>
        <v>27 Units Sold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idden="1">
      <c r="A191" s="6" t="s">
        <v>75</v>
      </c>
      <c r="B191" s="93" t="s">
        <v>3462</v>
      </c>
      <c r="C191" s="93" t="s">
        <v>3460</v>
      </c>
      <c r="D191" s="124" t="s">
        <v>3472</v>
      </c>
      <c r="E191" s="95">
        <f t="shared" si="64"/>
        <v>2025</v>
      </c>
      <c r="F191" s="99" t="str">
        <f t="shared" si="2"/>
        <v>27 Units Sold</v>
      </c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idden="1">
      <c r="A192" s="6" t="s">
        <v>75</v>
      </c>
      <c r="B192" s="93" t="s">
        <v>3535</v>
      </c>
      <c r="C192" s="93" t="s">
        <v>3464</v>
      </c>
      <c r="D192" s="124" t="s">
        <v>3503</v>
      </c>
      <c r="E192" s="95">
        <f t="shared" ref="E192:E195" si="65">D192*150</f>
        <v>2325</v>
      </c>
      <c r="F192" s="99" t="str">
        <f t="shared" si="2"/>
        <v>15.5 Units Sold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idden="1">
      <c r="A193" s="6" t="s">
        <v>77</v>
      </c>
      <c r="B193" s="93" t="s">
        <v>3446</v>
      </c>
      <c r="C193" s="93" t="s">
        <v>3447</v>
      </c>
      <c r="D193" s="124" t="s">
        <v>3523</v>
      </c>
      <c r="E193" s="95">
        <f t="shared" si="65"/>
        <v>3450</v>
      </c>
      <c r="F193" s="46" t="str">
        <f t="shared" si="2"/>
        <v>23 Units Sold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idden="1">
      <c r="A194" s="6" t="s">
        <v>77</v>
      </c>
      <c r="B194" s="93" t="s">
        <v>3449</v>
      </c>
      <c r="C194" s="93" t="s">
        <v>3450</v>
      </c>
      <c r="D194" s="124" t="s">
        <v>3467</v>
      </c>
      <c r="E194" s="95">
        <f t="shared" si="65"/>
        <v>4575</v>
      </c>
      <c r="F194" s="46" t="str">
        <f t="shared" si="2"/>
        <v>30.5 Units Sold</v>
      </c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idden="1">
      <c r="A195" s="6" t="s">
        <v>77</v>
      </c>
      <c r="B195" s="93" t="s">
        <v>726</v>
      </c>
      <c r="C195" s="93" t="s">
        <v>3452</v>
      </c>
      <c r="D195" s="124" t="s">
        <v>3537</v>
      </c>
      <c r="E195" s="95">
        <f t="shared" si="65"/>
        <v>1425</v>
      </c>
      <c r="F195" s="46" t="str">
        <f t="shared" si="2"/>
        <v>9.5 Units Sold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idden="1">
      <c r="A196" s="6" t="s">
        <v>77</v>
      </c>
      <c r="B196" s="93" t="s">
        <v>1144</v>
      </c>
      <c r="C196" s="93" t="s">
        <v>3454</v>
      </c>
      <c r="D196" s="124" t="s">
        <v>3490</v>
      </c>
      <c r="E196" s="95">
        <f t="shared" ref="E196:E197" si="66">D196*150/2</f>
        <v>3150</v>
      </c>
      <c r="F196" s="46" t="str">
        <f t="shared" si="2"/>
        <v>42 Units Sold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idden="1">
      <c r="A197" s="6" t="s">
        <v>77</v>
      </c>
      <c r="B197" s="93" t="s">
        <v>883</v>
      </c>
      <c r="C197" s="93" t="s">
        <v>3454</v>
      </c>
      <c r="D197" s="124" t="s">
        <v>3490</v>
      </c>
      <c r="E197" s="95">
        <f t="shared" si="66"/>
        <v>3150</v>
      </c>
      <c r="F197" s="46" t="str">
        <f t="shared" si="2"/>
        <v>42 Units Sold</v>
      </c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idden="1">
      <c r="A198" s="6" t="s">
        <v>77</v>
      </c>
      <c r="B198" s="93" t="s">
        <v>3456</v>
      </c>
      <c r="C198" s="93" t="s">
        <v>3457</v>
      </c>
      <c r="D198" s="124" t="s">
        <v>3505</v>
      </c>
      <c r="E198" s="95">
        <f>D198*150</f>
        <v>3300</v>
      </c>
      <c r="F198" s="46" t="str">
        <f t="shared" si="2"/>
        <v>22 Units Sold</v>
      </c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idden="1">
      <c r="A199" s="6" t="s">
        <v>77</v>
      </c>
      <c r="B199" s="93" t="s">
        <v>3459</v>
      </c>
      <c r="C199" s="93" t="s">
        <v>3460</v>
      </c>
      <c r="D199" s="124" t="s">
        <v>3489</v>
      </c>
      <c r="E199" s="95">
        <f t="shared" ref="E199:E200" si="67">D199*150/2</f>
        <v>1500</v>
      </c>
      <c r="F199" s="46" t="str">
        <f t="shared" si="2"/>
        <v>20 Units Sold</v>
      </c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idden="1">
      <c r="A200" s="6" t="s">
        <v>77</v>
      </c>
      <c r="B200" s="93" t="s">
        <v>3462</v>
      </c>
      <c r="C200" s="93" t="s">
        <v>3460</v>
      </c>
      <c r="D200" s="124" t="s">
        <v>3489</v>
      </c>
      <c r="E200" s="95">
        <f t="shared" si="67"/>
        <v>1500</v>
      </c>
      <c r="F200" s="46" t="str">
        <f t="shared" si="2"/>
        <v>20 Units Sold</v>
      </c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idden="1">
      <c r="A201" s="6" t="s">
        <v>77</v>
      </c>
      <c r="B201" s="93" t="s">
        <v>3535</v>
      </c>
      <c r="C201" s="93" t="s">
        <v>3464</v>
      </c>
      <c r="D201" s="124" t="s">
        <v>3505</v>
      </c>
      <c r="E201" s="95">
        <f t="shared" ref="E201:E204" si="68">D201*150</f>
        <v>3300</v>
      </c>
      <c r="F201" s="46" t="str">
        <f t="shared" si="2"/>
        <v>22 Units Sold</v>
      </c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idden="1">
      <c r="A202" s="6" t="s">
        <v>79</v>
      </c>
      <c r="B202" s="93" t="s">
        <v>3446</v>
      </c>
      <c r="C202" s="93" t="s">
        <v>3447</v>
      </c>
      <c r="D202" s="124" t="s">
        <v>3499</v>
      </c>
      <c r="E202" s="95">
        <f t="shared" si="68"/>
        <v>4200</v>
      </c>
      <c r="F202" s="46" t="str">
        <f t="shared" si="2"/>
        <v>28 Units Sold</v>
      </c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idden="1">
      <c r="A203" s="6" t="s">
        <v>79</v>
      </c>
      <c r="B203" s="93" t="s">
        <v>3449</v>
      </c>
      <c r="C203" s="93" t="s">
        <v>3450</v>
      </c>
      <c r="D203" s="124" t="s">
        <v>3538</v>
      </c>
      <c r="E203" s="95">
        <f t="shared" si="68"/>
        <v>4950</v>
      </c>
      <c r="F203" s="46" t="str">
        <f t="shared" si="2"/>
        <v>33 Units Sold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idden="1">
      <c r="A204" s="6" t="s">
        <v>79</v>
      </c>
      <c r="B204" s="93" t="s">
        <v>726</v>
      </c>
      <c r="C204" s="93" t="s">
        <v>3452</v>
      </c>
      <c r="D204" s="124" t="s">
        <v>3516</v>
      </c>
      <c r="E204" s="95">
        <f t="shared" si="68"/>
        <v>1725</v>
      </c>
      <c r="F204" s="46" t="str">
        <f t="shared" si="2"/>
        <v>11.5 Units Sold</v>
      </c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idden="1">
      <c r="A205" s="6" t="s">
        <v>79</v>
      </c>
      <c r="B205" s="93" t="s">
        <v>1144</v>
      </c>
      <c r="C205" s="93" t="s">
        <v>3454</v>
      </c>
      <c r="D205" s="124" t="s">
        <v>3539</v>
      </c>
      <c r="E205" s="95">
        <f t="shared" ref="E205:E206" si="69">D205*150/2</f>
        <v>4612.5</v>
      </c>
      <c r="F205" s="46" t="str">
        <f t="shared" si="2"/>
        <v>61.5 Units Sold</v>
      </c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idden="1">
      <c r="A206" s="6" t="s">
        <v>79</v>
      </c>
      <c r="B206" s="93" t="s">
        <v>883</v>
      </c>
      <c r="C206" s="93" t="s">
        <v>3454</v>
      </c>
      <c r="D206" s="124" t="s">
        <v>3539</v>
      </c>
      <c r="E206" s="95">
        <f t="shared" si="69"/>
        <v>4612.5</v>
      </c>
      <c r="F206" s="46" t="str">
        <f t="shared" si="2"/>
        <v>61.5 Units Sold</v>
      </c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idden="1">
      <c r="A207" s="6" t="s">
        <v>79</v>
      </c>
      <c r="B207" s="93" t="s">
        <v>3456</v>
      </c>
      <c r="C207" s="93" t="s">
        <v>3457</v>
      </c>
      <c r="D207" s="124" t="s">
        <v>3466</v>
      </c>
      <c r="E207" s="95">
        <f>D207*150</f>
        <v>3825</v>
      </c>
      <c r="F207" s="46" t="str">
        <f t="shared" si="2"/>
        <v>25.5 Units Sold</v>
      </c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idden="1">
      <c r="A208" s="6" t="s">
        <v>79</v>
      </c>
      <c r="B208" s="93" t="s">
        <v>3459</v>
      </c>
      <c r="C208" s="93" t="s">
        <v>3460</v>
      </c>
      <c r="D208" s="124" t="s">
        <v>3448</v>
      </c>
      <c r="E208" s="95">
        <f t="shared" ref="E208:E209" si="70">D208*150/2</f>
        <v>2137.5</v>
      </c>
      <c r="F208" s="46" t="str">
        <f t="shared" si="2"/>
        <v>28.5 Units Sold</v>
      </c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idden="1">
      <c r="A209" s="6" t="s">
        <v>79</v>
      </c>
      <c r="B209" s="93" t="s">
        <v>3462</v>
      </c>
      <c r="C209" s="93" t="s">
        <v>3460</v>
      </c>
      <c r="D209" s="124" t="s">
        <v>3448</v>
      </c>
      <c r="E209" s="95">
        <f t="shared" si="70"/>
        <v>2137.5</v>
      </c>
      <c r="F209" s="46" t="str">
        <f t="shared" si="2"/>
        <v>28.5 Units Sold</v>
      </c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idden="1">
      <c r="A210" s="6" t="s">
        <v>79</v>
      </c>
      <c r="B210" s="93" t="s">
        <v>3535</v>
      </c>
      <c r="C210" s="93" t="s">
        <v>3464</v>
      </c>
      <c r="D210" s="124" t="s">
        <v>3478</v>
      </c>
      <c r="E210" s="95">
        <f t="shared" ref="E210:E213" si="71">D210*150</f>
        <v>2400</v>
      </c>
      <c r="F210" s="46" t="str">
        <f t="shared" si="2"/>
        <v>16 Units Sold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idden="1">
      <c r="A211" s="6" t="s">
        <v>81</v>
      </c>
      <c r="B211" s="93" t="s">
        <v>3446</v>
      </c>
      <c r="C211" s="93" t="s">
        <v>3447</v>
      </c>
      <c r="D211" s="124" t="s">
        <v>3540</v>
      </c>
      <c r="E211" s="95">
        <f t="shared" si="71"/>
        <v>4725</v>
      </c>
      <c r="F211" s="46" t="str">
        <f t="shared" si="2"/>
        <v>31.5 Units Sold</v>
      </c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idden="1">
      <c r="A212" s="6" t="s">
        <v>81</v>
      </c>
      <c r="B212" s="93" t="s">
        <v>3449</v>
      </c>
      <c r="C212" s="93" t="s">
        <v>3450</v>
      </c>
      <c r="D212" s="124" t="s">
        <v>3480</v>
      </c>
      <c r="E212" s="95">
        <f t="shared" si="71"/>
        <v>3750</v>
      </c>
      <c r="F212" s="46" t="str">
        <f t="shared" si="2"/>
        <v>25 Units Sold</v>
      </c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idden="1">
      <c r="A213" s="6" t="s">
        <v>81</v>
      </c>
      <c r="B213" s="93" t="s">
        <v>726</v>
      </c>
      <c r="C213" s="93" t="s">
        <v>3452</v>
      </c>
      <c r="D213" s="124" t="s">
        <v>3503</v>
      </c>
      <c r="E213" s="95">
        <f t="shared" si="71"/>
        <v>2325</v>
      </c>
      <c r="F213" s="46" t="str">
        <f t="shared" si="2"/>
        <v>15.5 Units Sold</v>
      </c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idden="1">
      <c r="A214" s="6" t="s">
        <v>81</v>
      </c>
      <c r="B214" s="93" t="s">
        <v>1144</v>
      </c>
      <c r="C214" s="93" t="s">
        <v>3454</v>
      </c>
      <c r="D214" s="124" t="s">
        <v>3541</v>
      </c>
      <c r="E214" s="95">
        <f t="shared" ref="E214:E215" si="72">D214*150/2</f>
        <v>3075</v>
      </c>
      <c r="F214" s="46" t="str">
        <f t="shared" si="2"/>
        <v>41 Units Sold</v>
      </c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idden="1">
      <c r="A215" s="6" t="s">
        <v>81</v>
      </c>
      <c r="B215" s="93" t="s">
        <v>883</v>
      </c>
      <c r="C215" s="93" t="s">
        <v>3454</v>
      </c>
      <c r="D215" s="124" t="s">
        <v>3541</v>
      </c>
      <c r="E215" s="95">
        <f t="shared" si="72"/>
        <v>3075</v>
      </c>
      <c r="F215" s="46" t="str">
        <f t="shared" si="2"/>
        <v>41 Units Sold</v>
      </c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idden="1">
      <c r="A216" s="6" t="s">
        <v>81</v>
      </c>
      <c r="B216" s="93" t="s">
        <v>3456</v>
      </c>
      <c r="C216" s="93" t="s">
        <v>3457</v>
      </c>
      <c r="D216" s="124" t="s">
        <v>3505</v>
      </c>
      <c r="E216" s="95">
        <f>D216*150</f>
        <v>3300</v>
      </c>
      <c r="F216" s="46" t="str">
        <f t="shared" si="2"/>
        <v>22 Units Sold</v>
      </c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idden="1">
      <c r="A217" s="6" t="s">
        <v>81</v>
      </c>
      <c r="B217" s="93" t="s">
        <v>3459</v>
      </c>
      <c r="C217" s="93" t="s">
        <v>3460</v>
      </c>
      <c r="D217" s="124" t="s">
        <v>3481</v>
      </c>
      <c r="E217" s="95">
        <f t="shared" ref="E217:E218" si="73">D217*150/2</f>
        <v>2325</v>
      </c>
      <c r="F217" s="46" t="str">
        <f t="shared" si="2"/>
        <v>31 Units Sold</v>
      </c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idden="1">
      <c r="A218" s="6" t="s">
        <v>81</v>
      </c>
      <c r="B218" s="93" t="s">
        <v>3462</v>
      </c>
      <c r="C218" s="93" t="s">
        <v>3460</v>
      </c>
      <c r="D218" s="124" t="s">
        <v>3481</v>
      </c>
      <c r="E218" s="95">
        <f t="shared" si="73"/>
        <v>2325</v>
      </c>
      <c r="F218" s="46" t="str">
        <f t="shared" si="2"/>
        <v>31 Units Sold</v>
      </c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idden="1">
      <c r="A219" s="6" t="s">
        <v>81</v>
      </c>
      <c r="B219" s="93" t="s">
        <v>3535</v>
      </c>
      <c r="C219" s="93" t="s">
        <v>3464</v>
      </c>
      <c r="D219" s="124" t="s">
        <v>3488</v>
      </c>
      <c r="E219" s="95">
        <f t="shared" ref="E219:E222" si="74">D219*150</f>
        <v>3525</v>
      </c>
      <c r="F219" s="46" t="str">
        <f t="shared" si="2"/>
        <v>23.5 Units Sold</v>
      </c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idden="1">
      <c r="A220" s="6" t="s">
        <v>83</v>
      </c>
      <c r="B220" s="93" t="s">
        <v>3446</v>
      </c>
      <c r="C220" s="93" t="s">
        <v>3447</v>
      </c>
      <c r="D220" s="124" t="s">
        <v>3480</v>
      </c>
      <c r="E220" s="95">
        <f t="shared" si="74"/>
        <v>3750</v>
      </c>
      <c r="F220" s="46" t="str">
        <f t="shared" si="2"/>
        <v>25 Units Sold</v>
      </c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idden="1">
      <c r="A221" s="6" t="s">
        <v>83</v>
      </c>
      <c r="B221" s="93" t="s">
        <v>3449</v>
      </c>
      <c r="C221" s="93" t="s">
        <v>3450</v>
      </c>
      <c r="D221" s="124" t="s">
        <v>3486</v>
      </c>
      <c r="E221" s="95">
        <f t="shared" si="74"/>
        <v>2625</v>
      </c>
      <c r="F221" s="46" t="str">
        <f t="shared" si="2"/>
        <v>17.5 Units Sold</v>
      </c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idden="1">
      <c r="A222" s="6" t="s">
        <v>83</v>
      </c>
      <c r="B222" s="93" t="s">
        <v>726</v>
      </c>
      <c r="C222" s="93" t="s">
        <v>3452</v>
      </c>
      <c r="D222" s="124" t="s">
        <v>3494</v>
      </c>
      <c r="E222" s="95">
        <f t="shared" si="74"/>
        <v>1950</v>
      </c>
      <c r="F222" s="46" t="str">
        <f t="shared" si="2"/>
        <v>13 Units Sold</v>
      </c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idden="1">
      <c r="A223" s="6" t="s">
        <v>83</v>
      </c>
      <c r="B223" s="93" t="s">
        <v>1144</v>
      </c>
      <c r="C223" s="93" t="s">
        <v>3454</v>
      </c>
      <c r="D223" s="124" t="s">
        <v>3542</v>
      </c>
      <c r="E223" s="95">
        <f t="shared" ref="E223:E224" si="75">D223*150/2</f>
        <v>5250</v>
      </c>
      <c r="F223" s="46" t="str">
        <f t="shared" si="2"/>
        <v>70 Units Sold</v>
      </c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idden="1">
      <c r="A224" s="6" t="s">
        <v>83</v>
      </c>
      <c r="B224" s="93" t="s">
        <v>883</v>
      </c>
      <c r="C224" s="93" t="s">
        <v>3454</v>
      </c>
      <c r="D224" s="124" t="s">
        <v>3542</v>
      </c>
      <c r="E224" s="95">
        <f t="shared" si="75"/>
        <v>5250</v>
      </c>
      <c r="F224" s="46" t="str">
        <f t="shared" si="2"/>
        <v>70 Units Sold</v>
      </c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idden="1">
      <c r="A225" s="6" t="s">
        <v>83</v>
      </c>
      <c r="B225" s="93" t="s">
        <v>3456</v>
      </c>
      <c r="C225" s="93" t="s">
        <v>3457</v>
      </c>
      <c r="D225" s="124" t="s">
        <v>3480</v>
      </c>
      <c r="E225" s="95">
        <f>D225*150</f>
        <v>3750</v>
      </c>
      <c r="F225" s="46" t="str">
        <f t="shared" si="2"/>
        <v>25 Units Sold</v>
      </c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idden="1">
      <c r="A226" s="6" t="s">
        <v>83</v>
      </c>
      <c r="B226" s="93" t="s">
        <v>3459</v>
      </c>
      <c r="C226" s="93" t="s">
        <v>3460</v>
      </c>
      <c r="D226" s="124" t="s">
        <v>3538</v>
      </c>
      <c r="E226" s="95">
        <f t="shared" ref="E226:E227" si="76">D226*150/2</f>
        <v>2475</v>
      </c>
      <c r="F226" s="46" t="str">
        <f t="shared" si="2"/>
        <v>33 Units Sold</v>
      </c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idden="1">
      <c r="A227" s="6" t="s">
        <v>83</v>
      </c>
      <c r="B227" s="93" t="s">
        <v>3462</v>
      </c>
      <c r="C227" s="93" t="s">
        <v>3460</v>
      </c>
      <c r="D227" s="124" t="s">
        <v>3538</v>
      </c>
      <c r="E227" s="95">
        <f t="shared" si="76"/>
        <v>2475</v>
      </c>
      <c r="F227" s="46" t="str">
        <f t="shared" si="2"/>
        <v>33 Units Sold</v>
      </c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idden="1">
      <c r="A228" s="6" t="s">
        <v>83</v>
      </c>
      <c r="B228" s="93" t="s">
        <v>3535</v>
      </c>
      <c r="C228" s="93" t="s">
        <v>3464</v>
      </c>
      <c r="D228" s="124" t="s">
        <v>3540</v>
      </c>
      <c r="E228" s="95">
        <f t="shared" ref="E228:E231" si="77">D228*150</f>
        <v>4725</v>
      </c>
      <c r="F228" s="46" t="str">
        <f t="shared" si="2"/>
        <v>31.5 Units Sold</v>
      </c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idden="1">
      <c r="A229" s="6" t="s">
        <v>85</v>
      </c>
      <c r="B229" s="93" t="s">
        <v>3446</v>
      </c>
      <c r="C229" s="93" t="s">
        <v>3447</v>
      </c>
      <c r="D229" s="124" t="s">
        <v>3521</v>
      </c>
      <c r="E229" s="95">
        <f t="shared" si="77"/>
        <v>3150</v>
      </c>
      <c r="F229" s="46" t="str">
        <f t="shared" si="2"/>
        <v>21 Units Sold</v>
      </c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idden="1">
      <c r="A230" s="6" t="s">
        <v>85</v>
      </c>
      <c r="B230" s="93" t="s">
        <v>3449</v>
      </c>
      <c r="C230" s="93" t="s">
        <v>3450</v>
      </c>
      <c r="D230" s="124" t="s">
        <v>3523</v>
      </c>
      <c r="E230" s="95">
        <f t="shared" si="77"/>
        <v>3450</v>
      </c>
      <c r="F230" s="46" t="str">
        <f t="shared" si="2"/>
        <v>23 Units Sold</v>
      </c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idden="1">
      <c r="A231" s="6" t="s">
        <v>85</v>
      </c>
      <c r="B231" s="93" t="s">
        <v>726</v>
      </c>
      <c r="C231" s="93" t="s">
        <v>3452</v>
      </c>
      <c r="D231" s="124" t="s">
        <v>3504</v>
      </c>
      <c r="E231" s="95">
        <f t="shared" si="77"/>
        <v>1500</v>
      </c>
      <c r="F231" s="46" t="str">
        <f t="shared" si="2"/>
        <v>10 Units Sold</v>
      </c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idden="1">
      <c r="A232" s="6" t="s">
        <v>85</v>
      </c>
      <c r="B232" s="93" t="s">
        <v>1144</v>
      </c>
      <c r="C232" s="93" t="s">
        <v>3454</v>
      </c>
      <c r="D232" s="124" t="s">
        <v>3543</v>
      </c>
      <c r="E232" s="95">
        <f t="shared" ref="E232:E233" si="78">D232*150/2</f>
        <v>4912.5</v>
      </c>
      <c r="F232" s="46" t="str">
        <f t="shared" si="2"/>
        <v>65.5 Units Sold</v>
      </c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idden="1">
      <c r="A233" s="6" t="s">
        <v>85</v>
      </c>
      <c r="B233" s="93" t="s">
        <v>883</v>
      </c>
      <c r="C233" s="93" t="s">
        <v>3454</v>
      </c>
      <c r="D233" s="124" t="s">
        <v>3543</v>
      </c>
      <c r="E233" s="95">
        <f t="shared" si="78"/>
        <v>4912.5</v>
      </c>
      <c r="F233" s="46" t="str">
        <f t="shared" si="2"/>
        <v>65.5 Units Sold</v>
      </c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idden="1">
      <c r="A234" s="6" t="s">
        <v>85</v>
      </c>
      <c r="B234" s="93" t="s">
        <v>3456</v>
      </c>
      <c r="C234" s="93" t="s">
        <v>3457</v>
      </c>
      <c r="D234" s="124" t="s">
        <v>3478</v>
      </c>
      <c r="E234" s="95">
        <f>D234*150</f>
        <v>2400</v>
      </c>
      <c r="F234" s="46" t="str">
        <f t="shared" si="2"/>
        <v>16 Units Sold</v>
      </c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idden="1">
      <c r="A235" s="6" t="s">
        <v>85</v>
      </c>
      <c r="B235" s="93" t="s">
        <v>3459</v>
      </c>
      <c r="C235" s="93" t="s">
        <v>3460</v>
      </c>
      <c r="D235" s="124" t="s">
        <v>3481</v>
      </c>
      <c r="E235" s="95">
        <f t="shared" ref="E235:E236" si="79">D235*150/2</f>
        <v>2325</v>
      </c>
      <c r="F235" s="46" t="str">
        <f t="shared" si="2"/>
        <v>31 Units Sold</v>
      </c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idden="1">
      <c r="A236" s="6" t="s">
        <v>85</v>
      </c>
      <c r="B236" s="93" t="s">
        <v>3462</v>
      </c>
      <c r="C236" s="93" t="s">
        <v>3460</v>
      </c>
      <c r="D236" s="124" t="s">
        <v>3481</v>
      </c>
      <c r="E236" s="95">
        <f t="shared" si="79"/>
        <v>2325</v>
      </c>
      <c r="F236" s="46" t="str">
        <f t="shared" si="2"/>
        <v>31 Units Sold</v>
      </c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idden="1">
      <c r="A237" s="6" t="s">
        <v>85</v>
      </c>
      <c r="B237" s="93" t="s">
        <v>3535</v>
      </c>
      <c r="C237" s="93" t="s">
        <v>3464</v>
      </c>
      <c r="D237" s="124" t="s">
        <v>3486</v>
      </c>
      <c r="E237" s="95">
        <f t="shared" ref="E237:E241" si="80">D237*150</f>
        <v>2625</v>
      </c>
      <c r="F237" s="46" t="str">
        <f t="shared" si="2"/>
        <v>17.5 Units Sold</v>
      </c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idden="1">
      <c r="A238" s="6" t="s">
        <v>87</v>
      </c>
      <c r="B238" s="93" t="s">
        <v>3446</v>
      </c>
      <c r="C238" s="93" t="s">
        <v>3447</v>
      </c>
      <c r="D238" s="124" t="s">
        <v>3465</v>
      </c>
      <c r="E238" s="95">
        <f t="shared" si="80"/>
        <v>3900</v>
      </c>
      <c r="F238" s="46" t="str">
        <f t="shared" si="2"/>
        <v>26 Units Sold</v>
      </c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idden="1">
      <c r="A239" s="6" t="s">
        <v>87</v>
      </c>
      <c r="B239" s="93" t="s">
        <v>3449</v>
      </c>
      <c r="C239" s="93" t="s">
        <v>3450</v>
      </c>
      <c r="D239" s="124" t="s">
        <v>3458</v>
      </c>
      <c r="E239" s="95">
        <f t="shared" si="80"/>
        <v>2925</v>
      </c>
      <c r="F239" s="46" t="str">
        <f t="shared" si="2"/>
        <v>19.5 Units Sold</v>
      </c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idden="1">
      <c r="A240" s="6" t="s">
        <v>87</v>
      </c>
      <c r="B240" s="93" t="s">
        <v>3544</v>
      </c>
      <c r="C240" s="93" t="s">
        <v>3452</v>
      </c>
      <c r="D240" s="124" t="s">
        <v>3545</v>
      </c>
      <c r="E240" s="95">
        <f t="shared" si="80"/>
        <v>2100</v>
      </c>
      <c r="F240" s="46" t="str">
        <f t="shared" si="2"/>
        <v>14 Units Sold</v>
      </c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idden="1">
      <c r="A241" s="6" t="s">
        <v>87</v>
      </c>
      <c r="B241" s="71" t="s">
        <v>726</v>
      </c>
      <c r="C241" s="93" t="s">
        <v>3452</v>
      </c>
      <c r="D241" s="124" t="s">
        <v>3546</v>
      </c>
      <c r="E241" s="95">
        <f t="shared" si="80"/>
        <v>1350</v>
      </c>
      <c r="F241" s="46" t="str">
        <f t="shared" si="2"/>
        <v>9 Units Sold</v>
      </c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idden="1">
      <c r="A242" s="6" t="s">
        <v>87</v>
      </c>
      <c r="B242" s="93" t="s">
        <v>1144</v>
      </c>
      <c r="C242" s="93" t="s">
        <v>3454</v>
      </c>
      <c r="D242" s="124" t="s">
        <v>3496</v>
      </c>
      <c r="E242" s="95">
        <f t="shared" ref="E242:E243" si="81">D242*150/2</f>
        <v>2850</v>
      </c>
      <c r="F242" s="46" t="str">
        <f t="shared" si="2"/>
        <v>38 Units Sold</v>
      </c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idden="1">
      <c r="A243" s="6" t="s">
        <v>87</v>
      </c>
      <c r="B243" s="93" t="s">
        <v>883</v>
      </c>
      <c r="C243" s="93" t="s">
        <v>3454</v>
      </c>
      <c r="D243" s="124" t="s">
        <v>3496</v>
      </c>
      <c r="E243" s="95">
        <f t="shared" si="81"/>
        <v>2850</v>
      </c>
      <c r="F243" s="46" t="str">
        <f t="shared" si="2"/>
        <v>38 Units Sold</v>
      </c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idden="1">
      <c r="A244" s="6" t="s">
        <v>87</v>
      </c>
      <c r="B244" s="93" t="s">
        <v>3456</v>
      </c>
      <c r="C244" s="93" t="s">
        <v>3457</v>
      </c>
      <c r="D244" s="124" t="s">
        <v>3547</v>
      </c>
      <c r="E244" s="95">
        <f>D244*150</f>
        <v>2475</v>
      </c>
      <c r="F244" s="46" t="str">
        <f t="shared" si="2"/>
        <v>16.5 Units Sold</v>
      </c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idden="1">
      <c r="A245" s="6" t="s">
        <v>87</v>
      </c>
      <c r="B245" s="93" t="s">
        <v>3459</v>
      </c>
      <c r="C245" s="93" t="s">
        <v>3460</v>
      </c>
      <c r="D245" s="124" t="s">
        <v>3480</v>
      </c>
      <c r="E245" s="95">
        <f t="shared" ref="E245:E246" si="82">D245*150/2</f>
        <v>1875</v>
      </c>
      <c r="F245" s="46" t="str">
        <f t="shared" si="2"/>
        <v>25 Units Sold</v>
      </c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idden="1">
      <c r="A246" s="6" t="s">
        <v>87</v>
      </c>
      <c r="B246" s="93" t="s">
        <v>3462</v>
      </c>
      <c r="C246" s="93" t="s">
        <v>3460</v>
      </c>
      <c r="D246" s="124" t="s">
        <v>3480</v>
      </c>
      <c r="E246" s="95">
        <f t="shared" si="82"/>
        <v>1875</v>
      </c>
      <c r="F246" s="46" t="str">
        <f t="shared" si="2"/>
        <v>25 Units Sold</v>
      </c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idden="1">
      <c r="A247" s="6" t="s">
        <v>87</v>
      </c>
      <c r="B247" s="93" t="s">
        <v>3535</v>
      </c>
      <c r="C247" s="93" t="s">
        <v>3464</v>
      </c>
      <c r="D247" s="124" t="s">
        <v>3489</v>
      </c>
      <c r="E247" s="95">
        <f t="shared" ref="E247:E251" si="83">D247*150</f>
        <v>3000</v>
      </c>
      <c r="F247" s="46" t="str">
        <f t="shared" si="2"/>
        <v>20 Units Sold</v>
      </c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idden="1">
      <c r="A248" s="6" t="s">
        <v>89</v>
      </c>
      <c r="B248" s="93" t="s">
        <v>3446</v>
      </c>
      <c r="C248" s="93" t="s">
        <v>3447</v>
      </c>
      <c r="D248" s="124" t="s">
        <v>3521</v>
      </c>
      <c r="E248" s="95">
        <f t="shared" si="83"/>
        <v>3150</v>
      </c>
      <c r="F248" s="46" t="str">
        <f t="shared" si="2"/>
        <v>21 Units Sold</v>
      </c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idden="1">
      <c r="A249" s="6" t="s">
        <v>89</v>
      </c>
      <c r="B249" s="93" t="s">
        <v>3544</v>
      </c>
      <c r="C249" s="93" t="s">
        <v>3452</v>
      </c>
      <c r="D249" s="124" t="s">
        <v>3548</v>
      </c>
      <c r="E249" s="95">
        <f t="shared" si="83"/>
        <v>1200</v>
      </c>
      <c r="F249" s="46" t="str">
        <f t="shared" si="2"/>
        <v>8 Units Sold</v>
      </c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idden="1">
      <c r="A250" s="6" t="s">
        <v>89</v>
      </c>
      <c r="B250" s="93" t="s">
        <v>3535</v>
      </c>
      <c r="C250" s="93" t="s">
        <v>3464</v>
      </c>
      <c r="D250" s="124" t="s">
        <v>3530</v>
      </c>
      <c r="E250" s="95">
        <f t="shared" si="83"/>
        <v>6825</v>
      </c>
      <c r="F250" s="46" t="str">
        <f t="shared" si="2"/>
        <v>45.5 Units Sold</v>
      </c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idden="1">
      <c r="A251" s="6" t="s">
        <v>89</v>
      </c>
      <c r="B251" s="93" t="s">
        <v>3449</v>
      </c>
      <c r="C251" s="93" t="s">
        <v>3450</v>
      </c>
      <c r="D251" s="124" t="s">
        <v>3486</v>
      </c>
      <c r="E251" s="95">
        <f t="shared" si="83"/>
        <v>2625</v>
      </c>
      <c r="F251" s="46" t="str">
        <f t="shared" si="2"/>
        <v>17.5 Units Sold</v>
      </c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idden="1">
      <c r="A252" s="6" t="s">
        <v>89</v>
      </c>
      <c r="B252" s="93" t="s">
        <v>1144</v>
      </c>
      <c r="C252" s="93" t="s">
        <v>3454</v>
      </c>
      <c r="D252" s="124" t="s">
        <v>3549</v>
      </c>
      <c r="E252" s="95">
        <f t="shared" ref="E252:E254" si="84">D252*150/2</f>
        <v>3187.5</v>
      </c>
      <c r="F252" s="46" t="str">
        <f t="shared" si="2"/>
        <v>42.5 Units Sold</v>
      </c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idden="1">
      <c r="A253" s="6" t="s">
        <v>89</v>
      </c>
      <c r="B253" s="93" t="s">
        <v>883</v>
      </c>
      <c r="C253" s="93" t="s">
        <v>3454</v>
      </c>
      <c r="D253" s="124" t="s">
        <v>3549</v>
      </c>
      <c r="E253" s="95">
        <f t="shared" si="84"/>
        <v>3187.5</v>
      </c>
      <c r="F253" s="46" t="str">
        <f t="shared" si="2"/>
        <v>42.5 Units Sold</v>
      </c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idden="1">
      <c r="A254" s="6" t="s">
        <v>89</v>
      </c>
      <c r="B254" s="93" t="s">
        <v>3459</v>
      </c>
      <c r="C254" s="93" t="s">
        <v>3460</v>
      </c>
      <c r="D254" s="124" t="s">
        <v>3480</v>
      </c>
      <c r="E254" s="95">
        <f t="shared" si="84"/>
        <v>1875</v>
      </c>
      <c r="F254" s="46" t="str">
        <f t="shared" si="2"/>
        <v>25 Units Sold</v>
      </c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idden="1">
      <c r="A255" s="6" t="s">
        <v>89</v>
      </c>
      <c r="B255" s="93" t="s">
        <v>3456</v>
      </c>
      <c r="C255" s="93" t="s">
        <v>3457</v>
      </c>
      <c r="D255" s="124" t="s">
        <v>3480</v>
      </c>
      <c r="E255" s="95">
        <f>D255*150</f>
        <v>3750</v>
      </c>
      <c r="F255" s="46" t="str">
        <f t="shared" si="2"/>
        <v>25 Units Sold</v>
      </c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idden="1">
      <c r="A256" s="6" t="s">
        <v>89</v>
      </c>
      <c r="B256" s="93" t="s">
        <v>3462</v>
      </c>
      <c r="C256" s="93" t="s">
        <v>3460</v>
      </c>
      <c r="D256" s="124" t="s">
        <v>3480</v>
      </c>
      <c r="E256" s="95">
        <f>D256*150/2</f>
        <v>1875</v>
      </c>
      <c r="F256" s="46" t="str">
        <f t="shared" si="2"/>
        <v>25 Units Sold</v>
      </c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idden="1">
      <c r="A257" s="6" t="s">
        <v>92</v>
      </c>
      <c r="B257" s="93" t="s">
        <v>3446</v>
      </c>
      <c r="C257" s="93" t="s">
        <v>3447</v>
      </c>
      <c r="D257" s="124" t="s">
        <v>3500</v>
      </c>
      <c r="E257" s="95">
        <f t="shared" ref="E257:E260" si="85">D257*150</f>
        <v>3975</v>
      </c>
      <c r="F257" s="46" t="str">
        <f t="shared" si="2"/>
        <v>26.5 Units Sold</v>
      </c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idden="1">
      <c r="A258" s="6" t="s">
        <v>92</v>
      </c>
      <c r="B258" s="93" t="s">
        <v>3544</v>
      </c>
      <c r="C258" s="93" t="s">
        <v>3452</v>
      </c>
      <c r="D258" s="124" t="s">
        <v>3478</v>
      </c>
      <c r="E258" s="95">
        <f t="shared" si="85"/>
        <v>2400</v>
      </c>
      <c r="F258" s="46" t="str">
        <f t="shared" si="2"/>
        <v>16 Units Sold</v>
      </c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idden="1">
      <c r="A259" s="6" t="s">
        <v>92</v>
      </c>
      <c r="B259" s="93" t="s">
        <v>3535</v>
      </c>
      <c r="C259" s="93" t="s">
        <v>3464</v>
      </c>
      <c r="D259" s="124" t="s">
        <v>3526</v>
      </c>
      <c r="E259" s="95">
        <f t="shared" si="85"/>
        <v>4500</v>
      </c>
      <c r="F259" s="46" t="str">
        <f t="shared" si="2"/>
        <v>30 Units Sold</v>
      </c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idden="1">
      <c r="A260" s="6" t="s">
        <v>92</v>
      </c>
      <c r="B260" s="93" t="s">
        <v>3449</v>
      </c>
      <c r="C260" s="93" t="s">
        <v>3450</v>
      </c>
      <c r="D260" s="124" t="s">
        <v>3480</v>
      </c>
      <c r="E260" s="95">
        <f t="shared" si="85"/>
        <v>3750</v>
      </c>
      <c r="F260" s="46" t="str">
        <f t="shared" si="2"/>
        <v>25 Units Sold</v>
      </c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idden="1">
      <c r="A261" s="6" t="s">
        <v>92</v>
      </c>
      <c r="B261" s="93" t="s">
        <v>1144</v>
      </c>
      <c r="C261" s="93" t="s">
        <v>3454</v>
      </c>
      <c r="D261" s="124" t="s">
        <v>3530</v>
      </c>
      <c r="E261" s="95">
        <f t="shared" ref="E261:E263" si="86">D261*150/2</f>
        <v>3412.5</v>
      </c>
      <c r="F261" s="46" t="str">
        <f t="shared" si="2"/>
        <v>45.5 Units Sold</v>
      </c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idden="1">
      <c r="A262" s="6" t="s">
        <v>92</v>
      </c>
      <c r="B262" s="93" t="s">
        <v>883</v>
      </c>
      <c r="C262" s="93" t="s">
        <v>3454</v>
      </c>
      <c r="D262" s="124" t="s">
        <v>3530</v>
      </c>
      <c r="E262" s="95">
        <f t="shared" si="86"/>
        <v>3412.5</v>
      </c>
      <c r="F262" s="46" t="str">
        <f t="shared" si="2"/>
        <v>45.5 Units Sold</v>
      </c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idden="1">
      <c r="A263" s="6" t="s">
        <v>92</v>
      </c>
      <c r="B263" s="93" t="s">
        <v>3459</v>
      </c>
      <c r="C263" s="93" t="s">
        <v>3460</v>
      </c>
      <c r="D263" s="124" t="s">
        <v>3465</v>
      </c>
      <c r="E263" s="95">
        <f t="shared" si="86"/>
        <v>1950</v>
      </c>
      <c r="F263" s="46" t="str">
        <f t="shared" si="2"/>
        <v>26 Units Sold</v>
      </c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idden="1">
      <c r="A264" s="6" t="s">
        <v>92</v>
      </c>
      <c r="B264" s="93" t="s">
        <v>3456</v>
      </c>
      <c r="C264" s="93" t="s">
        <v>3457</v>
      </c>
      <c r="D264" s="124" t="s">
        <v>3466</v>
      </c>
      <c r="E264" s="95">
        <f>D264*150</f>
        <v>3825</v>
      </c>
      <c r="F264" s="46" t="str">
        <f t="shared" si="2"/>
        <v>25.5 Units Sold</v>
      </c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idden="1">
      <c r="A265" s="6" t="s">
        <v>92</v>
      </c>
      <c r="B265" s="93" t="s">
        <v>3462</v>
      </c>
      <c r="C265" s="93" t="s">
        <v>3460</v>
      </c>
      <c r="D265" s="124" t="s">
        <v>3465</v>
      </c>
      <c r="E265" s="95">
        <f>D265*150/2</f>
        <v>1950</v>
      </c>
      <c r="F265" s="46" t="str">
        <f t="shared" si="2"/>
        <v>26 Units Sold</v>
      </c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idden="1">
      <c r="A266" s="6" t="s">
        <v>95</v>
      </c>
      <c r="B266" s="93" t="s">
        <v>3446</v>
      </c>
      <c r="C266" s="93" t="s">
        <v>3447</v>
      </c>
      <c r="D266" s="124" t="s">
        <v>3505</v>
      </c>
      <c r="E266" s="95">
        <f t="shared" ref="E266:E269" si="87">D266*150</f>
        <v>3300</v>
      </c>
      <c r="F266" s="46" t="str">
        <f t="shared" si="2"/>
        <v>22 Units Sold</v>
      </c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idden="1">
      <c r="A267" s="6" t="s">
        <v>95</v>
      </c>
      <c r="B267" s="93" t="s">
        <v>3544</v>
      </c>
      <c r="C267" s="93" t="s">
        <v>3452</v>
      </c>
      <c r="D267" s="124" t="s">
        <v>3546</v>
      </c>
      <c r="E267" s="95">
        <f t="shared" si="87"/>
        <v>1350</v>
      </c>
      <c r="F267" s="46" t="str">
        <f t="shared" si="2"/>
        <v>9 Units Sold</v>
      </c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idden="1">
      <c r="A268" s="6" t="s">
        <v>95</v>
      </c>
      <c r="B268" s="93" t="s">
        <v>3535</v>
      </c>
      <c r="C268" s="93" t="s">
        <v>3464</v>
      </c>
      <c r="D268" s="124" t="s">
        <v>3487</v>
      </c>
      <c r="E268" s="95">
        <f t="shared" si="87"/>
        <v>3075</v>
      </c>
      <c r="F268" s="46" t="str">
        <f t="shared" si="2"/>
        <v>20.5 Units Sold</v>
      </c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idden="1">
      <c r="A269" s="6" t="s">
        <v>95</v>
      </c>
      <c r="B269" s="93" t="s">
        <v>3449</v>
      </c>
      <c r="C269" s="93" t="s">
        <v>3450</v>
      </c>
      <c r="D269" s="124" t="s">
        <v>3466</v>
      </c>
      <c r="E269" s="95">
        <f t="shared" si="87"/>
        <v>3825</v>
      </c>
      <c r="F269" s="46" t="str">
        <f t="shared" si="2"/>
        <v>25.5 Units Sold</v>
      </c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idden="1">
      <c r="A270" s="6" t="s">
        <v>95</v>
      </c>
      <c r="B270" s="93" t="s">
        <v>1144</v>
      </c>
      <c r="C270" s="93" t="s">
        <v>3454</v>
      </c>
      <c r="D270" s="124" t="s">
        <v>3530</v>
      </c>
      <c r="E270" s="95">
        <f t="shared" ref="E270:E272" si="88">D270*150/2</f>
        <v>3412.5</v>
      </c>
      <c r="F270" s="46" t="str">
        <f t="shared" si="2"/>
        <v>45.5 Units Sold</v>
      </c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idden="1">
      <c r="A271" s="6" t="s">
        <v>95</v>
      </c>
      <c r="B271" s="93" t="s">
        <v>883</v>
      </c>
      <c r="C271" s="93" t="s">
        <v>3454</v>
      </c>
      <c r="D271" s="124" t="s">
        <v>3530</v>
      </c>
      <c r="E271" s="95">
        <f t="shared" si="88"/>
        <v>3412.5</v>
      </c>
      <c r="F271" s="46" t="str">
        <f t="shared" si="2"/>
        <v>45.5 Units Sold</v>
      </c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idden="1">
      <c r="A272" s="6" t="s">
        <v>95</v>
      </c>
      <c r="B272" s="93" t="s">
        <v>3459</v>
      </c>
      <c r="C272" s="93" t="s">
        <v>3460</v>
      </c>
      <c r="D272" s="124" t="s">
        <v>3472</v>
      </c>
      <c r="E272" s="95">
        <f t="shared" si="88"/>
        <v>2025</v>
      </c>
      <c r="F272" s="46" t="str">
        <f t="shared" si="2"/>
        <v>27 Units Sold</v>
      </c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idden="1">
      <c r="A273" s="6" t="s">
        <v>95</v>
      </c>
      <c r="B273" s="93" t="s">
        <v>3456</v>
      </c>
      <c r="C273" s="93" t="s">
        <v>3457</v>
      </c>
      <c r="D273" s="124" t="s">
        <v>3547</v>
      </c>
      <c r="E273" s="95">
        <f>D273*150</f>
        <v>2475</v>
      </c>
      <c r="F273" s="46" t="str">
        <f t="shared" si="2"/>
        <v>16.5 Units Sold</v>
      </c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idden="1">
      <c r="A274" s="6" t="s">
        <v>95</v>
      </c>
      <c r="B274" s="93" t="s">
        <v>3462</v>
      </c>
      <c r="C274" s="93" t="s">
        <v>3460</v>
      </c>
      <c r="D274" s="124" t="s">
        <v>3472</v>
      </c>
      <c r="E274" s="95">
        <f>D274*150/2</f>
        <v>2025</v>
      </c>
      <c r="F274" s="46" t="str">
        <f t="shared" si="2"/>
        <v>27 Units Sold</v>
      </c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idden="1">
      <c r="A275" s="6" t="s">
        <v>97</v>
      </c>
      <c r="B275" s="93" t="s">
        <v>3446</v>
      </c>
      <c r="C275" s="93" t="s">
        <v>3447</v>
      </c>
      <c r="D275" s="124" t="s">
        <v>3481</v>
      </c>
      <c r="E275" s="95">
        <f t="shared" ref="E275:E278" si="89">D275*150</f>
        <v>4650</v>
      </c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idden="1">
      <c r="A276" s="6" t="s">
        <v>97</v>
      </c>
      <c r="B276" s="93" t="s">
        <v>3544</v>
      </c>
      <c r="C276" s="93" t="s">
        <v>3452</v>
      </c>
      <c r="D276" s="124" t="s">
        <v>3480</v>
      </c>
      <c r="E276" s="95">
        <f t="shared" si="89"/>
        <v>3750</v>
      </c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idden="1">
      <c r="A277" s="6" t="s">
        <v>97</v>
      </c>
      <c r="B277" s="93" t="s">
        <v>3535</v>
      </c>
      <c r="C277" s="93" t="s">
        <v>3464</v>
      </c>
      <c r="D277" s="124" t="s">
        <v>3466</v>
      </c>
      <c r="E277" s="95">
        <f t="shared" si="89"/>
        <v>3825</v>
      </c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idden="1">
      <c r="A278" s="6" t="s">
        <v>97</v>
      </c>
      <c r="B278" s="93" t="s">
        <v>3449</v>
      </c>
      <c r="C278" s="93" t="s">
        <v>3450</v>
      </c>
      <c r="D278" s="124" t="s">
        <v>3465</v>
      </c>
      <c r="E278" s="95">
        <f t="shared" si="89"/>
        <v>3900</v>
      </c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idden="1">
      <c r="A279" s="6" t="s">
        <v>97</v>
      </c>
      <c r="B279" s="93" t="s">
        <v>1144</v>
      </c>
      <c r="C279" s="93" t="s">
        <v>3454</v>
      </c>
      <c r="D279" s="124" t="s">
        <v>3534</v>
      </c>
      <c r="E279" s="95">
        <f t="shared" ref="E279:E281" si="90">D279*150/2</f>
        <v>3712.5</v>
      </c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idden="1">
      <c r="A280" s="6" t="s">
        <v>97</v>
      </c>
      <c r="B280" s="93" t="s">
        <v>883</v>
      </c>
      <c r="C280" s="93" t="s">
        <v>3454</v>
      </c>
      <c r="D280" s="124" t="s">
        <v>3534</v>
      </c>
      <c r="E280" s="95">
        <f t="shared" si="90"/>
        <v>3712.5</v>
      </c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idden="1">
      <c r="A281" s="6" t="s">
        <v>97</v>
      </c>
      <c r="B281" s="93" t="s">
        <v>3459</v>
      </c>
      <c r="C281" s="93" t="s">
        <v>3460</v>
      </c>
      <c r="D281" s="124" t="s">
        <v>3451</v>
      </c>
      <c r="E281" s="95">
        <f t="shared" si="90"/>
        <v>2062.5</v>
      </c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idden="1">
      <c r="A282" s="6" t="s">
        <v>97</v>
      </c>
      <c r="B282" s="93" t="s">
        <v>3456</v>
      </c>
      <c r="C282" s="93" t="s">
        <v>3457</v>
      </c>
      <c r="D282" s="124" t="s">
        <v>3470</v>
      </c>
      <c r="E282" s="95">
        <f>D282*150</f>
        <v>2250</v>
      </c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idden="1">
      <c r="A283" s="6" t="s">
        <v>97</v>
      </c>
      <c r="B283" s="93" t="s">
        <v>3462</v>
      </c>
      <c r="C283" s="93" t="s">
        <v>3460</v>
      </c>
      <c r="D283" s="124" t="s">
        <v>3451</v>
      </c>
      <c r="E283" s="95">
        <f>D283*150/2</f>
        <v>2062.5</v>
      </c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idden="1">
      <c r="A284" s="6" t="s">
        <v>98</v>
      </c>
      <c r="B284" s="93" t="s">
        <v>3446</v>
      </c>
      <c r="C284" s="93" t="s">
        <v>3447</v>
      </c>
      <c r="D284" s="124" t="s">
        <v>3448</v>
      </c>
      <c r="E284" s="95">
        <f t="shared" ref="E284:E287" si="91">D284*150</f>
        <v>4275</v>
      </c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idden="1">
      <c r="A285" s="6" t="s">
        <v>98</v>
      </c>
      <c r="B285" s="93" t="s">
        <v>3544</v>
      </c>
      <c r="C285" s="93" t="s">
        <v>3452</v>
      </c>
      <c r="D285" s="124" t="s">
        <v>3486</v>
      </c>
      <c r="E285" s="95">
        <f t="shared" si="91"/>
        <v>2625</v>
      </c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idden="1">
      <c r="A286" s="6" t="s">
        <v>98</v>
      </c>
      <c r="B286" s="93" t="s">
        <v>3535</v>
      </c>
      <c r="C286" s="93" t="s">
        <v>3464</v>
      </c>
      <c r="D286" s="124" t="s">
        <v>3451</v>
      </c>
      <c r="E286" s="95">
        <f t="shared" si="91"/>
        <v>4125</v>
      </c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idden="1">
      <c r="A287" s="6" t="s">
        <v>98</v>
      </c>
      <c r="B287" s="93" t="s">
        <v>3449</v>
      </c>
      <c r="C287" s="93" t="s">
        <v>3450</v>
      </c>
      <c r="D287" s="124" t="s">
        <v>3481</v>
      </c>
      <c r="E287" s="95">
        <f t="shared" si="91"/>
        <v>4650</v>
      </c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idden="1">
      <c r="A288" s="6" t="s">
        <v>98</v>
      </c>
      <c r="B288" s="93" t="s">
        <v>1144</v>
      </c>
      <c r="C288" s="93" t="s">
        <v>3454</v>
      </c>
      <c r="D288" s="124" t="s">
        <v>3550</v>
      </c>
      <c r="E288" s="95">
        <f t="shared" ref="E288:E290" si="92">D288*150/2</f>
        <v>4987.5</v>
      </c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idden="1">
      <c r="A289" s="6" t="s">
        <v>98</v>
      </c>
      <c r="B289" s="93" t="s">
        <v>883</v>
      </c>
      <c r="C289" s="93" t="s">
        <v>3454</v>
      </c>
      <c r="D289" s="124" t="s">
        <v>3550</v>
      </c>
      <c r="E289" s="95">
        <f t="shared" si="92"/>
        <v>4987.5</v>
      </c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idden="1">
      <c r="A290" s="6" t="s">
        <v>98</v>
      </c>
      <c r="B290" s="93" t="s">
        <v>3459</v>
      </c>
      <c r="C290" s="93" t="s">
        <v>3460</v>
      </c>
      <c r="D290" s="124" t="s">
        <v>3476</v>
      </c>
      <c r="E290" s="95">
        <f t="shared" si="92"/>
        <v>2175</v>
      </c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idden="1">
      <c r="A291" s="6" t="s">
        <v>98</v>
      </c>
      <c r="B291" s="71" t="s">
        <v>3456</v>
      </c>
      <c r="C291" s="93" t="s">
        <v>3457</v>
      </c>
      <c r="D291" s="124" t="s">
        <v>3487</v>
      </c>
      <c r="E291" s="95">
        <f>D291*150</f>
        <v>3075</v>
      </c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idden="1">
      <c r="A292" s="6" t="s">
        <v>98</v>
      </c>
      <c r="B292" s="93" t="s">
        <v>3462</v>
      </c>
      <c r="C292" s="93" t="s">
        <v>3460</v>
      </c>
      <c r="D292" s="124" t="s">
        <v>3476</v>
      </c>
      <c r="E292" s="95">
        <f>D292*150/2</f>
        <v>2175</v>
      </c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idden="1">
      <c r="A293" s="6" t="s">
        <v>99</v>
      </c>
      <c r="B293" s="93" t="s">
        <v>3446</v>
      </c>
      <c r="C293" s="93" t="s">
        <v>3447</v>
      </c>
      <c r="D293" s="124" t="s">
        <v>3526</v>
      </c>
      <c r="E293" s="95">
        <f t="shared" ref="E293:E296" si="93">D293*150</f>
        <v>4500</v>
      </c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idden="1">
      <c r="A294" s="6" t="s">
        <v>99</v>
      </c>
      <c r="B294" s="93" t="s">
        <v>3544</v>
      </c>
      <c r="C294" s="93" t="s">
        <v>3452</v>
      </c>
      <c r="D294" s="124" t="s">
        <v>3506</v>
      </c>
      <c r="E294" s="95">
        <f t="shared" si="93"/>
        <v>2775</v>
      </c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idden="1">
      <c r="A295" s="6" t="s">
        <v>99</v>
      </c>
      <c r="B295" s="93" t="s">
        <v>3535</v>
      </c>
      <c r="C295" s="93" t="s">
        <v>3464</v>
      </c>
      <c r="D295" s="124" t="s">
        <v>3498</v>
      </c>
      <c r="E295" s="95">
        <f t="shared" si="93"/>
        <v>4800</v>
      </c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idden="1">
      <c r="A296" s="6" t="s">
        <v>99</v>
      </c>
      <c r="B296" s="93" t="s">
        <v>3449</v>
      </c>
      <c r="C296" s="93" t="s">
        <v>3450</v>
      </c>
      <c r="D296" s="124" t="s">
        <v>3538</v>
      </c>
      <c r="E296" s="95">
        <f t="shared" si="93"/>
        <v>4950</v>
      </c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idden="1">
      <c r="A297" s="6" t="s">
        <v>99</v>
      </c>
      <c r="B297" s="93" t="s">
        <v>1144</v>
      </c>
      <c r="C297" s="93" t="s">
        <v>3454</v>
      </c>
      <c r="D297" s="124" t="s">
        <v>3551</v>
      </c>
      <c r="E297" s="95">
        <f t="shared" ref="E297:E299" si="94">D297*150/2</f>
        <v>5475</v>
      </c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idden="1">
      <c r="A298" s="6" t="s">
        <v>99</v>
      </c>
      <c r="B298" s="93" t="s">
        <v>883</v>
      </c>
      <c r="C298" s="93" t="s">
        <v>3454</v>
      </c>
      <c r="D298" s="124" t="s">
        <v>3551</v>
      </c>
      <c r="E298" s="95">
        <f t="shared" si="94"/>
        <v>5475</v>
      </c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idden="1">
      <c r="A299" s="6" t="s">
        <v>99</v>
      </c>
      <c r="B299" s="93" t="s">
        <v>3459</v>
      </c>
      <c r="C299" s="93" t="s">
        <v>3460</v>
      </c>
      <c r="D299" s="124" t="s">
        <v>3458</v>
      </c>
      <c r="E299" s="95">
        <f t="shared" si="94"/>
        <v>1462.5</v>
      </c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idden="1">
      <c r="A300" s="6" t="s">
        <v>99</v>
      </c>
      <c r="B300" s="71" t="s">
        <v>3456</v>
      </c>
      <c r="C300" s="93" t="s">
        <v>3457</v>
      </c>
      <c r="D300" s="124" t="s">
        <v>3489</v>
      </c>
      <c r="E300" s="95">
        <f>D300*150</f>
        <v>3000</v>
      </c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idden="1">
      <c r="A301" s="6" t="s">
        <v>99</v>
      </c>
      <c r="B301" s="93" t="s">
        <v>3462</v>
      </c>
      <c r="C301" s="93" t="s">
        <v>3460</v>
      </c>
      <c r="D301" s="124" t="s">
        <v>3458</v>
      </c>
      <c r="E301" s="95">
        <f>D301*150/2</f>
        <v>1462.5</v>
      </c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idden="1">
      <c r="A302" s="6" t="s">
        <v>100</v>
      </c>
      <c r="B302" s="93" t="s">
        <v>3446</v>
      </c>
      <c r="C302" s="93" t="s">
        <v>3447</v>
      </c>
      <c r="D302" s="124" t="s">
        <v>3480</v>
      </c>
      <c r="E302" s="95">
        <f t="shared" ref="E302:E306" si="95">D302*150</f>
        <v>3750</v>
      </c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idden="1">
      <c r="A303" s="6" t="s">
        <v>100</v>
      </c>
      <c r="B303" s="93" t="s">
        <v>1128</v>
      </c>
      <c r="C303" s="93" t="s">
        <v>3457</v>
      </c>
      <c r="D303" s="124" t="s">
        <v>3470</v>
      </c>
      <c r="E303" s="95">
        <f t="shared" si="95"/>
        <v>2250</v>
      </c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idden="1">
      <c r="A304" s="6" t="s">
        <v>100</v>
      </c>
      <c r="B304" s="93" t="s">
        <v>3544</v>
      </c>
      <c r="C304" s="93" t="s">
        <v>3452</v>
      </c>
      <c r="D304" s="124" t="s">
        <v>3529</v>
      </c>
      <c r="E304" s="95">
        <f t="shared" si="95"/>
        <v>150</v>
      </c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idden="1">
      <c r="A305" s="6" t="s">
        <v>100</v>
      </c>
      <c r="B305" s="93" t="s">
        <v>3535</v>
      </c>
      <c r="C305" s="93" t="s">
        <v>3464</v>
      </c>
      <c r="D305" s="124" t="s">
        <v>3537</v>
      </c>
      <c r="E305" s="95">
        <f t="shared" si="95"/>
        <v>1425</v>
      </c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idden="1">
      <c r="A306" s="6" t="s">
        <v>100</v>
      </c>
      <c r="B306" s="93" t="s">
        <v>3449</v>
      </c>
      <c r="C306" s="93" t="s">
        <v>3450</v>
      </c>
      <c r="D306" s="124" t="s">
        <v>3522</v>
      </c>
      <c r="E306" s="95">
        <f t="shared" si="95"/>
        <v>2700</v>
      </c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idden="1">
      <c r="A307" s="6" t="s">
        <v>100</v>
      </c>
      <c r="B307" s="93" t="s">
        <v>1144</v>
      </c>
      <c r="C307" s="93" t="s">
        <v>3454</v>
      </c>
      <c r="D307" s="124" t="s">
        <v>3530</v>
      </c>
      <c r="E307" s="95">
        <f t="shared" ref="E307:E310" si="96">D307*150/2</f>
        <v>3412.5</v>
      </c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idden="1">
      <c r="A308" s="6" t="s">
        <v>100</v>
      </c>
      <c r="B308" s="93" t="s">
        <v>883</v>
      </c>
      <c r="C308" s="93" t="s">
        <v>3454</v>
      </c>
      <c r="D308" s="124" t="s">
        <v>3530</v>
      </c>
      <c r="E308" s="95">
        <f t="shared" si="96"/>
        <v>3412.5</v>
      </c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idden="1">
      <c r="A309" s="6" t="s">
        <v>100</v>
      </c>
      <c r="B309" s="93" t="s">
        <v>3459</v>
      </c>
      <c r="C309" s="93" t="s">
        <v>3460</v>
      </c>
      <c r="D309" s="124" t="s">
        <v>3506</v>
      </c>
      <c r="E309" s="95">
        <f t="shared" si="96"/>
        <v>1387.5</v>
      </c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idden="1">
      <c r="A310" s="6" t="s">
        <v>100</v>
      </c>
      <c r="B310" s="93" t="s">
        <v>3462</v>
      </c>
      <c r="C310" s="93" t="s">
        <v>3460</v>
      </c>
      <c r="D310" s="124" t="s">
        <v>3506</v>
      </c>
      <c r="E310" s="95">
        <f t="shared" si="96"/>
        <v>1387.5</v>
      </c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idden="1">
      <c r="A311" s="6" t="s">
        <v>102</v>
      </c>
      <c r="B311" s="93" t="s">
        <v>3446</v>
      </c>
      <c r="C311" s="93" t="s">
        <v>3447</v>
      </c>
      <c r="D311" s="124" t="s">
        <v>3465</v>
      </c>
      <c r="E311" s="95">
        <f t="shared" ref="E311:E315" si="97">D311*150</f>
        <v>3900</v>
      </c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idden="1">
      <c r="A312" s="6" t="s">
        <v>102</v>
      </c>
      <c r="B312" s="93" t="s">
        <v>1128</v>
      </c>
      <c r="C312" s="93" t="s">
        <v>3457</v>
      </c>
      <c r="D312" s="124" t="s">
        <v>3503</v>
      </c>
      <c r="E312" s="95">
        <f t="shared" si="97"/>
        <v>2325</v>
      </c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idden="1">
      <c r="A313" s="6" t="s">
        <v>102</v>
      </c>
      <c r="B313" s="93" t="s">
        <v>3544</v>
      </c>
      <c r="C313" s="93" t="s">
        <v>3452</v>
      </c>
      <c r="D313" s="124" t="s">
        <v>3531</v>
      </c>
      <c r="E313" s="95">
        <f t="shared" si="97"/>
        <v>2550</v>
      </c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idden="1">
      <c r="A314" s="6" t="s">
        <v>102</v>
      </c>
      <c r="B314" s="93" t="s">
        <v>3535</v>
      </c>
      <c r="C314" s="93" t="s">
        <v>3464</v>
      </c>
      <c r="D314" s="124" t="s">
        <v>3465</v>
      </c>
      <c r="E314" s="95">
        <f t="shared" si="97"/>
        <v>3900</v>
      </c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idden="1">
      <c r="A315" s="6" t="s">
        <v>102</v>
      </c>
      <c r="B315" s="93" t="s">
        <v>3449</v>
      </c>
      <c r="C315" s="93" t="s">
        <v>3450</v>
      </c>
      <c r="D315" s="124" t="s">
        <v>3467</v>
      </c>
      <c r="E315" s="95">
        <f t="shared" si="97"/>
        <v>4575</v>
      </c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idden="1">
      <c r="A316" s="6" t="s">
        <v>102</v>
      </c>
      <c r="B316" s="93" t="s">
        <v>1144</v>
      </c>
      <c r="C316" s="93" t="s">
        <v>3454</v>
      </c>
      <c r="D316" s="124" t="s">
        <v>3552</v>
      </c>
      <c r="E316" s="95">
        <f t="shared" ref="E316:E319" si="98">D316*150/2</f>
        <v>4650</v>
      </c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idden="1">
      <c r="A317" s="6" t="s">
        <v>102</v>
      </c>
      <c r="B317" s="93" t="s">
        <v>883</v>
      </c>
      <c r="C317" s="93" t="s">
        <v>3454</v>
      </c>
      <c r="D317" s="124" t="s">
        <v>3552</v>
      </c>
      <c r="E317" s="95">
        <f t="shared" si="98"/>
        <v>4650</v>
      </c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idden="1">
      <c r="A318" s="6" t="s">
        <v>102</v>
      </c>
      <c r="B318" s="93" t="s">
        <v>3459</v>
      </c>
      <c r="C318" s="93" t="s">
        <v>3460</v>
      </c>
      <c r="D318" s="124" t="s">
        <v>3547</v>
      </c>
      <c r="E318" s="95">
        <f t="shared" si="98"/>
        <v>1237.5</v>
      </c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idden="1">
      <c r="A319" s="6" t="s">
        <v>102</v>
      </c>
      <c r="B319" s="93" t="s">
        <v>3462</v>
      </c>
      <c r="C319" s="93" t="s">
        <v>3460</v>
      </c>
      <c r="D319" s="124" t="s">
        <v>3547</v>
      </c>
      <c r="E319" s="95">
        <f t="shared" si="98"/>
        <v>1237.5</v>
      </c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idden="1">
      <c r="A320" s="6" t="s">
        <v>104</v>
      </c>
      <c r="B320" s="93" t="s">
        <v>3446</v>
      </c>
      <c r="C320" s="93" t="s">
        <v>3447</v>
      </c>
      <c r="D320" s="124" t="s">
        <v>3448</v>
      </c>
      <c r="E320" s="95">
        <f t="shared" ref="E320:E324" si="99">D320*150</f>
        <v>4275</v>
      </c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idden="1">
      <c r="A321" s="6" t="s">
        <v>104</v>
      </c>
      <c r="B321" s="93" t="s">
        <v>1128</v>
      </c>
      <c r="C321" s="93" t="s">
        <v>3457</v>
      </c>
      <c r="D321" s="124" t="s">
        <v>3523</v>
      </c>
      <c r="E321" s="95">
        <f t="shared" si="99"/>
        <v>3450</v>
      </c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idden="1">
      <c r="A322" s="6" t="s">
        <v>104</v>
      </c>
      <c r="B322" s="93" t="s">
        <v>3544</v>
      </c>
      <c r="C322" s="93" t="s">
        <v>3452</v>
      </c>
      <c r="D322" s="124" t="s">
        <v>3547</v>
      </c>
      <c r="E322" s="95">
        <f t="shared" si="99"/>
        <v>2475</v>
      </c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idden="1">
      <c r="A323" s="6" t="s">
        <v>104</v>
      </c>
      <c r="B323" s="93" t="s">
        <v>3535</v>
      </c>
      <c r="C323" s="93" t="s">
        <v>3464</v>
      </c>
      <c r="D323" s="124" t="s">
        <v>3471</v>
      </c>
      <c r="E323" s="95">
        <f t="shared" si="99"/>
        <v>5250</v>
      </c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idden="1">
      <c r="A324" s="6" t="s">
        <v>104</v>
      </c>
      <c r="B324" s="93" t="s">
        <v>3449</v>
      </c>
      <c r="C324" s="93" t="s">
        <v>3450</v>
      </c>
      <c r="D324" s="124" t="s">
        <v>3522</v>
      </c>
      <c r="E324" s="95">
        <f t="shared" si="99"/>
        <v>2700</v>
      </c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idden="1">
      <c r="A325" s="6" t="s">
        <v>104</v>
      </c>
      <c r="B325" s="93" t="s">
        <v>1144</v>
      </c>
      <c r="C325" s="93" t="s">
        <v>3454</v>
      </c>
      <c r="D325" s="124" t="s">
        <v>3553</v>
      </c>
      <c r="E325" s="95">
        <f t="shared" ref="E325:E328" si="100">D325*150/2</f>
        <v>6187.5</v>
      </c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idden="1">
      <c r="A326" s="6" t="s">
        <v>104</v>
      </c>
      <c r="B326" s="93" t="s">
        <v>883</v>
      </c>
      <c r="C326" s="93" t="s">
        <v>3454</v>
      </c>
      <c r="D326" s="124" t="s">
        <v>3553</v>
      </c>
      <c r="E326" s="95">
        <f t="shared" si="100"/>
        <v>6187.5</v>
      </c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idden="1">
      <c r="A327" s="6" t="s">
        <v>104</v>
      </c>
      <c r="B327" s="93" t="s">
        <v>3459</v>
      </c>
      <c r="C327" s="93" t="s">
        <v>3460</v>
      </c>
      <c r="D327" s="124" t="s">
        <v>3554</v>
      </c>
      <c r="E327" s="95">
        <f t="shared" si="100"/>
        <v>5737.5</v>
      </c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idden="1">
      <c r="A328" s="6" t="s">
        <v>104</v>
      </c>
      <c r="B328" s="93" t="s">
        <v>3462</v>
      </c>
      <c r="C328" s="93" t="s">
        <v>3460</v>
      </c>
      <c r="D328" s="124" t="s">
        <v>3554</v>
      </c>
      <c r="E328" s="95">
        <f t="shared" si="100"/>
        <v>5737.5</v>
      </c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idden="1">
      <c r="A329" s="6" t="s">
        <v>105</v>
      </c>
      <c r="B329" s="93" t="s">
        <v>3446</v>
      </c>
      <c r="C329" s="93" t="s">
        <v>3447</v>
      </c>
      <c r="D329" s="124" t="s">
        <v>3465</v>
      </c>
      <c r="E329" s="95">
        <f t="shared" ref="E329:E333" si="101">D329*150</f>
        <v>3900</v>
      </c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idden="1">
      <c r="A330" s="6" t="s">
        <v>105</v>
      </c>
      <c r="B330" s="93" t="s">
        <v>3544</v>
      </c>
      <c r="C330" s="93" t="s">
        <v>3452</v>
      </c>
      <c r="D330" s="124" t="s">
        <v>3491</v>
      </c>
      <c r="E330" s="95">
        <f t="shared" si="101"/>
        <v>3375</v>
      </c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idden="1">
      <c r="A331" s="6" t="s">
        <v>105</v>
      </c>
      <c r="B331" s="93" t="s">
        <v>1128</v>
      </c>
      <c r="C331" s="93" t="s">
        <v>3457</v>
      </c>
      <c r="D331" s="124" t="s">
        <v>3517</v>
      </c>
      <c r="E331" s="95">
        <f t="shared" si="101"/>
        <v>0</v>
      </c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idden="1">
      <c r="A332" s="6" t="s">
        <v>105</v>
      </c>
      <c r="B332" s="93" t="s">
        <v>3535</v>
      </c>
      <c r="C332" s="93" t="s">
        <v>3464</v>
      </c>
      <c r="D332" s="124" t="s">
        <v>3480</v>
      </c>
      <c r="E332" s="95">
        <f t="shared" si="101"/>
        <v>3750</v>
      </c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idden="1">
      <c r="A333" s="6" t="s">
        <v>105</v>
      </c>
      <c r="B333" s="93" t="s">
        <v>3449</v>
      </c>
      <c r="C333" s="93" t="s">
        <v>3450</v>
      </c>
      <c r="D333" s="124" t="s">
        <v>3486</v>
      </c>
      <c r="E333" s="95">
        <f t="shared" si="101"/>
        <v>2625</v>
      </c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idden="1">
      <c r="A334" s="6" t="s">
        <v>105</v>
      </c>
      <c r="B334" s="93" t="s">
        <v>1144</v>
      </c>
      <c r="C334" s="93" t="s">
        <v>3454</v>
      </c>
      <c r="D334" s="124" t="s">
        <v>3538</v>
      </c>
      <c r="E334" s="95">
        <f t="shared" ref="E334:E337" si="102">D334*150/2</f>
        <v>2475</v>
      </c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idden="1">
      <c r="A335" s="6" t="s">
        <v>105</v>
      </c>
      <c r="B335" s="93" t="s">
        <v>883</v>
      </c>
      <c r="C335" s="93" t="s">
        <v>3454</v>
      </c>
      <c r="D335" s="124" t="s">
        <v>3538</v>
      </c>
      <c r="E335" s="95">
        <f t="shared" si="102"/>
        <v>2475</v>
      </c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idden="1">
      <c r="A336" s="6" t="s">
        <v>105</v>
      </c>
      <c r="B336" s="93" t="s">
        <v>3459</v>
      </c>
      <c r="C336" s="93" t="s">
        <v>3460</v>
      </c>
      <c r="D336" s="124" t="s">
        <v>3555</v>
      </c>
      <c r="E336" s="95">
        <f t="shared" si="102"/>
        <v>3787.5</v>
      </c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idden="1">
      <c r="A337" s="6" t="s">
        <v>105</v>
      </c>
      <c r="B337" s="93" t="s">
        <v>3462</v>
      </c>
      <c r="C337" s="93" t="s">
        <v>3460</v>
      </c>
      <c r="D337" s="124" t="s">
        <v>3555</v>
      </c>
      <c r="E337" s="95">
        <f t="shared" si="102"/>
        <v>3787.5</v>
      </c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idden="1">
      <c r="A338" s="6" t="s">
        <v>106</v>
      </c>
      <c r="B338" s="93" t="s">
        <v>3446</v>
      </c>
      <c r="C338" s="93" t="s">
        <v>3447</v>
      </c>
      <c r="D338" s="124" t="s">
        <v>3505</v>
      </c>
      <c r="E338" s="95">
        <f t="shared" ref="E338:E342" si="103">D338*150</f>
        <v>3300</v>
      </c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idden="1">
      <c r="A339" s="6" t="s">
        <v>106</v>
      </c>
      <c r="B339" s="93" t="s">
        <v>3544</v>
      </c>
      <c r="C339" s="93" t="s">
        <v>3452</v>
      </c>
      <c r="D339" s="124" t="s">
        <v>3470</v>
      </c>
      <c r="E339" s="95">
        <f t="shared" si="103"/>
        <v>2250</v>
      </c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idden="1">
      <c r="A340" s="6" t="s">
        <v>106</v>
      </c>
      <c r="B340" s="93" t="s">
        <v>1128</v>
      </c>
      <c r="C340" s="93" t="s">
        <v>3457</v>
      </c>
      <c r="D340" s="124" t="s">
        <v>3531</v>
      </c>
      <c r="E340" s="95">
        <f t="shared" si="103"/>
        <v>2550</v>
      </c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idden="1">
      <c r="A341" s="6" t="s">
        <v>106</v>
      </c>
      <c r="B341" s="93" t="s">
        <v>3535</v>
      </c>
      <c r="C341" s="93" t="s">
        <v>3464</v>
      </c>
      <c r="D341" s="124" t="s">
        <v>3478</v>
      </c>
      <c r="E341" s="95">
        <f t="shared" si="103"/>
        <v>2400</v>
      </c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idden="1">
      <c r="A342" s="6" t="s">
        <v>106</v>
      </c>
      <c r="B342" s="93" t="s">
        <v>3449</v>
      </c>
      <c r="C342" s="93" t="s">
        <v>3450</v>
      </c>
      <c r="D342" s="124" t="s">
        <v>3466</v>
      </c>
      <c r="E342" s="95">
        <f t="shared" si="103"/>
        <v>3825</v>
      </c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idden="1">
      <c r="A343" s="6" t="s">
        <v>106</v>
      </c>
      <c r="B343" s="93" t="s">
        <v>1144</v>
      </c>
      <c r="C343" s="93" t="s">
        <v>3454</v>
      </c>
      <c r="D343" s="124" t="s">
        <v>3530</v>
      </c>
      <c r="E343" s="95">
        <f t="shared" ref="E343:E346" si="104">D343*150/2</f>
        <v>3412.5</v>
      </c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idden="1">
      <c r="A344" s="6" t="s">
        <v>106</v>
      </c>
      <c r="B344" s="93" t="s">
        <v>883</v>
      </c>
      <c r="C344" s="93" t="s">
        <v>3454</v>
      </c>
      <c r="D344" s="124" t="s">
        <v>3530</v>
      </c>
      <c r="E344" s="95">
        <f t="shared" si="104"/>
        <v>3412.5</v>
      </c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idden="1">
      <c r="A345" s="6" t="s">
        <v>106</v>
      </c>
      <c r="B345" s="93" t="s">
        <v>3459</v>
      </c>
      <c r="C345" s="93" t="s">
        <v>3460</v>
      </c>
      <c r="D345" s="124" t="s">
        <v>3556</v>
      </c>
      <c r="E345" s="95">
        <f t="shared" si="104"/>
        <v>3112.5</v>
      </c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idden="1">
      <c r="A346" s="6" t="s">
        <v>106</v>
      </c>
      <c r="B346" s="93" t="s">
        <v>3462</v>
      </c>
      <c r="C346" s="93" t="s">
        <v>3460</v>
      </c>
      <c r="D346" s="124" t="s">
        <v>3556</v>
      </c>
      <c r="E346" s="95">
        <f t="shared" si="104"/>
        <v>3112.5</v>
      </c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idden="1">
      <c r="A347" s="6" t="s">
        <v>107</v>
      </c>
      <c r="B347" s="93" t="s">
        <v>3446</v>
      </c>
      <c r="C347" s="93" t="s">
        <v>3447</v>
      </c>
      <c r="D347" s="124" t="s">
        <v>3488</v>
      </c>
      <c r="E347" s="95">
        <f t="shared" ref="E347:E351" si="105">D347*150</f>
        <v>3525</v>
      </c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idden="1">
      <c r="A348" s="6" t="s">
        <v>107</v>
      </c>
      <c r="B348" s="93" t="s">
        <v>3544</v>
      </c>
      <c r="C348" s="93" t="s">
        <v>3452</v>
      </c>
      <c r="D348" s="124" t="s">
        <v>3507</v>
      </c>
      <c r="E348" s="95">
        <f t="shared" si="105"/>
        <v>2175</v>
      </c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idden="1">
      <c r="A349" s="6" t="s">
        <v>107</v>
      </c>
      <c r="B349" s="93" t="s">
        <v>1128</v>
      </c>
      <c r="C349" s="93" t="s">
        <v>3457</v>
      </c>
      <c r="D349" s="124" t="s">
        <v>3470</v>
      </c>
      <c r="E349" s="95">
        <f t="shared" si="105"/>
        <v>2250</v>
      </c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idden="1">
      <c r="A350" s="6" t="s">
        <v>107</v>
      </c>
      <c r="B350" s="93" t="s">
        <v>3535</v>
      </c>
      <c r="C350" s="93" t="s">
        <v>3464</v>
      </c>
      <c r="D350" s="124" t="s">
        <v>3503</v>
      </c>
      <c r="E350" s="95">
        <f t="shared" si="105"/>
        <v>2325</v>
      </c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idden="1">
      <c r="A351" s="6" t="s">
        <v>107</v>
      </c>
      <c r="B351" s="93" t="s">
        <v>3449</v>
      </c>
      <c r="C351" s="93" t="s">
        <v>3450</v>
      </c>
      <c r="D351" s="124" t="s">
        <v>3505</v>
      </c>
      <c r="E351" s="95">
        <f t="shared" si="105"/>
        <v>3300</v>
      </c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idden="1">
      <c r="A352" s="6" t="s">
        <v>107</v>
      </c>
      <c r="B352" s="93" t="s">
        <v>1144</v>
      </c>
      <c r="C352" s="93" t="s">
        <v>3454</v>
      </c>
      <c r="D352" s="124" t="s">
        <v>3532</v>
      </c>
      <c r="E352" s="95">
        <f t="shared" ref="E352:E355" si="106">D352*150/2</f>
        <v>3262.5</v>
      </c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idden="1">
      <c r="A353" s="6" t="s">
        <v>107</v>
      </c>
      <c r="B353" s="93" t="s">
        <v>883</v>
      </c>
      <c r="C353" s="93" t="s">
        <v>3454</v>
      </c>
      <c r="D353" s="124" t="s">
        <v>3532</v>
      </c>
      <c r="E353" s="95">
        <f t="shared" si="106"/>
        <v>3262.5</v>
      </c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idden="1">
      <c r="A354" s="6" t="s">
        <v>107</v>
      </c>
      <c r="B354" s="93" t="s">
        <v>3459</v>
      </c>
      <c r="C354" s="93" t="s">
        <v>3460</v>
      </c>
      <c r="D354" s="124" t="s">
        <v>3488</v>
      </c>
      <c r="E354" s="95">
        <f t="shared" si="106"/>
        <v>1762.5</v>
      </c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idden="1">
      <c r="A355" s="6" t="s">
        <v>107</v>
      </c>
      <c r="B355" s="93" t="s">
        <v>3462</v>
      </c>
      <c r="C355" s="93" t="s">
        <v>3460</v>
      </c>
      <c r="D355" s="124" t="s">
        <v>3488</v>
      </c>
      <c r="E355" s="95">
        <f t="shared" si="106"/>
        <v>1762.5</v>
      </c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idden="1">
      <c r="A356" s="6" t="s">
        <v>108</v>
      </c>
      <c r="B356" s="7" t="s">
        <v>3446</v>
      </c>
      <c r="C356" s="7" t="s">
        <v>3447</v>
      </c>
      <c r="D356" s="124" t="s">
        <v>3523</v>
      </c>
      <c r="E356" s="95">
        <f t="shared" ref="E356:E360" si="107">D356*150</f>
        <v>3450</v>
      </c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idden="1">
      <c r="A357" s="6" t="s">
        <v>108</v>
      </c>
      <c r="B357" s="7" t="s">
        <v>3544</v>
      </c>
      <c r="C357" s="7" t="s">
        <v>3452</v>
      </c>
      <c r="D357" s="124" t="s">
        <v>3508</v>
      </c>
      <c r="E357" s="95">
        <f t="shared" si="107"/>
        <v>2025</v>
      </c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idden="1">
      <c r="A358" s="6" t="s">
        <v>108</v>
      </c>
      <c r="B358" s="7" t="s">
        <v>1128</v>
      </c>
      <c r="C358" s="7" t="s">
        <v>3457</v>
      </c>
      <c r="D358" s="124" t="s">
        <v>3489</v>
      </c>
      <c r="E358" s="95">
        <f t="shared" si="107"/>
        <v>3000</v>
      </c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idden="1">
      <c r="A359" s="6" t="s">
        <v>108</v>
      </c>
      <c r="B359" s="7" t="s">
        <v>3535</v>
      </c>
      <c r="C359" s="7" t="s">
        <v>3464</v>
      </c>
      <c r="D359" s="124" t="s">
        <v>3472</v>
      </c>
      <c r="E359" s="95">
        <f t="shared" si="107"/>
        <v>4050</v>
      </c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idden="1">
      <c r="A360" s="6" t="s">
        <v>108</v>
      </c>
      <c r="B360" s="7" t="s">
        <v>3449</v>
      </c>
      <c r="C360" s="7" t="s">
        <v>3450</v>
      </c>
      <c r="D360" s="124" t="s">
        <v>3487</v>
      </c>
      <c r="E360" s="95">
        <f t="shared" si="107"/>
        <v>3075</v>
      </c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idden="1">
      <c r="A361" s="6" t="s">
        <v>108</v>
      </c>
      <c r="B361" s="7" t="s">
        <v>1144</v>
      </c>
      <c r="C361" s="7" t="s">
        <v>3454</v>
      </c>
      <c r="D361" s="124" t="s">
        <v>3557</v>
      </c>
      <c r="E361" s="95">
        <f t="shared" ref="E361:E364" si="108">D361*150/2</f>
        <v>3375</v>
      </c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idden="1">
      <c r="A362" s="6" t="s">
        <v>108</v>
      </c>
      <c r="B362" s="7" t="s">
        <v>883</v>
      </c>
      <c r="C362" s="7" t="s">
        <v>3454</v>
      </c>
      <c r="D362" s="124" t="s">
        <v>3557</v>
      </c>
      <c r="E362" s="95">
        <f t="shared" si="108"/>
        <v>3375</v>
      </c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idden="1">
      <c r="A363" s="6" t="s">
        <v>108</v>
      </c>
      <c r="B363" s="7" t="s">
        <v>3459</v>
      </c>
      <c r="C363" s="7" t="s">
        <v>3460</v>
      </c>
      <c r="D363" s="124" t="s">
        <v>3500</v>
      </c>
      <c r="E363" s="95">
        <f t="shared" si="108"/>
        <v>1987.5</v>
      </c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idden="1">
      <c r="A364" s="6" t="s">
        <v>108</v>
      </c>
      <c r="B364" s="7" t="s">
        <v>3462</v>
      </c>
      <c r="C364" s="7" t="s">
        <v>3460</v>
      </c>
      <c r="D364" s="124" t="s">
        <v>3500</v>
      </c>
      <c r="E364" s="95">
        <f t="shared" si="108"/>
        <v>1987.5</v>
      </c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idden="1">
      <c r="A365" s="6" t="s">
        <v>109</v>
      </c>
      <c r="B365" s="7" t="s">
        <v>3446</v>
      </c>
      <c r="C365" s="7" t="s">
        <v>3447</v>
      </c>
      <c r="D365" s="124" t="s">
        <v>3483</v>
      </c>
      <c r="E365" s="95">
        <f t="shared" ref="E365:E369" si="109">D365*150</f>
        <v>2850</v>
      </c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idden="1">
      <c r="A366" s="6" t="s">
        <v>109</v>
      </c>
      <c r="B366" s="7" t="s">
        <v>3544</v>
      </c>
      <c r="C366" s="7" t="s">
        <v>3452</v>
      </c>
      <c r="D366" s="124" t="s">
        <v>3503</v>
      </c>
      <c r="E366" s="95">
        <f t="shared" si="109"/>
        <v>2325</v>
      </c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idden="1">
      <c r="A367" s="6" t="s">
        <v>109</v>
      </c>
      <c r="B367" s="7" t="s">
        <v>1128</v>
      </c>
      <c r="C367" s="7" t="s">
        <v>3457</v>
      </c>
      <c r="D367" s="124" t="s">
        <v>3478</v>
      </c>
      <c r="E367" s="95">
        <f t="shared" si="109"/>
        <v>2400</v>
      </c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idden="1">
      <c r="A368" s="6" t="s">
        <v>109</v>
      </c>
      <c r="B368" s="7" t="s">
        <v>3535</v>
      </c>
      <c r="C368" s="7" t="s">
        <v>3464</v>
      </c>
      <c r="D368" s="124" t="s">
        <v>3523</v>
      </c>
      <c r="E368" s="95">
        <f t="shared" si="109"/>
        <v>3450</v>
      </c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idden="1">
      <c r="A369" s="6" t="s">
        <v>109</v>
      </c>
      <c r="B369" s="7" t="s">
        <v>3449</v>
      </c>
      <c r="C369" s="7" t="s">
        <v>3450</v>
      </c>
      <c r="D369" s="124" t="s">
        <v>3519</v>
      </c>
      <c r="E369" s="95">
        <f t="shared" si="109"/>
        <v>3225</v>
      </c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idden="1">
      <c r="A370" s="6" t="s">
        <v>109</v>
      </c>
      <c r="B370" s="7" t="s">
        <v>1144</v>
      </c>
      <c r="C370" s="7" t="s">
        <v>3454</v>
      </c>
      <c r="D370" s="124" t="s">
        <v>3558</v>
      </c>
      <c r="E370" s="95">
        <f t="shared" ref="E370:E373" si="110">D370*150/2</f>
        <v>5550</v>
      </c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idden="1">
      <c r="A371" s="6" t="s">
        <v>109</v>
      </c>
      <c r="B371" s="7" t="s">
        <v>883</v>
      </c>
      <c r="C371" s="7" t="s">
        <v>3454</v>
      </c>
      <c r="D371" s="124" t="s">
        <v>3558</v>
      </c>
      <c r="E371" s="95">
        <f t="shared" si="110"/>
        <v>5550</v>
      </c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idden="1">
      <c r="A372" s="6" t="s">
        <v>109</v>
      </c>
      <c r="B372" s="7" t="s">
        <v>3459</v>
      </c>
      <c r="C372" s="7" t="s">
        <v>3460</v>
      </c>
      <c r="D372" s="124" t="s">
        <v>3475</v>
      </c>
      <c r="E372" s="95">
        <f t="shared" si="110"/>
        <v>1837.5</v>
      </c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idden="1">
      <c r="A373" s="6" t="s">
        <v>109</v>
      </c>
      <c r="B373" s="7" t="s">
        <v>3462</v>
      </c>
      <c r="C373" s="7" t="s">
        <v>3460</v>
      </c>
      <c r="D373" s="124" t="s">
        <v>3475</v>
      </c>
      <c r="E373" s="95">
        <f t="shared" si="110"/>
        <v>1837.5</v>
      </c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idden="1">
      <c r="A374" s="6" t="s">
        <v>110</v>
      </c>
      <c r="B374" s="7" t="s">
        <v>3446</v>
      </c>
      <c r="C374" s="7" t="s">
        <v>3447</v>
      </c>
      <c r="D374" s="124" t="s">
        <v>3506</v>
      </c>
      <c r="E374" s="95">
        <f t="shared" ref="E374:E378" si="111">D374*150</f>
        <v>2775</v>
      </c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idden="1">
      <c r="A375" s="6" t="s">
        <v>110</v>
      </c>
      <c r="B375" s="7" t="s">
        <v>3544</v>
      </c>
      <c r="C375" s="7" t="s">
        <v>3452</v>
      </c>
      <c r="D375" s="124" t="s">
        <v>3545</v>
      </c>
      <c r="E375" s="95">
        <f t="shared" si="111"/>
        <v>2100</v>
      </c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idden="1">
      <c r="A376" s="6" t="s">
        <v>110</v>
      </c>
      <c r="B376" s="7" t="s">
        <v>1128</v>
      </c>
      <c r="C376" s="7" t="s">
        <v>3457</v>
      </c>
      <c r="D376" s="124" t="s">
        <v>3480</v>
      </c>
      <c r="E376" s="95">
        <f t="shared" si="111"/>
        <v>3750</v>
      </c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idden="1">
      <c r="A377" s="6" t="s">
        <v>110</v>
      </c>
      <c r="B377" s="7" t="s">
        <v>3535</v>
      </c>
      <c r="C377" s="7" t="s">
        <v>3464</v>
      </c>
      <c r="D377" s="124" t="s">
        <v>3458</v>
      </c>
      <c r="E377" s="95">
        <f t="shared" si="111"/>
        <v>2925</v>
      </c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idden="1">
      <c r="A378" s="6" t="s">
        <v>110</v>
      </c>
      <c r="B378" s="7" t="s">
        <v>3449</v>
      </c>
      <c r="C378" s="7" t="s">
        <v>3450</v>
      </c>
      <c r="D378" s="124" t="s">
        <v>3471</v>
      </c>
      <c r="E378" s="95">
        <f t="shared" si="111"/>
        <v>5250</v>
      </c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idden="1">
      <c r="A379" s="6" t="s">
        <v>110</v>
      </c>
      <c r="B379" s="7" t="s">
        <v>1144</v>
      </c>
      <c r="C379" s="7" t="s">
        <v>3454</v>
      </c>
      <c r="D379" s="124" t="s">
        <v>3510</v>
      </c>
      <c r="E379" s="95">
        <f t="shared" ref="E379:E382" si="112">D379*150/2</f>
        <v>2887.5</v>
      </c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idden="1">
      <c r="A380" s="6" t="s">
        <v>110</v>
      </c>
      <c r="B380" s="7" t="s">
        <v>883</v>
      </c>
      <c r="C380" s="7" t="s">
        <v>3454</v>
      </c>
      <c r="D380" s="124" t="s">
        <v>3510</v>
      </c>
      <c r="E380" s="95">
        <f t="shared" si="112"/>
        <v>2887.5</v>
      </c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idden="1">
      <c r="A381" s="6" t="s">
        <v>110</v>
      </c>
      <c r="B381" s="7" t="s">
        <v>3459</v>
      </c>
      <c r="C381" s="7" t="s">
        <v>3460</v>
      </c>
      <c r="D381" s="124" t="s">
        <v>3531</v>
      </c>
      <c r="E381" s="95">
        <f t="shared" si="112"/>
        <v>1275</v>
      </c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idden="1">
      <c r="A382" s="6" t="s">
        <v>110</v>
      </c>
      <c r="B382" s="13" t="s">
        <v>3462</v>
      </c>
      <c r="C382" s="7" t="s">
        <v>3460</v>
      </c>
      <c r="D382" s="124" t="s">
        <v>3531</v>
      </c>
      <c r="E382" s="95">
        <f t="shared" si="112"/>
        <v>1275</v>
      </c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idden="1">
      <c r="A383" s="6" t="s">
        <v>10</v>
      </c>
      <c r="B383" s="7" t="s">
        <v>3446</v>
      </c>
      <c r="C383" s="7" t="s">
        <v>3447</v>
      </c>
      <c r="D383" s="124" t="s">
        <v>3491</v>
      </c>
      <c r="E383" s="95">
        <f t="shared" ref="E383:E387" si="113">D383*150</f>
        <v>3375</v>
      </c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idden="1">
      <c r="A384" s="6" t="s">
        <v>10</v>
      </c>
      <c r="B384" s="7" t="s">
        <v>3544</v>
      </c>
      <c r="C384" s="7" t="s">
        <v>3452</v>
      </c>
      <c r="D384" s="124" t="s">
        <v>3545</v>
      </c>
      <c r="E384" s="95">
        <f t="shared" si="113"/>
        <v>2100</v>
      </c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idden="1">
      <c r="A385" s="6" t="s">
        <v>10</v>
      </c>
      <c r="B385" s="7" t="s">
        <v>1128</v>
      </c>
      <c r="C385" s="7" t="s">
        <v>3457</v>
      </c>
      <c r="D385" s="124" t="s">
        <v>3470</v>
      </c>
      <c r="E385" s="95">
        <f t="shared" si="113"/>
        <v>2250</v>
      </c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idden="1">
      <c r="A386" s="6" t="s">
        <v>10</v>
      </c>
      <c r="B386" s="7" t="s">
        <v>3535</v>
      </c>
      <c r="C386" s="7" t="s">
        <v>3464</v>
      </c>
      <c r="D386" s="124" t="s">
        <v>3531</v>
      </c>
      <c r="E386" s="95">
        <f t="shared" si="113"/>
        <v>2550</v>
      </c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idden="1">
      <c r="A387" s="6" t="s">
        <v>10</v>
      </c>
      <c r="B387" s="7" t="s">
        <v>3449</v>
      </c>
      <c r="C387" s="7" t="s">
        <v>3450</v>
      </c>
      <c r="D387" s="124" t="s">
        <v>3519</v>
      </c>
      <c r="E387" s="95">
        <f t="shared" si="113"/>
        <v>3225</v>
      </c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idden="1">
      <c r="A388" s="6" t="s">
        <v>10</v>
      </c>
      <c r="B388" s="7" t="s">
        <v>1144</v>
      </c>
      <c r="C388" s="7" t="s">
        <v>3454</v>
      </c>
      <c r="D388" s="124" t="s">
        <v>3502</v>
      </c>
      <c r="E388" s="95">
        <f t="shared" ref="E388:E389" si="114">D388*150/2</f>
        <v>3450</v>
      </c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idden="1">
      <c r="A389" s="6" t="s">
        <v>10</v>
      </c>
      <c r="B389" s="7" t="s">
        <v>883</v>
      </c>
      <c r="C389" s="7" t="s">
        <v>3454</v>
      </c>
      <c r="D389" s="124" t="s">
        <v>3502</v>
      </c>
      <c r="E389" s="95">
        <f t="shared" si="114"/>
        <v>3450</v>
      </c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idden="1">
      <c r="A390" s="6" t="s">
        <v>10</v>
      </c>
      <c r="B390" s="7" t="s">
        <v>3459</v>
      </c>
      <c r="C390" s="7" t="s">
        <v>3460</v>
      </c>
      <c r="D390" s="124" t="s">
        <v>3480</v>
      </c>
      <c r="E390" s="95">
        <f t="shared" ref="E390:E395" si="115">D390*150</f>
        <v>3750</v>
      </c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idden="1">
      <c r="A391" s="6" t="s">
        <v>24</v>
      </c>
      <c r="B391" s="7" t="s">
        <v>3446</v>
      </c>
      <c r="C391" s="7" t="s">
        <v>3447</v>
      </c>
      <c r="D391" s="124" t="s">
        <v>3506</v>
      </c>
      <c r="E391" s="95">
        <f t="shared" si="115"/>
        <v>2775</v>
      </c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idden="1">
      <c r="A392" s="6" t="s">
        <v>24</v>
      </c>
      <c r="B392" s="7" t="s">
        <v>3544</v>
      </c>
      <c r="C392" s="7" t="s">
        <v>3452</v>
      </c>
      <c r="D392" s="124" t="s">
        <v>3488</v>
      </c>
      <c r="E392" s="95">
        <f t="shared" si="115"/>
        <v>3525</v>
      </c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idden="1">
      <c r="A393" s="6" t="s">
        <v>24</v>
      </c>
      <c r="B393" s="7" t="s">
        <v>1128</v>
      </c>
      <c r="C393" s="7" t="s">
        <v>3457</v>
      </c>
      <c r="D393" s="124" t="s">
        <v>3468</v>
      </c>
      <c r="E393" s="95">
        <f t="shared" si="115"/>
        <v>1650</v>
      </c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idden="1">
      <c r="A394" s="6" t="s">
        <v>24</v>
      </c>
      <c r="B394" s="7" t="s">
        <v>3535</v>
      </c>
      <c r="C394" s="7" t="s">
        <v>3464</v>
      </c>
      <c r="D394" s="124" t="s">
        <v>3486</v>
      </c>
      <c r="E394" s="95">
        <f t="shared" si="115"/>
        <v>2625</v>
      </c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idden="1">
      <c r="A395" s="6" t="s">
        <v>24</v>
      </c>
      <c r="B395" s="7" t="s">
        <v>3449</v>
      </c>
      <c r="C395" s="7" t="s">
        <v>3450</v>
      </c>
      <c r="D395" s="124" t="s">
        <v>3547</v>
      </c>
      <c r="E395" s="95">
        <f t="shared" si="115"/>
        <v>2475</v>
      </c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idden="1">
      <c r="A396" s="6" t="s">
        <v>24</v>
      </c>
      <c r="B396" s="7" t="s">
        <v>1144</v>
      </c>
      <c r="C396" s="7" t="s">
        <v>3454</v>
      </c>
      <c r="D396" s="124" t="s">
        <v>3555</v>
      </c>
      <c r="E396" s="95">
        <f t="shared" ref="E396:E397" si="116">D396*150/2</f>
        <v>3787.5</v>
      </c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idden="1">
      <c r="A397" s="6" t="s">
        <v>24</v>
      </c>
      <c r="B397" s="7" t="s">
        <v>883</v>
      </c>
      <c r="C397" s="7" t="s">
        <v>3454</v>
      </c>
      <c r="D397" s="124" t="s">
        <v>3555</v>
      </c>
      <c r="E397" s="95">
        <f t="shared" si="116"/>
        <v>3787.5</v>
      </c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idden="1">
      <c r="A398" s="6" t="s">
        <v>24</v>
      </c>
      <c r="B398" s="7" t="s">
        <v>3459</v>
      </c>
      <c r="C398" s="7" t="s">
        <v>3460</v>
      </c>
      <c r="D398" s="124" t="s">
        <v>3465</v>
      </c>
      <c r="E398" s="95">
        <f t="shared" ref="E398:E403" si="117">D398*150</f>
        <v>3900</v>
      </c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idden="1">
      <c r="A399" s="6" t="s">
        <v>25</v>
      </c>
      <c r="B399" s="7" t="s">
        <v>3446</v>
      </c>
      <c r="C399" s="7" t="s">
        <v>3447</v>
      </c>
      <c r="D399" s="124" t="s">
        <v>3489</v>
      </c>
      <c r="E399" s="95">
        <f t="shared" si="117"/>
        <v>3000</v>
      </c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idden="1">
      <c r="A400" s="6" t="s">
        <v>25</v>
      </c>
      <c r="B400" s="25" t="s">
        <v>3544</v>
      </c>
      <c r="C400" s="7" t="s">
        <v>3452</v>
      </c>
      <c r="D400" s="124" t="s">
        <v>3545</v>
      </c>
      <c r="E400" s="95">
        <f t="shared" si="117"/>
        <v>2100</v>
      </c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idden="1">
      <c r="A401" s="6" t="s">
        <v>25</v>
      </c>
      <c r="B401" s="7" t="s">
        <v>1128</v>
      </c>
      <c r="C401" s="7" t="s">
        <v>3457</v>
      </c>
      <c r="D401" s="124" t="s">
        <v>3506</v>
      </c>
      <c r="E401" s="95">
        <f t="shared" si="117"/>
        <v>2775</v>
      </c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idden="1">
      <c r="A402" s="6" t="s">
        <v>25</v>
      </c>
      <c r="B402" s="7" t="s">
        <v>3535</v>
      </c>
      <c r="C402" s="7" t="s">
        <v>3464</v>
      </c>
      <c r="D402" s="124" t="s">
        <v>3480</v>
      </c>
      <c r="E402" s="95">
        <f t="shared" si="117"/>
        <v>3750</v>
      </c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idden="1">
      <c r="A403" s="6" t="s">
        <v>25</v>
      </c>
      <c r="B403" s="7" t="s">
        <v>3449</v>
      </c>
      <c r="C403" s="7" t="s">
        <v>3450</v>
      </c>
      <c r="D403" s="124" t="s">
        <v>3499</v>
      </c>
      <c r="E403" s="95">
        <f t="shared" si="117"/>
        <v>4200</v>
      </c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idden="1">
      <c r="A404" s="6" t="s">
        <v>25</v>
      </c>
      <c r="B404" s="7" t="s">
        <v>1144</v>
      </c>
      <c r="C404" s="7" t="s">
        <v>3454</v>
      </c>
      <c r="D404" s="124" t="s">
        <v>3510</v>
      </c>
      <c r="E404" s="95">
        <f t="shared" ref="E404:E405" si="118">D404*150/2</f>
        <v>2887.5</v>
      </c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idden="1">
      <c r="A405" s="6" t="s">
        <v>25</v>
      </c>
      <c r="B405" s="13" t="s">
        <v>883</v>
      </c>
      <c r="C405" s="7" t="s">
        <v>3454</v>
      </c>
      <c r="D405" s="124" t="s">
        <v>3510</v>
      </c>
      <c r="E405" s="95">
        <f t="shared" si="118"/>
        <v>2887.5</v>
      </c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idden="1">
      <c r="A406" s="6" t="s">
        <v>25</v>
      </c>
      <c r="B406" s="7" t="s">
        <v>3459</v>
      </c>
      <c r="C406" s="7" t="s">
        <v>3460</v>
      </c>
      <c r="D406" s="124" t="s">
        <v>3487</v>
      </c>
      <c r="E406" s="95">
        <f t="shared" ref="E406:E407" si="119">D406*150</f>
        <v>3075</v>
      </c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idden="1">
      <c r="A407" s="6" t="s">
        <v>26</v>
      </c>
      <c r="B407" s="7" t="s">
        <v>3446</v>
      </c>
      <c r="C407" s="7" t="s">
        <v>3447</v>
      </c>
      <c r="D407" s="125">
        <v>25.5</v>
      </c>
      <c r="E407" s="95">
        <f t="shared" si="119"/>
        <v>3825</v>
      </c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idden="1">
      <c r="A408" s="6" t="s">
        <v>26</v>
      </c>
      <c r="B408" s="7" t="s">
        <v>426</v>
      </c>
      <c r="C408" s="7" t="s">
        <v>3454</v>
      </c>
      <c r="D408" s="125">
        <v>44.5</v>
      </c>
      <c r="E408" s="95">
        <f>D408*150/2</f>
        <v>3337.5</v>
      </c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idden="1">
      <c r="A409" s="6" t="s">
        <v>26</v>
      </c>
      <c r="B409" s="7" t="s">
        <v>1128</v>
      </c>
      <c r="C409" s="7" t="s">
        <v>3457</v>
      </c>
      <c r="D409" s="125">
        <v>20.0</v>
      </c>
      <c r="E409" s="95">
        <f t="shared" ref="E409:E412" si="120">D409*150</f>
        <v>3000</v>
      </c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idden="1">
      <c r="A410" s="6" t="s">
        <v>26</v>
      </c>
      <c r="B410" s="7" t="s">
        <v>3535</v>
      </c>
      <c r="C410" s="7" t="s">
        <v>3464</v>
      </c>
      <c r="D410" s="125">
        <v>30.0</v>
      </c>
      <c r="E410" s="95">
        <f t="shared" si="120"/>
        <v>4500</v>
      </c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idden="1">
      <c r="A411" s="6" t="s">
        <v>26</v>
      </c>
      <c r="B411" s="7" t="s">
        <v>531</v>
      </c>
      <c r="C411" s="7" t="s">
        <v>3452</v>
      </c>
      <c r="D411" s="125">
        <v>16.5</v>
      </c>
      <c r="E411" s="95">
        <f t="shared" si="120"/>
        <v>2475</v>
      </c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idden="1">
      <c r="A412" s="6" t="s">
        <v>26</v>
      </c>
      <c r="B412" s="7" t="s">
        <v>3449</v>
      </c>
      <c r="C412" s="7" t="s">
        <v>3450</v>
      </c>
      <c r="D412" s="125">
        <v>25.5</v>
      </c>
      <c r="E412" s="95">
        <f t="shared" si="120"/>
        <v>3825</v>
      </c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idden="1">
      <c r="A413" s="6" t="s">
        <v>26</v>
      </c>
      <c r="B413" s="7" t="s">
        <v>1144</v>
      </c>
      <c r="C413" s="7" t="s">
        <v>3454</v>
      </c>
      <c r="D413" s="125">
        <v>44.5</v>
      </c>
      <c r="E413" s="95">
        <f>D413*150/2</f>
        <v>3337.5</v>
      </c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idden="1">
      <c r="A414" s="6" t="s">
        <v>26</v>
      </c>
      <c r="B414" s="7" t="s">
        <v>3459</v>
      </c>
      <c r="C414" s="7" t="s">
        <v>3460</v>
      </c>
      <c r="D414" s="125">
        <v>26.5</v>
      </c>
      <c r="E414" s="95">
        <f t="shared" ref="E414:E464" si="121">D414*150</f>
        <v>3975</v>
      </c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idden="1">
      <c r="A415" s="6" t="s">
        <v>27</v>
      </c>
      <c r="B415" s="7" t="s">
        <v>3446</v>
      </c>
      <c r="C415" s="7" t="s">
        <v>3447</v>
      </c>
      <c r="D415" s="125">
        <v>22.5</v>
      </c>
      <c r="E415" s="95">
        <f t="shared" si="121"/>
        <v>3375</v>
      </c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idden="1">
      <c r="A416" s="6" t="s">
        <v>27</v>
      </c>
      <c r="B416" s="7" t="s">
        <v>426</v>
      </c>
      <c r="C416" s="7" t="s">
        <v>3454</v>
      </c>
      <c r="D416" s="125">
        <v>38.5</v>
      </c>
      <c r="E416" s="95">
        <f t="shared" si="121"/>
        <v>5775</v>
      </c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idden="1">
      <c r="A417" s="6" t="s">
        <v>27</v>
      </c>
      <c r="B417" s="7" t="s">
        <v>1128</v>
      </c>
      <c r="C417" s="7" t="s">
        <v>3457</v>
      </c>
      <c r="D417" s="125">
        <v>11.5</v>
      </c>
      <c r="E417" s="95">
        <f t="shared" si="121"/>
        <v>1725</v>
      </c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idden="1">
      <c r="A418" s="6" t="s">
        <v>27</v>
      </c>
      <c r="B418" s="7" t="s">
        <v>3535</v>
      </c>
      <c r="C418" s="7" t="s">
        <v>3464</v>
      </c>
      <c r="D418" s="125">
        <v>28.5</v>
      </c>
      <c r="E418" s="95">
        <f t="shared" si="121"/>
        <v>4275</v>
      </c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idden="1">
      <c r="A419" s="6" t="s">
        <v>27</v>
      </c>
      <c r="B419" s="7" t="s">
        <v>531</v>
      </c>
      <c r="C419" s="7" t="s">
        <v>3452</v>
      </c>
      <c r="D419" s="125">
        <v>19.0</v>
      </c>
      <c r="E419" s="95">
        <f t="shared" si="121"/>
        <v>2850</v>
      </c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idden="1">
      <c r="A420" s="6" t="s">
        <v>27</v>
      </c>
      <c r="B420" s="7" t="s">
        <v>3449</v>
      </c>
      <c r="C420" s="7" t="s">
        <v>3450</v>
      </c>
      <c r="D420" s="125">
        <v>18.0</v>
      </c>
      <c r="E420" s="95">
        <f t="shared" si="121"/>
        <v>2700</v>
      </c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idden="1">
      <c r="A421" s="6" t="s">
        <v>27</v>
      </c>
      <c r="B421" s="7" t="s">
        <v>1144</v>
      </c>
      <c r="C421" s="7" t="s">
        <v>3454</v>
      </c>
      <c r="D421" s="125">
        <v>38.5</v>
      </c>
      <c r="E421" s="95">
        <f t="shared" si="121"/>
        <v>5775</v>
      </c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idden="1">
      <c r="A422" s="6" t="s">
        <v>27</v>
      </c>
      <c r="B422" s="7" t="s">
        <v>3459</v>
      </c>
      <c r="C422" s="7" t="s">
        <v>3460</v>
      </c>
      <c r="D422" s="125">
        <v>29.5</v>
      </c>
      <c r="E422" s="95">
        <f t="shared" si="121"/>
        <v>4425</v>
      </c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idden="1">
      <c r="A423" s="6" t="s">
        <v>28</v>
      </c>
      <c r="B423" s="7" t="s">
        <v>3446</v>
      </c>
      <c r="C423" s="7" t="s">
        <v>3447</v>
      </c>
      <c r="D423" s="125">
        <v>23.5</v>
      </c>
      <c r="E423" s="95">
        <f t="shared" si="121"/>
        <v>3525</v>
      </c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idden="1">
      <c r="A424" s="6" t="s">
        <v>28</v>
      </c>
      <c r="B424" s="7" t="s">
        <v>426</v>
      </c>
      <c r="C424" s="7" t="s">
        <v>3454</v>
      </c>
      <c r="D424" s="125">
        <v>41.5</v>
      </c>
      <c r="E424" s="95">
        <f t="shared" si="121"/>
        <v>6225</v>
      </c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idden="1">
      <c r="A425" s="6" t="s">
        <v>28</v>
      </c>
      <c r="B425" s="7" t="s">
        <v>1128</v>
      </c>
      <c r="C425" s="7" t="s">
        <v>3457</v>
      </c>
      <c r="D425" s="125">
        <v>15.5</v>
      </c>
      <c r="E425" s="95">
        <f t="shared" si="121"/>
        <v>2325</v>
      </c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idden="1">
      <c r="A426" s="6" t="s">
        <v>28</v>
      </c>
      <c r="B426" s="7" t="s">
        <v>3535</v>
      </c>
      <c r="C426" s="7" t="s">
        <v>3464</v>
      </c>
      <c r="D426" s="125">
        <v>27.0</v>
      </c>
      <c r="E426" s="95">
        <f t="shared" si="121"/>
        <v>4050</v>
      </c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idden="1">
      <c r="A427" s="6" t="s">
        <v>28</v>
      </c>
      <c r="B427" s="7" t="s">
        <v>531</v>
      </c>
      <c r="C427" s="7" t="s">
        <v>3452</v>
      </c>
      <c r="D427" s="125">
        <v>6.0</v>
      </c>
      <c r="E427" s="95">
        <f t="shared" si="121"/>
        <v>900</v>
      </c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idden="1">
      <c r="A428" s="6" t="s">
        <v>28</v>
      </c>
      <c r="B428" s="7" t="s">
        <v>3449</v>
      </c>
      <c r="C428" s="7" t="s">
        <v>3450</v>
      </c>
      <c r="D428" s="125">
        <v>25.5</v>
      </c>
      <c r="E428" s="95">
        <f t="shared" si="121"/>
        <v>3825</v>
      </c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idden="1">
      <c r="A429" s="6" t="s">
        <v>28</v>
      </c>
      <c r="B429" s="7" t="s">
        <v>1144</v>
      </c>
      <c r="C429" s="7" t="s">
        <v>3454</v>
      </c>
      <c r="D429" s="125">
        <v>41.5</v>
      </c>
      <c r="E429" s="95">
        <f t="shared" si="121"/>
        <v>6225</v>
      </c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idden="1">
      <c r="A430" s="6" t="s">
        <v>28</v>
      </c>
      <c r="B430" s="7" t="s">
        <v>3459</v>
      </c>
      <c r="C430" s="7" t="s">
        <v>3460</v>
      </c>
      <c r="D430" s="125">
        <v>19.5</v>
      </c>
      <c r="E430" s="95">
        <f t="shared" si="121"/>
        <v>2925</v>
      </c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idden="1">
      <c r="A431" s="6" t="s">
        <v>111</v>
      </c>
      <c r="B431" s="7" t="s">
        <v>3446</v>
      </c>
      <c r="C431" s="7" t="s">
        <v>3447</v>
      </c>
      <c r="D431" s="94">
        <v>22.0</v>
      </c>
      <c r="E431" s="95">
        <f t="shared" si="121"/>
        <v>3300</v>
      </c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idden="1">
      <c r="A432" s="6" t="s">
        <v>111</v>
      </c>
      <c r="B432" s="7" t="s">
        <v>3449</v>
      </c>
      <c r="C432" s="7" t="s">
        <v>3450</v>
      </c>
      <c r="D432" s="94">
        <v>34.5</v>
      </c>
      <c r="E432" s="95">
        <f t="shared" si="121"/>
        <v>5175</v>
      </c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idden="1">
      <c r="A433" s="6" t="s">
        <v>111</v>
      </c>
      <c r="B433" s="7" t="s">
        <v>531</v>
      </c>
      <c r="C433" s="7" t="s">
        <v>3452</v>
      </c>
      <c r="D433" s="94">
        <v>9.0</v>
      </c>
      <c r="E433" s="95">
        <f t="shared" si="121"/>
        <v>1350</v>
      </c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idden="1">
      <c r="A434" s="6" t="s">
        <v>111</v>
      </c>
      <c r="B434" s="13" t="s">
        <v>1144</v>
      </c>
      <c r="C434" s="13" t="s">
        <v>3454</v>
      </c>
      <c r="D434" s="94">
        <v>51.5</v>
      </c>
      <c r="E434" s="95">
        <f t="shared" si="121"/>
        <v>7725</v>
      </c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idden="1">
      <c r="A435" s="6" t="s">
        <v>111</v>
      </c>
      <c r="B435" s="7" t="s">
        <v>426</v>
      </c>
      <c r="C435" s="7" t="s">
        <v>3454</v>
      </c>
      <c r="D435" s="94">
        <v>51.5</v>
      </c>
      <c r="E435" s="95">
        <f t="shared" si="121"/>
        <v>7725</v>
      </c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idden="1">
      <c r="A436" s="6" t="s">
        <v>111</v>
      </c>
      <c r="B436" s="13" t="s">
        <v>1128</v>
      </c>
      <c r="C436" s="13" t="s">
        <v>3457</v>
      </c>
      <c r="D436" s="94">
        <v>17.5</v>
      </c>
      <c r="E436" s="95">
        <f t="shared" si="121"/>
        <v>2625</v>
      </c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idden="1">
      <c r="A437" s="6" t="s">
        <v>111</v>
      </c>
      <c r="B437" s="7" t="s">
        <v>3459</v>
      </c>
      <c r="C437" s="7" t="s">
        <v>3460</v>
      </c>
      <c r="D437" s="94">
        <v>26.5</v>
      </c>
      <c r="E437" s="95">
        <f t="shared" si="121"/>
        <v>3975</v>
      </c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idden="1">
      <c r="A438" s="6" t="s">
        <v>111</v>
      </c>
      <c r="B438" s="7" t="s">
        <v>3535</v>
      </c>
      <c r="C438" s="7" t="s">
        <v>3464</v>
      </c>
      <c r="D438" s="94">
        <v>26.0</v>
      </c>
      <c r="E438" s="95">
        <f t="shared" si="121"/>
        <v>3900</v>
      </c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idden="1">
      <c r="A439" s="6" t="s">
        <v>112</v>
      </c>
      <c r="B439" s="7" t="s">
        <v>3446</v>
      </c>
      <c r="C439" s="7" t="s">
        <v>3447</v>
      </c>
      <c r="D439" s="15">
        <v>26.0</v>
      </c>
      <c r="E439" s="45">
        <f t="shared" si="121"/>
        <v>3900</v>
      </c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idden="1">
      <c r="A440" s="6" t="s">
        <v>112</v>
      </c>
      <c r="B440" s="7" t="s">
        <v>426</v>
      </c>
      <c r="C440" s="7" t="s">
        <v>3454</v>
      </c>
      <c r="D440" s="15">
        <v>43.5</v>
      </c>
      <c r="E440" s="45">
        <f t="shared" si="121"/>
        <v>6525</v>
      </c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idden="1">
      <c r="A441" s="6" t="s">
        <v>112</v>
      </c>
      <c r="B441" s="7" t="s">
        <v>3535</v>
      </c>
      <c r="C441" s="7" t="s">
        <v>3464</v>
      </c>
      <c r="D441" s="15">
        <v>20.0</v>
      </c>
      <c r="E441" s="45">
        <f t="shared" si="121"/>
        <v>3000</v>
      </c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idden="1">
      <c r="A442" s="6" t="s">
        <v>112</v>
      </c>
      <c r="B442" s="13" t="s">
        <v>531</v>
      </c>
      <c r="C442" s="13" t="s">
        <v>3452</v>
      </c>
      <c r="D442" s="15">
        <v>5.5</v>
      </c>
      <c r="E442" s="45">
        <f t="shared" si="121"/>
        <v>825</v>
      </c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idden="1">
      <c r="A443" s="6" t="s">
        <v>112</v>
      </c>
      <c r="B443" s="13" t="s">
        <v>3449</v>
      </c>
      <c r="C443" s="13" t="s">
        <v>3450</v>
      </c>
      <c r="D443" s="15">
        <v>36.5</v>
      </c>
      <c r="E443" s="45">
        <f t="shared" si="121"/>
        <v>5475</v>
      </c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idden="1">
      <c r="A444" s="6" t="s">
        <v>112</v>
      </c>
      <c r="B444" s="7" t="s">
        <v>3459</v>
      </c>
      <c r="C444" s="7" t="s">
        <v>3460</v>
      </c>
      <c r="D444" s="15">
        <v>36.5</v>
      </c>
      <c r="E444" s="45">
        <f t="shared" si="121"/>
        <v>5475</v>
      </c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idden="1">
      <c r="A445" s="6" t="s">
        <v>114</v>
      </c>
      <c r="B445" s="7" t="s">
        <v>3446</v>
      </c>
      <c r="C445" s="7" t="s">
        <v>3447</v>
      </c>
      <c r="D445" s="15">
        <v>22.0</v>
      </c>
      <c r="E445" s="45">
        <f t="shared" si="121"/>
        <v>3300</v>
      </c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idden="1">
      <c r="A446" s="6" t="s">
        <v>114</v>
      </c>
      <c r="B446" s="7" t="s">
        <v>426</v>
      </c>
      <c r="C446" s="7" t="s">
        <v>3454</v>
      </c>
      <c r="D446" s="15">
        <v>37.0</v>
      </c>
      <c r="E446" s="45">
        <f t="shared" si="121"/>
        <v>5550</v>
      </c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idden="1">
      <c r="A447" s="6" t="s">
        <v>114</v>
      </c>
      <c r="B447" s="7" t="s">
        <v>3535</v>
      </c>
      <c r="C447" s="7" t="s">
        <v>3464</v>
      </c>
      <c r="D447" s="15">
        <v>21.5</v>
      </c>
      <c r="E447" s="45">
        <f t="shared" si="121"/>
        <v>3225</v>
      </c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idden="1">
      <c r="A448" s="6" t="s">
        <v>114</v>
      </c>
      <c r="B448" s="7" t="s">
        <v>3559</v>
      </c>
      <c r="C448" s="7" t="s">
        <v>3450</v>
      </c>
      <c r="D448" s="15">
        <v>30.0</v>
      </c>
      <c r="E448" s="45">
        <f t="shared" si="121"/>
        <v>4500</v>
      </c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idden="1">
      <c r="A449" s="6" t="s">
        <v>114</v>
      </c>
      <c r="B449" s="7" t="s">
        <v>3459</v>
      </c>
      <c r="C449" s="7" t="s">
        <v>3460</v>
      </c>
      <c r="D449" s="15">
        <v>25.5</v>
      </c>
      <c r="E449" s="45">
        <f t="shared" si="121"/>
        <v>3825</v>
      </c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idden="1">
      <c r="A450" s="20" t="s">
        <v>383</v>
      </c>
      <c r="B450" s="7" t="s">
        <v>3446</v>
      </c>
      <c r="C450" s="7" t="s">
        <v>3447</v>
      </c>
      <c r="D450" s="15">
        <v>22.0</v>
      </c>
      <c r="E450" s="45">
        <f t="shared" si="121"/>
        <v>3300</v>
      </c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idden="1">
      <c r="A451" s="20" t="s">
        <v>383</v>
      </c>
      <c r="B451" s="7" t="s">
        <v>426</v>
      </c>
      <c r="C451" s="7" t="s">
        <v>3454</v>
      </c>
      <c r="D451" s="15">
        <v>42.0</v>
      </c>
      <c r="E451" s="45">
        <f t="shared" si="121"/>
        <v>6300</v>
      </c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idden="1">
      <c r="A452" s="20" t="s">
        <v>383</v>
      </c>
      <c r="B452" s="7" t="s">
        <v>3535</v>
      </c>
      <c r="C452" s="7" t="s">
        <v>3464</v>
      </c>
      <c r="D452" s="15">
        <v>10.0</v>
      </c>
      <c r="E452" s="45">
        <f t="shared" si="121"/>
        <v>1500</v>
      </c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idden="1">
      <c r="A453" s="20" t="s">
        <v>383</v>
      </c>
      <c r="B453" s="7" t="s">
        <v>3559</v>
      </c>
      <c r="C453" s="7" t="s">
        <v>3450</v>
      </c>
      <c r="D453" s="15">
        <v>26.0</v>
      </c>
      <c r="E453" s="45">
        <f t="shared" si="121"/>
        <v>3900</v>
      </c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idden="1">
      <c r="A454" s="20" t="s">
        <v>383</v>
      </c>
      <c r="B454" s="7" t="s">
        <v>3459</v>
      </c>
      <c r="C454" s="7" t="s">
        <v>3460</v>
      </c>
      <c r="D454" s="15">
        <v>20.0</v>
      </c>
      <c r="E454" s="45">
        <f t="shared" si="121"/>
        <v>3000</v>
      </c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idden="1">
      <c r="A455" s="24" t="s">
        <v>116</v>
      </c>
      <c r="B455" s="25" t="s">
        <v>3446</v>
      </c>
      <c r="C455" s="25" t="s">
        <v>3447</v>
      </c>
      <c r="D455" s="25">
        <v>25.0</v>
      </c>
      <c r="E455" s="63">
        <f t="shared" si="121"/>
        <v>3750</v>
      </c>
    </row>
    <row r="456" hidden="1">
      <c r="A456" s="24" t="s">
        <v>116</v>
      </c>
      <c r="B456" s="25" t="s">
        <v>426</v>
      </c>
      <c r="C456" s="25" t="s">
        <v>3454</v>
      </c>
      <c r="D456" s="25">
        <v>43.0</v>
      </c>
      <c r="E456" s="63">
        <f t="shared" si="121"/>
        <v>6450</v>
      </c>
    </row>
    <row r="457" hidden="1">
      <c r="A457" s="24" t="s">
        <v>116</v>
      </c>
      <c r="B457" s="25" t="s">
        <v>3535</v>
      </c>
      <c r="C457" s="25" t="s">
        <v>3464</v>
      </c>
      <c r="D457" s="25">
        <v>18.0</v>
      </c>
      <c r="E457" s="63">
        <f t="shared" si="121"/>
        <v>2700</v>
      </c>
    </row>
    <row r="458" hidden="1">
      <c r="A458" s="24" t="s">
        <v>116</v>
      </c>
      <c r="B458" s="25" t="s">
        <v>3559</v>
      </c>
      <c r="C458" s="25" t="s">
        <v>3450</v>
      </c>
      <c r="D458" s="25">
        <v>15.5</v>
      </c>
      <c r="E458" s="63">
        <f t="shared" si="121"/>
        <v>2325</v>
      </c>
    </row>
    <row r="459" hidden="1">
      <c r="A459" s="24" t="s">
        <v>116</v>
      </c>
      <c r="B459" s="25" t="s">
        <v>3459</v>
      </c>
      <c r="C459" s="25" t="s">
        <v>3460</v>
      </c>
      <c r="D459" s="25">
        <v>35.0</v>
      </c>
      <c r="E459" s="63">
        <f t="shared" si="121"/>
        <v>5250</v>
      </c>
    </row>
    <row r="460" hidden="1">
      <c r="A460" s="24" t="s">
        <v>119</v>
      </c>
      <c r="B460" s="25" t="s">
        <v>3446</v>
      </c>
      <c r="C460" s="25" t="s">
        <v>3447</v>
      </c>
      <c r="D460" s="25">
        <v>26.0</v>
      </c>
      <c r="E460" s="63">
        <f t="shared" si="121"/>
        <v>3900</v>
      </c>
    </row>
    <row r="461" hidden="1">
      <c r="A461" s="24" t="s">
        <v>119</v>
      </c>
      <c r="B461" s="25" t="s">
        <v>426</v>
      </c>
      <c r="C461" s="25" t="s">
        <v>3454</v>
      </c>
      <c r="D461" s="25">
        <v>57.0</v>
      </c>
      <c r="E461" s="63">
        <f t="shared" si="121"/>
        <v>8550</v>
      </c>
    </row>
    <row r="462" hidden="1">
      <c r="A462" s="24" t="s">
        <v>119</v>
      </c>
      <c r="B462" s="25" t="s">
        <v>3535</v>
      </c>
      <c r="C462" s="25" t="s">
        <v>3464</v>
      </c>
      <c r="D462" s="25">
        <v>30.0</v>
      </c>
      <c r="E462" s="63">
        <f t="shared" si="121"/>
        <v>4500</v>
      </c>
    </row>
    <row r="463" hidden="1">
      <c r="A463" s="24" t="s">
        <v>119</v>
      </c>
      <c r="B463" s="25" t="s">
        <v>3559</v>
      </c>
      <c r="C463" s="25" t="s">
        <v>3450</v>
      </c>
      <c r="D463" s="25">
        <v>30.0</v>
      </c>
      <c r="E463" s="63">
        <f t="shared" si="121"/>
        <v>4500</v>
      </c>
    </row>
    <row r="464" hidden="1">
      <c r="A464" s="24" t="s">
        <v>119</v>
      </c>
      <c r="B464" s="25" t="s">
        <v>3459</v>
      </c>
      <c r="C464" s="25" t="s">
        <v>3460</v>
      </c>
      <c r="D464" s="25">
        <v>32.0</v>
      </c>
      <c r="E464" s="63">
        <f t="shared" si="121"/>
        <v>4800</v>
      </c>
    </row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</sheetData>
  <autoFilter ref="$A$3:$E$1454">
    <filterColumn colId="0">
      <filters>
        <filter val="Week 3/22/26 - 3/28/26"/>
      </filters>
    </filterColumn>
    <sortState ref="A3:E1454">
      <sortCondition ref="C3:C1454"/>
      <sortCondition ref="B3:B1454"/>
    </sortState>
  </autoFilter>
  <dataValidations>
    <dataValidation type="list" allowBlank="1" showErrorMessage="1" sqref="A391:A406">
      <formula1>"Week 5/18/25 - 5/24/25,Week 5/25/25 - 5/31/25"</formula1>
    </dataValidation>
    <dataValidation type="list" allowBlank="1" showErrorMessage="1" sqref="A284:A292">
      <formula1>"Week 8/17/25 - 8/23/25"</formula1>
    </dataValidation>
    <dataValidation type="list" allowBlank="1" showErrorMessage="1" sqref="A4:A12">
      <formula1>"Week 3/22/26 - 3/28/26"</formula1>
    </dataValidation>
    <dataValidation type="list" allowBlank="1" showErrorMessage="1" sqref="A407:A454">
      <formula1>"Week 3/16/25 - 3/22/25,Week 3/23/25 - 3/29/25,Week 3/30/25 - 4/5/25,Week 4/6/25 - 4/12/25,Week 4/13/25 - 4/19/25,Week 4/20/25 - 4/26/25,Week 4/27/25 - 5/3/25,Week 5/4/25 - 5/10/25,Week 5/11/25 - 5/17/25"</formula1>
    </dataValidation>
    <dataValidation type="list" allowBlank="1" showErrorMessage="1" sqref="A184:A192">
      <formula1>"Week 11/2/25 - 11/8/25"</formula1>
    </dataValidation>
    <dataValidation type="list" allowBlank="1" showErrorMessage="1" sqref="A329:A337">
      <formula1>"Week 7/13/25 - 7/19/25"</formula1>
    </dataValidation>
    <dataValidation type="list" allowBlank="1" showErrorMessage="1" sqref="A257:A265">
      <formula1>"Week 9/07/25 - 9/13/25"</formula1>
    </dataValidation>
    <dataValidation type="list" allowBlank="1" showErrorMessage="1" sqref="A238:A247">
      <formula1>"Week 9/21/25 - 9/27/25"</formula1>
    </dataValidation>
    <dataValidation type="list" allowBlank="1" showErrorMessage="1" sqref="A248:A256">
      <formula1>"Week 9/14/25 - 9/20/25"</formula1>
    </dataValidation>
    <dataValidation type="list" allowBlank="1" showErrorMessage="1" sqref="A302:A310">
      <formula1>"Week 8/3/25 - 8/9/25"</formula1>
    </dataValidation>
    <dataValidation type="list" allowBlank="1" showErrorMessage="1" sqref="A266:A274">
      <formula1>"Week 8/31/25 - 9/06/25"</formula1>
    </dataValidation>
    <dataValidation type="list" allowBlank="1" showErrorMessage="1" sqref="A455:A464">
      <formula1>"Week 3/16/25 - 3/22/25,Week 3/23/25 - 3/29/25"</formula1>
    </dataValidation>
    <dataValidation type="list" allowBlank="1" showErrorMessage="1" sqref="A148:A156">
      <formula1>"Week 11/30/25 - 12/6/25"</formula1>
    </dataValidation>
    <dataValidation type="list" allowBlank="1" showErrorMessage="1" sqref="A365:A373">
      <formula1>"Week 6/15/25 - 6/21/25"</formula1>
    </dataValidation>
    <dataValidation type="list" allowBlank="1" showErrorMessage="1" sqref="A58:A66">
      <formula1>"Week 2/8/26 - 2/14/26"</formula1>
    </dataValidation>
    <dataValidation type="list" allowBlank="1" showErrorMessage="1" sqref="A22:A30">
      <formula1>"Week 3/8/26 - 3/14/26"</formula1>
    </dataValidation>
    <dataValidation type="list" allowBlank="1" showErrorMessage="1" sqref="A103:A111">
      <formula1>"Week 1/4/26 - 1/10/26"</formula1>
    </dataValidation>
    <dataValidation type="list" allowBlank="1" showErrorMessage="1" sqref="A293:A301">
      <formula1>"Week 8/10/25 - 8/16/25 "</formula1>
    </dataValidation>
    <dataValidation type="list" allowBlank="1" showErrorMessage="1" sqref="A275:A283">
      <formula1>"Week 8/24/25 - 8/30/25"</formula1>
    </dataValidation>
    <dataValidation type="list" allowBlank="1" showErrorMessage="1" sqref="A374:A382">
      <formula1>"Week 6/8/25 - 6/14/25"</formula1>
    </dataValidation>
    <dataValidation type="list" allowBlank="1" showErrorMessage="1" sqref="A67:A75">
      <formula1>"Week 2/1/26 - 2/7/26"</formula1>
    </dataValidation>
    <dataValidation type="list" allowBlank="1" showErrorMessage="1" sqref="A383:A390">
      <formula1>"Week 6/1/25 - 6/7/25"</formula1>
    </dataValidation>
    <dataValidation type="list" allowBlank="1" showErrorMessage="1" sqref="A320:A328">
      <formula1>"Week 7/20/25 - 7/26/25"</formula1>
    </dataValidation>
    <dataValidation type="list" allowBlank="1" showErrorMessage="1" sqref="A121:A129">
      <formula1>"Week 12/21/25 - 12/27/25 "</formula1>
    </dataValidation>
    <dataValidation type="list" allowBlank="1" showErrorMessage="1" sqref="A31:A39">
      <formula1>"Week 3/1/26 - 3/7/26"</formula1>
    </dataValidation>
    <dataValidation type="list" allowBlank="1" showErrorMessage="1" sqref="A311:A319">
      <formula1>"Week 7/27/25 - 8/2/25"</formula1>
    </dataValidation>
    <dataValidation type="list" allowBlank="1" showErrorMessage="1" sqref="A229:A237">
      <formula1>"Week 9/28/25 - 10/4/25"</formula1>
    </dataValidation>
    <dataValidation type="list" allowBlank="1" showErrorMessage="1" sqref="A202:A210">
      <formula1>"Week 10/19/25 - 10/25/25"</formula1>
    </dataValidation>
    <dataValidation type="list" allowBlank="1" showErrorMessage="1" sqref="A356:A364">
      <formula1>"Week 6/22/25 - 6/28/25"</formula1>
    </dataValidation>
    <dataValidation type="list" allowBlank="1" showErrorMessage="1" sqref="A94:A102">
      <formula1>"Week 1/11/26 - 1/17/26"</formula1>
    </dataValidation>
    <dataValidation type="list" allowBlank="1" showErrorMessage="1" sqref="A220:A228">
      <formula1>"Week 10/5/25 - 10/11/25"</formula1>
    </dataValidation>
    <dataValidation type="list" allowBlank="1" showErrorMessage="1" sqref="A40:A48">
      <formula1>"Week 2/22/26 - 2/28/26"</formula1>
    </dataValidation>
    <dataValidation type="list" allowBlank="1" showErrorMessage="1" sqref="A85:A93">
      <formula1>"Week 1/18/26 - 1/24/26"</formula1>
    </dataValidation>
    <dataValidation type="list" allowBlank="1" showErrorMessage="1" sqref="A175:A183">
      <formula1>"Week 11/9/25 - 11/15/25"</formula1>
    </dataValidation>
    <dataValidation type="list" allowBlank="1" showErrorMessage="1" sqref="A338:A346">
      <formula1>"Week 7/6/25 - 7/12/25 "</formula1>
    </dataValidation>
    <dataValidation type="list" allowBlank="1" showErrorMessage="1" sqref="A157:A165">
      <formula1>"Week 11/23/25 - 11/29/25"</formula1>
    </dataValidation>
    <dataValidation type="list" allowBlank="1" showErrorMessage="1" sqref="A347:A355">
      <formula1>"Week 6/29/25 - 7/5/25"</formula1>
    </dataValidation>
    <dataValidation type="list" allowBlank="1" showErrorMessage="1" sqref="A13:A21">
      <formula1>"Week 3/15/26 - 3/21/26"</formula1>
    </dataValidation>
    <dataValidation type="list" allowBlank="1" showErrorMessage="1" sqref="A49:A57">
      <formula1>"Week 2/15/26 - 2/21/26"</formula1>
    </dataValidation>
    <dataValidation type="list" allowBlank="1" showErrorMessage="1" sqref="A76:A84">
      <formula1>"Week 1/25/26 - 1/31/26"</formula1>
    </dataValidation>
    <dataValidation type="list" allowBlank="1" showErrorMessage="1" sqref="A130:A138">
      <formula1>"Week 12/14/25 - 12/20/25"</formula1>
    </dataValidation>
    <dataValidation type="list" allowBlank="1" showErrorMessage="1" sqref="A112:A120">
      <formula1>"Week 12/28/25 - 1/3/25 "</formula1>
    </dataValidation>
    <dataValidation type="list" allowBlank="1" showErrorMessage="1" sqref="A193:A201">
      <formula1>"Week 10/26/25 - 11/1/25"</formula1>
    </dataValidation>
    <dataValidation type="list" allowBlank="1" showErrorMessage="1" sqref="A139:A147">
      <formula1>"Week 12/7/25 - 12/13/25"</formula1>
    </dataValidation>
    <dataValidation type="list" allowBlank="1" showErrorMessage="1" sqref="A166:A174">
      <formula1>"Week 11/16/25 - 11/22/25"</formula1>
    </dataValidation>
    <dataValidation type="list" allowBlank="1" showErrorMessage="1" sqref="A211:A219">
      <formula1>"Week 10/12/25 - 10/18/25"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3560</v>
      </c>
      <c r="B1" s="126" t="s">
        <v>3561</v>
      </c>
    </row>
    <row r="3">
      <c r="A3" s="4" t="s">
        <v>3562</v>
      </c>
    </row>
    <row r="4">
      <c r="A4" s="127" t="s">
        <v>3563</v>
      </c>
    </row>
  </sheetData>
  <hyperlinks>
    <hyperlink r:id="rId1" location="gid=1240953207" ref="B1"/>
    <hyperlink r:id="rId2" location="gid=2120130610" ref="A4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15" max="15" width="17.63"/>
  </cols>
  <sheetData>
    <row r="1">
      <c r="A1" s="128" t="s">
        <v>3564</v>
      </c>
    </row>
    <row r="2">
      <c r="A2" s="129" t="s">
        <v>3565</v>
      </c>
    </row>
    <row r="3">
      <c r="A3" s="128" t="s">
        <v>3566</v>
      </c>
    </row>
    <row r="4">
      <c r="A4" s="129" t="s">
        <v>3567</v>
      </c>
      <c r="B4" s="25"/>
    </row>
    <row r="5">
      <c r="A5" s="130" t="s">
        <v>3568</v>
      </c>
      <c r="B5" s="25" t="s">
        <v>3569</v>
      </c>
    </row>
    <row r="6">
      <c r="A6" s="128" t="s">
        <v>3570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>
      <c r="A7" s="132" t="s">
        <v>3571</v>
      </c>
      <c r="B7" s="25"/>
    </row>
    <row r="8">
      <c r="A8" s="128" t="s">
        <v>3572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>
      <c r="A9" s="129" t="s">
        <v>3573</v>
      </c>
    </row>
    <row r="10">
      <c r="A10" s="128" t="s">
        <v>3574</v>
      </c>
      <c r="B10" s="133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>
      <c r="A11" s="132" t="s">
        <v>3575</v>
      </c>
      <c r="B11" s="25"/>
    </row>
    <row r="12">
      <c r="A12" s="128" t="s">
        <v>3576</v>
      </c>
      <c r="B12" s="133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>
      <c r="A13" s="134" t="s">
        <v>3577</v>
      </c>
      <c r="B13" s="25"/>
    </row>
    <row r="14">
      <c r="A14" s="128" t="s">
        <v>3578</v>
      </c>
      <c r="B14" s="133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>
      <c r="A15" s="134" t="s">
        <v>3579</v>
      </c>
      <c r="B15" s="25"/>
    </row>
    <row r="16">
      <c r="A16" s="128" t="s">
        <v>3580</v>
      </c>
      <c r="B16" s="133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>
      <c r="A17" s="132" t="s">
        <v>3581</v>
      </c>
      <c r="B17" s="25"/>
    </row>
    <row r="18">
      <c r="A18" s="128" t="s">
        <v>3582</v>
      </c>
      <c r="B18" s="25"/>
    </row>
    <row r="19">
      <c r="A19" s="134" t="s">
        <v>3583</v>
      </c>
      <c r="B19" s="25"/>
    </row>
    <row r="20">
      <c r="A20" s="128" t="s">
        <v>3584</v>
      </c>
      <c r="B20" s="8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132" t="s">
        <v>3585</v>
      </c>
      <c r="B21" s="8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135" t="s">
        <v>3586</v>
      </c>
    </row>
    <row r="23">
      <c r="A23" s="136" t="s">
        <v>3587</v>
      </c>
    </row>
    <row r="24">
      <c r="A24" s="135" t="s">
        <v>3588</v>
      </c>
      <c r="E24" s="46"/>
    </row>
    <row r="25">
      <c r="A25" s="137" t="s">
        <v>3589</v>
      </c>
      <c r="E25" s="46"/>
    </row>
    <row r="26">
      <c r="A26" s="135" t="s">
        <v>3590</v>
      </c>
    </row>
    <row r="27">
      <c r="A27" s="137" t="s">
        <v>3591</v>
      </c>
    </row>
    <row r="28">
      <c r="A28" s="135" t="s">
        <v>3592</v>
      </c>
    </row>
    <row r="29">
      <c r="A29" s="136" t="s">
        <v>3593</v>
      </c>
    </row>
    <row r="30">
      <c r="A30" s="66" t="s">
        <v>3594</v>
      </c>
      <c r="B30" s="8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138" t="s">
        <v>3595</v>
      </c>
      <c r="B31" s="8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4" t="s">
        <v>3596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>
      <c r="A33" s="139" t="s">
        <v>3597</v>
      </c>
    </row>
    <row r="34">
      <c r="A34" s="4" t="s">
        <v>3598</v>
      </c>
    </row>
    <row r="35">
      <c r="A35" s="139" t="s">
        <v>3599</v>
      </c>
      <c r="B35" s="25"/>
    </row>
    <row r="36">
      <c r="A36" s="4" t="s">
        <v>3600</v>
      </c>
      <c r="B36" s="25"/>
    </row>
    <row r="37">
      <c r="A37" s="140" t="s">
        <v>3601</v>
      </c>
      <c r="B37" s="25"/>
    </row>
    <row r="38">
      <c r="A38" s="4" t="s">
        <v>3602</v>
      </c>
      <c r="B38" s="25"/>
    </row>
    <row r="39">
      <c r="A39" s="138" t="s">
        <v>3603</v>
      </c>
      <c r="B39" s="25"/>
      <c r="P39" s="64"/>
    </row>
    <row r="40">
      <c r="A40" s="4" t="s">
        <v>3604</v>
      </c>
      <c r="B40" s="25"/>
      <c r="P40" s="64"/>
    </row>
    <row r="41">
      <c r="A41" s="138" t="s">
        <v>3605</v>
      </c>
      <c r="B41" s="25"/>
      <c r="P41" s="64"/>
    </row>
    <row r="42">
      <c r="A42" s="4" t="s">
        <v>3606</v>
      </c>
      <c r="B42" s="25"/>
    </row>
    <row r="43">
      <c r="A43" s="138" t="s">
        <v>3607</v>
      </c>
      <c r="B43" s="25"/>
    </row>
    <row r="44">
      <c r="A44" s="4" t="s">
        <v>3608</v>
      </c>
      <c r="B44" s="25"/>
    </row>
    <row r="45">
      <c r="A45" s="140" t="s">
        <v>3609</v>
      </c>
      <c r="B45" s="25"/>
    </row>
    <row r="46">
      <c r="A46" s="4" t="s">
        <v>3610</v>
      </c>
      <c r="B46" s="25"/>
    </row>
    <row r="47">
      <c r="A47" s="140" t="s">
        <v>3611</v>
      </c>
      <c r="B47" s="25"/>
    </row>
    <row r="48">
      <c r="A48" s="4" t="s">
        <v>3612</v>
      </c>
      <c r="B48" s="25"/>
    </row>
    <row r="49">
      <c r="A49" s="140" t="s">
        <v>3613</v>
      </c>
      <c r="B49" s="25"/>
    </row>
    <row r="50">
      <c r="A50" s="66" t="s">
        <v>3614</v>
      </c>
      <c r="B50" s="8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140" t="s">
        <v>3615</v>
      </c>
      <c r="B51" s="25"/>
    </row>
    <row r="52">
      <c r="A52" s="4" t="s">
        <v>3616</v>
      </c>
      <c r="B52" s="25"/>
    </row>
    <row r="53">
      <c r="A53" s="140" t="s">
        <v>3617</v>
      </c>
      <c r="B53" s="25"/>
    </row>
    <row r="54">
      <c r="A54" s="4" t="s">
        <v>3618</v>
      </c>
      <c r="B54" s="25"/>
    </row>
    <row r="55">
      <c r="A55" s="140" t="s">
        <v>3619</v>
      </c>
      <c r="B55" s="25"/>
    </row>
    <row r="56">
      <c r="A56" s="140" t="s">
        <v>3620</v>
      </c>
      <c r="B56" s="25"/>
    </row>
    <row r="57">
      <c r="A57" s="4"/>
      <c r="B57" s="25"/>
    </row>
    <row r="58">
      <c r="A58" s="4"/>
      <c r="B58" s="25"/>
    </row>
    <row r="59">
      <c r="A59" s="4"/>
      <c r="B59" s="25"/>
    </row>
    <row r="60">
      <c r="A60" s="4"/>
      <c r="B60" s="25"/>
    </row>
    <row r="61">
      <c r="A61" s="4"/>
      <c r="B61" s="25"/>
    </row>
    <row r="62">
      <c r="A62" s="4"/>
      <c r="B62" s="25"/>
    </row>
    <row r="63">
      <c r="A63" s="4"/>
      <c r="B63" s="25"/>
    </row>
    <row r="64">
      <c r="A64" s="4"/>
      <c r="B64" s="25"/>
    </row>
    <row r="65">
      <c r="A65" s="4"/>
      <c r="B65" s="25"/>
    </row>
    <row r="66">
      <c r="A66" s="4"/>
      <c r="B66" s="25"/>
    </row>
    <row r="67">
      <c r="A67" s="4"/>
      <c r="B67" s="25"/>
    </row>
    <row r="68">
      <c r="A68" s="4"/>
      <c r="B68" s="25"/>
    </row>
    <row r="69">
      <c r="A69" s="4"/>
      <c r="B69" s="25"/>
    </row>
    <row r="70">
      <c r="A70" s="4"/>
      <c r="B70" s="25"/>
    </row>
    <row r="71">
      <c r="A71" s="4"/>
      <c r="B71" s="25"/>
    </row>
    <row r="72">
      <c r="A72" s="4"/>
      <c r="B72" s="25"/>
    </row>
    <row r="73">
      <c r="A73" s="4"/>
      <c r="B73" s="25"/>
    </row>
    <row r="74">
      <c r="A74" s="4"/>
      <c r="B74" s="25"/>
    </row>
    <row r="75">
      <c r="A75" s="4"/>
      <c r="B75" s="25"/>
    </row>
    <row r="76">
      <c r="A76" s="4"/>
      <c r="B76" s="25"/>
    </row>
    <row r="77">
      <c r="A77" s="4"/>
      <c r="B77" s="25"/>
    </row>
    <row r="78">
      <c r="A78" s="4"/>
      <c r="B78" s="25"/>
    </row>
    <row r="79">
      <c r="A79" s="4"/>
      <c r="B79" s="25"/>
    </row>
    <row r="80">
      <c r="A80" s="4"/>
      <c r="B80" s="25"/>
    </row>
    <row r="81">
      <c r="A81" s="4"/>
      <c r="B81" s="25"/>
    </row>
    <row r="82">
      <c r="A82" s="4"/>
      <c r="B82" s="25"/>
    </row>
    <row r="83">
      <c r="A83" s="4"/>
      <c r="B83" s="25"/>
    </row>
    <row r="84">
      <c r="A84" s="4"/>
      <c r="B84" s="25"/>
    </row>
    <row r="85">
      <c r="A85" s="4"/>
      <c r="B85" s="25"/>
    </row>
    <row r="86">
      <c r="A86" s="4"/>
      <c r="B86" s="25"/>
    </row>
    <row r="87">
      <c r="A87" s="4"/>
      <c r="B87" s="25"/>
    </row>
    <row r="88">
      <c r="A88" s="4"/>
      <c r="B88" s="25"/>
    </row>
    <row r="89">
      <c r="A89" s="4"/>
      <c r="B89" s="25"/>
    </row>
    <row r="90">
      <c r="A90" s="4"/>
      <c r="B90" s="25"/>
    </row>
    <row r="91">
      <c r="A91" s="4"/>
      <c r="B91" s="25"/>
    </row>
    <row r="92">
      <c r="A92" s="4"/>
      <c r="B92" s="25"/>
    </row>
    <row r="93">
      <c r="A93" s="4"/>
      <c r="B93" s="25"/>
    </row>
    <row r="94">
      <c r="A94" s="4"/>
      <c r="B94" s="25"/>
    </row>
    <row r="95">
      <c r="A95" s="4"/>
      <c r="B95" s="25"/>
    </row>
    <row r="96">
      <c r="A96" s="4"/>
      <c r="B96" s="25"/>
    </row>
    <row r="97">
      <c r="A97" s="4"/>
      <c r="B97" s="25"/>
    </row>
    <row r="98">
      <c r="A98" s="4"/>
      <c r="B98" s="25"/>
    </row>
    <row r="99">
      <c r="A99" s="4"/>
      <c r="B99" s="25"/>
    </row>
    <row r="100">
      <c r="A100" s="4"/>
      <c r="B100" s="25"/>
    </row>
    <row r="101">
      <c r="A101" s="4"/>
      <c r="B101" s="25"/>
    </row>
    <row r="102">
      <c r="A102" s="4"/>
      <c r="B102" s="25"/>
    </row>
    <row r="103">
      <c r="A103" s="4"/>
      <c r="B103" s="25"/>
    </row>
    <row r="104">
      <c r="A104" s="4"/>
      <c r="B104" s="25"/>
    </row>
    <row r="105">
      <c r="A105" s="4" t="s">
        <v>3621</v>
      </c>
      <c r="B105" s="141" t="s">
        <v>3622</v>
      </c>
    </row>
    <row r="110">
      <c r="A110" s="25" t="s">
        <v>3623</v>
      </c>
    </row>
    <row r="111">
      <c r="A111" s="25" t="s">
        <v>3624</v>
      </c>
    </row>
    <row r="112">
      <c r="A112" s="25" t="s">
        <v>3625</v>
      </c>
    </row>
    <row r="113">
      <c r="A113" s="25" t="s">
        <v>3626</v>
      </c>
    </row>
    <row r="114">
      <c r="A114" s="25" t="s">
        <v>3627</v>
      </c>
    </row>
    <row r="115">
      <c r="A115" s="25" t="s">
        <v>3628</v>
      </c>
    </row>
    <row r="116">
      <c r="A116" s="25" t="s">
        <v>3629</v>
      </c>
    </row>
    <row r="117">
      <c r="A117" s="25" t="s">
        <v>3630</v>
      </c>
    </row>
    <row r="118">
      <c r="A118" s="25" t="s">
        <v>3631</v>
      </c>
    </row>
    <row r="119">
      <c r="A119" s="25" t="s">
        <v>3632</v>
      </c>
    </row>
    <row r="120">
      <c r="A120" s="25" t="s">
        <v>3633</v>
      </c>
    </row>
    <row r="121">
      <c r="A121" s="25" t="s">
        <v>3634</v>
      </c>
    </row>
    <row r="122">
      <c r="A122" s="25" t="s">
        <v>3635</v>
      </c>
    </row>
    <row r="123">
      <c r="A123" s="25" t="s">
        <v>3636</v>
      </c>
    </row>
    <row r="124">
      <c r="A124" s="25" t="s">
        <v>3637</v>
      </c>
    </row>
    <row r="125">
      <c r="A125" s="25" t="s">
        <v>3638</v>
      </c>
    </row>
    <row r="126">
      <c r="A126" s="25" t="s">
        <v>3639</v>
      </c>
    </row>
    <row r="127">
      <c r="A127" s="25" t="s">
        <v>3640</v>
      </c>
    </row>
    <row r="128">
      <c r="A128" s="25" t="s">
        <v>3641</v>
      </c>
    </row>
    <row r="129">
      <c r="A129" s="25" t="s">
        <v>3642</v>
      </c>
    </row>
    <row r="130">
      <c r="A130" s="25" t="s">
        <v>3643</v>
      </c>
    </row>
    <row r="131">
      <c r="A131" s="25" t="s">
        <v>3644</v>
      </c>
    </row>
    <row r="132">
      <c r="A132" s="25" t="s">
        <v>3645</v>
      </c>
    </row>
    <row r="133">
      <c r="A133" s="25" t="s">
        <v>3602</v>
      </c>
    </row>
    <row r="134">
      <c r="A134" s="25" t="s">
        <v>3646</v>
      </c>
    </row>
    <row r="135">
      <c r="A135" s="25" t="s">
        <v>3647</v>
      </c>
    </row>
    <row r="136">
      <c r="A136" s="25" t="s">
        <v>3648</v>
      </c>
    </row>
  </sheetData>
  <hyperlinks>
    <hyperlink r:id="rId1" location="gid=1050371223" ref="A2"/>
    <hyperlink r:id="rId2" location="gid=1229521562" ref="A4"/>
    <hyperlink r:id="rId3" location="gid=641074696" ref="A7"/>
    <hyperlink r:id="rId4" location="gid=1799780153" ref="A9"/>
    <hyperlink r:id="rId5" location="gid=1799780153" ref="A11"/>
    <hyperlink r:id="rId6" location="gid=1799780153" ref="A13"/>
    <hyperlink r:id="rId7" location="gid=1799780153" ref="A15"/>
    <hyperlink r:id="rId8" location="gid=1799780153" ref="A17"/>
    <hyperlink r:id="rId9" location="gid=1799780153" ref="A19"/>
    <hyperlink r:id="rId10" location="gid=1799780153" ref="A21"/>
    <hyperlink r:id="rId11" location="gid=960544044" ref="A23"/>
    <hyperlink r:id="rId12" location="gid=927270247" ref="A25"/>
    <hyperlink r:id="rId13" location="gid=1716860022" ref="A27"/>
    <hyperlink r:id="rId14" location="gid=960544044" ref="A29"/>
    <hyperlink r:id="rId15" location="gid=1799780153" ref="A31"/>
    <hyperlink r:id="rId16" location="gid=1303002019" ref="A33"/>
    <hyperlink r:id="rId17" location="gid=1799780153" ref="A35"/>
    <hyperlink r:id="rId18" location="gid=1799780153" ref="A37"/>
    <hyperlink r:id="rId19" location="gid=1799780153" ref="A39"/>
    <hyperlink r:id="rId20" location="gid=1799780153" ref="A41"/>
    <hyperlink r:id="rId21" location="gid=1799780153" ref="A43"/>
    <hyperlink r:id="rId22" location="gid=1799780153" ref="A45"/>
    <hyperlink r:id="rId23" location="gid=1799780153" ref="A47"/>
    <hyperlink r:id="rId24" location="gid=1799780153" ref="A49"/>
    <hyperlink r:id="rId25" location="gid=1799780153" ref="A51"/>
    <hyperlink r:id="rId26" location="gid=1799780153" ref="A53"/>
    <hyperlink r:id="rId27" location="gid=37726899" ref="A55"/>
    <hyperlink r:id="rId28" ref="A56"/>
    <hyperlink r:id="rId29" location="gid=0" ref="B105"/>
  </hyperlinks>
  <drawing r:id="rId3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0"/>
  </cols>
  <sheetData>
    <row r="1">
      <c r="A1" s="2" t="s">
        <v>3649</v>
      </c>
    </row>
    <row r="3">
      <c r="A3" s="25" t="s">
        <v>395</v>
      </c>
      <c r="B3" s="25" t="s">
        <v>3</v>
      </c>
      <c r="C3" s="25" t="s">
        <v>3650</v>
      </c>
      <c r="D3" s="25" t="s">
        <v>3651</v>
      </c>
      <c r="E3" s="25" t="s">
        <v>3652</v>
      </c>
      <c r="F3" s="25" t="s">
        <v>9</v>
      </c>
    </row>
    <row r="4">
      <c r="A4" s="20" t="s">
        <v>114</v>
      </c>
      <c r="B4" s="7" t="s">
        <v>3653</v>
      </c>
      <c r="C4" s="7" t="s">
        <v>3654</v>
      </c>
      <c r="D4" s="46"/>
      <c r="E4" s="46"/>
      <c r="F4" s="7">
        <v>450.0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20" t="s">
        <v>114</v>
      </c>
      <c r="B5" s="7" t="s">
        <v>3655</v>
      </c>
      <c r="C5" s="7" t="s">
        <v>3656</v>
      </c>
      <c r="D5" s="46"/>
      <c r="E5" s="46"/>
      <c r="F5" s="7">
        <v>600.0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20" t="s">
        <v>114</v>
      </c>
      <c r="B6" s="7" t="s">
        <v>215</v>
      </c>
      <c r="C6" s="7" t="s">
        <v>3657</v>
      </c>
      <c r="D6" s="46"/>
      <c r="E6" s="46"/>
      <c r="F6" s="7">
        <v>600.0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20" t="s">
        <v>114</v>
      </c>
      <c r="B7" s="7" t="s">
        <v>3658</v>
      </c>
      <c r="C7" s="7" t="s">
        <v>3659</v>
      </c>
      <c r="D7" s="46"/>
      <c r="E7" s="46"/>
      <c r="F7" s="7">
        <v>0.0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20" t="s">
        <v>114</v>
      </c>
      <c r="B8" s="7" t="s">
        <v>3660</v>
      </c>
      <c r="C8" s="7" t="s">
        <v>3452</v>
      </c>
      <c r="D8" s="46"/>
      <c r="E8" s="46"/>
      <c r="F8" s="7">
        <v>250.0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20" t="s">
        <v>114</v>
      </c>
      <c r="B9" s="7" t="s">
        <v>3661</v>
      </c>
      <c r="C9" s="7" t="s">
        <v>3662</v>
      </c>
      <c r="D9" s="46"/>
      <c r="E9" s="46"/>
      <c r="F9" s="7">
        <v>250.0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idden="1">
      <c r="A10" s="24" t="s">
        <v>383</v>
      </c>
      <c r="B10" s="25" t="s">
        <v>3653</v>
      </c>
      <c r="C10" s="25" t="s">
        <v>3654</v>
      </c>
      <c r="F10" s="142">
        <v>450.0</v>
      </c>
    </row>
    <row r="11" hidden="1">
      <c r="A11" s="24" t="s">
        <v>383</v>
      </c>
      <c r="B11" s="25" t="s">
        <v>3655</v>
      </c>
      <c r="C11" s="25" t="s">
        <v>3656</v>
      </c>
      <c r="F11" s="142">
        <v>600.0</v>
      </c>
    </row>
    <row r="12" hidden="1">
      <c r="A12" s="24" t="s">
        <v>383</v>
      </c>
      <c r="B12" s="25" t="s">
        <v>215</v>
      </c>
      <c r="C12" s="25" t="s">
        <v>3657</v>
      </c>
      <c r="F12" s="142">
        <v>600.0</v>
      </c>
    </row>
    <row r="13" hidden="1">
      <c r="A13" s="24" t="s">
        <v>383</v>
      </c>
      <c r="B13" s="25" t="s">
        <v>3658</v>
      </c>
      <c r="C13" s="25" t="s">
        <v>3659</v>
      </c>
      <c r="F13" s="142">
        <v>0.0</v>
      </c>
    </row>
    <row r="14" hidden="1">
      <c r="A14" s="24" t="s">
        <v>383</v>
      </c>
      <c r="B14" s="25" t="s">
        <v>3660</v>
      </c>
      <c r="C14" s="25" t="s">
        <v>3452</v>
      </c>
      <c r="F14" s="142">
        <v>250.0</v>
      </c>
    </row>
    <row r="15" hidden="1">
      <c r="A15" s="24" t="s">
        <v>383</v>
      </c>
      <c r="B15" s="25" t="s">
        <v>3661</v>
      </c>
      <c r="C15" s="25" t="s">
        <v>3662</v>
      </c>
      <c r="F15" s="142">
        <v>250.0</v>
      </c>
    </row>
    <row r="16" hidden="1">
      <c r="A16" s="24" t="s">
        <v>119</v>
      </c>
      <c r="B16" s="25" t="s">
        <v>3653</v>
      </c>
      <c r="C16" s="25" t="s">
        <v>3654</v>
      </c>
      <c r="F16" s="142">
        <v>450.0</v>
      </c>
    </row>
    <row r="17" hidden="1">
      <c r="A17" s="24" t="s">
        <v>119</v>
      </c>
      <c r="B17" s="25" t="s">
        <v>3655</v>
      </c>
      <c r="C17" s="25" t="s">
        <v>3656</v>
      </c>
      <c r="F17" s="142">
        <v>600.0</v>
      </c>
    </row>
    <row r="18" hidden="1">
      <c r="A18" s="24" t="s">
        <v>119</v>
      </c>
      <c r="B18" s="25" t="s">
        <v>215</v>
      </c>
      <c r="C18" s="25" t="s">
        <v>3657</v>
      </c>
      <c r="F18" s="142">
        <v>600.0</v>
      </c>
    </row>
    <row r="19" hidden="1">
      <c r="A19" s="24" t="s">
        <v>119</v>
      </c>
      <c r="B19" s="25" t="s">
        <v>3658</v>
      </c>
      <c r="C19" s="25" t="s">
        <v>3659</v>
      </c>
      <c r="F19" s="142">
        <v>0.0</v>
      </c>
    </row>
    <row r="20" hidden="1">
      <c r="A20" s="24" t="s">
        <v>119</v>
      </c>
      <c r="B20" s="25" t="s">
        <v>3660</v>
      </c>
      <c r="C20" s="25" t="s">
        <v>3452</v>
      </c>
      <c r="F20" s="142">
        <v>250.0</v>
      </c>
    </row>
    <row r="21" hidden="1">
      <c r="A21" s="24" t="s">
        <v>119</v>
      </c>
      <c r="B21" s="25" t="s">
        <v>3661</v>
      </c>
      <c r="C21" s="25" t="s">
        <v>3662</v>
      </c>
      <c r="F21" s="142">
        <v>250.0</v>
      </c>
    </row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</sheetData>
  <autoFilter ref="$A$3:$F$1012">
    <filterColumn colId="0">
      <filters>
        <filter val="Week 4/6/25 - 4/12/25"/>
      </filters>
    </filterColumn>
  </autoFilter>
  <dataValidations>
    <dataValidation type="list" allowBlank="1" showErrorMessage="1" sqref="A4:A21">
      <formula1>"Week 3/16/25 - 3/22/25,Week 3/30/25 - 4/5/25,Week 4/6/25 - 4/12/25"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3" t="s">
        <v>3663</v>
      </c>
      <c r="B1" s="143" t="s">
        <v>3664</v>
      </c>
      <c r="C1" s="143" t="s">
        <v>3665</v>
      </c>
      <c r="D1" s="143" t="s">
        <v>3666</v>
      </c>
      <c r="E1" s="143" t="s">
        <v>3667</v>
      </c>
      <c r="F1" s="144" t="str">
        <f t="array" ref="F1:F999">VSTACK("Hours Converted", BYROW(E2:E999, LAMBDA(e, IF(e="", 0, 
    IFERROR(VALUE(LEFT(e, FIND("h", e)-1)), 0) + 
    IFERROR(VALUE(MID(e, FIND("h", e)+2, FIND("m", e)-FIND("h", e)-2))/60, 
    IFERROR(VALUE(LEFT(e, FIND("m", e)-1))/60, 0))))))
</f>
        <v>Hours Converted</v>
      </c>
      <c r="G1" s="145"/>
      <c r="H1" s="145" t="s">
        <v>3668</v>
      </c>
      <c r="I1" s="146"/>
      <c r="J1" s="143" t="s">
        <v>3669</v>
      </c>
      <c r="K1" s="145"/>
      <c r="L1" s="143" t="s">
        <v>3670</v>
      </c>
      <c r="M1" s="143" t="s">
        <v>3671</v>
      </c>
      <c r="N1" s="145"/>
      <c r="O1" s="143" t="s">
        <v>3672</v>
      </c>
      <c r="P1" s="145"/>
    </row>
    <row r="2">
      <c r="A2" s="147" t="s">
        <v>3673</v>
      </c>
      <c r="B2" s="147" t="s">
        <v>3674</v>
      </c>
      <c r="C2" s="147" t="s">
        <v>3675</v>
      </c>
      <c r="D2" s="147" t="s">
        <v>3676</v>
      </c>
      <c r="E2" s="147" t="s">
        <v>3677</v>
      </c>
      <c r="F2" s="148">
        <v>26.333333333333332</v>
      </c>
      <c r="G2" s="149">
        <f t="shared" ref="G2:G999" si="1">F2-K2</f>
        <v>26.33333333</v>
      </c>
      <c r="H2" s="149">
        <f t="shared" ref="H2:H458" si="2">(N2+P2)</f>
        <v>26.31666667</v>
      </c>
      <c r="I2" s="150">
        <f t="shared" ref="I2:I458" si="3">H2/24</f>
        <v>1.096527778</v>
      </c>
      <c r="J2" s="147" t="s">
        <v>3678</v>
      </c>
      <c r="K2" s="151">
        <f t="shared" ref="K2:K458" si="4">IF(J2="","0",IFERROR(VALUE(LEFT(J2, FIND("h", J2)-1)), 0) + IFERROR(VALUE(MID(J2, FIND("h", J2)+2, FIND("m", J2)-FIND("h", J2)-2))/60, IFERROR(VALUE(LEFT(J2, FIND("m", J2)-1))/60, 0)))
</f>
        <v>0</v>
      </c>
      <c r="L2" s="147" t="s">
        <v>3678</v>
      </c>
      <c r="M2" s="147" t="s">
        <v>3679</v>
      </c>
      <c r="N2" s="151">
        <f t="shared" ref="N2:N458" si="5">IF(M2="","0",IFERROR(VALUE(LEFT(M2, FIND("h", M2)-1)), 0) + IFERROR(VALUE(MID(M2, FIND("h", M2)+2, FIND("m", M2)-FIND("h", M2)-2))/60, IFERROR(VALUE(LEFT(M2, FIND("m", M2)-1))/60, 0)))
</f>
        <v>17.11666667</v>
      </c>
      <c r="O2" s="147" t="s">
        <v>3680</v>
      </c>
      <c r="P2" s="151">
        <f t="shared" ref="P2:P458" si="6">IF(O2="","0",IFERROR(VALUE(LEFT(O2, FIND("h", O2)-1)), 0) + IFERROR(VALUE(MID(O2, FIND("h", O2)+2, FIND("m", O2)-FIND("h", O2)-2))/60, IFERROR(VALUE(LEFT(O2, FIND("m", O2)-1))/60, 0)))
</f>
        <v>9.2</v>
      </c>
    </row>
    <row r="3">
      <c r="A3" s="147" t="s">
        <v>3681</v>
      </c>
      <c r="B3" s="147" t="s">
        <v>1201</v>
      </c>
      <c r="C3" s="147" t="s">
        <v>3675</v>
      </c>
      <c r="D3" s="147" t="s">
        <v>3676</v>
      </c>
      <c r="E3" s="147" t="s">
        <v>3682</v>
      </c>
      <c r="F3" s="148">
        <v>37.06666666666667</v>
      </c>
      <c r="G3" s="149">
        <f t="shared" si="1"/>
        <v>37.06666667</v>
      </c>
      <c r="H3" s="149">
        <f t="shared" si="2"/>
        <v>37.05</v>
      </c>
      <c r="I3" s="150">
        <f t="shared" si="3"/>
        <v>1.54375</v>
      </c>
      <c r="J3" s="147" t="s">
        <v>3678</v>
      </c>
      <c r="K3" s="151">
        <f t="shared" si="4"/>
        <v>0</v>
      </c>
      <c r="L3" s="147" t="s">
        <v>3678</v>
      </c>
      <c r="M3" s="147" t="s">
        <v>3683</v>
      </c>
      <c r="N3" s="151">
        <f t="shared" si="5"/>
        <v>25.68333333</v>
      </c>
      <c r="O3" s="147" t="s">
        <v>3684</v>
      </c>
      <c r="P3" s="151">
        <f t="shared" si="6"/>
        <v>11.36666667</v>
      </c>
    </row>
    <row r="4">
      <c r="A4" s="147" t="s">
        <v>3685</v>
      </c>
      <c r="B4" s="147" t="s">
        <v>168</v>
      </c>
      <c r="C4" s="147" t="s">
        <v>3675</v>
      </c>
      <c r="D4" s="147" t="s">
        <v>3686</v>
      </c>
      <c r="E4" s="147" t="s">
        <v>3687</v>
      </c>
      <c r="F4" s="148">
        <v>46.06666666666667</v>
      </c>
      <c r="G4" s="149">
        <f t="shared" si="1"/>
        <v>46.06666667</v>
      </c>
      <c r="H4" s="149">
        <f t="shared" si="2"/>
        <v>46.05</v>
      </c>
      <c r="I4" s="150">
        <f t="shared" si="3"/>
        <v>1.91875</v>
      </c>
      <c r="J4" s="147" t="s">
        <v>3678</v>
      </c>
      <c r="K4" s="151">
        <f t="shared" si="4"/>
        <v>0</v>
      </c>
      <c r="L4" s="147" t="s">
        <v>3678</v>
      </c>
      <c r="M4" s="147" t="s">
        <v>3688</v>
      </c>
      <c r="N4" s="151">
        <f t="shared" si="5"/>
        <v>32.53333333</v>
      </c>
      <c r="O4" s="147" t="s">
        <v>3689</v>
      </c>
      <c r="P4" s="151">
        <f t="shared" si="6"/>
        <v>13.51666667</v>
      </c>
    </row>
    <row r="5">
      <c r="A5" s="147" t="s">
        <v>3690</v>
      </c>
      <c r="B5" s="147" t="s">
        <v>3691</v>
      </c>
      <c r="C5" s="147" t="s">
        <v>3675</v>
      </c>
      <c r="D5" s="147" t="s">
        <v>3692</v>
      </c>
      <c r="E5" s="147" t="s">
        <v>3693</v>
      </c>
      <c r="F5" s="148">
        <v>42.13333333333333</v>
      </c>
      <c r="G5" s="149">
        <f t="shared" si="1"/>
        <v>42.13333333</v>
      </c>
      <c r="H5" s="149">
        <f t="shared" si="2"/>
        <v>42.13333333</v>
      </c>
      <c r="I5" s="150">
        <f t="shared" si="3"/>
        <v>1.755555556</v>
      </c>
      <c r="J5" s="147" t="s">
        <v>3678</v>
      </c>
      <c r="K5" s="151">
        <f t="shared" si="4"/>
        <v>0</v>
      </c>
      <c r="L5" s="147" t="s">
        <v>3678</v>
      </c>
      <c r="M5" s="147" t="s">
        <v>3694</v>
      </c>
      <c r="N5" s="151">
        <f t="shared" si="5"/>
        <v>34.03333333</v>
      </c>
      <c r="O5" s="147" t="s">
        <v>3695</v>
      </c>
      <c r="P5" s="151">
        <f t="shared" si="6"/>
        <v>8.1</v>
      </c>
    </row>
    <row r="6">
      <c r="A6" s="147" t="s">
        <v>3696</v>
      </c>
      <c r="B6" s="147" t="s">
        <v>736</v>
      </c>
      <c r="C6" s="147" t="s">
        <v>3675</v>
      </c>
      <c r="D6" s="147" t="s">
        <v>3676</v>
      </c>
      <c r="E6" s="147" t="s">
        <v>3697</v>
      </c>
      <c r="F6" s="148">
        <v>40.666666666666664</v>
      </c>
      <c r="G6" s="149">
        <f t="shared" si="1"/>
        <v>40.66666667</v>
      </c>
      <c r="H6" s="149">
        <f t="shared" si="2"/>
        <v>40.66666667</v>
      </c>
      <c r="I6" s="150">
        <f t="shared" si="3"/>
        <v>1.694444444</v>
      </c>
      <c r="J6" s="147" t="s">
        <v>3678</v>
      </c>
      <c r="K6" s="151">
        <f t="shared" si="4"/>
        <v>0</v>
      </c>
      <c r="L6" s="147" t="s">
        <v>3678</v>
      </c>
      <c r="M6" s="147" t="s">
        <v>3698</v>
      </c>
      <c r="N6" s="151">
        <f t="shared" si="5"/>
        <v>23.51666667</v>
      </c>
      <c r="O6" s="147" t="s">
        <v>3699</v>
      </c>
      <c r="P6" s="151">
        <f t="shared" si="6"/>
        <v>17.15</v>
      </c>
    </row>
    <row r="7">
      <c r="A7" s="147" t="s">
        <v>3700</v>
      </c>
      <c r="B7" s="147" t="s">
        <v>3701</v>
      </c>
      <c r="C7" s="147" t="s">
        <v>3675</v>
      </c>
      <c r="D7" s="147" t="s">
        <v>3702</v>
      </c>
      <c r="E7" s="147" t="s">
        <v>3703</v>
      </c>
      <c r="F7" s="148">
        <v>42.666666666666664</v>
      </c>
      <c r="G7" s="149">
        <f t="shared" si="1"/>
        <v>41.98333333</v>
      </c>
      <c r="H7" s="149">
        <f t="shared" si="2"/>
        <v>41.95</v>
      </c>
      <c r="I7" s="150">
        <f t="shared" si="3"/>
        <v>1.747916667</v>
      </c>
      <c r="J7" s="147" t="s">
        <v>3704</v>
      </c>
      <c r="K7" s="148">
        <f t="shared" si="4"/>
        <v>0.6833333333</v>
      </c>
      <c r="L7" s="152">
        <v>0.0164</v>
      </c>
      <c r="M7" s="147" t="s">
        <v>3705</v>
      </c>
      <c r="N7" s="148">
        <f t="shared" si="5"/>
        <v>28.33333333</v>
      </c>
      <c r="O7" s="147" t="s">
        <v>3706</v>
      </c>
      <c r="P7" s="148">
        <f t="shared" si="6"/>
        <v>13.61666667</v>
      </c>
    </row>
    <row r="8">
      <c r="A8" s="147" t="s">
        <v>3707</v>
      </c>
      <c r="B8" s="147" t="s">
        <v>3708</v>
      </c>
      <c r="C8" s="147" t="s">
        <v>3675</v>
      </c>
      <c r="D8" s="147" t="s">
        <v>3709</v>
      </c>
      <c r="E8" s="147" t="s">
        <v>3710</v>
      </c>
      <c r="F8" s="148">
        <v>55.0</v>
      </c>
      <c r="G8" s="149">
        <f t="shared" si="1"/>
        <v>55</v>
      </c>
      <c r="H8" s="149">
        <f t="shared" si="2"/>
        <v>55</v>
      </c>
      <c r="I8" s="150">
        <f t="shared" si="3"/>
        <v>2.291666667</v>
      </c>
      <c r="J8" s="147" t="s">
        <v>3678</v>
      </c>
      <c r="K8" s="151">
        <f t="shared" si="4"/>
        <v>0</v>
      </c>
      <c r="L8" s="147" t="s">
        <v>3678</v>
      </c>
      <c r="M8" s="147" t="s">
        <v>3711</v>
      </c>
      <c r="N8" s="151">
        <f t="shared" si="5"/>
        <v>48.55</v>
      </c>
      <c r="O8" s="147" t="s">
        <v>3712</v>
      </c>
      <c r="P8" s="151">
        <f t="shared" si="6"/>
        <v>6.45</v>
      </c>
    </row>
    <row r="9">
      <c r="A9" s="147" t="s">
        <v>3713</v>
      </c>
      <c r="B9" s="147" t="s">
        <v>1714</v>
      </c>
      <c r="C9" s="147" t="s">
        <v>3675</v>
      </c>
      <c r="D9" s="147" t="s">
        <v>3692</v>
      </c>
      <c r="E9" s="147" t="s">
        <v>3714</v>
      </c>
      <c r="F9" s="148">
        <v>42.28333333333333</v>
      </c>
      <c r="G9" s="149">
        <f t="shared" si="1"/>
        <v>42.28333333</v>
      </c>
      <c r="H9" s="149">
        <f t="shared" si="2"/>
        <v>42.26666667</v>
      </c>
      <c r="I9" s="150">
        <f t="shared" si="3"/>
        <v>1.761111111</v>
      </c>
      <c r="J9" s="147" t="s">
        <v>3678</v>
      </c>
      <c r="K9" s="151">
        <f t="shared" si="4"/>
        <v>0</v>
      </c>
      <c r="L9" s="147" t="s">
        <v>3678</v>
      </c>
      <c r="M9" s="147" t="s">
        <v>3715</v>
      </c>
      <c r="N9" s="151">
        <f t="shared" si="5"/>
        <v>37.23333333</v>
      </c>
      <c r="O9" s="147" t="s">
        <v>3716</v>
      </c>
      <c r="P9" s="151">
        <f t="shared" si="6"/>
        <v>5.033333333</v>
      </c>
    </row>
    <row r="10">
      <c r="A10" s="147" t="s">
        <v>3717</v>
      </c>
      <c r="B10" s="147" t="s">
        <v>1481</v>
      </c>
      <c r="C10" s="147" t="s">
        <v>3675</v>
      </c>
      <c r="D10" s="147" t="s">
        <v>3692</v>
      </c>
      <c r="E10" s="147" t="s">
        <v>3718</v>
      </c>
      <c r="F10" s="148">
        <v>39.65</v>
      </c>
      <c r="G10" s="149">
        <f t="shared" si="1"/>
        <v>39.08333333</v>
      </c>
      <c r="H10" s="149">
        <f t="shared" si="2"/>
        <v>39.06666667</v>
      </c>
      <c r="I10" s="150">
        <f t="shared" si="3"/>
        <v>1.627777778</v>
      </c>
      <c r="J10" s="147" t="s">
        <v>3719</v>
      </c>
      <c r="K10" s="148">
        <f t="shared" si="4"/>
        <v>0.5666666667</v>
      </c>
      <c r="L10" s="152">
        <v>0.0145</v>
      </c>
      <c r="M10" s="147" t="s">
        <v>3720</v>
      </c>
      <c r="N10" s="148">
        <f t="shared" si="5"/>
        <v>30.61666667</v>
      </c>
      <c r="O10" s="147" t="s">
        <v>3721</v>
      </c>
      <c r="P10" s="148">
        <f t="shared" si="6"/>
        <v>8.45</v>
      </c>
    </row>
    <row r="11">
      <c r="A11" s="147" t="s">
        <v>3722</v>
      </c>
      <c r="B11" s="147" t="s">
        <v>176</v>
      </c>
      <c r="C11" s="147" t="s">
        <v>3675</v>
      </c>
      <c r="D11" s="147" t="s">
        <v>3686</v>
      </c>
      <c r="E11" s="147" t="s">
        <v>3723</v>
      </c>
      <c r="F11" s="148">
        <v>64.51666666666667</v>
      </c>
      <c r="G11" s="149">
        <f t="shared" si="1"/>
        <v>64.35</v>
      </c>
      <c r="H11" s="149">
        <f t="shared" si="2"/>
        <v>64.31666667</v>
      </c>
      <c r="I11" s="150">
        <f t="shared" si="3"/>
        <v>2.679861111</v>
      </c>
      <c r="J11" s="147" t="s">
        <v>3724</v>
      </c>
      <c r="K11" s="148">
        <f t="shared" si="4"/>
        <v>0.1666666667</v>
      </c>
      <c r="L11" s="152">
        <v>0.0028</v>
      </c>
      <c r="M11" s="147" t="s">
        <v>3725</v>
      </c>
      <c r="N11" s="148">
        <f t="shared" si="5"/>
        <v>53.55</v>
      </c>
      <c r="O11" s="147" t="s">
        <v>3726</v>
      </c>
      <c r="P11" s="148">
        <f t="shared" si="6"/>
        <v>10.76666667</v>
      </c>
    </row>
    <row r="12">
      <c r="A12" s="147" t="s">
        <v>3727</v>
      </c>
      <c r="B12" s="147" t="s">
        <v>3728</v>
      </c>
      <c r="C12" s="147" t="s">
        <v>3675</v>
      </c>
      <c r="D12" s="147" t="s">
        <v>3729</v>
      </c>
      <c r="E12" s="147" t="s">
        <v>3730</v>
      </c>
      <c r="F12" s="148">
        <v>41.083333333333336</v>
      </c>
      <c r="G12" s="149">
        <f t="shared" si="1"/>
        <v>40.33333333</v>
      </c>
      <c r="H12" s="149">
        <f t="shared" si="2"/>
        <v>40.3</v>
      </c>
      <c r="I12" s="150">
        <f t="shared" si="3"/>
        <v>1.679166667</v>
      </c>
      <c r="J12" s="147" t="s">
        <v>3731</v>
      </c>
      <c r="K12" s="148">
        <f t="shared" si="4"/>
        <v>0.75</v>
      </c>
      <c r="L12" s="152">
        <v>0.0186</v>
      </c>
      <c r="M12" s="147" t="s">
        <v>3732</v>
      </c>
      <c r="N12" s="148">
        <f t="shared" si="5"/>
        <v>24.86666667</v>
      </c>
      <c r="O12" s="147" t="s">
        <v>3733</v>
      </c>
      <c r="P12" s="148">
        <f t="shared" si="6"/>
        <v>15.43333333</v>
      </c>
    </row>
    <row r="13">
      <c r="A13" s="147" t="s">
        <v>3734</v>
      </c>
      <c r="B13" s="147" t="s">
        <v>3340</v>
      </c>
      <c r="C13" s="147" t="s">
        <v>3675</v>
      </c>
      <c r="D13" s="147" t="s">
        <v>3735</v>
      </c>
      <c r="E13" s="147" t="s">
        <v>3736</v>
      </c>
      <c r="F13" s="148">
        <v>52.916666666666664</v>
      </c>
      <c r="G13" s="149">
        <f t="shared" si="1"/>
        <v>52.35</v>
      </c>
      <c r="H13" s="149">
        <f t="shared" si="2"/>
        <v>52.33333333</v>
      </c>
      <c r="I13" s="150">
        <f t="shared" si="3"/>
        <v>2.180555556</v>
      </c>
      <c r="J13" s="147" t="s">
        <v>3719</v>
      </c>
      <c r="K13" s="148">
        <f t="shared" si="4"/>
        <v>0.5666666667</v>
      </c>
      <c r="L13" s="152">
        <v>0.0108</v>
      </c>
      <c r="M13" s="147" t="s">
        <v>3737</v>
      </c>
      <c r="N13" s="148">
        <f t="shared" si="5"/>
        <v>40.18333333</v>
      </c>
      <c r="O13" s="147" t="s">
        <v>3738</v>
      </c>
      <c r="P13" s="148">
        <f t="shared" si="6"/>
        <v>12.15</v>
      </c>
    </row>
    <row r="14">
      <c r="A14" s="147" t="s">
        <v>3739</v>
      </c>
      <c r="B14" s="147" t="s">
        <v>1223</v>
      </c>
      <c r="C14" s="147" t="s">
        <v>3675</v>
      </c>
      <c r="D14" s="147" t="s">
        <v>3676</v>
      </c>
      <c r="E14" s="147" t="s">
        <v>3740</v>
      </c>
      <c r="F14" s="148">
        <v>43.983333333333334</v>
      </c>
      <c r="G14" s="149">
        <f t="shared" si="1"/>
        <v>43.81666667</v>
      </c>
      <c r="H14" s="149">
        <f t="shared" si="2"/>
        <v>43.8</v>
      </c>
      <c r="I14" s="150">
        <f t="shared" si="3"/>
        <v>1.825</v>
      </c>
      <c r="J14" s="147" t="s">
        <v>3724</v>
      </c>
      <c r="K14" s="148">
        <f t="shared" si="4"/>
        <v>0.1666666667</v>
      </c>
      <c r="L14" s="152">
        <v>0.0038</v>
      </c>
      <c r="M14" s="147" t="s">
        <v>3741</v>
      </c>
      <c r="N14" s="148">
        <f t="shared" si="5"/>
        <v>28.13333333</v>
      </c>
      <c r="O14" s="147" t="s">
        <v>3742</v>
      </c>
      <c r="P14" s="148">
        <f t="shared" si="6"/>
        <v>15.66666667</v>
      </c>
    </row>
    <row r="15">
      <c r="A15" s="147" t="s">
        <v>3743</v>
      </c>
      <c r="B15" s="147" t="s">
        <v>3744</v>
      </c>
      <c r="C15" s="147" t="s">
        <v>3675</v>
      </c>
      <c r="D15" s="147" t="s">
        <v>3745</v>
      </c>
      <c r="E15" s="147" t="s">
        <v>3746</v>
      </c>
      <c r="F15" s="148">
        <v>46.766666666666666</v>
      </c>
      <c r="G15" s="149">
        <f t="shared" si="1"/>
        <v>46.6</v>
      </c>
      <c r="H15" s="149">
        <f t="shared" si="2"/>
        <v>46.58333333</v>
      </c>
      <c r="I15" s="150">
        <f t="shared" si="3"/>
        <v>1.940972222</v>
      </c>
      <c r="J15" s="147" t="s">
        <v>3724</v>
      </c>
      <c r="K15" s="148">
        <f t="shared" si="4"/>
        <v>0.1666666667</v>
      </c>
      <c r="L15" s="152">
        <v>0.0039</v>
      </c>
      <c r="M15" s="147" t="s">
        <v>3747</v>
      </c>
      <c r="N15" s="148">
        <f t="shared" si="5"/>
        <v>30.43333333</v>
      </c>
      <c r="O15" s="147" t="s">
        <v>3748</v>
      </c>
      <c r="P15" s="148">
        <f t="shared" si="6"/>
        <v>16.15</v>
      </c>
    </row>
    <row r="16">
      <c r="A16" s="147" t="s">
        <v>3749</v>
      </c>
      <c r="B16" s="147" t="s">
        <v>596</v>
      </c>
      <c r="C16" s="147" t="s">
        <v>3675</v>
      </c>
      <c r="D16" s="147" t="s">
        <v>3676</v>
      </c>
      <c r="E16" s="147" t="s">
        <v>3750</v>
      </c>
      <c r="F16" s="148">
        <v>39.61666666666667</v>
      </c>
      <c r="G16" s="149">
        <f t="shared" si="1"/>
        <v>39.61666667</v>
      </c>
      <c r="H16" s="149">
        <f t="shared" si="2"/>
        <v>39.61666667</v>
      </c>
      <c r="I16" s="150">
        <f t="shared" si="3"/>
        <v>1.650694444</v>
      </c>
      <c r="J16" s="147" t="s">
        <v>3678</v>
      </c>
      <c r="K16" s="151">
        <f t="shared" si="4"/>
        <v>0</v>
      </c>
      <c r="L16" s="147" t="s">
        <v>3678</v>
      </c>
      <c r="M16" s="147" t="s">
        <v>3751</v>
      </c>
      <c r="N16" s="151">
        <f t="shared" si="5"/>
        <v>37.05</v>
      </c>
      <c r="O16" s="147" t="s">
        <v>3752</v>
      </c>
      <c r="P16" s="151">
        <f t="shared" si="6"/>
        <v>2.566666667</v>
      </c>
    </row>
    <row r="17">
      <c r="A17" s="147" t="s">
        <v>3753</v>
      </c>
      <c r="B17" s="147" t="s">
        <v>3754</v>
      </c>
      <c r="C17" s="147" t="s">
        <v>3675</v>
      </c>
      <c r="D17" s="147" t="s">
        <v>3676</v>
      </c>
      <c r="E17" s="147" t="s">
        <v>3755</v>
      </c>
      <c r="F17" s="148">
        <v>37.03333333333333</v>
      </c>
      <c r="G17" s="149">
        <f t="shared" si="1"/>
        <v>36.81666667</v>
      </c>
      <c r="H17" s="149">
        <f t="shared" si="2"/>
        <v>36.81666667</v>
      </c>
      <c r="I17" s="150">
        <f t="shared" si="3"/>
        <v>1.534027778</v>
      </c>
      <c r="J17" s="147" t="s">
        <v>3756</v>
      </c>
      <c r="K17" s="148">
        <f t="shared" si="4"/>
        <v>0.2166666667</v>
      </c>
      <c r="L17" s="152">
        <v>0.0059</v>
      </c>
      <c r="M17" s="147" t="s">
        <v>3757</v>
      </c>
      <c r="N17" s="148">
        <f t="shared" si="5"/>
        <v>25.11666667</v>
      </c>
      <c r="O17" s="147" t="s">
        <v>3758</v>
      </c>
      <c r="P17" s="148">
        <f t="shared" si="6"/>
        <v>11.7</v>
      </c>
    </row>
    <row r="18">
      <c r="A18" s="147" t="s">
        <v>3759</v>
      </c>
      <c r="B18" s="147" t="s">
        <v>1203</v>
      </c>
      <c r="C18" s="147" t="s">
        <v>3675</v>
      </c>
      <c r="D18" s="147" t="s">
        <v>3676</v>
      </c>
      <c r="E18" s="147" t="s">
        <v>3760</v>
      </c>
      <c r="F18" s="148">
        <v>37.36666666666667</v>
      </c>
      <c r="G18" s="149">
        <f t="shared" si="1"/>
        <v>37.15</v>
      </c>
      <c r="H18" s="149">
        <f t="shared" si="2"/>
        <v>37.13333333</v>
      </c>
      <c r="I18" s="150">
        <f t="shared" si="3"/>
        <v>1.547222222</v>
      </c>
      <c r="J18" s="147" t="s">
        <v>3756</v>
      </c>
      <c r="K18" s="148">
        <f t="shared" si="4"/>
        <v>0.2166666667</v>
      </c>
      <c r="L18" s="152">
        <v>0.006</v>
      </c>
      <c r="M18" s="147" t="s">
        <v>3761</v>
      </c>
      <c r="N18" s="148">
        <f t="shared" si="5"/>
        <v>30</v>
      </c>
      <c r="O18" s="147" t="s">
        <v>3762</v>
      </c>
      <c r="P18" s="148">
        <f t="shared" si="6"/>
        <v>7.133333333</v>
      </c>
    </row>
    <row r="19">
      <c r="A19" s="147" t="s">
        <v>3763</v>
      </c>
      <c r="B19" s="147" t="s">
        <v>3764</v>
      </c>
      <c r="C19" s="147" t="s">
        <v>3765</v>
      </c>
      <c r="D19" s="147" t="s">
        <v>3692</v>
      </c>
      <c r="E19" s="147" t="s">
        <v>3766</v>
      </c>
      <c r="F19" s="148">
        <v>43.53333333333333</v>
      </c>
      <c r="G19" s="149">
        <f t="shared" si="1"/>
        <v>43.53333333</v>
      </c>
      <c r="H19" s="149">
        <f t="shared" si="2"/>
        <v>43.53333333</v>
      </c>
      <c r="I19" s="150">
        <f t="shared" si="3"/>
        <v>1.813888889</v>
      </c>
      <c r="J19" s="147" t="s">
        <v>3678</v>
      </c>
      <c r="K19" s="151">
        <f t="shared" si="4"/>
        <v>0</v>
      </c>
      <c r="L19" s="147" t="s">
        <v>3678</v>
      </c>
      <c r="M19" s="147" t="s">
        <v>3767</v>
      </c>
      <c r="N19" s="151">
        <f t="shared" si="5"/>
        <v>38.86666667</v>
      </c>
      <c r="O19" s="147" t="s">
        <v>3768</v>
      </c>
      <c r="P19" s="151">
        <f t="shared" si="6"/>
        <v>4.666666667</v>
      </c>
    </row>
    <row r="20">
      <c r="A20" s="147" t="s">
        <v>3769</v>
      </c>
      <c r="B20" s="147" t="s">
        <v>3770</v>
      </c>
      <c r="C20" s="147" t="s">
        <v>3675</v>
      </c>
      <c r="D20" s="147" t="s">
        <v>3692</v>
      </c>
      <c r="E20" s="147" t="s">
        <v>3771</v>
      </c>
      <c r="F20" s="148">
        <v>40.93333333333333</v>
      </c>
      <c r="G20" s="149">
        <f t="shared" si="1"/>
        <v>40.93333333</v>
      </c>
      <c r="H20" s="149">
        <f t="shared" si="2"/>
        <v>40.93333333</v>
      </c>
      <c r="I20" s="150">
        <f t="shared" si="3"/>
        <v>1.705555556</v>
      </c>
      <c r="J20" s="147" t="s">
        <v>3678</v>
      </c>
      <c r="K20" s="151">
        <f t="shared" si="4"/>
        <v>0</v>
      </c>
      <c r="L20" s="147" t="s">
        <v>3678</v>
      </c>
      <c r="M20" s="147" t="s">
        <v>3772</v>
      </c>
      <c r="N20" s="151">
        <f t="shared" si="5"/>
        <v>38.38333333</v>
      </c>
      <c r="O20" s="147" t="s">
        <v>3773</v>
      </c>
      <c r="P20" s="151">
        <f t="shared" si="6"/>
        <v>2.55</v>
      </c>
    </row>
    <row r="21">
      <c r="A21" s="147" t="s">
        <v>3774</v>
      </c>
      <c r="B21" s="147" t="s">
        <v>3775</v>
      </c>
      <c r="C21" s="147" t="s">
        <v>3675</v>
      </c>
      <c r="D21" s="147" t="s">
        <v>3676</v>
      </c>
      <c r="E21" s="147" t="s">
        <v>3776</v>
      </c>
      <c r="F21" s="148">
        <v>0.9166666666666666</v>
      </c>
      <c r="G21" s="149">
        <f t="shared" si="1"/>
        <v>0.9166666667</v>
      </c>
      <c r="H21" s="149">
        <f t="shared" si="2"/>
        <v>0.9166666667</v>
      </c>
      <c r="I21" s="150">
        <f t="shared" si="3"/>
        <v>0.03819444444</v>
      </c>
      <c r="J21" s="147" t="s">
        <v>3678</v>
      </c>
      <c r="K21" s="151">
        <f t="shared" si="4"/>
        <v>0</v>
      </c>
      <c r="L21" s="147" t="s">
        <v>3678</v>
      </c>
      <c r="M21" s="147" t="s">
        <v>3777</v>
      </c>
      <c r="N21" s="151">
        <f t="shared" si="5"/>
        <v>0.4333333333</v>
      </c>
      <c r="O21" s="147" t="s">
        <v>3778</v>
      </c>
      <c r="P21" s="151">
        <f t="shared" si="6"/>
        <v>0.4833333333</v>
      </c>
    </row>
    <row r="22">
      <c r="A22" s="147" t="s">
        <v>3779</v>
      </c>
      <c r="B22" s="147" t="s">
        <v>194</v>
      </c>
      <c r="C22" s="147" t="s">
        <v>3675</v>
      </c>
      <c r="D22" s="147" t="s">
        <v>3676</v>
      </c>
      <c r="E22" s="147" t="s">
        <v>3780</v>
      </c>
      <c r="F22" s="148">
        <v>46.05</v>
      </c>
      <c r="G22" s="149">
        <f t="shared" si="1"/>
        <v>46.05</v>
      </c>
      <c r="H22" s="149">
        <f t="shared" si="2"/>
        <v>46.05</v>
      </c>
      <c r="I22" s="150">
        <f t="shared" si="3"/>
        <v>1.91875</v>
      </c>
      <c r="J22" s="147" t="s">
        <v>3678</v>
      </c>
      <c r="K22" s="151">
        <f t="shared" si="4"/>
        <v>0</v>
      </c>
      <c r="L22" s="147" t="s">
        <v>3678</v>
      </c>
      <c r="M22" s="147" t="s">
        <v>3781</v>
      </c>
      <c r="N22" s="151">
        <f t="shared" si="5"/>
        <v>43.08333333</v>
      </c>
      <c r="O22" s="147" t="s">
        <v>3782</v>
      </c>
      <c r="P22" s="151">
        <f t="shared" si="6"/>
        <v>2.966666667</v>
      </c>
    </row>
    <row r="23">
      <c r="A23" s="147" t="s">
        <v>3783</v>
      </c>
      <c r="B23" s="147" t="s">
        <v>3784</v>
      </c>
      <c r="C23" s="147" t="s">
        <v>3675</v>
      </c>
      <c r="D23" s="147" t="s">
        <v>3676</v>
      </c>
      <c r="E23" s="147" t="s">
        <v>3785</v>
      </c>
      <c r="F23" s="148">
        <v>1.15</v>
      </c>
      <c r="G23" s="149">
        <f t="shared" si="1"/>
        <v>1.15</v>
      </c>
      <c r="H23" s="149">
        <f t="shared" si="2"/>
        <v>1.133333333</v>
      </c>
      <c r="I23" s="150">
        <f t="shared" si="3"/>
        <v>0.04722222222</v>
      </c>
      <c r="J23" s="147" t="s">
        <v>3678</v>
      </c>
      <c r="K23" s="151">
        <f t="shared" si="4"/>
        <v>0</v>
      </c>
      <c r="L23" s="147" t="s">
        <v>3678</v>
      </c>
      <c r="M23" s="147" t="s">
        <v>3786</v>
      </c>
      <c r="N23" s="151">
        <f t="shared" si="5"/>
        <v>0.9333333333</v>
      </c>
      <c r="O23" s="147" t="s">
        <v>3787</v>
      </c>
      <c r="P23" s="151">
        <f t="shared" si="6"/>
        <v>0.2</v>
      </c>
    </row>
    <row r="24">
      <c r="A24" s="147" t="s">
        <v>3788</v>
      </c>
      <c r="B24" s="147" t="s">
        <v>3789</v>
      </c>
      <c r="C24" s="147" t="s">
        <v>3675</v>
      </c>
      <c r="D24" s="147" t="s">
        <v>3692</v>
      </c>
      <c r="E24" s="147" t="s">
        <v>3790</v>
      </c>
      <c r="F24" s="148">
        <v>40.166666666666664</v>
      </c>
      <c r="G24" s="149">
        <f t="shared" si="1"/>
        <v>40.16666667</v>
      </c>
      <c r="H24" s="149">
        <f t="shared" si="2"/>
        <v>40.15</v>
      </c>
      <c r="I24" s="150">
        <f t="shared" si="3"/>
        <v>1.672916667</v>
      </c>
      <c r="J24" s="147" t="s">
        <v>3678</v>
      </c>
      <c r="K24" s="151">
        <f t="shared" si="4"/>
        <v>0</v>
      </c>
      <c r="L24" s="147" t="s">
        <v>3678</v>
      </c>
      <c r="M24" s="147" t="s">
        <v>3791</v>
      </c>
      <c r="N24" s="151">
        <f t="shared" si="5"/>
        <v>25.66666667</v>
      </c>
      <c r="O24" s="147" t="s">
        <v>3792</v>
      </c>
      <c r="P24" s="151">
        <f t="shared" si="6"/>
        <v>14.48333333</v>
      </c>
    </row>
    <row r="25">
      <c r="A25" s="147" t="s">
        <v>3793</v>
      </c>
      <c r="B25" s="147" t="s">
        <v>177</v>
      </c>
      <c r="C25" s="147" t="s">
        <v>3675</v>
      </c>
      <c r="D25" s="147" t="s">
        <v>3794</v>
      </c>
      <c r="E25" s="147" t="s">
        <v>3795</v>
      </c>
      <c r="F25" s="148">
        <v>33.38333333333333</v>
      </c>
      <c r="G25" s="149">
        <f t="shared" si="1"/>
        <v>33.01666667</v>
      </c>
      <c r="H25" s="149">
        <f t="shared" si="2"/>
        <v>33</v>
      </c>
      <c r="I25" s="150">
        <f t="shared" si="3"/>
        <v>1.375</v>
      </c>
      <c r="J25" s="147" t="s">
        <v>3796</v>
      </c>
      <c r="K25" s="148">
        <f t="shared" si="4"/>
        <v>0.3666666667</v>
      </c>
      <c r="L25" s="152">
        <v>0.0113</v>
      </c>
      <c r="M25" s="147" t="s">
        <v>3797</v>
      </c>
      <c r="N25" s="148">
        <f t="shared" si="5"/>
        <v>24.18333333</v>
      </c>
      <c r="O25" s="147" t="s">
        <v>3798</v>
      </c>
      <c r="P25" s="148">
        <f t="shared" si="6"/>
        <v>8.816666667</v>
      </c>
    </row>
    <row r="26">
      <c r="A26" s="147" t="s">
        <v>3799</v>
      </c>
      <c r="B26" s="147" t="s">
        <v>1181</v>
      </c>
      <c r="C26" s="147" t="s">
        <v>3675</v>
      </c>
      <c r="D26" s="147" t="s">
        <v>3800</v>
      </c>
      <c r="E26" s="147" t="s">
        <v>3801</v>
      </c>
      <c r="F26" s="148">
        <v>42.88333333333333</v>
      </c>
      <c r="G26" s="149">
        <f t="shared" si="1"/>
        <v>42.88333333</v>
      </c>
      <c r="H26" s="149">
        <f t="shared" si="2"/>
        <v>42.86666667</v>
      </c>
      <c r="I26" s="150">
        <f t="shared" si="3"/>
        <v>1.786111111</v>
      </c>
      <c r="J26" s="147" t="s">
        <v>3678</v>
      </c>
      <c r="K26" s="151">
        <f t="shared" si="4"/>
        <v>0</v>
      </c>
      <c r="L26" s="147" t="s">
        <v>3678</v>
      </c>
      <c r="M26" s="147" t="s">
        <v>3802</v>
      </c>
      <c r="N26" s="151">
        <f t="shared" si="5"/>
        <v>22.76666667</v>
      </c>
      <c r="O26" s="147" t="s">
        <v>3803</v>
      </c>
      <c r="P26" s="151">
        <f t="shared" si="6"/>
        <v>20.1</v>
      </c>
    </row>
    <row r="27">
      <c r="A27" s="147" t="s">
        <v>3804</v>
      </c>
      <c r="B27" s="147" t="s">
        <v>3805</v>
      </c>
      <c r="C27" s="147" t="s">
        <v>3675</v>
      </c>
      <c r="D27" s="147" t="s">
        <v>3676</v>
      </c>
      <c r="E27" s="147" t="s">
        <v>3806</v>
      </c>
      <c r="F27" s="148">
        <v>0.8333333333333334</v>
      </c>
      <c r="G27" s="149">
        <f t="shared" si="1"/>
        <v>0.8333333333</v>
      </c>
      <c r="H27" s="149">
        <f t="shared" si="2"/>
        <v>0.8333333333</v>
      </c>
      <c r="I27" s="150">
        <f t="shared" si="3"/>
        <v>0.03472222222</v>
      </c>
      <c r="J27" s="147" t="s">
        <v>3678</v>
      </c>
      <c r="K27" s="151">
        <f t="shared" si="4"/>
        <v>0</v>
      </c>
      <c r="L27" s="147" t="s">
        <v>3678</v>
      </c>
      <c r="M27" s="147" t="s">
        <v>3807</v>
      </c>
      <c r="N27" s="151">
        <f t="shared" si="5"/>
        <v>0.4666666667</v>
      </c>
      <c r="O27" s="147" t="s">
        <v>3796</v>
      </c>
      <c r="P27" s="151">
        <f t="shared" si="6"/>
        <v>0.3666666667</v>
      </c>
    </row>
    <row r="28">
      <c r="A28" s="147" t="s">
        <v>3808</v>
      </c>
      <c r="B28" s="147" t="s">
        <v>3809</v>
      </c>
      <c r="C28" s="147" t="s">
        <v>3675</v>
      </c>
      <c r="D28" s="147" t="s">
        <v>3810</v>
      </c>
      <c r="E28" s="147" t="s">
        <v>3811</v>
      </c>
      <c r="F28" s="148">
        <v>40.4</v>
      </c>
      <c r="G28" s="149">
        <f t="shared" si="1"/>
        <v>39</v>
      </c>
      <c r="H28" s="149">
        <f t="shared" si="2"/>
        <v>39</v>
      </c>
      <c r="I28" s="150">
        <f t="shared" si="3"/>
        <v>1.625</v>
      </c>
      <c r="J28" s="147" t="s">
        <v>3812</v>
      </c>
      <c r="K28" s="148">
        <f t="shared" si="4"/>
        <v>1.4</v>
      </c>
      <c r="L28" s="152">
        <v>0.0348</v>
      </c>
      <c r="M28" s="147" t="s">
        <v>3813</v>
      </c>
      <c r="N28" s="148">
        <f t="shared" si="5"/>
        <v>23</v>
      </c>
      <c r="O28" s="147" t="s">
        <v>3814</v>
      </c>
      <c r="P28" s="148">
        <f t="shared" si="6"/>
        <v>16</v>
      </c>
    </row>
    <row r="29">
      <c r="A29" s="147" t="s">
        <v>3815</v>
      </c>
      <c r="B29" s="147" t="s">
        <v>602</v>
      </c>
      <c r="C29" s="147" t="s">
        <v>3675</v>
      </c>
      <c r="D29" s="147" t="s">
        <v>3676</v>
      </c>
      <c r="E29" s="147" t="s">
        <v>3816</v>
      </c>
      <c r="F29" s="148">
        <v>38.05</v>
      </c>
      <c r="G29" s="149">
        <f t="shared" si="1"/>
        <v>38.05</v>
      </c>
      <c r="H29" s="149">
        <f t="shared" si="2"/>
        <v>38.05</v>
      </c>
      <c r="I29" s="150">
        <f t="shared" si="3"/>
        <v>1.585416667</v>
      </c>
      <c r="J29" s="147" t="s">
        <v>3678</v>
      </c>
      <c r="K29" s="151">
        <f t="shared" si="4"/>
        <v>0</v>
      </c>
      <c r="L29" s="147" t="s">
        <v>3678</v>
      </c>
      <c r="M29" s="147" t="s">
        <v>3817</v>
      </c>
      <c r="N29" s="151">
        <f t="shared" si="5"/>
        <v>20.8</v>
      </c>
      <c r="O29" s="147" t="s">
        <v>3818</v>
      </c>
      <c r="P29" s="151">
        <f t="shared" si="6"/>
        <v>17.25</v>
      </c>
    </row>
    <row r="30">
      <c r="A30" s="147" t="s">
        <v>3819</v>
      </c>
      <c r="B30" s="147" t="s">
        <v>3820</v>
      </c>
      <c r="C30" s="147" t="s">
        <v>3675</v>
      </c>
      <c r="D30" s="147" t="s">
        <v>3676</v>
      </c>
      <c r="E30" s="147" t="s">
        <v>3821</v>
      </c>
      <c r="F30" s="148">
        <v>40.0</v>
      </c>
      <c r="G30" s="149">
        <f t="shared" si="1"/>
        <v>37.48333333</v>
      </c>
      <c r="H30" s="149">
        <f t="shared" si="2"/>
        <v>37.48333333</v>
      </c>
      <c r="I30" s="150">
        <f t="shared" si="3"/>
        <v>1.561805556</v>
      </c>
      <c r="J30" s="147" t="s">
        <v>3822</v>
      </c>
      <c r="K30" s="148">
        <f t="shared" si="4"/>
        <v>2.516666667</v>
      </c>
      <c r="L30" s="152">
        <v>0.063</v>
      </c>
      <c r="M30" s="147" t="s">
        <v>3823</v>
      </c>
      <c r="N30" s="148">
        <f t="shared" si="5"/>
        <v>27.76666667</v>
      </c>
      <c r="O30" s="147" t="s">
        <v>3824</v>
      </c>
      <c r="P30" s="148">
        <f t="shared" si="6"/>
        <v>9.716666667</v>
      </c>
    </row>
    <row r="31">
      <c r="A31" s="147" t="s">
        <v>3825</v>
      </c>
      <c r="B31" s="147" t="s">
        <v>3826</v>
      </c>
      <c r="C31" s="147" t="s">
        <v>3675</v>
      </c>
      <c r="D31" s="147" t="s">
        <v>3692</v>
      </c>
      <c r="E31" s="147" t="s">
        <v>3827</v>
      </c>
      <c r="F31" s="148">
        <v>40.8</v>
      </c>
      <c r="G31" s="149">
        <f t="shared" si="1"/>
        <v>40.8</v>
      </c>
      <c r="H31" s="149">
        <f t="shared" si="2"/>
        <v>40.8</v>
      </c>
      <c r="I31" s="150">
        <f t="shared" si="3"/>
        <v>1.7</v>
      </c>
      <c r="J31" s="147" t="s">
        <v>3678</v>
      </c>
      <c r="K31" s="151">
        <f t="shared" si="4"/>
        <v>0</v>
      </c>
      <c r="L31" s="147" t="s">
        <v>3678</v>
      </c>
      <c r="M31" s="147" t="s">
        <v>3828</v>
      </c>
      <c r="N31" s="151">
        <f t="shared" si="5"/>
        <v>38.65</v>
      </c>
      <c r="O31" s="147" t="s">
        <v>3829</v>
      </c>
      <c r="P31" s="151">
        <f t="shared" si="6"/>
        <v>2.15</v>
      </c>
    </row>
    <row r="32">
      <c r="A32" s="147" t="s">
        <v>3830</v>
      </c>
      <c r="B32" s="147" t="s">
        <v>3831</v>
      </c>
      <c r="C32" s="147" t="s">
        <v>3675</v>
      </c>
      <c r="D32" s="147" t="s">
        <v>3692</v>
      </c>
      <c r="E32" s="147" t="s">
        <v>3832</v>
      </c>
      <c r="F32" s="148">
        <v>40.56666666666667</v>
      </c>
      <c r="G32" s="149">
        <f t="shared" si="1"/>
        <v>40.56666667</v>
      </c>
      <c r="H32" s="149">
        <f t="shared" si="2"/>
        <v>40.56666667</v>
      </c>
      <c r="I32" s="150">
        <f t="shared" si="3"/>
        <v>1.690277778</v>
      </c>
      <c r="J32" s="147" t="s">
        <v>3678</v>
      </c>
      <c r="K32" s="151">
        <f t="shared" si="4"/>
        <v>0</v>
      </c>
      <c r="L32" s="147" t="s">
        <v>3678</v>
      </c>
      <c r="M32" s="147" t="s">
        <v>3833</v>
      </c>
      <c r="N32" s="151">
        <f t="shared" si="5"/>
        <v>37.38333333</v>
      </c>
      <c r="O32" s="147" t="s">
        <v>3834</v>
      </c>
      <c r="P32" s="151">
        <f t="shared" si="6"/>
        <v>3.183333333</v>
      </c>
    </row>
    <row r="33">
      <c r="A33" s="147" t="s">
        <v>3835</v>
      </c>
      <c r="B33" s="147" t="s">
        <v>3836</v>
      </c>
      <c r="C33" s="147" t="s">
        <v>3675</v>
      </c>
      <c r="D33" s="147" t="s">
        <v>3692</v>
      </c>
      <c r="E33" s="147" t="s">
        <v>3837</v>
      </c>
      <c r="F33" s="148">
        <v>38.166666666666664</v>
      </c>
      <c r="G33" s="149">
        <f t="shared" si="1"/>
        <v>38.16666667</v>
      </c>
      <c r="H33" s="149">
        <f t="shared" si="2"/>
        <v>38.15</v>
      </c>
      <c r="I33" s="150">
        <f t="shared" si="3"/>
        <v>1.589583333</v>
      </c>
      <c r="J33" s="147" t="s">
        <v>3678</v>
      </c>
      <c r="K33" s="151">
        <f t="shared" si="4"/>
        <v>0</v>
      </c>
      <c r="L33" s="147" t="s">
        <v>3678</v>
      </c>
      <c r="M33" s="147" t="s">
        <v>3838</v>
      </c>
      <c r="N33" s="151">
        <f t="shared" si="5"/>
        <v>25.31666667</v>
      </c>
      <c r="O33" s="147" t="s">
        <v>3839</v>
      </c>
      <c r="P33" s="151">
        <f t="shared" si="6"/>
        <v>12.83333333</v>
      </c>
    </row>
    <row r="34">
      <c r="A34" s="147" t="s">
        <v>3840</v>
      </c>
      <c r="B34" s="147" t="s">
        <v>462</v>
      </c>
      <c r="C34" s="147" t="s">
        <v>3675</v>
      </c>
      <c r="D34" s="147" t="s">
        <v>3676</v>
      </c>
      <c r="E34" s="147" t="s">
        <v>3841</v>
      </c>
      <c r="F34" s="148">
        <v>40.21666666666667</v>
      </c>
      <c r="G34" s="149">
        <f t="shared" si="1"/>
        <v>38.23333333</v>
      </c>
      <c r="H34" s="149">
        <f t="shared" si="2"/>
        <v>38.23333333</v>
      </c>
      <c r="I34" s="150">
        <f t="shared" si="3"/>
        <v>1.593055556</v>
      </c>
      <c r="J34" s="147" t="s">
        <v>3842</v>
      </c>
      <c r="K34" s="148">
        <f t="shared" si="4"/>
        <v>1.983333333</v>
      </c>
      <c r="L34" s="152">
        <v>0.0493</v>
      </c>
      <c r="M34" s="147" t="s">
        <v>3843</v>
      </c>
      <c r="N34" s="148">
        <f t="shared" si="5"/>
        <v>22.61666667</v>
      </c>
      <c r="O34" s="147" t="s">
        <v>3844</v>
      </c>
      <c r="P34" s="148">
        <f t="shared" si="6"/>
        <v>15.61666667</v>
      </c>
    </row>
    <row r="35">
      <c r="A35" s="147" t="s">
        <v>3845</v>
      </c>
      <c r="B35" s="147" t="s">
        <v>3846</v>
      </c>
      <c r="C35" s="147" t="s">
        <v>3675</v>
      </c>
      <c r="D35" s="147" t="s">
        <v>3692</v>
      </c>
      <c r="E35" s="147" t="s">
        <v>3737</v>
      </c>
      <c r="F35" s="148">
        <v>40.18333333333333</v>
      </c>
      <c r="G35" s="149">
        <f t="shared" si="1"/>
        <v>40.18333333</v>
      </c>
      <c r="H35" s="149">
        <f t="shared" si="2"/>
        <v>40.18333333</v>
      </c>
      <c r="I35" s="150">
        <f t="shared" si="3"/>
        <v>1.674305556</v>
      </c>
      <c r="J35" s="147" t="s">
        <v>3678</v>
      </c>
      <c r="K35" s="151">
        <f t="shared" si="4"/>
        <v>0</v>
      </c>
      <c r="L35" s="147" t="s">
        <v>3678</v>
      </c>
      <c r="M35" s="147" t="s">
        <v>3847</v>
      </c>
      <c r="N35" s="151">
        <f t="shared" si="5"/>
        <v>37.56666667</v>
      </c>
      <c r="O35" s="147" t="s">
        <v>3848</v>
      </c>
      <c r="P35" s="151">
        <f t="shared" si="6"/>
        <v>2.616666667</v>
      </c>
    </row>
    <row r="36">
      <c r="A36" s="147" t="s">
        <v>3849</v>
      </c>
      <c r="B36" s="147" t="s">
        <v>3850</v>
      </c>
      <c r="C36" s="147" t="s">
        <v>3675</v>
      </c>
      <c r="D36" s="147" t="s">
        <v>3676</v>
      </c>
      <c r="E36" s="147" t="s">
        <v>3851</v>
      </c>
      <c r="F36" s="148">
        <v>35.71666666666667</v>
      </c>
      <c r="G36" s="149">
        <f t="shared" si="1"/>
        <v>35.55</v>
      </c>
      <c r="H36" s="149">
        <f t="shared" si="2"/>
        <v>35.55</v>
      </c>
      <c r="I36" s="150">
        <f t="shared" si="3"/>
        <v>1.48125</v>
      </c>
      <c r="J36" s="147" t="s">
        <v>3724</v>
      </c>
      <c r="K36" s="148">
        <f t="shared" si="4"/>
        <v>0.1666666667</v>
      </c>
      <c r="L36" s="152">
        <v>0.0048</v>
      </c>
      <c r="M36" s="147" t="s">
        <v>3852</v>
      </c>
      <c r="N36" s="148">
        <f t="shared" si="5"/>
        <v>19.05</v>
      </c>
      <c r="O36" s="147" t="s">
        <v>3853</v>
      </c>
      <c r="P36" s="148">
        <f t="shared" si="6"/>
        <v>16.5</v>
      </c>
    </row>
    <row r="37">
      <c r="A37" s="147" t="s">
        <v>3854</v>
      </c>
      <c r="B37" s="147" t="s">
        <v>3855</v>
      </c>
      <c r="C37" s="147" t="s">
        <v>3675</v>
      </c>
      <c r="D37" s="147" t="s">
        <v>3692</v>
      </c>
      <c r="E37" s="147" t="s">
        <v>3856</v>
      </c>
      <c r="F37" s="148">
        <v>39.85</v>
      </c>
      <c r="G37" s="149">
        <f t="shared" si="1"/>
        <v>39.85</v>
      </c>
      <c r="H37" s="149">
        <f t="shared" si="2"/>
        <v>39.85</v>
      </c>
      <c r="I37" s="150">
        <f t="shared" si="3"/>
        <v>1.660416667</v>
      </c>
      <c r="J37" s="147" t="s">
        <v>3678</v>
      </c>
      <c r="K37" s="151">
        <f t="shared" si="4"/>
        <v>0</v>
      </c>
      <c r="L37" s="147" t="s">
        <v>3678</v>
      </c>
      <c r="M37" s="147" t="s">
        <v>3857</v>
      </c>
      <c r="N37" s="151">
        <f t="shared" si="5"/>
        <v>35.45</v>
      </c>
      <c r="O37" s="147" t="s">
        <v>3858</v>
      </c>
      <c r="P37" s="151">
        <f t="shared" si="6"/>
        <v>4.4</v>
      </c>
    </row>
    <row r="38">
      <c r="A38" s="147" t="s">
        <v>3859</v>
      </c>
      <c r="B38" s="147" t="s">
        <v>451</v>
      </c>
      <c r="C38" s="147" t="s">
        <v>3675</v>
      </c>
      <c r="D38" s="147" t="s">
        <v>3676</v>
      </c>
      <c r="E38" s="147" t="s">
        <v>3860</v>
      </c>
      <c r="F38" s="148">
        <v>49.6</v>
      </c>
      <c r="G38" s="149">
        <f t="shared" si="1"/>
        <v>49.6</v>
      </c>
      <c r="H38" s="149">
        <f t="shared" si="2"/>
        <v>49.6</v>
      </c>
      <c r="I38" s="150">
        <f t="shared" si="3"/>
        <v>2.066666667</v>
      </c>
      <c r="J38" s="147" t="s">
        <v>3678</v>
      </c>
      <c r="K38" s="151">
        <f t="shared" si="4"/>
        <v>0</v>
      </c>
      <c r="L38" s="147" t="s">
        <v>3678</v>
      </c>
      <c r="M38" s="147" t="s">
        <v>3861</v>
      </c>
      <c r="N38" s="151">
        <f t="shared" si="5"/>
        <v>24.73333333</v>
      </c>
      <c r="O38" s="147" t="s">
        <v>3732</v>
      </c>
      <c r="P38" s="151">
        <f t="shared" si="6"/>
        <v>24.86666667</v>
      </c>
    </row>
    <row r="39">
      <c r="A39" s="147" t="s">
        <v>3862</v>
      </c>
      <c r="B39" s="147" t="s">
        <v>1698</v>
      </c>
      <c r="C39" s="147" t="s">
        <v>3675</v>
      </c>
      <c r="D39" s="147" t="s">
        <v>3692</v>
      </c>
      <c r="E39" s="147" t="s">
        <v>3863</v>
      </c>
      <c r="F39" s="148">
        <v>40.833333333333336</v>
      </c>
      <c r="G39" s="149">
        <f t="shared" si="1"/>
        <v>40.8</v>
      </c>
      <c r="H39" s="149">
        <f t="shared" si="2"/>
        <v>40.78333333</v>
      </c>
      <c r="I39" s="150">
        <f t="shared" si="3"/>
        <v>1.699305556</v>
      </c>
      <c r="J39" s="147" t="s">
        <v>3864</v>
      </c>
      <c r="K39" s="148">
        <f t="shared" si="4"/>
        <v>0.03333333333</v>
      </c>
      <c r="L39" s="152">
        <v>0.0011</v>
      </c>
      <c r="M39" s="147" t="s">
        <v>3865</v>
      </c>
      <c r="N39" s="148">
        <f t="shared" si="5"/>
        <v>31.51666667</v>
      </c>
      <c r="O39" s="147" t="s">
        <v>3866</v>
      </c>
      <c r="P39" s="148">
        <f t="shared" si="6"/>
        <v>9.266666667</v>
      </c>
    </row>
    <row r="40">
      <c r="A40" s="147" t="s">
        <v>3867</v>
      </c>
      <c r="B40" s="147" t="s">
        <v>744</v>
      </c>
      <c r="C40" s="147" t="s">
        <v>3675</v>
      </c>
      <c r="D40" s="147" t="s">
        <v>3868</v>
      </c>
      <c r="E40" s="147" t="s">
        <v>3869</v>
      </c>
      <c r="F40" s="148">
        <v>42.03333333333333</v>
      </c>
      <c r="G40" s="149">
        <f t="shared" si="1"/>
        <v>41.56666667</v>
      </c>
      <c r="H40" s="149">
        <f t="shared" si="2"/>
        <v>41.55</v>
      </c>
      <c r="I40" s="150">
        <f t="shared" si="3"/>
        <v>1.73125</v>
      </c>
      <c r="J40" s="147" t="s">
        <v>3807</v>
      </c>
      <c r="K40" s="148">
        <f t="shared" si="4"/>
        <v>0.4666666667</v>
      </c>
      <c r="L40" s="152">
        <v>0.0114</v>
      </c>
      <c r="M40" s="147" t="s">
        <v>3870</v>
      </c>
      <c r="N40" s="148">
        <f t="shared" si="5"/>
        <v>23.33333333</v>
      </c>
      <c r="O40" s="147" t="s">
        <v>3871</v>
      </c>
      <c r="P40" s="148">
        <f t="shared" si="6"/>
        <v>18.21666667</v>
      </c>
    </row>
    <row r="41">
      <c r="A41" s="147" t="s">
        <v>3872</v>
      </c>
      <c r="B41" s="147" t="s">
        <v>3873</v>
      </c>
      <c r="C41" s="147" t="s">
        <v>3675</v>
      </c>
      <c r="D41" s="147" t="s">
        <v>3676</v>
      </c>
      <c r="E41" s="147" t="s">
        <v>3874</v>
      </c>
      <c r="F41" s="148">
        <v>21.666666666666668</v>
      </c>
      <c r="G41" s="149">
        <f t="shared" si="1"/>
        <v>21.66666667</v>
      </c>
      <c r="H41" s="149">
        <f t="shared" si="2"/>
        <v>21.65</v>
      </c>
      <c r="I41" s="150">
        <f t="shared" si="3"/>
        <v>0.9020833333</v>
      </c>
      <c r="J41" s="147" t="s">
        <v>3678</v>
      </c>
      <c r="K41" s="151">
        <f t="shared" si="4"/>
        <v>0</v>
      </c>
      <c r="L41" s="147" t="s">
        <v>3678</v>
      </c>
      <c r="M41" s="147" t="s">
        <v>3875</v>
      </c>
      <c r="N41" s="151">
        <f t="shared" si="5"/>
        <v>17.9</v>
      </c>
      <c r="O41" s="147" t="s">
        <v>3876</v>
      </c>
      <c r="P41" s="151">
        <f t="shared" si="6"/>
        <v>3.75</v>
      </c>
    </row>
    <row r="42">
      <c r="A42" s="147" t="s">
        <v>3877</v>
      </c>
      <c r="B42" s="147" t="s">
        <v>1819</v>
      </c>
      <c r="C42" s="147" t="s">
        <v>3675</v>
      </c>
      <c r="D42" s="147" t="s">
        <v>3692</v>
      </c>
      <c r="E42" s="147" t="s">
        <v>3878</v>
      </c>
      <c r="F42" s="148">
        <v>40.11666666666667</v>
      </c>
      <c r="G42" s="149">
        <f t="shared" si="1"/>
        <v>39.36666667</v>
      </c>
      <c r="H42" s="149">
        <f t="shared" si="2"/>
        <v>39.35</v>
      </c>
      <c r="I42" s="150">
        <f t="shared" si="3"/>
        <v>1.639583333</v>
      </c>
      <c r="J42" s="147" t="s">
        <v>3731</v>
      </c>
      <c r="K42" s="148">
        <f t="shared" si="4"/>
        <v>0.75</v>
      </c>
      <c r="L42" s="152">
        <v>0.0188</v>
      </c>
      <c r="M42" s="147" t="s">
        <v>3879</v>
      </c>
      <c r="N42" s="148">
        <f t="shared" si="5"/>
        <v>23.38333333</v>
      </c>
      <c r="O42" s="147" t="s">
        <v>3880</v>
      </c>
      <c r="P42" s="148">
        <f t="shared" si="6"/>
        <v>15.96666667</v>
      </c>
    </row>
    <row r="43">
      <c r="A43" s="147" t="s">
        <v>3881</v>
      </c>
      <c r="B43" s="147" t="s">
        <v>500</v>
      </c>
      <c r="C43" s="147" t="s">
        <v>3675</v>
      </c>
      <c r="D43" s="147" t="s">
        <v>3676</v>
      </c>
      <c r="E43" s="147" t="s">
        <v>3882</v>
      </c>
      <c r="F43" s="148">
        <v>35.25</v>
      </c>
      <c r="G43" s="149">
        <f t="shared" si="1"/>
        <v>35.25</v>
      </c>
      <c r="H43" s="149">
        <f t="shared" si="2"/>
        <v>35.25</v>
      </c>
      <c r="I43" s="150">
        <f t="shared" si="3"/>
        <v>1.46875</v>
      </c>
      <c r="J43" s="147" t="s">
        <v>3678</v>
      </c>
      <c r="K43" s="151">
        <f t="shared" si="4"/>
        <v>0</v>
      </c>
      <c r="L43" s="147" t="s">
        <v>3678</v>
      </c>
      <c r="M43" s="147" t="s">
        <v>3883</v>
      </c>
      <c r="N43" s="151">
        <f t="shared" si="5"/>
        <v>20.25</v>
      </c>
      <c r="O43" s="147" t="s">
        <v>3884</v>
      </c>
      <c r="P43" s="151">
        <f t="shared" si="6"/>
        <v>15</v>
      </c>
    </row>
    <row r="44">
      <c r="A44" s="147" t="s">
        <v>3885</v>
      </c>
      <c r="B44" s="147" t="s">
        <v>966</v>
      </c>
      <c r="C44" s="147" t="s">
        <v>3675</v>
      </c>
      <c r="D44" s="147" t="s">
        <v>3676</v>
      </c>
      <c r="E44" s="147" t="s">
        <v>3886</v>
      </c>
      <c r="F44" s="148">
        <v>39.05</v>
      </c>
      <c r="G44" s="149">
        <f t="shared" si="1"/>
        <v>38.23333333</v>
      </c>
      <c r="H44" s="149">
        <f t="shared" si="2"/>
        <v>38.21666667</v>
      </c>
      <c r="I44" s="150">
        <f t="shared" si="3"/>
        <v>1.592361111</v>
      </c>
      <c r="J44" s="147" t="s">
        <v>3887</v>
      </c>
      <c r="K44" s="148">
        <f t="shared" si="4"/>
        <v>0.8166666667</v>
      </c>
      <c r="L44" s="152">
        <v>0.0211</v>
      </c>
      <c r="M44" s="147" t="s">
        <v>3888</v>
      </c>
      <c r="N44" s="148">
        <f t="shared" si="5"/>
        <v>19.95</v>
      </c>
      <c r="O44" s="147" t="s">
        <v>3889</v>
      </c>
      <c r="P44" s="148">
        <f t="shared" si="6"/>
        <v>18.26666667</v>
      </c>
    </row>
    <row r="45">
      <c r="A45" s="147" t="s">
        <v>3890</v>
      </c>
      <c r="B45" s="147" t="s">
        <v>825</v>
      </c>
      <c r="C45" s="147" t="s">
        <v>3675</v>
      </c>
      <c r="D45" s="147" t="s">
        <v>3676</v>
      </c>
      <c r="E45" s="147" t="s">
        <v>3891</v>
      </c>
      <c r="F45" s="148">
        <v>36.1</v>
      </c>
      <c r="G45" s="149">
        <f t="shared" si="1"/>
        <v>35.33333333</v>
      </c>
      <c r="H45" s="149">
        <f t="shared" si="2"/>
        <v>35.3</v>
      </c>
      <c r="I45" s="150">
        <f t="shared" si="3"/>
        <v>1.470833333</v>
      </c>
      <c r="J45" s="147" t="s">
        <v>3892</v>
      </c>
      <c r="K45" s="148">
        <f t="shared" si="4"/>
        <v>0.7666666667</v>
      </c>
      <c r="L45" s="152">
        <v>0.0217</v>
      </c>
      <c r="M45" s="147" t="s">
        <v>3893</v>
      </c>
      <c r="N45" s="148">
        <f t="shared" si="5"/>
        <v>21.86666667</v>
      </c>
      <c r="O45" s="147" t="s">
        <v>3894</v>
      </c>
      <c r="P45" s="148">
        <f t="shared" si="6"/>
        <v>13.43333333</v>
      </c>
    </row>
    <row r="46">
      <c r="A46" s="147" t="s">
        <v>3895</v>
      </c>
      <c r="B46" s="147" t="s">
        <v>3896</v>
      </c>
      <c r="C46" s="147" t="s">
        <v>3675</v>
      </c>
      <c r="D46" s="147" t="s">
        <v>3676</v>
      </c>
      <c r="E46" s="147" t="s">
        <v>3897</v>
      </c>
      <c r="F46" s="148">
        <v>1.1</v>
      </c>
      <c r="G46" s="149">
        <f t="shared" si="1"/>
        <v>1.1</v>
      </c>
      <c r="H46" s="149">
        <f t="shared" si="2"/>
        <v>1.083333333</v>
      </c>
      <c r="I46" s="150">
        <f t="shared" si="3"/>
        <v>0.04513888889</v>
      </c>
      <c r="J46" s="147" t="s">
        <v>3678</v>
      </c>
      <c r="K46" s="151">
        <f t="shared" si="4"/>
        <v>0</v>
      </c>
      <c r="L46" s="147" t="s">
        <v>3678</v>
      </c>
      <c r="M46" s="147" t="s">
        <v>3898</v>
      </c>
      <c r="N46" s="151">
        <f t="shared" si="5"/>
        <v>1.033333333</v>
      </c>
      <c r="O46" s="147" t="s">
        <v>3899</v>
      </c>
      <c r="P46" s="151">
        <f t="shared" si="6"/>
        <v>0.05</v>
      </c>
    </row>
    <row r="47">
      <c r="A47" s="147" t="s">
        <v>3900</v>
      </c>
      <c r="B47" s="147" t="s">
        <v>3901</v>
      </c>
      <c r="C47" s="147" t="s">
        <v>3675</v>
      </c>
      <c r="D47" s="147" t="s">
        <v>3692</v>
      </c>
      <c r="E47" s="147" t="s">
        <v>3902</v>
      </c>
      <c r="F47" s="148">
        <v>30.466666666666665</v>
      </c>
      <c r="G47" s="149">
        <f t="shared" si="1"/>
        <v>30.46666667</v>
      </c>
      <c r="H47" s="149">
        <f t="shared" si="2"/>
        <v>30.46666667</v>
      </c>
      <c r="I47" s="150">
        <f t="shared" si="3"/>
        <v>1.269444444</v>
      </c>
      <c r="J47" s="147" t="s">
        <v>3678</v>
      </c>
      <c r="K47" s="151">
        <f t="shared" si="4"/>
        <v>0</v>
      </c>
      <c r="L47" s="147" t="s">
        <v>3678</v>
      </c>
      <c r="M47" s="147" t="s">
        <v>3903</v>
      </c>
      <c r="N47" s="151">
        <f t="shared" si="5"/>
        <v>29.1</v>
      </c>
      <c r="O47" s="147" t="s">
        <v>3904</v>
      </c>
      <c r="P47" s="151">
        <f t="shared" si="6"/>
        <v>1.366666667</v>
      </c>
    </row>
    <row r="48">
      <c r="A48" s="147" t="s">
        <v>3905</v>
      </c>
      <c r="B48" s="147" t="s">
        <v>178</v>
      </c>
      <c r="C48" s="147" t="s">
        <v>3675</v>
      </c>
      <c r="D48" s="147" t="s">
        <v>3686</v>
      </c>
      <c r="E48" s="147" t="s">
        <v>3906</v>
      </c>
      <c r="F48" s="148">
        <v>59.9</v>
      </c>
      <c r="G48" s="149">
        <f t="shared" si="1"/>
        <v>59.9</v>
      </c>
      <c r="H48" s="149">
        <f t="shared" si="2"/>
        <v>59.88333333</v>
      </c>
      <c r="I48" s="150">
        <f t="shared" si="3"/>
        <v>2.495138889</v>
      </c>
      <c r="J48" s="147" t="s">
        <v>3678</v>
      </c>
      <c r="K48" s="151">
        <f t="shared" si="4"/>
        <v>0</v>
      </c>
      <c r="L48" s="147" t="s">
        <v>3678</v>
      </c>
      <c r="M48" s="147" t="s">
        <v>3907</v>
      </c>
      <c r="N48" s="151">
        <f t="shared" si="5"/>
        <v>50.2</v>
      </c>
      <c r="O48" s="147" t="s">
        <v>3908</v>
      </c>
      <c r="P48" s="151">
        <f t="shared" si="6"/>
        <v>9.683333333</v>
      </c>
    </row>
    <row r="49">
      <c r="A49" s="147" t="s">
        <v>3909</v>
      </c>
      <c r="B49" s="147" t="s">
        <v>3910</v>
      </c>
      <c r="C49" s="147" t="s">
        <v>3675</v>
      </c>
      <c r="D49" s="147" t="s">
        <v>3911</v>
      </c>
      <c r="E49" s="147" t="s">
        <v>3912</v>
      </c>
      <c r="F49" s="148">
        <v>55.85</v>
      </c>
      <c r="G49" s="149">
        <f t="shared" si="1"/>
        <v>55.85</v>
      </c>
      <c r="H49" s="149">
        <f t="shared" si="2"/>
        <v>55.85</v>
      </c>
      <c r="I49" s="150">
        <f t="shared" si="3"/>
        <v>2.327083333</v>
      </c>
      <c r="J49" s="147" t="s">
        <v>3678</v>
      </c>
      <c r="K49" s="151">
        <f t="shared" si="4"/>
        <v>0</v>
      </c>
      <c r="L49" s="147" t="s">
        <v>3678</v>
      </c>
      <c r="M49" s="147" t="s">
        <v>3913</v>
      </c>
      <c r="N49" s="151">
        <f t="shared" si="5"/>
        <v>38.21666667</v>
      </c>
      <c r="O49" s="147" t="s">
        <v>3914</v>
      </c>
      <c r="P49" s="151">
        <f t="shared" si="6"/>
        <v>17.63333333</v>
      </c>
    </row>
    <row r="50">
      <c r="A50" s="147" t="s">
        <v>3915</v>
      </c>
      <c r="B50" s="147" t="s">
        <v>3916</v>
      </c>
      <c r="C50" s="147" t="s">
        <v>3675</v>
      </c>
      <c r="D50" s="147" t="s">
        <v>3709</v>
      </c>
      <c r="E50" s="147" t="s">
        <v>3917</v>
      </c>
      <c r="F50" s="148">
        <v>54.36666666666667</v>
      </c>
      <c r="G50" s="149">
        <f t="shared" si="1"/>
        <v>54.36666667</v>
      </c>
      <c r="H50" s="149">
        <f t="shared" si="2"/>
        <v>54.36666667</v>
      </c>
      <c r="I50" s="150">
        <f t="shared" si="3"/>
        <v>2.265277778</v>
      </c>
      <c r="J50" s="147" t="s">
        <v>3678</v>
      </c>
      <c r="K50" s="151">
        <f t="shared" si="4"/>
        <v>0</v>
      </c>
      <c r="L50" s="147" t="s">
        <v>3678</v>
      </c>
      <c r="M50" s="147" t="s">
        <v>3918</v>
      </c>
      <c r="N50" s="151">
        <f t="shared" si="5"/>
        <v>40.48333333</v>
      </c>
      <c r="O50" s="147" t="s">
        <v>3919</v>
      </c>
      <c r="P50" s="151">
        <f t="shared" si="6"/>
        <v>13.88333333</v>
      </c>
    </row>
    <row r="51">
      <c r="A51" s="147" t="s">
        <v>3920</v>
      </c>
      <c r="B51" s="147" t="s">
        <v>1149</v>
      </c>
      <c r="C51" s="147" t="s">
        <v>3675</v>
      </c>
      <c r="D51" s="147" t="s">
        <v>3676</v>
      </c>
      <c r="E51" s="147" t="s">
        <v>3921</v>
      </c>
      <c r="F51" s="148">
        <v>42.333333333333336</v>
      </c>
      <c r="G51" s="149">
        <f t="shared" si="1"/>
        <v>42.16666667</v>
      </c>
      <c r="H51" s="149">
        <f t="shared" si="2"/>
        <v>42.15</v>
      </c>
      <c r="I51" s="150">
        <f t="shared" si="3"/>
        <v>1.75625</v>
      </c>
      <c r="J51" s="147" t="s">
        <v>3724</v>
      </c>
      <c r="K51" s="148">
        <f t="shared" si="4"/>
        <v>0.1666666667</v>
      </c>
      <c r="L51" s="152">
        <v>0.0043</v>
      </c>
      <c r="M51" s="147" t="s">
        <v>3922</v>
      </c>
      <c r="N51" s="148">
        <f t="shared" si="5"/>
        <v>23.2</v>
      </c>
      <c r="O51" s="147" t="s">
        <v>3923</v>
      </c>
      <c r="P51" s="148">
        <f t="shared" si="6"/>
        <v>18.95</v>
      </c>
    </row>
    <row r="52">
      <c r="A52" s="147" t="s">
        <v>3924</v>
      </c>
      <c r="B52" s="147" t="s">
        <v>3925</v>
      </c>
      <c r="C52" s="147" t="s">
        <v>3675</v>
      </c>
      <c r="D52" s="147" t="s">
        <v>3709</v>
      </c>
      <c r="E52" s="147" t="s">
        <v>3926</v>
      </c>
      <c r="F52" s="148">
        <v>38.266666666666666</v>
      </c>
      <c r="G52" s="149">
        <f t="shared" si="1"/>
        <v>38.26666667</v>
      </c>
      <c r="H52" s="149">
        <f t="shared" si="2"/>
        <v>38.25</v>
      </c>
      <c r="I52" s="150">
        <f t="shared" si="3"/>
        <v>1.59375</v>
      </c>
      <c r="J52" s="147" t="s">
        <v>3678</v>
      </c>
      <c r="K52" s="151">
        <f t="shared" si="4"/>
        <v>0</v>
      </c>
      <c r="L52" s="147" t="s">
        <v>3678</v>
      </c>
      <c r="M52" s="147" t="s">
        <v>3927</v>
      </c>
      <c r="N52" s="151">
        <f t="shared" si="5"/>
        <v>34.43333333</v>
      </c>
      <c r="O52" s="147" t="s">
        <v>3928</v>
      </c>
      <c r="P52" s="151">
        <f t="shared" si="6"/>
        <v>3.816666667</v>
      </c>
    </row>
    <row r="53">
      <c r="A53" s="147" t="s">
        <v>3929</v>
      </c>
      <c r="B53" s="147" t="s">
        <v>299</v>
      </c>
      <c r="C53" s="147" t="s">
        <v>3675</v>
      </c>
      <c r="D53" s="147" t="s">
        <v>3709</v>
      </c>
      <c r="E53" s="147" t="s">
        <v>3930</v>
      </c>
      <c r="F53" s="148">
        <v>47.95</v>
      </c>
      <c r="G53" s="149">
        <f t="shared" si="1"/>
        <v>47.95</v>
      </c>
      <c r="H53" s="149">
        <f t="shared" si="2"/>
        <v>47.93333333</v>
      </c>
      <c r="I53" s="150">
        <f t="shared" si="3"/>
        <v>1.997222222</v>
      </c>
      <c r="J53" s="147" t="s">
        <v>3678</v>
      </c>
      <c r="K53" s="151">
        <f t="shared" si="4"/>
        <v>0</v>
      </c>
      <c r="L53" s="147" t="s">
        <v>3678</v>
      </c>
      <c r="M53" s="147" t="s">
        <v>3931</v>
      </c>
      <c r="N53" s="151">
        <f t="shared" si="5"/>
        <v>46.18333333</v>
      </c>
      <c r="O53" s="147" t="s">
        <v>3932</v>
      </c>
      <c r="P53" s="151">
        <f t="shared" si="6"/>
        <v>1.75</v>
      </c>
    </row>
    <row r="54">
      <c r="A54" s="147" t="s">
        <v>3933</v>
      </c>
      <c r="B54" s="147" t="s">
        <v>3934</v>
      </c>
      <c r="C54" s="147" t="s">
        <v>3675</v>
      </c>
      <c r="D54" s="147" t="s">
        <v>3676</v>
      </c>
      <c r="E54" s="147" t="s">
        <v>3935</v>
      </c>
      <c r="F54" s="148">
        <v>37.3</v>
      </c>
      <c r="G54" s="149">
        <f t="shared" si="1"/>
        <v>36.53333333</v>
      </c>
      <c r="H54" s="149">
        <f t="shared" si="2"/>
        <v>36.53333333</v>
      </c>
      <c r="I54" s="150">
        <f t="shared" si="3"/>
        <v>1.522222222</v>
      </c>
      <c r="J54" s="147" t="s">
        <v>3892</v>
      </c>
      <c r="K54" s="148">
        <f t="shared" si="4"/>
        <v>0.7666666667</v>
      </c>
      <c r="L54" s="152">
        <v>0.0205</v>
      </c>
      <c r="M54" s="147" t="s">
        <v>3936</v>
      </c>
      <c r="N54" s="148">
        <f t="shared" si="5"/>
        <v>19.78333333</v>
      </c>
      <c r="O54" s="147" t="s">
        <v>3937</v>
      </c>
      <c r="P54" s="148">
        <f t="shared" si="6"/>
        <v>16.75</v>
      </c>
    </row>
    <row r="55">
      <c r="A55" s="147" t="s">
        <v>3938</v>
      </c>
      <c r="B55" s="147" t="s">
        <v>250</v>
      </c>
      <c r="C55" s="147" t="s">
        <v>3675</v>
      </c>
      <c r="D55" s="147" t="s">
        <v>3939</v>
      </c>
      <c r="E55" s="147" t="s">
        <v>3940</v>
      </c>
      <c r="F55" s="148">
        <v>51.2</v>
      </c>
      <c r="G55" s="149">
        <f t="shared" si="1"/>
        <v>51.2</v>
      </c>
      <c r="H55" s="149">
        <f t="shared" si="2"/>
        <v>51.18333333</v>
      </c>
      <c r="I55" s="150">
        <f t="shared" si="3"/>
        <v>2.132638889</v>
      </c>
      <c r="J55" s="147" t="s">
        <v>3678</v>
      </c>
      <c r="K55" s="151">
        <f t="shared" si="4"/>
        <v>0</v>
      </c>
      <c r="L55" s="147" t="s">
        <v>3678</v>
      </c>
      <c r="M55" s="147" t="s">
        <v>3941</v>
      </c>
      <c r="N55" s="151">
        <f t="shared" si="5"/>
        <v>43.9</v>
      </c>
      <c r="O55" s="147" t="s">
        <v>3942</v>
      </c>
      <c r="P55" s="151">
        <f t="shared" si="6"/>
        <v>7.283333333</v>
      </c>
    </row>
    <row r="56">
      <c r="A56" s="147" t="s">
        <v>3943</v>
      </c>
      <c r="B56" s="147" t="s">
        <v>821</v>
      </c>
      <c r="C56" s="147" t="s">
        <v>3675</v>
      </c>
      <c r="D56" s="147" t="s">
        <v>3676</v>
      </c>
      <c r="E56" s="147" t="s">
        <v>3944</v>
      </c>
      <c r="F56" s="148">
        <v>36.45</v>
      </c>
      <c r="G56" s="149">
        <f t="shared" si="1"/>
        <v>33.93333333</v>
      </c>
      <c r="H56" s="149">
        <f t="shared" si="2"/>
        <v>33.91666667</v>
      </c>
      <c r="I56" s="150">
        <f t="shared" si="3"/>
        <v>1.413194444</v>
      </c>
      <c r="J56" s="147" t="s">
        <v>3822</v>
      </c>
      <c r="K56" s="148">
        <f t="shared" si="4"/>
        <v>2.516666667</v>
      </c>
      <c r="L56" s="152">
        <v>0.0694</v>
      </c>
      <c r="M56" s="147" t="s">
        <v>3945</v>
      </c>
      <c r="N56" s="148">
        <f t="shared" si="5"/>
        <v>14.36666667</v>
      </c>
      <c r="O56" s="147" t="s">
        <v>3946</v>
      </c>
      <c r="P56" s="148">
        <f t="shared" si="6"/>
        <v>19.55</v>
      </c>
    </row>
    <row r="57">
      <c r="A57" s="147" t="s">
        <v>3947</v>
      </c>
      <c r="B57" s="147" t="s">
        <v>3948</v>
      </c>
      <c r="C57" s="147" t="s">
        <v>3675</v>
      </c>
      <c r="D57" s="147" t="s">
        <v>3939</v>
      </c>
      <c r="E57" s="147" t="s">
        <v>3949</v>
      </c>
      <c r="F57" s="148">
        <v>41.666666666666664</v>
      </c>
      <c r="G57" s="149">
        <f t="shared" si="1"/>
        <v>40.98333333</v>
      </c>
      <c r="H57" s="149">
        <f t="shared" si="2"/>
        <v>40.96666667</v>
      </c>
      <c r="I57" s="150">
        <f t="shared" si="3"/>
        <v>1.706944444</v>
      </c>
      <c r="J57" s="147" t="s">
        <v>3704</v>
      </c>
      <c r="K57" s="148">
        <f t="shared" si="4"/>
        <v>0.6833333333</v>
      </c>
      <c r="L57" s="152">
        <v>0.0165</v>
      </c>
      <c r="M57" s="147" t="s">
        <v>3950</v>
      </c>
      <c r="N57" s="148">
        <f t="shared" si="5"/>
        <v>39.88333333</v>
      </c>
      <c r="O57" s="147" t="s">
        <v>3951</v>
      </c>
      <c r="P57" s="148">
        <f t="shared" si="6"/>
        <v>1.083333333</v>
      </c>
    </row>
    <row r="58">
      <c r="A58" s="147" t="s">
        <v>3952</v>
      </c>
      <c r="B58" s="147" t="s">
        <v>3953</v>
      </c>
      <c r="C58" s="147" t="s">
        <v>3765</v>
      </c>
      <c r="D58" s="147" t="s">
        <v>3954</v>
      </c>
      <c r="E58" s="147" t="s">
        <v>3955</v>
      </c>
      <c r="F58" s="148">
        <v>51.1</v>
      </c>
      <c r="G58" s="149">
        <f t="shared" si="1"/>
        <v>51.1</v>
      </c>
      <c r="H58" s="149">
        <f t="shared" si="2"/>
        <v>51.1</v>
      </c>
      <c r="I58" s="150">
        <f t="shared" si="3"/>
        <v>2.129166667</v>
      </c>
      <c r="J58" s="147" t="s">
        <v>3678</v>
      </c>
      <c r="K58" s="151">
        <f t="shared" si="4"/>
        <v>0</v>
      </c>
      <c r="L58" s="147" t="s">
        <v>3678</v>
      </c>
      <c r="M58" s="147" t="s">
        <v>3956</v>
      </c>
      <c r="N58" s="151">
        <f t="shared" si="5"/>
        <v>10.78333333</v>
      </c>
      <c r="O58" s="147" t="s">
        <v>3957</v>
      </c>
      <c r="P58" s="151">
        <f t="shared" si="6"/>
        <v>40.31666667</v>
      </c>
    </row>
    <row r="59">
      <c r="A59" s="147" t="s">
        <v>3958</v>
      </c>
      <c r="B59" s="147" t="s">
        <v>3959</v>
      </c>
      <c r="C59" s="147" t="s">
        <v>3675</v>
      </c>
      <c r="D59" s="147" t="s">
        <v>3692</v>
      </c>
      <c r="E59" s="147" t="s">
        <v>3960</v>
      </c>
      <c r="F59" s="148">
        <v>42.0</v>
      </c>
      <c r="G59" s="149">
        <f t="shared" si="1"/>
        <v>42</v>
      </c>
      <c r="H59" s="149">
        <f t="shared" si="2"/>
        <v>42</v>
      </c>
      <c r="I59" s="150">
        <f t="shared" si="3"/>
        <v>1.75</v>
      </c>
      <c r="J59" s="147" t="s">
        <v>3678</v>
      </c>
      <c r="K59" s="151">
        <f t="shared" si="4"/>
        <v>0</v>
      </c>
      <c r="L59" s="147" t="s">
        <v>3678</v>
      </c>
      <c r="M59" s="147" t="s">
        <v>3961</v>
      </c>
      <c r="N59" s="151">
        <f t="shared" si="5"/>
        <v>38.28333333</v>
      </c>
      <c r="O59" s="147" t="s">
        <v>3962</v>
      </c>
      <c r="P59" s="151">
        <f t="shared" si="6"/>
        <v>3.716666667</v>
      </c>
    </row>
    <row r="60">
      <c r="A60" s="147" t="s">
        <v>3963</v>
      </c>
      <c r="B60" s="147" t="s">
        <v>3964</v>
      </c>
      <c r="C60" s="147" t="s">
        <v>3675</v>
      </c>
      <c r="D60" s="147" t="s">
        <v>3676</v>
      </c>
      <c r="E60" s="147" t="s">
        <v>3965</v>
      </c>
      <c r="F60" s="148">
        <v>36.03333333333333</v>
      </c>
      <c r="G60" s="149">
        <f t="shared" si="1"/>
        <v>31.06666667</v>
      </c>
      <c r="H60" s="149">
        <f t="shared" si="2"/>
        <v>31.06666667</v>
      </c>
      <c r="I60" s="150">
        <f t="shared" si="3"/>
        <v>1.294444444</v>
      </c>
      <c r="J60" s="147" t="s">
        <v>3966</v>
      </c>
      <c r="K60" s="148">
        <f t="shared" si="4"/>
        <v>4.966666667</v>
      </c>
      <c r="L60" s="152">
        <v>0.1379</v>
      </c>
      <c r="M60" s="147" t="s">
        <v>3967</v>
      </c>
      <c r="N60" s="148">
        <f t="shared" si="5"/>
        <v>13.65</v>
      </c>
      <c r="O60" s="147" t="s">
        <v>3968</v>
      </c>
      <c r="P60" s="148">
        <f t="shared" si="6"/>
        <v>17.41666667</v>
      </c>
    </row>
    <row r="61">
      <c r="A61" s="147" t="s">
        <v>3969</v>
      </c>
      <c r="B61" s="147" t="s">
        <v>1901</v>
      </c>
      <c r="C61" s="147" t="s">
        <v>3675</v>
      </c>
      <c r="D61" s="147" t="s">
        <v>3676</v>
      </c>
      <c r="E61" s="147" t="s">
        <v>3970</v>
      </c>
      <c r="F61" s="148">
        <v>39.766666666666666</v>
      </c>
      <c r="G61" s="149">
        <f t="shared" si="1"/>
        <v>37.45</v>
      </c>
      <c r="H61" s="149">
        <f t="shared" si="2"/>
        <v>37.43333333</v>
      </c>
      <c r="I61" s="150">
        <f t="shared" si="3"/>
        <v>1.559722222</v>
      </c>
      <c r="J61" s="147" t="s">
        <v>3971</v>
      </c>
      <c r="K61" s="148">
        <f t="shared" si="4"/>
        <v>2.316666667</v>
      </c>
      <c r="L61" s="152">
        <v>0.0584</v>
      </c>
      <c r="M61" s="147" t="s">
        <v>3972</v>
      </c>
      <c r="N61" s="148">
        <f t="shared" si="5"/>
        <v>20.83333333</v>
      </c>
      <c r="O61" s="147" t="s">
        <v>3973</v>
      </c>
      <c r="P61" s="148">
        <f t="shared" si="6"/>
        <v>16.6</v>
      </c>
    </row>
    <row r="62">
      <c r="A62" s="147" t="s">
        <v>3974</v>
      </c>
      <c r="B62" s="147" t="s">
        <v>3975</v>
      </c>
      <c r="C62" s="147" t="s">
        <v>3675</v>
      </c>
      <c r="D62" s="147" t="s">
        <v>3692</v>
      </c>
      <c r="E62" s="147" t="s">
        <v>3976</v>
      </c>
      <c r="F62" s="148">
        <v>40.916666666666664</v>
      </c>
      <c r="G62" s="149">
        <f t="shared" si="1"/>
        <v>40.91666667</v>
      </c>
      <c r="H62" s="149">
        <f t="shared" si="2"/>
        <v>40.9</v>
      </c>
      <c r="I62" s="150">
        <f t="shared" si="3"/>
        <v>1.704166667</v>
      </c>
      <c r="J62" s="147" t="s">
        <v>3678</v>
      </c>
      <c r="K62" s="151">
        <f t="shared" si="4"/>
        <v>0</v>
      </c>
      <c r="L62" s="147" t="s">
        <v>3678</v>
      </c>
      <c r="M62" s="147" t="s">
        <v>3977</v>
      </c>
      <c r="N62" s="151">
        <f t="shared" si="5"/>
        <v>34.45</v>
      </c>
      <c r="O62" s="147" t="s">
        <v>3712</v>
      </c>
      <c r="P62" s="151">
        <f t="shared" si="6"/>
        <v>6.45</v>
      </c>
    </row>
    <row r="63">
      <c r="A63" s="147" t="s">
        <v>3978</v>
      </c>
      <c r="B63" s="147" t="s">
        <v>3979</v>
      </c>
      <c r="C63" s="147" t="s">
        <v>3675</v>
      </c>
      <c r="D63" s="147" t="s">
        <v>3980</v>
      </c>
      <c r="E63" s="147" t="s">
        <v>3981</v>
      </c>
      <c r="F63" s="148">
        <v>46.88333333333333</v>
      </c>
      <c r="G63" s="149">
        <f t="shared" si="1"/>
        <v>46.88333333</v>
      </c>
      <c r="H63" s="149">
        <f t="shared" si="2"/>
        <v>46.86666667</v>
      </c>
      <c r="I63" s="150">
        <f t="shared" si="3"/>
        <v>1.952777778</v>
      </c>
      <c r="J63" s="147" t="s">
        <v>3678</v>
      </c>
      <c r="K63" s="151">
        <f t="shared" si="4"/>
        <v>0</v>
      </c>
      <c r="L63" s="147" t="s">
        <v>3678</v>
      </c>
      <c r="M63" s="147" t="s">
        <v>3982</v>
      </c>
      <c r="N63" s="151">
        <f t="shared" si="5"/>
        <v>41.2</v>
      </c>
      <c r="O63" s="147" t="s">
        <v>3983</v>
      </c>
      <c r="P63" s="151">
        <f t="shared" si="6"/>
        <v>5.666666667</v>
      </c>
    </row>
    <row r="64">
      <c r="A64" s="147" t="s">
        <v>3984</v>
      </c>
      <c r="B64" s="147" t="s">
        <v>628</v>
      </c>
      <c r="C64" s="147" t="s">
        <v>3675</v>
      </c>
      <c r="D64" s="147" t="s">
        <v>3676</v>
      </c>
      <c r="E64" s="147" t="s">
        <v>3985</v>
      </c>
      <c r="F64" s="148">
        <v>49.28333333333333</v>
      </c>
      <c r="G64" s="149">
        <f t="shared" si="1"/>
        <v>43.93333333</v>
      </c>
      <c r="H64" s="149">
        <f t="shared" si="2"/>
        <v>43.91666667</v>
      </c>
      <c r="I64" s="150">
        <f t="shared" si="3"/>
        <v>1.829861111</v>
      </c>
      <c r="J64" s="147" t="s">
        <v>3986</v>
      </c>
      <c r="K64" s="148">
        <f t="shared" si="4"/>
        <v>5.35</v>
      </c>
      <c r="L64" s="152">
        <v>0.1086</v>
      </c>
      <c r="M64" s="147" t="s">
        <v>3987</v>
      </c>
      <c r="N64" s="148">
        <f t="shared" si="5"/>
        <v>17.65</v>
      </c>
      <c r="O64" s="147" t="s">
        <v>3988</v>
      </c>
      <c r="P64" s="148">
        <f t="shared" si="6"/>
        <v>26.26666667</v>
      </c>
    </row>
    <row r="65">
      <c r="A65" s="147" t="s">
        <v>3989</v>
      </c>
      <c r="B65" s="147" t="s">
        <v>3990</v>
      </c>
      <c r="C65" s="147" t="s">
        <v>3675</v>
      </c>
      <c r="D65" s="147" t="s">
        <v>3676</v>
      </c>
      <c r="E65" s="147" t="s">
        <v>3991</v>
      </c>
      <c r="F65" s="148">
        <v>3.3166666666666664</v>
      </c>
      <c r="G65" s="149">
        <f t="shared" si="1"/>
        <v>3.316666667</v>
      </c>
      <c r="H65" s="149">
        <f t="shared" si="2"/>
        <v>3.316666667</v>
      </c>
      <c r="I65" s="150">
        <f t="shared" si="3"/>
        <v>0.1381944444</v>
      </c>
      <c r="J65" s="147" t="s">
        <v>3678</v>
      </c>
      <c r="K65" s="151">
        <f t="shared" si="4"/>
        <v>0</v>
      </c>
      <c r="L65" s="147" t="s">
        <v>3678</v>
      </c>
      <c r="M65" s="147" t="s">
        <v>3992</v>
      </c>
      <c r="N65" s="151">
        <f t="shared" si="5"/>
        <v>2.583333333</v>
      </c>
      <c r="O65" s="147" t="s">
        <v>3993</v>
      </c>
      <c r="P65" s="151">
        <f t="shared" si="6"/>
        <v>0.7333333333</v>
      </c>
    </row>
    <row r="66">
      <c r="A66" s="147" t="s">
        <v>3994</v>
      </c>
      <c r="B66" s="147" t="s">
        <v>3995</v>
      </c>
      <c r="C66" s="147" t="s">
        <v>3675</v>
      </c>
      <c r="D66" s="147" t="s">
        <v>3692</v>
      </c>
      <c r="E66" s="147" t="s">
        <v>3693</v>
      </c>
      <c r="F66" s="148">
        <v>42.13333333333333</v>
      </c>
      <c r="G66" s="149">
        <f t="shared" si="1"/>
        <v>42.13333333</v>
      </c>
      <c r="H66" s="149">
        <f t="shared" si="2"/>
        <v>42.11666667</v>
      </c>
      <c r="I66" s="150">
        <f t="shared" si="3"/>
        <v>1.754861111</v>
      </c>
      <c r="J66" s="147" t="s">
        <v>3678</v>
      </c>
      <c r="K66" s="151">
        <f t="shared" si="4"/>
        <v>0</v>
      </c>
      <c r="L66" s="147" t="s">
        <v>3678</v>
      </c>
      <c r="M66" s="147" t="s">
        <v>3996</v>
      </c>
      <c r="N66" s="151">
        <f t="shared" si="5"/>
        <v>33.21666667</v>
      </c>
      <c r="O66" s="147" t="s">
        <v>3997</v>
      </c>
      <c r="P66" s="151">
        <f t="shared" si="6"/>
        <v>8.9</v>
      </c>
    </row>
    <row r="67">
      <c r="A67" s="147" t="s">
        <v>3998</v>
      </c>
      <c r="B67" s="147" t="s">
        <v>3999</v>
      </c>
      <c r="C67" s="147" t="s">
        <v>3675</v>
      </c>
      <c r="D67" s="147" t="s">
        <v>3676</v>
      </c>
      <c r="E67" s="147" t="s">
        <v>4000</v>
      </c>
      <c r="F67" s="148">
        <v>35.016666666666666</v>
      </c>
      <c r="G67" s="149">
        <f t="shared" si="1"/>
        <v>35.01666667</v>
      </c>
      <c r="H67" s="149">
        <f t="shared" si="2"/>
        <v>35</v>
      </c>
      <c r="I67" s="150">
        <f t="shared" si="3"/>
        <v>1.458333333</v>
      </c>
      <c r="J67" s="147" t="s">
        <v>3678</v>
      </c>
      <c r="K67" s="151">
        <f t="shared" si="4"/>
        <v>0</v>
      </c>
      <c r="L67" s="147" t="s">
        <v>3678</v>
      </c>
      <c r="M67" s="147" t="s">
        <v>4001</v>
      </c>
      <c r="N67" s="151">
        <f t="shared" si="5"/>
        <v>21.18333333</v>
      </c>
      <c r="O67" s="147" t="s">
        <v>4002</v>
      </c>
      <c r="P67" s="151">
        <f t="shared" si="6"/>
        <v>13.81666667</v>
      </c>
    </row>
    <row r="68">
      <c r="A68" s="147" t="s">
        <v>4003</v>
      </c>
      <c r="B68" s="147" t="s">
        <v>4004</v>
      </c>
      <c r="C68" s="147" t="s">
        <v>3675</v>
      </c>
      <c r="D68" s="147" t="s">
        <v>3676</v>
      </c>
      <c r="E68" s="147" t="s">
        <v>4005</v>
      </c>
      <c r="F68" s="148">
        <v>41.016666666666666</v>
      </c>
      <c r="G68" s="149">
        <f t="shared" si="1"/>
        <v>41.01666667</v>
      </c>
      <c r="H68" s="149">
        <f t="shared" si="2"/>
        <v>41.01666667</v>
      </c>
      <c r="I68" s="150">
        <f t="shared" si="3"/>
        <v>1.709027778</v>
      </c>
      <c r="J68" s="147" t="s">
        <v>3678</v>
      </c>
      <c r="K68" s="151">
        <f t="shared" si="4"/>
        <v>0</v>
      </c>
      <c r="L68" s="147" t="s">
        <v>3678</v>
      </c>
      <c r="M68" s="147" t="s">
        <v>4006</v>
      </c>
      <c r="N68" s="151">
        <f t="shared" si="5"/>
        <v>33.56666667</v>
      </c>
      <c r="O68" s="147" t="s">
        <v>4007</v>
      </c>
      <c r="P68" s="151">
        <f t="shared" si="6"/>
        <v>7.45</v>
      </c>
    </row>
    <row r="69">
      <c r="A69" s="147" t="s">
        <v>4008</v>
      </c>
      <c r="B69" s="147" t="s">
        <v>4009</v>
      </c>
      <c r="C69" s="147" t="s">
        <v>3675</v>
      </c>
      <c r="D69" s="147" t="s">
        <v>3709</v>
      </c>
      <c r="E69" s="147" t="s">
        <v>4010</v>
      </c>
      <c r="F69" s="148">
        <v>52.8</v>
      </c>
      <c r="G69" s="149">
        <f t="shared" si="1"/>
        <v>50.71666667</v>
      </c>
      <c r="H69" s="149">
        <f t="shared" si="2"/>
        <v>50.71666667</v>
      </c>
      <c r="I69" s="150">
        <f t="shared" si="3"/>
        <v>2.113194444</v>
      </c>
      <c r="J69" s="147" t="s">
        <v>4011</v>
      </c>
      <c r="K69" s="148">
        <f t="shared" si="4"/>
        <v>2.083333333</v>
      </c>
      <c r="L69" s="152">
        <v>0.0395</v>
      </c>
      <c r="M69" s="147" t="s">
        <v>4012</v>
      </c>
      <c r="N69" s="148">
        <f t="shared" si="5"/>
        <v>33.96666667</v>
      </c>
      <c r="O69" s="147" t="s">
        <v>3937</v>
      </c>
      <c r="P69" s="148">
        <f t="shared" si="6"/>
        <v>16.75</v>
      </c>
    </row>
    <row r="70">
      <c r="A70" s="147" t="s">
        <v>4013</v>
      </c>
      <c r="B70" s="147" t="s">
        <v>4014</v>
      </c>
      <c r="C70" s="147" t="s">
        <v>3675</v>
      </c>
      <c r="D70" s="147" t="s">
        <v>3692</v>
      </c>
      <c r="E70" s="147" t="s">
        <v>4015</v>
      </c>
      <c r="F70" s="148">
        <v>39.7</v>
      </c>
      <c r="G70" s="149">
        <f t="shared" si="1"/>
        <v>39.7</v>
      </c>
      <c r="H70" s="149">
        <f t="shared" si="2"/>
        <v>39.7</v>
      </c>
      <c r="I70" s="150">
        <f t="shared" si="3"/>
        <v>1.654166667</v>
      </c>
      <c r="J70" s="147" t="s">
        <v>3678</v>
      </c>
      <c r="K70" s="151">
        <f t="shared" si="4"/>
        <v>0</v>
      </c>
      <c r="L70" s="147" t="s">
        <v>3678</v>
      </c>
      <c r="M70" s="147" t="s">
        <v>4016</v>
      </c>
      <c r="N70" s="151">
        <f t="shared" si="5"/>
        <v>34.68333333</v>
      </c>
      <c r="O70" s="147" t="s">
        <v>4017</v>
      </c>
      <c r="P70" s="151">
        <f t="shared" si="6"/>
        <v>5.016666667</v>
      </c>
    </row>
    <row r="71">
      <c r="A71" s="147" t="s">
        <v>4018</v>
      </c>
      <c r="B71" s="147" t="s">
        <v>4019</v>
      </c>
      <c r="C71" s="147" t="s">
        <v>3675</v>
      </c>
      <c r="D71" s="147" t="s">
        <v>3692</v>
      </c>
      <c r="E71" s="147" t="s">
        <v>3821</v>
      </c>
      <c r="F71" s="148">
        <v>40.0</v>
      </c>
      <c r="G71" s="149">
        <f t="shared" si="1"/>
        <v>40</v>
      </c>
      <c r="H71" s="149">
        <f t="shared" si="2"/>
        <v>40</v>
      </c>
      <c r="I71" s="150">
        <f t="shared" si="3"/>
        <v>1.666666667</v>
      </c>
      <c r="J71" s="147" t="s">
        <v>3678</v>
      </c>
      <c r="K71" s="151">
        <f t="shared" si="4"/>
        <v>0</v>
      </c>
      <c r="L71" s="147" t="s">
        <v>3678</v>
      </c>
      <c r="M71" s="147" t="s">
        <v>4020</v>
      </c>
      <c r="N71" s="151">
        <f t="shared" si="5"/>
        <v>26.88333333</v>
      </c>
      <c r="O71" s="147" t="s">
        <v>4021</v>
      </c>
      <c r="P71" s="151">
        <f t="shared" si="6"/>
        <v>13.11666667</v>
      </c>
    </row>
    <row r="72">
      <c r="A72" s="147" t="s">
        <v>4022</v>
      </c>
      <c r="B72" s="147" t="s">
        <v>4023</v>
      </c>
      <c r="C72" s="147" t="s">
        <v>3675</v>
      </c>
      <c r="D72" s="147" t="s">
        <v>3939</v>
      </c>
      <c r="E72" s="147" t="s">
        <v>4024</v>
      </c>
      <c r="F72" s="148">
        <v>47.916666666666664</v>
      </c>
      <c r="G72" s="149">
        <f t="shared" si="1"/>
        <v>47.91666667</v>
      </c>
      <c r="H72" s="149">
        <f t="shared" si="2"/>
        <v>47.91666667</v>
      </c>
      <c r="I72" s="150">
        <f t="shared" si="3"/>
        <v>1.996527778</v>
      </c>
      <c r="J72" s="147" t="s">
        <v>3678</v>
      </c>
      <c r="K72" s="151">
        <f t="shared" si="4"/>
        <v>0</v>
      </c>
      <c r="L72" s="147" t="s">
        <v>3678</v>
      </c>
      <c r="M72" s="147" t="s">
        <v>4025</v>
      </c>
      <c r="N72" s="151">
        <f t="shared" si="5"/>
        <v>36.33333333</v>
      </c>
      <c r="O72" s="147" t="s">
        <v>4026</v>
      </c>
      <c r="P72" s="151">
        <f t="shared" si="6"/>
        <v>11.58333333</v>
      </c>
    </row>
    <row r="73">
      <c r="A73" s="147" t="s">
        <v>4027</v>
      </c>
      <c r="B73" s="147" t="s">
        <v>297</v>
      </c>
      <c r="C73" s="147" t="s">
        <v>3675</v>
      </c>
      <c r="D73" s="147" t="s">
        <v>4028</v>
      </c>
      <c r="E73" s="147" t="s">
        <v>4029</v>
      </c>
      <c r="F73" s="148">
        <v>49.81666666666667</v>
      </c>
      <c r="G73" s="149">
        <f t="shared" si="1"/>
        <v>49.81666667</v>
      </c>
      <c r="H73" s="149">
        <f t="shared" si="2"/>
        <v>49.81666667</v>
      </c>
      <c r="I73" s="150">
        <f t="shared" si="3"/>
        <v>2.075694444</v>
      </c>
      <c r="J73" s="147" t="s">
        <v>3678</v>
      </c>
      <c r="K73" s="151">
        <f t="shared" si="4"/>
        <v>0</v>
      </c>
      <c r="L73" s="147" t="s">
        <v>3678</v>
      </c>
      <c r="M73" s="147" t="s">
        <v>4030</v>
      </c>
      <c r="N73" s="151">
        <f t="shared" si="5"/>
        <v>29.56666667</v>
      </c>
      <c r="O73" s="147" t="s">
        <v>3883</v>
      </c>
      <c r="P73" s="151">
        <f t="shared" si="6"/>
        <v>20.25</v>
      </c>
    </row>
    <row r="74">
      <c r="A74" s="147" t="s">
        <v>4031</v>
      </c>
      <c r="B74" s="147" t="s">
        <v>4032</v>
      </c>
      <c r="C74" s="147" t="s">
        <v>3675</v>
      </c>
      <c r="D74" s="147" t="s">
        <v>4033</v>
      </c>
      <c r="E74" s="147" t="s">
        <v>4034</v>
      </c>
      <c r="F74" s="148">
        <v>62.233333333333334</v>
      </c>
      <c r="G74" s="149">
        <f t="shared" si="1"/>
        <v>62.23333333</v>
      </c>
      <c r="H74" s="149">
        <f t="shared" si="2"/>
        <v>62.23333333</v>
      </c>
      <c r="I74" s="150">
        <f t="shared" si="3"/>
        <v>2.593055556</v>
      </c>
      <c r="J74" s="147" t="s">
        <v>3678</v>
      </c>
      <c r="K74" s="151">
        <f t="shared" si="4"/>
        <v>0</v>
      </c>
      <c r="L74" s="147" t="s">
        <v>3678</v>
      </c>
      <c r="M74" s="147" t="s">
        <v>4035</v>
      </c>
      <c r="N74" s="151">
        <f t="shared" si="5"/>
        <v>38.9</v>
      </c>
      <c r="O74" s="147" t="s">
        <v>3870</v>
      </c>
      <c r="P74" s="151">
        <f t="shared" si="6"/>
        <v>23.33333333</v>
      </c>
    </row>
    <row r="75">
      <c r="A75" s="147" t="s">
        <v>4036</v>
      </c>
      <c r="B75" s="147" t="s">
        <v>4037</v>
      </c>
      <c r="C75" s="147" t="s">
        <v>3765</v>
      </c>
      <c r="D75" s="147" t="s">
        <v>3954</v>
      </c>
      <c r="E75" s="147" t="s">
        <v>4038</v>
      </c>
      <c r="F75" s="148">
        <v>60.2</v>
      </c>
      <c r="G75" s="149">
        <f t="shared" si="1"/>
        <v>60.2</v>
      </c>
      <c r="H75" s="149">
        <f t="shared" si="2"/>
        <v>60.2</v>
      </c>
      <c r="I75" s="150">
        <f t="shared" si="3"/>
        <v>2.508333333</v>
      </c>
      <c r="J75" s="147" t="s">
        <v>3678</v>
      </c>
      <c r="K75" s="151">
        <f t="shared" si="4"/>
        <v>0</v>
      </c>
      <c r="L75" s="147" t="s">
        <v>3678</v>
      </c>
      <c r="M75" s="147" t="s">
        <v>4039</v>
      </c>
      <c r="N75" s="151">
        <f t="shared" si="5"/>
        <v>0</v>
      </c>
      <c r="O75" s="147" t="s">
        <v>4038</v>
      </c>
      <c r="P75" s="151">
        <f t="shared" si="6"/>
        <v>60.2</v>
      </c>
    </row>
    <row r="76">
      <c r="A76" s="147" t="s">
        <v>4040</v>
      </c>
      <c r="B76" s="147" t="s">
        <v>1863</v>
      </c>
      <c r="C76" s="147" t="s">
        <v>3675</v>
      </c>
      <c r="D76" s="147" t="s">
        <v>3692</v>
      </c>
      <c r="E76" s="147" t="s">
        <v>4041</v>
      </c>
      <c r="F76" s="148">
        <v>36.5</v>
      </c>
      <c r="G76" s="149">
        <f t="shared" si="1"/>
        <v>35.85</v>
      </c>
      <c r="H76" s="149">
        <f t="shared" si="2"/>
        <v>35.85</v>
      </c>
      <c r="I76" s="150">
        <f t="shared" si="3"/>
        <v>1.49375</v>
      </c>
      <c r="J76" s="147" t="s">
        <v>4042</v>
      </c>
      <c r="K76" s="148">
        <f t="shared" si="4"/>
        <v>0.65</v>
      </c>
      <c r="L76" s="152">
        <v>0.0178</v>
      </c>
      <c r="M76" s="147" t="s">
        <v>4043</v>
      </c>
      <c r="N76" s="148">
        <f t="shared" si="5"/>
        <v>25.01666667</v>
      </c>
      <c r="O76" s="147" t="s">
        <v>4044</v>
      </c>
      <c r="P76" s="148">
        <f t="shared" si="6"/>
        <v>10.83333333</v>
      </c>
    </row>
    <row r="77">
      <c r="A77" s="147" t="s">
        <v>4045</v>
      </c>
      <c r="B77" s="147" t="s">
        <v>1179</v>
      </c>
      <c r="C77" s="147" t="s">
        <v>3675</v>
      </c>
      <c r="D77" s="147" t="s">
        <v>3676</v>
      </c>
      <c r="E77" s="147" t="s">
        <v>4046</v>
      </c>
      <c r="F77" s="148">
        <v>40.016666666666666</v>
      </c>
      <c r="G77" s="149">
        <f t="shared" si="1"/>
        <v>40.01666667</v>
      </c>
      <c r="H77" s="149">
        <f t="shared" si="2"/>
        <v>40.01666667</v>
      </c>
      <c r="I77" s="150">
        <f t="shared" si="3"/>
        <v>1.667361111</v>
      </c>
      <c r="J77" s="147" t="s">
        <v>3678</v>
      </c>
      <c r="K77" s="151">
        <f t="shared" si="4"/>
        <v>0</v>
      </c>
      <c r="L77" s="147" t="s">
        <v>3678</v>
      </c>
      <c r="M77" s="147" t="s">
        <v>4047</v>
      </c>
      <c r="N77" s="151">
        <f t="shared" si="5"/>
        <v>22.25</v>
      </c>
      <c r="O77" s="147" t="s">
        <v>4048</v>
      </c>
      <c r="P77" s="151">
        <f t="shared" si="6"/>
        <v>17.76666667</v>
      </c>
    </row>
    <row r="78">
      <c r="A78" s="147" t="s">
        <v>4049</v>
      </c>
      <c r="B78" s="147" t="s">
        <v>4050</v>
      </c>
      <c r="C78" s="147" t="s">
        <v>3675</v>
      </c>
      <c r="D78" s="147" t="s">
        <v>3692</v>
      </c>
      <c r="E78" s="147" t="s">
        <v>4051</v>
      </c>
      <c r="F78" s="148">
        <v>43.56666666666667</v>
      </c>
      <c r="G78" s="149">
        <f t="shared" si="1"/>
        <v>43.56666667</v>
      </c>
      <c r="H78" s="149">
        <f t="shared" si="2"/>
        <v>43.55</v>
      </c>
      <c r="I78" s="150">
        <f t="shared" si="3"/>
        <v>1.814583333</v>
      </c>
      <c r="J78" s="147" t="s">
        <v>3678</v>
      </c>
      <c r="K78" s="151">
        <f t="shared" si="4"/>
        <v>0</v>
      </c>
      <c r="L78" s="147" t="s">
        <v>3678</v>
      </c>
      <c r="M78" s="147" t="s">
        <v>4052</v>
      </c>
      <c r="N78" s="151">
        <f t="shared" si="5"/>
        <v>43</v>
      </c>
      <c r="O78" s="147" t="s">
        <v>4053</v>
      </c>
      <c r="P78" s="151">
        <f t="shared" si="6"/>
        <v>0.55</v>
      </c>
    </row>
    <row r="79">
      <c r="A79" s="147" t="s">
        <v>4054</v>
      </c>
      <c r="B79" s="147" t="s">
        <v>4055</v>
      </c>
      <c r="C79" s="147" t="s">
        <v>3675</v>
      </c>
      <c r="D79" s="147" t="s">
        <v>4056</v>
      </c>
      <c r="E79" s="147" t="s">
        <v>4057</v>
      </c>
      <c r="F79" s="148">
        <v>5.316666666666666</v>
      </c>
      <c r="G79" s="149">
        <f t="shared" si="1"/>
        <v>5.116666667</v>
      </c>
      <c r="H79" s="149">
        <f t="shared" si="2"/>
        <v>5.1</v>
      </c>
      <c r="I79" s="150">
        <f t="shared" si="3"/>
        <v>0.2125</v>
      </c>
      <c r="J79" s="147" t="s">
        <v>3787</v>
      </c>
      <c r="K79" s="148">
        <f t="shared" si="4"/>
        <v>0.2</v>
      </c>
      <c r="L79" s="152">
        <v>0.0391</v>
      </c>
      <c r="M79" s="147" t="s">
        <v>4058</v>
      </c>
      <c r="N79" s="148">
        <f t="shared" si="5"/>
        <v>4.816666667</v>
      </c>
      <c r="O79" s="147" t="s">
        <v>4059</v>
      </c>
      <c r="P79" s="148">
        <f t="shared" si="6"/>
        <v>0.2833333333</v>
      </c>
    </row>
    <row r="80">
      <c r="A80" s="147" t="s">
        <v>4060</v>
      </c>
      <c r="B80" s="147" t="s">
        <v>4061</v>
      </c>
      <c r="C80" s="147" t="s">
        <v>3675</v>
      </c>
      <c r="D80" s="147" t="s">
        <v>3686</v>
      </c>
      <c r="E80" s="147" t="s">
        <v>4062</v>
      </c>
      <c r="F80" s="148">
        <v>6.6</v>
      </c>
      <c r="G80" s="149">
        <f t="shared" si="1"/>
        <v>6.6</v>
      </c>
      <c r="H80" s="149">
        <f t="shared" si="2"/>
        <v>6.6</v>
      </c>
      <c r="I80" s="150">
        <f t="shared" si="3"/>
        <v>0.275</v>
      </c>
      <c r="J80" s="147" t="s">
        <v>3678</v>
      </c>
      <c r="K80" s="151">
        <f t="shared" si="4"/>
        <v>0</v>
      </c>
      <c r="L80" s="147" t="s">
        <v>3678</v>
      </c>
      <c r="M80" s="147" t="s">
        <v>4063</v>
      </c>
      <c r="N80" s="151">
        <f t="shared" si="5"/>
        <v>6.516666667</v>
      </c>
      <c r="O80" s="147" t="s">
        <v>4064</v>
      </c>
      <c r="P80" s="151">
        <f t="shared" si="6"/>
        <v>0.08333333333</v>
      </c>
    </row>
    <row r="81">
      <c r="A81" s="147" t="s">
        <v>4065</v>
      </c>
      <c r="B81" s="147" t="s">
        <v>1183</v>
      </c>
      <c r="C81" s="147" t="s">
        <v>3675</v>
      </c>
      <c r="D81" s="147" t="s">
        <v>3676</v>
      </c>
      <c r="E81" s="147" t="s">
        <v>4066</v>
      </c>
      <c r="F81" s="148">
        <v>37.016666666666666</v>
      </c>
      <c r="G81" s="149">
        <f t="shared" si="1"/>
        <v>37.01666667</v>
      </c>
      <c r="H81" s="149">
        <f t="shared" si="2"/>
        <v>37</v>
      </c>
      <c r="I81" s="150">
        <f t="shared" si="3"/>
        <v>1.541666667</v>
      </c>
      <c r="J81" s="147" t="s">
        <v>3678</v>
      </c>
      <c r="K81" s="151">
        <f t="shared" si="4"/>
        <v>0</v>
      </c>
      <c r="L81" s="147" t="s">
        <v>3678</v>
      </c>
      <c r="M81" s="147" t="s">
        <v>4067</v>
      </c>
      <c r="N81" s="151">
        <f t="shared" si="5"/>
        <v>26.03333333</v>
      </c>
      <c r="O81" s="147" t="s">
        <v>4068</v>
      </c>
      <c r="P81" s="151">
        <f t="shared" si="6"/>
        <v>10.96666667</v>
      </c>
    </row>
    <row r="82">
      <c r="A82" s="147" t="s">
        <v>4069</v>
      </c>
      <c r="B82" s="147" t="s">
        <v>1994</v>
      </c>
      <c r="C82" s="147" t="s">
        <v>3675</v>
      </c>
      <c r="D82" s="147" t="s">
        <v>3692</v>
      </c>
      <c r="E82" s="147" t="s">
        <v>3982</v>
      </c>
      <c r="F82" s="148">
        <v>41.2</v>
      </c>
      <c r="G82" s="149">
        <f t="shared" si="1"/>
        <v>41.2</v>
      </c>
      <c r="H82" s="149">
        <f t="shared" si="2"/>
        <v>41.2</v>
      </c>
      <c r="I82" s="150">
        <f t="shared" si="3"/>
        <v>1.716666667</v>
      </c>
      <c r="J82" s="147" t="s">
        <v>3678</v>
      </c>
      <c r="K82" s="151">
        <f t="shared" si="4"/>
        <v>0</v>
      </c>
      <c r="L82" s="147" t="s">
        <v>3678</v>
      </c>
      <c r="M82" s="147" t="s">
        <v>4070</v>
      </c>
      <c r="N82" s="151">
        <f t="shared" si="5"/>
        <v>29.06666667</v>
      </c>
      <c r="O82" s="147" t="s">
        <v>4071</v>
      </c>
      <c r="P82" s="151">
        <f t="shared" si="6"/>
        <v>12.13333333</v>
      </c>
    </row>
    <row r="83">
      <c r="A83" s="147" t="s">
        <v>4072</v>
      </c>
      <c r="B83" s="147" t="s">
        <v>4073</v>
      </c>
      <c r="C83" s="147" t="s">
        <v>3675</v>
      </c>
      <c r="D83" s="147" t="s">
        <v>3676</v>
      </c>
      <c r="E83" s="147" t="s">
        <v>4074</v>
      </c>
      <c r="F83" s="148">
        <v>40.15</v>
      </c>
      <c r="G83" s="149">
        <f t="shared" si="1"/>
        <v>39.66666667</v>
      </c>
      <c r="H83" s="149">
        <f t="shared" si="2"/>
        <v>39.65</v>
      </c>
      <c r="I83" s="150">
        <f t="shared" si="3"/>
        <v>1.652083333</v>
      </c>
      <c r="J83" s="147" t="s">
        <v>3778</v>
      </c>
      <c r="K83" s="148">
        <f t="shared" si="4"/>
        <v>0.4833333333</v>
      </c>
      <c r="L83" s="152">
        <v>0.0123</v>
      </c>
      <c r="M83" s="147" t="s">
        <v>4075</v>
      </c>
      <c r="N83" s="148">
        <f t="shared" si="5"/>
        <v>32.61666667</v>
      </c>
      <c r="O83" s="147" t="s">
        <v>4076</v>
      </c>
      <c r="P83" s="148">
        <f t="shared" si="6"/>
        <v>7.033333333</v>
      </c>
    </row>
    <row r="84">
      <c r="A84" s="147" t="s">
        <v>4077</v>
      </c>
      <c r="B84" s="147" t="s">
        <v>4078</v>
      </c>
      <c r="C84" s="147" t="s">
        <v>3675</v>
      </c>
      <c r="D84" s="147" t="s">
        <v>3676</v>
      </c>
      <c r="E84" s="147" t="s">
        <v>3776</v>
      </c>
      <c r="F84" s="148">
        <v>0.9166666666666666</v>
      </c>
      <c r="G84" s="149">
        <f t="shared" si="1"/>
        <v>0.9166666667</v>
      </c>
      <c r="H84" s="149">
        <f t="shared" si="2"/>
        <v>0.9</v>
      </c>
      <c r="I84" s="150">
        <f t="shared" si="3"/>
        <v>0.0375</v>
      </c>
      <c r="J84" s="147" t="s">
        <v>3678</v>
      </c>
      <c r="K84" s="151">
        <f t="shared" si="4"/>
        <v>0</v>
      </c>
      <c r="L84" s="147" t="s">
        <v>3678</v>
      </c>
      <c r="M84" s="147" t="s">
        <v>4079</v>
      </c>
      <c r="N84" s="151">
        <f t="shared" si="5"/>
        <v>0.5</v>
      </c>
      <c r="O84" s="147" t="s">
        <v>4080</v>
      </c>
      <c r="P84" s="151">
        <f t="shared" si="6"/>
        <v>0.4</v>
      </c>
    </row>
    <row r="85">
      <c r="A85" s="147" t="s">
        <v>4081</v>
      </c>
      <c r="B85" s="147" t="s">
        <v>4082</v>
      </c>
      <c r="C85" s="147" t="s">
        <v>3675</v>
      </c>
      <c r="D85" s="147" t="s">
        <v>3729</v>
      </c>
      <c r="E85" s="147" t="s">
        <v>4083</v>
      </c>
      <c r="F85" s="148">
        <v>40.43333333333333</v>
      </c>
      <c r="G85" s="149">
        <f t="shared" si="1"/>
        <v>40.43333333</v>
      </c>
      <c r="H85" s="149">
        <f t="shared" si="2"/>
        <v>40.43333333</v>
      </c>
      <c r="I85" s="150">
        <f t="shared" si="3"/>
        <v>1.684722222</v>
      </c>
      <c r="J85" s="147" t="s">
        <v>3678</v>
      </c>
      <c r="K85" s="151">
        <f t="shared" si="4"/>
        <v>0</v>
      </c>
      <c r="L85" s="147" t="s">
        <v>3678</v>
      </c>
      <c r="M85" s="147" t="s">
        <v>4084</v>
      </c>
      <c r="N85" s="151">
        <f t="shared" si="5"/>
        <v>29.35</v>
      </c>
      <c r="O85" s="147" t="s">
        <v>4085</v>
      </c>
      <c r="P85" s="151">
        <f t="shared" si="6"/>
        <v>11.08333333</v>
      </c>
    </row>
    <row r="86">
      <c r="A86" s="147" t="s">
        <v>4086</v>
      </c>
      <c r="B86" s="147" t="s">
        <v>852</v>
      </c>
      <c r="C86" s="147" t="s">
        <v>3675</v>
      </c>
      <c r="D86" s="147" t="s">
        <v>3676</v>
      </c>
      <c r="E86" s="147" t="s">
        <v>4087</v>
      </c>
      <c r="F86" s="148">
        <v>41.35</v>
      </c>
      <c r="G86" s="149">
        <f t="shared" si="1"/>
        <v>41.35</v>
      </c>
      <c r="H86" s="149">
        <f t="shared" si="2"/>
        <v>41.33333333</v>
      </c>
      <c r="I86" s="150">
        <f t="shared" si="3"/>
        <v>1.722222222</v>
      </c>
      <c r="J86" s="147" t="s">
        <v>3678</v>
      </c>
      <c r="K86" s="151">
        <f t="shared" si="4"/>
        <v>0</v>
      </c>
      <c r="L86" s="147" t="s">
        <v>3678</v>
      </c>
      <c r="M86" s="147" t="s">
        <v>4088</v>
      </c>
      <c r="N86" s="151">
        <f t="shared" si="5"/>
        <v>34.33333333</v>
      </c>
      <c r="O86" s="147" t="s">
        <v>4089</v>
      </c>
      <c r="P86" s="151">
        <f t="shared" si="6"/>
        <v>7</v>
      </c>
    </row>
    <row r="87">
      <c r="A87" s="147" t="s">
        <v>4090</v>
      </c>
      <c r="B87" s="147" t="s">
        <v>4091</v>
      </c>
      <c r="C87" s="147" t="s">
        <v>3675</v>
      </c>
      <c r="D87" s="147" t="s">
        <v>3692</v>
      </c>
      <c r="E87" s="147" t="s">
        <v>4092</v>
      </c>
      <c r="F87" s="148">
        <v>30.183333333333334</v>
      </c>
      <c r="G87" s="149">
        <f t="shared" si="1"/>
        <v>30.18333333</v>
      </c>
      <c r="H87" s="149">
        <f t="shared" si="2"/>
        <v>30.18333333</v>
      </c>
      <c r="I87" s="150">
        <f t="shared" si="3"/>
        <v>1.257638889</v>
      </c>
      <c r="J87" s="147" t="s">
        <v>3678</v>
      </c>
      <c r="K87" s="151">
        <f t="shared" si="4"/>
        <v>0</v>
      </c>
      <c r="L87" s="147" t="s">
        <v>3678</v>
      </c>
      <c r="M87" s="147" t="s">
        <v>4093</v>
      </c>
      <c r="N87" s="151">
        <f t="shared" si="5"/>
        <v>25.73333333</v>
      </c>
      <c r="O87" s="147" t="s">
        <v>4094</v>
      </c>
      <c r="P87" s="151">
        <f t="shared" si="6"/>
        <v>4.45</v>
      </c>
    </row>
    <row r="88">
      <c r="A88" s="147" t="s">
        <v>4095</v>
      </c>
      <c r="B88" s="147" t="s">
        <v>2743</v>
      </c>
      <c r="C88" s="147" t="s">
        <v>3675</v>
      </c>
      <c r="D88" s="147" t="s">
        <v>3676</v>
      </c>
      <c r="E88" s="147" t="s">
        <v>4096</v>
      </c>
      <c r="F88" s="148">
        <v>47.86666666666667</v>
      </c>
      <c r="G88" s="149">
        <f t="shared" si="1"/>
        <v>47.7</v>
      </c>
      <c r="H88" s="149">
        <f t="shared" si="2"/>
        <v>47.68333333</v>
      </c>
      <c r="I88" s="150">
        <f t="shared" si="3"/>
        <v>1.986805556</v>
      </c>
      <c r="J88" s="147" t="s">
        <v>3724</v>
      </c>
      <c r="K88" s="148">
        <f t="shared" si="4"/>
        <v>0.1666666667</v>
      </c>
      <c r="L88" s="152">
        <v>0.0036</v>
      </c>
      <c r="M88" s="147" t="s">
        <v>4097</v>
      </c>
      <c r="N88" s="148">
        <f t="shared" si="5"/>
        <v>22.63333333</v>
      </c>
      <c r="O88" s="147" t="s">
        <v>4098</v>
      </c>
      <c r="P88" s="148">
        <f t="shared" si="6"/>
        <v>25.05</v>
      </c>
    </row>
    <row r="89">
      <c r="A89" s="147" t="s">
        <v>4099</v>
      </c>
      <c r="B89" s="147" t="s">
        <v>431</v>
      </c>
      <c r="C89" s="147" t="s">
        <v>3675</v>
      </c>
      <c r="D89" s="147" t="s">
        <v>3676</v>
      </c>
      <c r="E89" s="147" t="s">
        <v>4100</v>
      </c>
      <c r="F89" s="148">
        <v>37.2</v>
      </c>
      <c r="G89" s="149">
        <f t="shared" si="1"/>
        <v>37.2</v>
      </c>
      <c r="H89" s="149">
        <f t="shared" si="2"/>
        <v>37.2</v>
      </c>
      <c r="I89" s="150">
        <f t="shared" si="3"/>
        <v>1.55</v>
      </c>
      <c r="J89" s="147" t="s">
        <v>3678</v>
      </c>
      <c r="K89" s="151">
        <f t="shared" si="4"/>
        <v>0</v>
      </c>
      <c r="L89" s="147" t="s">
        <v>3678</v>
      </c>
      <c r="M89" s="147" t="s">
        <v>4101</v>
      </c>
      <c r="N89" s="151">
        <f t="shared" si="5"/>
        <v>28.91666667</v>
      </c>
      <c r="O89" s="147" t="s">
        <v>4102</v>
      </c>
      <c r="P89" s="151">
        <f t="shared" si="6"/>
        <v>8.283333333</v>
      </c>
    </row>
    <row r="90">
      <c r="A90" s="147" t="s">
        <v>4103</v>
      </c>
      <c r="B90" s="147" t="s">
        <v>161</v>
      </c>
      <c r="C90" s="147" t="s">
        <v>3675</v>
      </c>
      <c r="D90" s="147" t="s">
        <v>3686</v>
      </c>
      <c r="E90" s="147" t="s">
        <v>4104</v>
      </c>
      <c r="F90" s="148">
        <v>65.0</v>
      </c>
      <c r="G90" s="149">
        <f t="shared" si="1"/>
        <v>65</v>
      </c>
      <c r="H90" s="149">
        <f t="shared" si="2"/>
        <v>65</v>
      </c>
      <c r="I90" s="150">
        <f t="shared" si="3"/>
        <v>2.708333333</v>
      </c>
      <c r="J90" s="147" t="s">
        <v>3678</v>
      </c>
      <c r="K90" s="151">
        <f t="shared" si="4"/>
        <v>0</v>
      </c>
      <c r="L90" s="147" t="s">
        <v>3678</v>
      </c>
      <c r="M90" s="147" t="s">
        <v>4105</v>
      </c>
      <c r="N90" s="151">
        <f t="shared" si="5"/>
        <v>48.23333333</v>
      </c>
      <c r="O90" s="147" t="s">
        <v>4106</v>
      </c>
      <c r="P90" s="151">
        <f t="shared" si="6"/>
        <v>16.76666667</v>
      </c>
    </row>
    <row r="91">
      <c r="A91" s="147" t="s">
        <v>4107</v>
      </c>
      <c r="B91" s="147" t="s">
        <v>4108</v>
      </c>
      <c r="C91" s="147" t="s">
        <v>3675</v>
      </c>
      <c r="D91" s="147" t="s">
        <v>3954</v>
      </c>
      <c r="E91" s="147" t="s">
        <v>4109</v>
      </c>
      <c r="F91" s="148">
        <v>30.65</v>
      </c>
      <c r="G91" s="149">
        <f t="shared" si="1"/>
        <v>30.65</v>
      </c>
      <c r="H91" s="149">
        <f t="shared" si="2"/>
        <v>30.63333333</v>
      </c>
      <c r="I91" s="150">
        <f t="shared" si="3"/>
        <v>1.276388889</v>
      </c>
      <c r="J91" s="147" t="s">
        <v>3678</v>
      </c>
      <c r="K91" s="151">
        <f t="shared" si="4"/>
        <v>0</v>
      </c>
      <c r="L91" s="147" t="s">
        <v>3678</v>
      </c>
      <c r="M91" s="147" t="s">
        <v>4110</v>
      </c>
      <c r="N91" s="151">
        <f t="shared" si="5"/>
        <v>6.433333333</v>
      </c>
      <c r="O91" s="147" t="s">
        <v>4111</v>
      </c>
      <c r="P91" s="151">
        <f t="shared" si="6"/>
        <v>24.2</v>
      </c>
    </row>
    <row r="92">
      <c r="A92" s="147" t="s">
        <v>4112</v>
      </c>
      <c r="B92" s="147" t="s">
        <v>4113</v>
      </c>
      <c r="C92" s="147" t="s">
        <v>3675</v>
      </c>
      <c r="D92" s="147" t="s">
        <v>3628</v>
      </c>
      <c r="E92" s="147" t="s">
        <v>4114</v>
      </c>
      <c r="F92" s="148">
        <v>40.6</v>
      </c>
      <c r="G92" s="149">
        <f t="shared" si="1"/>
        <v>40.18333333</v>
      </c>
      <c r="H92" s="149">
        <f t="shared" si="2"/>
        <v>40.16666667</v>
      </c>
      <c r="I92" s="150">
        <f t="shared" si="3"/>
        <v>1.673611111</v>
      </c>
      <c r="J92" s="147" t="s">
        <v>4115</v>
      </c>
      <c r="K92" s="148">
        <f t="shared" si="4"/>
        <v>0.4166666667</v>
      </c>
      <c r="L92" s="152">
        <v>0.0104</v>
      </c>
      <c r="M92" s="147" t="s">
        <v>4116</v>
      </c>
      <c r="N92" s="148">
        <f t="shared" si="5"/>
        <v>13.5</v>
      </c>
      <c r="O92" s="147" t="s">
        <v>4117</v>
      </c>
      <c r="P92" s="148">
        <f t="shared" si="6"/>
        <v>26.66666667</v>
      </c>
    </row>
    <row r="93">
      <c r="A93" s="147" t="s">
        <v>4118</v>
      </c>
      <c r="B93" s="147" t="s">
        <v>684</v>
      </c>
      <c r="C93" s="147" t="s">
        <v>3675</v>
      </c>
      <c r="D93" s="147" t="s">
        <v>3676</v>
      </c>
      <c r="E93" s="147" t="s">
        <v>4119</v>
      </c>
      <c r="F93" s="148">
        <v>49.13333333333333</v>
      </c>
      <c r="G93" s="149">
        <f t="shared" si="1"/>
        <v>49.13333333</v>
      </c>
      <c r="H93" s="149">
        <f t="shared" si="2"/>
        <v>49.11666667</v>
      </c>
      <c r="I93" s="150">
        <f t="shared" si="3"/>
        <v>2.046527778</v>
      </c>
      <c r="J93" s="147" t="s">
        <v>3678</v>
      </c>
      <c r="K93" s="151">
        <f t="shared" si="4"/>
        <v>0</v>
      </c>
      <c r="L93" s="147" t="s">
        <v>3678</v>
      </c>
      <c r="M93" s="147" t="s">
        <v>4120</v>
      </c>
      <c r="N93" s="151">
        <f t="shared" si="5"/>
        <v>33</v>
      </c>
      <c r="O93" s="147" t="s">
        <v>4121</v>
      </c>
      <c r="P93" s="151">
        <f t="shared" si="6"/>
        <v>16.11666667</v>
      </c>
    </row>
    <row r="94">
      <c r="A94" s="147" t="s">
        <v>4122</v>
      </c>
      <c r="B94" s="147" t="s">
        <v>4123</v>
      </c>
      <c r="C94" s="147" t="s">
        <v>3675</v>
      </c>
      <c r="D94" s="147" t="s">
        <v>4124</v>
      </c>
      <c r="E94" s="147" t="s">
        <v>4125</v>
      </c>
      <c r="F94" s="148">
        <v>59.333333333333336</v>
      </c>
      <c r="G94" s="149">
        <f t="shared" si="1"/>
        <v>59.33333333</v>
      </c>
      <c r="H94" s="149">
        <f t="shared" si="2"/>
        <v>59.31666667</v>
      </c>
      <c r="I94" s="150">
        <f t="shared" si="3"/>
        <v>2.471527778</v>
      </c>
      <c r="J94" s="147" t="s">
        <v>3678</v>
      </c>
      <c r="K94" s="151">
        <f t="shared" si="4"/>
        <v>0</v>
      </c>
      <c r="L94" s="147" t="s">
        <v>3678</v>
      </c>
      <c r="M94" s="147" t="s">
        <v>4126</v>
      </c>
      <c r="N94" s="151">
        <f t="shared" si="5"/>
        <v>46.21666667</v>
      </c>
      <c r="O94" s="147" t="s">
        <v>4127</v>
      </c>
      <c r="P94" s="151">
        <f t="shared" si="6"/>
        <v>13.1</v>
      </c>
    </row>
    <row r="95">
      <c r="A95" s="147" t="s">
        <v>4128</v>
      </c>
      <c r="B95" s="147" t="s">
        <v>1143</v>
      </c>
      <c r="C95" s="147" t="s">
        <v>3675</v>
      </c>
      <c r="D95" s="147" t="s">
        <v>3676</v>
      </c>
      <c r="E95" s="147" t="s">
        <v>4129</v>
      </c>
      <c r="F95" s="148">
        <v>42.233333333333334</v>
      </c>
      <c r="G95" s="149">
        <f t="shared" si="1"/>
        <v>42.23333333</v>
      </c>
      <c r="H95" s="149">
        <f t="shared" si="2"/>
        <v>42.23333333</v>
      </c>
      <c r="I95" s="150">
        <f t="shared" si="3"/>
        <v>1.759722222</v>
      </c>
      <c r="J95" s="147" t="s">
        <v>3678</v>
      </c>
      <c r="K95" s="151">
        <f t="shared" si="4"/>
        <v>0</v>
      </c>
      <c r="L95" s="147" t="s">
        <v>3678</v>
      </c>
      <c r="M95" s="147" t="s">
        <v>4130</v>
      </c>
      <c r="N95" s="151">
        <f t="shared" si="5"/>
        <v>38.5</v>
      </c>
      <c r="O95" s="147" t="s">
        <v>4131</v>
      </c>
      <c r="P95" s="151">
        <f t="shared" si="6"/>
        <v>3.733333333</v>
      </c>
    </row>
    <row r="96">
      <c r="A96" s="147" t="s">
        <v>4132</v>
      </c>
      <c r="B96" s="147" t="s">
        <v>4133</v>
      </c>
      <c r="C96" s="147" t="s">
        <v>3675</v>
      </c>
      <c r="D96" s="147" t="s">
        <v>3676</v>
      </c>
      <c r="E96" s="147" t="s">
        <v>4134</v>
      </c>
      <c r="F96" s="148">
        <v>32.583333333333336</v>
      </c>
      <c r="G96" s="149">
        <f t="shared" si="1"/>
        <v>32.58333333</v>
      </c>
      <c r="H96" s="149">
        <f t="shared" si="2"/>
        <v>32.56666667</v>
      </c>
      <c r="I96" s="150">
        <f t="shared" si="3"/>
        <v>1.356944444</v>
      </c>
      <c r="J96" s="147" t="s">
        <v>3678</v>
      </c>
      <c r="K96" s="151">
        <f t="shared" si="4"/>
        <v>0</v>
      </c>
      <c r="L96" s="147" t="s">
        <v>3678</v>
      </c>
      <c r="M96" s="147" t="s">
        <v>4135</v>
      </c>
      <c r="N96" s="151">
        <f t="shared" si="5"/>
        <v>19</v>
      </c>
      <c r="O96" s="147" t="s">
        <v>4136</v>
      </c>
      <c r="P96" s="151">
        <f t="shared" si="6"/>
        <v>13.56666667</v>
      </c>
    </row>
    <row r="97">
      <c r="A97" s="147" t="s">
        <v>4137</v>
      </c>
      <c r="B97" s="147" t="s">
        <v>882</v>
      </c>
      <c r="C97" s="147" t="s">
        <v>3675</v>
      </c>
      <c r="D97" s="147" t="s">
        <v>3676</v>
      </c>
      <c r="E97" s="147" t="s">
        <v>4138</v>
      </c>
      <c r="F97" s="148">
        <v>40.13333333333333</v>
      </c>
      <c r="G97" s="149">
        <f t="shared" si="1"/>
        <v>40.13333333</v>
      </c>
      <c r="H97" s="149">
        <f t="shared" si="2"/>
        <v>40.11666667</v>
      </c>
      <c r="I97" s="150">
        <f t="shared" si="3"/>
        <v>1.671527778</v>
      </c>
      <c r="J97" s="147" t="s">
        <v>3678</v>
      </c>
      <c r="K97" s="151">
        <f t="shared" si="4"/>
        <v>0</v>
      </c>
      <c r="L97" s="147" t="s">
        <v>3678</v>
      </c>
      <c r="M97" s="147" t="s">
        <v>4139</v>
      </c>
      <c r="N97" s="151">
        <f t="shared" si="5"/>
        <v>36.75</v>
      </c>
      <c r="O97" s="147" t="s">
        <v>4140</v>
      </c>
      <c r="P97" s="151">
        <f t="shared" si="6"/>
        <v>3.366666667</v>
      </c>
    </row>
    <row r="98">
      <c r="A98" s="147" t="s">
        <v>4141</v>
      </c>
      <c r="B98" s="147" t="s">
        <v>560</v>
      </c>
      <c r="C98" s="147" t="s">
        <v>3675</v>
      </c>
      <c r="D98" s="147" t="s">
        <v>3676</v>
      </c>
      <c r="E98" s="147" t="s">
        <v>4142</v>
      </c>
      <c r="F98" s="148">
        <v>44.46666666666667</v>
      </c>
      <c r="G98" s="149">
        <f t="shared" si="1"/>
        <v>44.46666667</v>
      </c>
      <c r="H98" s="149">
        <f t="shared" si="2"/>
        <v>44.46666667</v>
      </c>
      <c r="I98" s="150">
        <f t="shared" si="3"/>
        <v>1.852777778</v>
      </c>
      <c r="J98" s="147" t="s">
        <v>3678</v>
      </c>
      <c r="K98" s="151">
        <f t="shared" si="4"/>
        <v>0</v>
      </c>
      <c r="L98" s="147" t="s">
        <v>3678</v>
      </c>
      <c r="M98" s="147" t="s">
        <v>4143</v>
      </c>
      <c r="N98" s="151">
        <f t="shared" si="5"/>
        <v>41.03333333</v>
      </c>
      <c r="O98" s="147" t="s">
        <v>4144</v>
      </c>
      <c r="P98" s="151">
        <f t="shared" si="6"/>
        <v>3.433333333</v>
      </c>
    </row>
    <row r="99">
      <c r="A99" s="147" t="s">
        <v>4145</v>
      </c>
      <c r="B99" s="147" t="s">
        <v>1187</v>
      </c>
      <c r="C99" s="147" t="s">
        <v>3675</v>
      </c>
      <c r="D99" s="147" t="s">
        <v>3676</v>
      </c>
      <c r="E99" s="147" t="s">
        <v>4129</v>
      </c>
      <c r="F99" s="148">
        <v>42.233333333333334</v>
      </c>
      <c r="G99" s="149">
        <f t="shared" si="1"/>
        <v>42.23333333</v>
      </c>
      <c r="H99" s="149">
        <f t="shared" si="2"/>
        <v>42.21666667</v>
      </c>
      <c r="I99" s="150">
        <f t="shared" si="3"/>
        <v>1.759027778</v>
      </c>
      <c r="J99" s="147" t="s">
        <v>3678</v>
      </c>
      <c r="K99" s="151">
        <f t="shared" si="4"/>
        <v>0</v>
      </c>
      <c r="L99" s="147" t="s">
        <v>3678</v>
      </c>
      <c r="M99" s="147" t="s">
        <v>4146</v>
      </c>
      <c r="N99" s="151">
        <f t="shared" si="5"/>
        <v>31.15</v>
      </c>
      <c r="O99" s="147" t="s">
        <v>4147</v>
      </c>
      <c r="P99" s="151">
        <f t="shared" si="6"/>
        <v>11.06666667</v>
      </c>
    </row>
    <row r="100">
      <c r="A100" s="147" t="s">
        <v>4148</v>
      </c>
      <c r="B100" s="147" t="s">
        <v>4149</v>
      </c>
      <c r="C100" s="147" t="s">
        <v>3675</v>
      </c>
      <c r="D100" s="147" t="s">
        <v>3676</v>
      </c>
      <c r="E100" s="147" t="s">
        <v>3997</v>
      </c>
      <c r="F100" s="148">
        <v>8.9</v>
      </c>
      <c r="G100" s="149">
        <f t="shared" si="1"/>
        <v>8.9</v>
      </c>
      <c r="H100" s="149">
        <f t="shared" si="2"/>
        <v>8.9</v>
      </c>
      <c r="I100" s="150">
        <f t="shared" si="3"/>
        <v>0.3708333333</v>
      </c>
      <c r="J100" s="147" t="s">
        <v>3678</v>
      </c>
      <c r="K100" s="151">
        <f t="shared" si="4"/>
        <v>0</v>
      </c>
      <c r="L100" s="147" t="s">
        <v>3678</v>
      </c>
      <c r="M100" s="147" t="s">
        <v>4150</v>
      </c>
      <c r="N100" s="151">
        <f t="shared" si="5"/>
        <v>5.933333333</v>
      </c>
      <c r="O100" s="147" t="s">
        <v>3782</v>
      </c>
      <c r="P100" s="151">
        <f t="shared" si="6"/>
        <v>2.966666667</v>
      </c>
    </row>
    <row r="101">
      <c r="A101" s="147" t="s">
        <v>4151</v>
      </c>
      <c r="B101" s="147" t="s">
        <v>922</v>
      </c>
      <c r="C101" s="147" t="s">
        <v>3675</v>
      </c>
      <c r="D101" s="147" t="s">
        <v>3676</v>
      </c>
      <c r="E101" s="147" t="s">
        <v>4152</v>
      </c>
      <c r="F101" s="148">
        <v>40.083333333333336</v>
      </c>
      <c r="G101" s="149">
        <f t="shared" si="1"/>
        <v>40.08333333</v>
      </c>
      <c r="H101" s="149">
        <f t="shared" si="2"/>
        <v>40.08333333</v>
      </c>
      <c r="I101" s="150">
        <f t="shared" si="3"/>
        <v>1.670138889</v>
      </c>
      <c r="J101" s="147" t="s">
        <v>3678</v>
      </c>
      <c r="K101" s="151">
        <f t="shared" si="4"/>
        <v>0</v>
      </c>
      <c r="L101" s="147" t="s">
        <v>3678</v>
      </c>
      <c r="M101" s="147" t="s">
        <v>4153</v>
      </c>
      <c r="N101" s="151">
        <f t="shared" si="5"/>
        <v>33.73333333</v>
      </c>
      <c r="O101" s="147" t="s">
        <v>4154</v>
      </c>
      <c r="P101" s="151">
        <f t="shared" si="6"/>
        <v>6.35</v>
      </c>
    </row>
    <row r="102">
      <c r="A102" s="147" t="s">
        <v>4155</v>
      </c>
      <c r="B102" s="147" t="s">
        <v>542</v>
      </c>
      <c r="C102" s="147" t="s">
        <v>3675</v>
      </c>
      <c r="D102" s="147" t="s">
        <v>3676</v>
      </c>
      <c r="E102" s="147" t="s">
        <v>4156</v>
      </c>
      <c r="F102" s="148">
        <v>41.0</v>
      </c>
      <c r="G102" s="149">
        <f t="shared" si="1"/>
        <v>40.63333333</v>
      </c>
      <c r="H102" s="149">
        <f t="shared" si="2"/>
        <v>40.61666667</v>
      </c>
      <c r="I102" s="150">
        <f t="shared" si="3"/>
        <v>1.692361111</v>
      </c>
      <c r="J102" s="147" t="s">
        <v>3796</v>
      </c>
      <c r="K102" s="148">
        <f t="shared" si="4"/>
        <v>0.3666666667</v>
      </c>
      <c r="L102" s="152">
        <v>0.0091</v>
      </c>
      <c r="M102" s="147" t="s">
        <v>4157</v>
      </c>
      <c r="N102" s="148">
        <f t="shared" si="5"/>
        <v>23.65</v>
      </c>
      <c r="O102" s="147" t="s">
        <v>4158</v>
      </c>
      <c r="P102" s="148">
        <f t="shared" si="6"/>
        <v>16.96666667</v>
      </c>
    </row>
    <row r="103">
      <c r="A103" s="147" t="s">
        <v>4159</v>
      </c>
      <c r="B103" s="147" t="s">
        <v>4160</v>
      </c>
      <c r="C103" s="147" t="s">
        <v>3675</v>
      </c>
      <c r="D103" s="147" t="s">
        <v>3676</v>
      </c>
      <c r="E103" s="147" t="s">
        <v>4105</v>
      </c>
      <c r="F103" s="148">
        <v>48.233333333333334</v>
      </c>
      <c r="G103" s="149">
        <f t="shared" si="1"/>
        <v>47.58333333</v>
      </c>
      <c r="H103" s="149">
        <f t="shared" si="2"/>
        <v>47.58333333</v>
      </c>
      <c r="I103" s="150">
        <f t="shared" si="3"/>
        <v>1.982638889</v>
      </c>
      <c r="J103" s="147" t="s">
        <v>4042</v>
      </c>
      <c r="K103" s="148">
        <f t="shared" si="4"/>
        <v>0.65</v>
      </c>
      <c r="L103" s="152">
        <v>0.0135</v>
      </c>
      <c r="M103" s="147" t="s">
        <v>4161</v>
      </c>
      <c r="N103" s="148">
        <f t="shared" si="5"/>
        <v>18.4</v>
      </c>
      <c r="O103" s="147" t="s">
        <v>4162</v>
      </c>
      <c r="P103" s="148">
        <f t="shared" si="6"/>
        <v>29.18333333</v>
      </c>
    </row>
    <row r="104">
      <c r="A104" s="147" t="s">
        <v>4163</v>
      </c>
      <c r="B104" s="147" t="s">
        <v>833</v>
      </c>
      <c r="C104" s="147" t="s">
        <v>3675</v>
      </c>
      <c r="D104" s="147" t="s">
        <v>4164</v>
      </c>
      <c r="E104" s="147" t="s">
        <v>4152</v>
      </c>
      <c r="F104" s="148">
        <v>40.083333333333336</v>
      </c>
      <c r="G104" s="149">
        <f t="shared" si="1"/>
        <v>39.15</v>
      </c>
      <c r="H104" s="149">
        <f t="shared" si="2"/>
        <v>39.13333333</v>
      </c>
      <c r="I104" s="150">
        <f t="shared" si="3"/>
        <v>1.630555556</v>
      </c>
      <c r="J104" s="147" t="s">
        <v>3786</v>
      </c>
      <c r="K104" s="148">
        <f t="shared" si="4"/>
        <v>0.9333333333</v>
      </c>
      <c r="L104" s="152">
        <v>0.0237</v>
      </c>
      <c r="M104" s="147" t="s">
        <v>4165</v>
      </c>
      <c r="N104" s="148">
        <f t="shared" si="5"/>
        <v>26.53333333</v>
      </c>
      <c r="O104" s="147" t="s">
        <v>4166</v>
      </c>
      <c r="P104" s="148">
        <f t="shared" si="6"/>
        <v>12.6</v>
      </c>
    </row>
    <row r="105">
      <c r="A105" s="147" t="s">
        <v>4167</v>
      </c>
      <c r="B105" s="147" t="s">
        <v>4168</v>
      </c>
      <c r="C105" s="147" t="s">
        <v>3675</v>
      </c>
      <c r="D105" s="147" t="s">
        <v>4169</v>
      </c>
      <c r="E105" s="147" t="s">
        <v>4170</v>
      </c>
      <c r="F105" s="148">
        <v>36.016666666666666</v>
      </c>
      <c r="G105" s="149">
        <f t="shared" si="1"/>
        <v>36.01666667</v>
      </c>
      <c r="H105" s="149">
        <f t="shared" si="2"/>
        <v>36</v>
      </c>
      <c r="I105" s="150">
        <f t="shared" si="3"/>
        <v>1.5</v>
      </c>
      <c r="J105" s="147" t="s">
        <v>3678</v>
      </c>
      <c r="K105" s="151">
        <f t="shared" si="4"/>
        <v>0</v>
      </c>
      <c r="L105" s="147" t="s">
        <v>3678</v>
      </c>
      <c r="M105" s="147" t="s">
        <v>4171</v>
      </c>
      <c r="N105" s="151">
        <f t="shared" si="5"/>
        <v>26.01666667</v>
      </c>
      <c r="O105" s="147" t="s">
        <v>4172</v>
      </c>
      <c r="P105" s="151">
        <f t="shared" si="6"/>
        <v>9.983333333</v>
      </c>
    </row>
    <row r="106">
      <c r="A106" s="147" t="s">
        <v>4173</v>
      </c>
      <c r="B106" s="147" t="s">
        <v>4174</v>
      </c>
      <c r="C106" s="147" t="s">
        <v>3675</v>
      </c>
      <c r="D106" s="147" t="s">
        <v>3692</v>
      </c>
      <c r="E106" s="147" t="s">
        <v>4175</v>
      </c>
      <c r="F106" s="148">
        <v>41.3</v>
      </c>
      <c r="G106" s="149">
        <f t="shared" si="1"/>
        <v>41.3</v>
      </c>
      <c r="H106" s="149">
        <f t="shared" si="2"/>
        <v>41.3</v>
      </c>
      <c r="I106" s="150">
        <f t="shared" si="3"/>
        <v>1.720833333</v>
      </c>
      <c r="J106" s="147" t="s">
        <v>3678</v>
      </c>
      <c r="K106" s="151">
        <f t="shared" si="4"/>
        <v>0</v>
      </c>
      <c r="L106" s="147" t="s">
        <v>3678</v>
      </c>
      <c r="M106" s="147" t="s">
        <v>4176</v>
      </c>
      <c r="N106" s="151">
        <f t="shared" si="5"/>
        <v>35.96666667</v>
      </c>
      <c r="O106" s="147" t="s">
        <v>4177</v>
      </c>
      <c r="P106" s="151">
        <f t="shared" si="6"/>
        <v>5.333333333</v>
      </c>
    </row>
    <row r="107">
      <c r="A107" s="147" t="s">
        <v>4178</v>
      </c>
      <c r="B107" s="147" t="s">
        <v>1428</v>
      </c>
      <c r="C107" s="147" t="s">
        <v>3675</v>
      </c>
      <c r="D107" s="147" t="s">
        <v>3676</v>
      </c>
      <c r="E107" s="147" t="s">
        <v>3776</v>
      </c>
      <c r="F107" s="148">
        <v>0.9166666666666666</v>
      </c>
      <c r="G107" s="149">
        <f t="shared" si="1"/>
        <v>0.9166666667</v>
      </c>
      <c r="H107" s="149">
        <f t="shared" si="2"/>
        <v>0.9166666667</v>
      </c>
      <c r="I107" s="150">
        <f t="shared" si="3"/>
        <v>0.03819444444</v>
      </c>
      <c r="J107" s="147" t="s">
        <v>3678</v>
      </c>
      <c r="K107" s="151">
        <f t="shared" si="4"/>
        <v>0</v>
      </c>
      <c r="L107" s="147" t="s">
        <v>3678</v>
      </c>
      <c r="M107" s="147" t="s">
        <v>4179</v>
      </c>
      <c r="N107" s="151">
        <f t="shared" si="5"/>
        <v>0.35</v>
      </c>
      <c r="O107" s="147" t="s">
        <v>3719</v>
      </c>
      <c r="P107" s="151">
        <f t="shared" si="6"/>
        <v>0.5666666667</v>
      </c>
    </row>
    <row r="108">
      <c r="A108" s="147" t="s">
        <v>4180</v>
      </c>
      <c r="B108" s="147" t="s">
        <v>4181</v>
      </c>
      <c r="C108" s="147" t="s">
        <v>3675</v>
      </c>
      <c r="D108" s="147" t="s">
        <v>3692</v>
      </c>
      <c r="E108" s="147" t="s">
        <v>4182</v>
      </c>
      <c r="F108" s="148">
        <v>44.21666666666667</v>
      </c>
      <c r="G108" s="149">
        <f t="shared" si="1"/>
        <v>44.21666667</v>
      </c>
      <c r="H108" s="149">
        <f t="shared" si="2"/>
        <v>44.2</v>
      </c>
      <c r="I108" s="150">
        <f t="shared" si="3"/>
        <v>1.841666667</v>
      </c>
      <c r="J108" s="147" t="s">
        <v>3678</v>
      </c>
      <c r="K108" s="151">
        <f t="shared" si="4"/>
        <v>0</v>
      </c>
      <c r="L108" s="147" t="s">
        <v>3678</v>
      </c>
      <c r="M108" s="147" t="s">
        <v>4183</v>
      </c>
      <c r="N108" s="151">
        <f t="shared" si="5"/>
        <v>38.03333333</v>
      </c>
      <c r="O108" s="147" t="s">
        <v>4184</v>
      </c>
      <c r="P108" s="151">
        <f t="shared" si="6"/>
        <v>6.166666667</v>
      </c>
    </row>
    <row r="109">
      <c r="A109" s="147" t="s">
        <v>4185</v>
      </c>
      <c r="B109" s="147" t="s">
        <v>4186</v>
      </c>
      <c r="C109" s="147" t="s">
        <v>3675</v>
      </c>
      <c r="D109" s="147" t="s">
        <v>3692</v>
      </c>
      <c r="E109" s="147" t="s">
        <v>4187</v>
      </c>
      <c r="F109" s="148">
        <v>41.18333333333333</v>
      </c>
      <c r="G109" s="149">
        <f t="shared" si="1"/>
        <v>41.18333333</v>
      </c>
      <c r="H109" s="149">
        <f t="shared" si="2"/>
        <v>41.16666667</v>
      </c>
      <c r="I109" s="150">
        <f t="shared" si="3"/>
        <v>1.715277778</v>
      </c>
      <c r="J109" s="147" t="s">
        <v>3678</v>
      </c>
      <c r="K109" s="151">
        <f t="shared" si="4"/>
        <v>0</v>
      </c>
      <c r="L109" s="147" t="s">
        <v>3678</v>
      </c>
      <c r="M109" s="147" t="s">
        <v>4188</v>
      </c>
      <c r="N109" s="151">
        <f t="shared" si="5"/>
        <v>37</v>
      </c>
      <c r="O109" s="147" t="s">
        <v>4189</v>
      </c>
      <c r="P109" s="151">
        <f t="shared" si="6"/>
        <v>4.166666667</v>
      </c>
    </row>
    <row r="110">
      <c r="A110" s="147" t="s">
        <v>4190</v>
      </c>
      <c r="B110" s="147" t="s">
        <v>4191</v>
      </c>
      <c r="C110" s="147" t="s">
        <v>3765</v>
      </c>
      <c r="D110" s="147" t="s">
        <v>4192</v>
      </c>
      <c r="E110" s="147" t="s">
        <v>4193</v>
      </c>
      <c r="F110" s="148">
        <v>58.583333333333336</v>
      </c>
      <c r="G110" s="149">
        <f t="shared" si="1"/>
        <v>58.35</v>
      </c>
      <c r="H110" s="149">
        <f t="shared" si="2"/>
        <v>58.35</v>
      </c>
      <c r="I110" s="150">
        <f t="shared" si="3"/>
        <v>2.43125</v>
      </c>
      <c r="J110" s="147" t="s">
        <v>4194</v>
      </c>
      <c r="K110" s="148">
        <f t="shared" si="4"/>
        <v>0.2333333333</v>
      </c>
      <c r="L110" s="152">
        <v>0.0041</v>
      </c>
      <c r="M110" s="147" t="s">
        <v>4195</v>
      </c>
      <c r="N110" s="148">
        <f t="shared" si="5"/>
        <v>48.2</v>
      </c>
      <c r="O110" s="147" t="s">
        <v>4196</v>
      </c>
      <c r="P110" s="148">
        <f t="shared" si="6"/>
        <v>10.15</v>
      </c>
    </row>
    <row r="111">
      <c r="A111" s="147" t="s">
        <v>4197</v>
      </c>
      <c r="B111" s="147" t="s">
        <v>4198</v>
      </c>
      <c r="C111" s="147" t="s">
        <v>3675</v>
      </c>
      <c r="D111" s="147" t="s">
        <v>4199</v>
      </c>
      <c r="E111" s="147" t="s">
        <v>4200</v>
      </c>
      <c r="F111" s="148">
        <v>44.38333333333333</v>
      </c>
      <c r="G111" s="149">
        <f t="shared" si="1"/>
        <v>44.13333333</v>
      </c>
      <c r="H111" s="149">
        <f t="shared" si="2"/>
        <v>44.11666667</v>
      </c>
      <c r="I111" s="150">
        <f t="shared" si="3"/>
        <v>1.838194444</v>
      </c>
      <c r="J111" s="147" t="s">
        <v>4201</v>
      </c>
      <c r="K111" s="148">
        <f t="shared" si="4"/>
        <v>0.25</v>
      </c>
      <c r="L111" s="152">
        <v>0.006</v>
      </c>
      <c r="M111" s="147" t="s">
        <v>4202</v>
      </c>
      <c r="N111" s="148">
        <f t="shared" si="5"/>
        <v>26.7</v>
      </c>
      <c r="O111" s="147" t="s">
        <v>3968</v>
      </c>
      <c r="P111" s="148">
        <f t="shared" si="6"/>
        <v>17.41666667</v>
      </c>
    </row>
    <row r="112">
      <c r="A112" s="147" t="s">
        <v>4203</v>
      </c>
      <c r="B112" s="147" t="s">
        <v>4204</v>
      </c>
      <c r="C112" s="147" t="s">
        <v>3675</v>
      </c>
      <c r="D112" s="147" t="s">
        <v>3939</v>
      </c>
      <c r="E112" s="147" t="s">
        <v>4205</v>
      </c>
      <c r="F112" s="148">
        <v>47.983333333333334</v>
      </c>
      <c r="G112" s="149">
        <f t="shared" si="1"/>
        <v>47.31666667</v>
      </c>
      <c r="H112" s="149">
        <f t="shared" si="2"/>
        <v>47.3</v>
      </c>
      <c r="I112" s="150">
        <f t="shared" si="3"/>
        <v>1.970833333</v>
      </c>
      <c r="J112" s="147" t="s">
        <v>4206</v>
      </c>
      <c r="K112" s="148">
        <f t="shared" si="4"/>
        <v>0.6666666667</v>
      </c>
      <c r="L112" s="152">
        <v>0.014</v>
      </c>
      <c r="M112" s="147" t="s">
        <v>4207</v>
      </c>
      <c r="N112" s="148">
        <f t="shared" si="5"/>
        <v>32.71666667</v>
      </c>
      <c r="O112" s="147" t="s">
        <v>4208</v>
      </c>
      <c r="P112" s="148">
        <f t="shared" si="6"/>
        <v>14.58333333</v>
      </c>
    </row>
    <row r="113">
      <c r="A113" s="147" t="s">
        <v>4209</v>
      </c>
      <c r="B113" s="147" t="s">
        <v>1089</v>
      </c>
      <c r="C113" s="147" t="s">
        <v>3675</v>
      </c>
      <c r="D113" s="147" t="s">
        <v>3692</v>
      </c>
      <c r="E113" s="147" t="s">
        <v>3811</v>
      </c>
      <c r="F113" s="148">
        <v>40.4</v>
      </c>
      <c r="G113" s="149">
        <f t="shared" si="1"/>
        <v>37.45</v>
      </c>
      <c r="H113" s="149">
        <f t="shared" si="2"/>
        <v>37.43333333</v>
      </c>
      <c r="I113" s="150">
        <f t="shared" si="3"/>
        <v>1.559722222</v>
      </c>
      <c r="J113" s="147" t="s">
        <v>4210</v>
      </c>
      <c r="K113" s="148">
        <f t="shared" si="4"/>
        <v>2.95</v>
      </c>
      <c r="L113" s="152">
        <v>0.0732</v>
      </c>
      <c r="M113" s="147" t="s">
        <v>4211</v>
      </c>
      <c r="N113" s="148">
        <f t="shared" si="5"/>
        <v>32.86666667</v>
      </c>
      <c r="O113" s="147" t="s">
        <v>4212</v>
      </c>
      <c r="P113" s="148">
        <f t="shared" si="6"/>
        <v>4.566666667</v>
      </c>
    </row>
    <row r="114">
      <c r="A114" s="147" t="s">
        <v>4213</v>
      </c>
      <c r="B114" s="147" t="s">
        <v>4214</v>
      </c>
      <c r="C114" s="147" t="s">
        <v>3675</v>
      </c>
      <c r="D114" s="147" t="s">
        <v>4215</v>
      </c>
      <c r="E114" s="147" t="s">
        <v>4216</v>
      </c>
      <c r="F114" s="148">
        <v>50.833333333333336</v>
      </c>
      <c r="G114" s="149">
        <f t="shared" si="1"/>
        <v>50.83333333</v>
      </c>
      <c r="H114" s="149">
        <f t="shared" si="2"/>
        <v>50.83333333</v>
      </c>
      <c r="I114" s="150">
        <f t="shared" si="3"/>
        <v>2.118055556</v>
      </c>
      <c r="J114" s="147" t="s">
        <v>3678</v>
      </c>
      <c r="K114" s="151">
        <f t="shared" si="4"/>
        <v>0</v>
      </c>
      <c r="L114" s="147" t="s">
        <v>3678</v>
      </c>
      <c r="M114" s="147" t="s">
        <v>4217</v>
      </c>
      <c r="N114" s="151">
        <f t="shared" si="5"/>
        <v>50.05</v>
      </c>
      <c r="O114" s="147" t="s">
        <v>4218</v>
      </c>
      <c r="P114" s="151">
        <f t="shared" si="6"/>
        <v>0.7833333333</v>
      </c>
    </row>
    <row r="115">
      <c r="A115" s="147" t="s">
        <v>4219</v>
      </c>
      <c r="B115" s="147" t="s">
        <v>266</v>
      </c>
      <c r="C115" s="147" t="s">
        <v>3675</v>
      </c>
      <c r="D115" s="147" t="s">
        <v>3709</v>
      </c>
      <c r="E115" s="147" t="s">
        <v>4220</v>
      </c>
      <c r="F115" s="148">
        <v>55.06666666666667</v>
      </c>
      <c r="G115" s="149">
        <f t="shared" si="1"/>
        <v>54.73333333</v>
      </c>
      <c r="H115" s="149">
        <f t="shared" si="2"/>
        <v>54.71666667</v>
      </c>
      <c r="I115" s="150">
        <f t="shared" si="3"/>
        <v>2.279861111</v>
      </c>
      <c r="J115" s="147" t="s">
        <v>4221</v>
      </c>
      <c r="K115" s="148">
        <f t="shared" si="4"/>
        <v>0.3333333333</v>
      </c>
      <c r="L115" s="152">
        <v>0.0062</v>
      </c>
      <c r="M115" s="147" t="s">
        <v>4222</v>
      </c>
      <c r="N115" s="148">
        <f t="shared" si="5"/>
        <v>38.73333333</v>
      </c>
      <c r="O115" s="147" t="s">
        <v>4223</v>
      </c>
      <c r="P115" s="148">
        <f t="shared" si="6"/>
        <v>15.98333333</v>
      </c>
    </row>
    <row r="116">
      <c r="A116" s="147" t="s">
        <v>4224</v>
      </c>
      <c r="B116" s="147" t="s">
        <v>4225</v>
      </c>
      <c r="C116" s="147" t="s">
        <v>3675</v>
      </c>
      <c r="D116" s="147" t="s">
        <v>3735</v>
      </c>
      <c r="E116" s="147" t="s">
        <v>4226</v>
      </c>
      <c r="F116" s="148">
        <v>44.166666666666664</v>
      </c>
      <c r="G116" s="149">
        <f t="shared" si="1"/>
        <v>43.68333333</v>
      </c>
      <c r="H116" s="149">
        <f t="shared" si="2"/>
        <v>43.66666667</v>
      </c>
      <c r="I116" s="150">
        <f t="shared" si="3"/>
        <v>1.819444444</v>
      </c>
      <c r="J116" s="147" t="s">
        <v>3778</v>
      </c>
      <c r="K116" s="148">
        <f t="shared" si="4"/>
        <v>0.4833333333</v>
      </c>
      <c r="L116" s="152">
        <v>0.0113</v>
      </c>
      <c r="M116" s="147" t="s">
        <v>4227</v>
      </c>
      <c r="N116" s="148">
        <f t="shared" si="5"/>
        <v>30.78333333</v>
      </c>
      <c r="O116" s="147" t="s">
        <v>4228</v>
      </c>
      <c r="P116" s="148">
        <f t="shared" si="6"/>
        <v>12.88333333</v>
      </c>
    </row>
    <row r="117">
      <c r="A117" s="147" t="s">
        <v>4229</v>
      </c>
      <c r="B117" s="147" t="s">
        <v>4230</v>
      </c>
      <c r="C117" s="147" t="s">
        <v>3675</v>
      </c>
      <c r="D117" s="147" t="s">
        <v>3676</v>
      </c>
      <c r="E117" s="147" t="s">
        <v>4231</v>
      </c>
      <c r="F117" s="148">
        <v>21.016666666666666</v>
      </c>
      <c r="G117" s="149">
        <f t="shared" si="1"/>
        <v>21.01666667</v>
      </c>
      <c r="H117" s="149">
        <f t="shared" si="2"/>
        <v>21</v>
      </c>
      <c r="I117" s="150">
        <f t="shared" si="3"/>
        <v>0.875</v>
      </c>
      <c r="J117" s="147" t="s">
        <v>3678</v>
      </c>
      <c r="K117" s="151">
        <f t="shared" si="4"/>
        <v>0</v>
      </c>
      <c r="L117" s="147" t="s">
        <v>3678</v>
      </c>
      <c r="M117" s="147" t="s">
        <v>4232</v>
      </c>
      <c r="N117" s="151">
        <f t="shared" si="5"/>
        <v>10.95</v>
      </c>
      <c r="O117" s="147" t="s">
        <v>4233</v>
      </c>
      <c r="P117" s="151">
        <f t="shared" si="6"/>
        <v>10.05</v>
      </c>
    </row>
    <row r="118">
      <c r="A118" s="147" t="s">
        <v>4234</v>
      </c>
      <c r="B118" s="147" t="s">
        <v>4235</v>
      </c>
      <c r="C118" s="147" t="s">
        <v>3675</v>
      </c>
      <c r="D118" s="147" t="s">
        <v>3676</v>
      </c>
      <c r="E118" s="147" t="s">
        <v>4236</v>
      </c>
      <c r="F118" s="148">
        <v>32.06666666666667</v>
      </c>
      <c r="G118" s="149">
        <f t="shared" si="1"/>
        <v>32.06666667</v>
      </c>
      <c r="H118" s="149">
        <f t="shared" si="2"/>
        <v>32.05</v>
      </c>
      <c r="I118" s="150">
        <f t="shared" si="3"/>
        <v>1.335416667</v>
      </c>
      <c r="J118" s="147" t="s">
        <v>3678</v>
      </c>
      <c r="K118" s="151">
        <f t="shared" si="4"/>
        <v>0</v>
      </c>
      <c r="L118" s="147" t="s">
        <v>3678</v>
      </c>
      <c r="M118" s="147" t="s">
        <v>4237</v>
      </c>
      <c r="N118" s="151">
        <f t="shared" si="5"/>
        <v>27.6</v>
      </c>
      <c r="O118" s="147" t="s">
        <v>4094</v>
      </c>
      <c r="P118" s="151">
        <f t="shared" si="6"/>
        <v>4.45</v>
      </c>
    </row>
    <row r="119">
      <c r="A119" s="147" t="s">
        <v>4238</v>
      </c>
      <c r="B119" s="147" t="s">
        <v>2064</v>
      </c>
      <c r="C119" s="147" t="s">
        <v>3675</v>
      </c>
      <c r="D119" s="147" t="s">
        <v>3692</v>
      </c>
      <c r="E119" s="147" t="s">
        <v>4239</v>
      </c>
      <c r="F119" s="148">
        <v>51.28333333333333</v>
      </c>
      <c r="G119" s="149">
        <f t="shared" si="1"/>
        <v>51.28333333</v>
      </c>
      <c r="H119" s="149">
        <f t="shared" si="2"/>
        <v>51.26666667</v>
      </c>
      <c r="I119" s="150">
        <f t="shared" si="3"/>
        <v>2.136111111</v>
      </c>
      <c r="J119" s="147" t="s">
        <v>3678</v>
      </c>
      <c r="K119" s="151">
        <f t="shared" si="4"/>
        <v>0</v>
      </c>
      <c r="L119" s="147" t="s">
        <v>3678</v>
      </c>
      <c r="M119" s="147" t="s">
        <v>4240</v>
      </c>
      <c r="N119" s="151">
        <f t="shared" si="5"/>
        <v>46.41666667</v>
      </c>
      <c r="O119" s="147" t="s">
        <v>4241</v>
      </c>
      <c r="P119" s="151">
        <f t="shared" si="6"/>
        <v>4.85</v>
      </c>
    </row>
    <row r="120">
      <c r="A120" s="147" t="s">
        <v>4242</v>
      </c>
      <c r="B120" s="147" t="s">
        <v>4243</v>
      </c>
      <c r="C120" s="147" t="s">
        <v>3765</v>
      </c>
      <c r="D120" s="147" t="s">
        <v>3692</v>
      </c>
      <c r="E120" s="147" t="s">
        <v>4244</v>
      </c>
      <c r="F120" s="148">
        <v>48.71666666666667</v>
      </c>
      <c r="G120" s="149">
        <f t="shared" si="1"/>
        <v>48.71666667</v>
      </c>
      <c r="H120" s="149">
        <f t="shared" si="2"/>
        <v>48.7</v>
      </c>
      <c r="I120" s="150">
        <f t="shared" si="3"/>
        <v>2.029166667</v>
      </c>
      <c r="J120" s="147" t="s">
        <v>3678</v>
      </c>
      <c r="K120" s="151">
        <f t="shared" si="4"/>
        <v>0</v>
      </c>
      <c r="L120" s="147" t="s">
        <v>3678</v>
      </c>
      <c r="M120" s="147" t="s">
        <v>4245</v>
      </c>
      <c r="N120" s="151">
        <f t="shared" si="5"/>
        <v>45.41666667</v>
      </c>
      <c r="O120" s="147" t="s">
        <v>4246</v>
      </c>
      <c r="P120" s="151">
        <f t="shared" si="6"/>
        <v>3.283333333</v>
      </c>
    </row>
    <row r="121">
      <c r="A121" s="147" t="s">
        <v>4247</v>
      </c>
      <c r="B121" s="147" t="s">
        <v>841</v>
      </c>
      <c r="C121" s="147" t="s">
        <v>3675</v>
      </c>
      <c r="D121" s="147" t="s">
        <v>3676</v>
      </c>
      <c r="E121" s="147" t="s">
        <v>4248</v>
      </c>
      <c r="F121" s="148">
        <v>38.88333333333333</v>
      </c>
      <c r="G121" s="149">
        <f t="shared" si="1"/>
        <v>36.73333333</v>
      </c>
      <c r="H121" s="149">
        <f t="shared" si="2"/>
        <v>36.71666667</v>
      </c>
      <c r="I121" s="150">
        <f t="shared" si="3"/>
        <v>1.529861111</v>
      </c>
      <c r="J121" s="147" t="s">
        <v>3829</v>
      </c>
      <c r="K121" s="148">
        <f t="shared" si="4"/>
        <v>2.15</v>
      </c>
      <c r="L121" s="152">
        <v>0.0555</v>
      </c>
      <c r="M121" s="147" t="s">
        <v>4249</v>
      </c>
      <c r="N121" s="148">
        <f t="shared" si="5"/>
        <v>19.7</v>
      </c>
      <c r="O121" s="147" t="s">
        <v>4250</v>
      </c>
      <c r="P121" s="148">
        <f t="shared" si="6"/>
        <v>17.01666667</v>
      </c>
    </row>
    <row r="122">
      <c r="A122" s="147" t="s">
        <v>4251</v>
      </c>
      <c r="B122" s="147" t="s">
        <v>934</v>
      </c>
      <c r="C122" s="147" t="s">
        <v>3675</v>
      </c>
      <c r="D122" s="147" t="s">
        <v>3692</v>
      </c>
      <c r="E122" s="147" t="s">
        <v>4074</v>
      </c>
      <c r="F122" s="148">
        <v>40.15</v>
      </c>
      <c r="G122" s="149">
        <f t="shared" si="1"/>
        <v>40.15</v>
      </c>
      <c r="H122" s="149">
        <f t="shared" si="2"/>
        <v>40.15</v>
      </c>
      <c r="I122" s="150">
        <f t="shared" si="3"/>
        <v>1.672916667</v>
      </c>
      <c r="J122" s="147" t="s">
        <v>3678</v>
      </c>
      <c r="K122" s="151">
        <f t="shared" si="4"/>
        <v>0</v>
      </c>
      <c r="L122" s="147" t="s">
        <v>3678</v>
      </c>
      <c r="M122" s="147" t="s">
        <v>4252</v>
      </c>
      <c r="N122" s="151">
        <f t="shared" si="5"/>
        <v>37.25</v>
      </c>
      <c r="O122" s="147" t="s">
        <v>4253</v>
      </c>
      <c r="P122" s="151">
        <f t="shared" si="6"/>
        <v>2.9</v>
      </c>
    </row>
    <row r="123">
      <c r="A123" s="147" t="s">
        <v>4254</v>
      </c>
      <c r="B123" s="147" t="s">
        <v>2593</v>
      </c>
      <c r="C123" s="147" t="s">
        <v>3675</v>
      </c>
      <c r="D123" s="147" t="s">
        <v>4255</v>
      </c>
      <c r="E123" s="147" t="s">
        <v>4256</v>
      </c>
      <c r="F123" s="148">
        <v>45.266666666666666</v>
      </c>
      <c r="G123" s="149">
        <f t="shared" si="1"/>
        <v>43.31666667</v>
      </c>
      <c r="H123" s="149">
        <f t="shared" si="2"/>
        <v>43.28333333</v>
      </c>
      <c r="I123" s="150">
        <f t="shared" si="3"/>
        <v>1.803472222</v>
      </c>
      <c r="J123" s="147" t="s">
        <v>4257</v>
      </c>
      <c r="K123" s="148">
        <f t="shared" si="4"/>
        <v>1.95</v>
      </c>
      <c r="L123" s="152">
        <v>0.0434</v>
      </c>
      <c r="M123" s="147" t="s">
        <v>4258</v>
      </c>
      <c r="N123" s="148">
        <f t="shared" si="5"/>
        <v>30.76666667</v>
      </c>
      <c r="O123" s="147" t="s">
        <v>4259</v>
      </c>
      <c r="P123" s="148">
        <f t="shared" si="6"/>
        <v>12.51666667</v>
      </c>
    </row>
    <row r="124">
      <c r="A124" s="147" t="s">
        <v>4260</v>
      </c>
      <c r="B124" s="147" t="s">
        <v>1057</v>
      </c>
      <c r="C124" s="147" t="s">
        <v>3675</v>
      </c>
      <c r="D124" s="147" t="s">
        <v>3676</v>
      </c>
      <c r="E124" s="147" t="s">
        <v>4261</v>
      </c>
      <c r="F124" s="148">
        <v>44.016666666666666</v>
      </c>
      <c r="G124" s="149">
        <f t="shared" si="1"/>
        <v>44.01666667</v>
      </c>
      <c r="H124" s="149">
        <f t="shared" si="2"/>
        <v>44</v>
      </c>
      <c r="I124" s="150">
        <f t="shared" si="3"/>
        <v>1.833333333</v>
      </c>
      <c r="J124" s="147" t="s">
        <v>3678</v>
      </c>
      <c r="K124" s="151">
        <f t="shared" si="4"/>
        <v>0</v>
      </c>
      <c r="L124" s="147" t="s">
        <v>3678</v>
      </c>
      <c r="M124" s="147" t="s">
        <v>4262</v>
      </c>
      <c r="N124" s="151">
        <f t="shared" si="5"/>
        <v>32.63333333</v>
      </c>
      <c r="O124" s="147" t="s">
        <v>3684</v>
      </c>
      <c r="P124" s="151">
        <f t="shared" si="6"/>
        <v>11.36666667</v>
      </c>
    </row>
    <row r="125">
      <c r="A125" s="147" t="s">
        <v>4263</v>
      </c>
      <c r="B125" s="147" t="s">
        <v>1195</v>
      </c>
      <c r="C125" s="147" t="s">
        <v>3675</v>
      </c>
      <c r="D125" s="147" t="s">
        <v>3676</v>
      </c>
      <c r="E125" s="147" t="s">
        <v>4264</v>
      </c>
      <c r="F125" s="148">
        <v>38.6</v>
      </c>
      <c r="G125" s="149">
        <f t="shared" si="1"/>
        <v>38.6</v>
      </c>
      <c r="H125" s="149">
        <f t="shared" si="2"/>
        <v>38.58333333</v>
      </c>
      <c r="I125" s="150">
        <f t="shared" si="3"/>
        <v>1.607638889</v>
      </c>
      <c r="J125" s="147" t="s">
        <v>3678</v>
      </c>
      <c r="K125" s="151">
        <f t="shared" si="4"/>
        <v>0</v>
      </c>
      <c r="L125" s="147" t="s">
        <v>3678</v>
      </c>
      <c r="M125" s="147" t="s">
        <v>4265</v>
      </c>
      <c r="N125" s="151">
        <f t="shared" si="5"/>
        <v>31.78333333</v>
      </c>
      <c r="O125" s="147" t="s">
        <v>4266</v>
      </c>
      <c r="P125" s="151">
        <f t="shared" si="6"/>
        <v>6.8</v>
      </c>
    </row>
    <row r="126">
      <c r="A126" s="147" t="s">
        <v>4267</v>
      </c>
      <c r="B126" s="147" t="s">
        <v>4268</v>
      </c>
      <c r="C126" s="147" t="s">
        <v>3675</v>
      </c>
      <c r="D126" s="147" t="s">
        <v>3692</v>
      </c>
      <c r="E126" s="147" t="s">
        <v>4269</v>
      </c>
      <c r="F126" s="148">
        <v>30.266666666666666</v>
      </c>
      <c r="G126" s="149">
        <f t="shared" si="1"/>
        <v>30.26666667</v>
      </c>
      <c r="H126" s="149">
        <f t="shared" si="2"/>
        <v>30.26666667</v>
      </c>
      <c r="I126" s="150">
        <f t="shared" si="3"/>
        <v>1.261111111</v>
      </c>
      <c r="J126" s="147" t="s">
        <v>3678</v>
      </c>
      <c r="K126" s="151">
        <f t="shared" si="4"/>
        <v>0</v>
      </c>
      <c r="L126" s="147" t="s">
        <v>3678</v>
      </c>
      <c r="M126" s="147" t="s">
        <v>4270</v>
      </c>
      <c r="N126" s="151">
        <f t="shared" si="5"/>
        <v>25.71666667</v>
      </c>
      <c r="O126" s="147" t="s">
        <v>4271</v>
      </c>
      <c r="P126" s="151">
        <f t="shared" si="6"/>
        <v>4.55</v>
      </c>
    </row>
    <row r="127">
      <c r="A127" s="147" t="s">
        <v>4272</v>
      </c>
      <c r="B127" s="147" t="s">
        <v>1881</v>
      </c>
      <c r="C127" s="147" t="s">
        <v>3675</v>
      </c>
      <c r="D127" s="147" t="s">
        <v>3692</v>
      </c>
      <c r="E127" s="147" t="s">
        <v>4273</v>
      </c>
      <c r="F127" s="148">
        <v>39.55</v>
      </c>
      <c r="G127" s="149">
        <f t="shared" si="1"/>
        <v>39.55</v>
      </c>
      <c r="H127" s="149">
        <f t="shared" si="2"/>
        <v>39.55</v>
      </c>
      <c r="I127" s="150">
        <f t="shared" si="3"/>
        <v>1.647916667</v>
      </c>
      <c r="J127" s="147" t="s">
        <v>3678</v>
      </c>
      <c r="K127" s="151">
        <f t="shared" si="4"/>
        <v>0</v>
      </c>
      <c r="L127" s="147" t="s">
        <v>3678</v>
      </c>
      <c r="M127" s="147" t="s">
        <v>4274</v>
      </c>
      <c r="N127" s="151">
        <f t="shared" si="5"/>
        <v>38.46666667</v>
      </c>
      <c r="O127" s="147" t="s">
        <v>3951</v>
      </c>
      <c r="P127" s="151">
        <f t="shared" si="6"/>
        <v>1.083333333</v>
      </c>
    </row>
    <row r="128">
      <c r="A128" s="147" t="s">
        <v>4275</v>
      </c>
      <c r="B128" s="147" t="s">
        <v>1127</v>
      </c>
      <c r="C128" s="147" t="s">
        <v>3675</v>
      </c>
      <c r="D128" s="147" t="s">
        <v>3676</v>
      </c>
      <c r="E128" s="147" t="s">
        <v>4276</v>
      </c>
      <c r="F128" s="148">
        <v>35.03333333333333</v>
      </c>
      <c r="G128" s="149">
        <f t="shared" si="1"/>
        <v>34.86666667</v>
      </c>
      <c r="H128" s="149">
        <f t="shared" si="2"/>
        <v>34.85</v>
      </c>
      <c r="I128" s="150">
        <f t="shared" si="3"/>
        <v>1.452083333</v>
      </c>
      <c r="J128" s="147" t="s">
        <v>3724</v>
      </c>
      <c r="K128" s="148">
        <f t="shared" si="4"/>
        <v>0.1666666667</v>
      </c>
      <c r="L128" s="152">
        <v>0.005</v>
      </c>
      <c r="M128" s="147" t="s">
        <v>4277</v>
      </c>
      <c r="N128" s="148">
        <f t="shared" si="5"/>
        <v>19.28333333</v>
      </c>
      <c r="O128" s="147" t="s">
        <v>4278</v>
      </c>
      <c r="P128" s="148">
        <f t="shared" si="6"/>
        <v>15.56666667</v>
      </c>
    </row>
    <row r="129">
      <c r="A129" s="147" t="s">
        <v>4279</v>
      </c>
      <c r="B129" s="147" t="s">
        <v>4280</v>
      </c>
      <c r="C129" s="147" t="s">
        <v>3675</v>
      </c>
      <c r="D129" s="147" t="s">
        <v>3954</v>
      </c>
      <c r="E129" s="147" t="s">
        <v>4281</v>
      </c>
      <c r="F129" s="148">
        <v>49.05</v>
      </c>
      <c r="G129" s="149">
        <f t="shared" si="1"/>
        <v>49.05</v>
      </c>
      <c r="H129" s="149">
        <f t="shared" si="2"/>
        <v>49.03333333</v>
      </c>
      <c r="I129" s="150">
        <f t="shared" si="3"/>
        <v>2.043055556</v>
      </c>
      <c r="J129" s="147" t="s">
        <v>3678</v>
      </c>
      <c r="K129" s="151">
        <f t="shared" si="4"/>
        <v>0</v>
      </c>
      <c r="L129" s="147" t="s">
        <v>3678</v>
      </c>
      <c r="M129" s="147" t="s">
        <v>4282</v>
      </c>
      <c r="N129" s="151">
        <f t="shared" si="5"/>
        <v>41.86666667</v>
      </c>
      <c r="O129" s="147" t="s">
        <v>4283</v>
      </c>
      <c r="P129" s="151">
        <f t="shared" si="6"/>
        <v>7.166666667</v>
      </c>
    </row>
    <row r="130">
      <c r="A130" s="147" t="s">
        <v>4284</v>
      </c>
      <c r="B130" s="147" t="s">
        <v>4285</v>
      </c>
      <c r="C130" s="147" t="s">
        <v>3675</v>
      </c>
      <c r="D130" s="147" t="s">
        <v>3692</v>
      </c>
      <c r="E130" s="147" t="s">
        <v>4286</v>
      </c>
      <c r="F130" s="148">
        <v>38.4</v>
      </c>
      <c r="G130" s="149">
        <f t="shared" si="1"/>
        <v>38.4</v>
      </c>
      <c r="H130" s="149">
        <f t="shared" si="2"/>
        <v>38.4</v>
      </c>
      <c r="I130" s="150">
        <f t="shared" si="3"/>
        <v>1.6</v>
      </c>
      <c r="J130" s="147" t="s">
        <v>3678</v>
      </c>
      <c r="K130" s="151">
        <f t="shared" si="4"/>
        <v>0</v>
      </c>
      <c r="L130" s="147" t="s">
        <v>3678</v>
      </c>
      <c r="M130" s="147" t="s">
        <v>4287</v>
      </c>
      <c r="N130" s="151">
        <f t="shared" si="5"/>
        <v>32.13333333</v>
      </c>
      <c r="O130" s="147" t="s">
        <v>4288</v>
      </c>
      <c r="P130" s="151">
        <f t="shared" si="6"/>
        <v>6.266666667</v>
      </c>
    </row>
    <row r="131">
      <c r="A131" s="147" t="s">
        <v>4289</v>
      </c>
      <c r="B131" s="147" t="s">
        <v>640</v>
      </c>
      <c r="C131" s="147" t="s">
        <v>3675</v>
      </c>
      <c r="D131" s="147" t="s">
        <v>3676</v>
      </c>
      <c r="E131" s="147" t="s">
        <v>4290</v>
      </c>
      <c r="F131" s="148">
        <v>41.483333333333334</v>
      </c>
      <c r="G131" s="149">
        <f t="shared" si="1"/>
        <v>41.48333333</v>
      </c>
      <c r="H131" s="149">
        <f t="shared" si="2"/>
        <v>41.46666667</v>
      </c>
      <c r="I131" s="150">
        <f t="shared" si="3"/>
        <v>1.727777778</v>
      </c>
      <c r="J131" s="147" t="s">
        <v>3678</v>
      </c>
      <c r="K131" s="151">
        <f t="shared" si="4"/>
        <v>0</v>
      </c>
      <c r="L131" s="147" t="s">
        <v>3678</v>
      </c>
      <c r="M131" s="147" t="s">
        <v>4291</v>
      </c>
      <c r="N131" s="151">
        <f t="shared" si="5"/>
        <v>25.15</v>
      </c>
      <c r="O131" s="147" t="s">
        <v>4292</v>
      </c>
      <c r="P131" s="151">
        <f t="shared" si="6"/>
        <v>16.31666667</v>
      </c>
    </row>
    <row r="132">
      <c r="A132" s="147" t="s">
        <v>4293</v>
      </c>
      <c r="B132" s="147" t="s">
        <v>409</v>
      </c>
      <c r="C132" s="147" t="s">
        <v>3675</v>
      </c>
      <c r="D132" s="147" t="s">
        <v>3676</v>
      </c>
      <c r="E132" s="147" t="s">
        <v>4294</v>
      </c>
      <c r="F132" s="148">
        <v>43.36666666666667</v>
      </c>
      <c r="G132" s="149">
        <f t="shared" si="1"/>
        <v>43.36666667</v>
      </c>
      <c r="H132" s="149">
        <f t="shared" si="2"/>
        <v>43.35</v>
      </c>
      <c r="I132" s="150">
        <f t="shared" si="3"/>
        <v>1.80625</v>
      </c>
      <c r="J132" s="147" t="s">
        <v>3678</v>
      </c>
      <c r="K132" s="151">
        <f t="shared" si="4"/>
        <v>0</v>
      </c>
      <c r="L132" s="147" t="s">
        <v>3678</v>
      </c>
      <c r="M132" s="147" t="s">
        <v>4030</v>
      </c>
      <c r="N132" s="151">
        <f t="shared" si="5"/>
        <v>29.56666667</v>
      </c>
      <c r="O132" s="147" t="s">
        <v>4295</v>
      </c>
      <c r="P132" s="151">
        <f t="shared" si="6"/>
        <v>13.78333333</v>
      </c>
    </row>
    <row r="133">
      <c r="A133" s="147" t="s">
        <v>4296</v>
      </c>
      <c r="B133" s="147" t="s">
        <v>1971</v>
      </c>
      <c r="C133" s="147" t="s">
        <v>3675</v>
      </c>
      <c r="D133" s="147" t="s">
        <v>3692</v>
      </c>
      <c r="E133" s="147" t="s">
        <v>4297</v>
      </c>
      <c r="F133" s="148">
        <v>40.06666666666667</v>
      </c>
      <c r="G133" s="149">
        <f t="shared" si="1"/>
        <v>40.06666667</v>
      </c>
      <c r="H133" s="149">
        <f t="shared" si="2"/>
        <v>40.05</v>
      </c>
      <c r="I133" s="150">
        <f t="shared" si="3"/>
        <v>1.66875</v>
      </c>
      <c r="J133" s="147" t="s">
        <v>3678</v>
      </c>
      <c r="K133" s="151">
        <f t="shared" si="4"/>
        <v>0</v>
      </c>
      <c r="L133" s="147" t="s">
        <v>3678</v>
      </c>
      <c r="M133" s="147" t="s">
        <v>4298</v>
      </c>
      <c r="N133" s="151">
        <f t="shared" si="5"/>
        <v>27.03333333</v>
      </c>
      <c r="O133" s="147" t="s">
        <v>4299</v>
      </c>
      <c r="P133" s="151">
        <f t="shared" si="6"/>
        <v>13.01666667</v>
      </c>
    </row>
    <row r="134">
      <c r="A134" s="147" t="s">
        <v>4300</v>
      </c>
      <c r="B134" s="147" t="s">
        <v>252</v>
      </c>
      <c r="C134" s="147" t="s">
        <v>3675</v>
      </c>
      <c r="D134" s="147" t="s">
        <v>3686</v>
      </c>
      <c r="E134" s="147" t="s">
        <v>4301</v>
      </c>
      <c r="F134" s="148">
        <v>51.983333333333334</v>
      </c>
      <c r="G134" s="149">
        <f t="shared" si="1"/>
        <v>51.98333333</v>
      </c>
      <c r="H134" s="149">
        <f t="shared" si="2"/>
        <v>51.96666667</v>
      </c>
      <c r="I134" s="150">
        <f t="shared" si="3"/>
        <v>2.165277778</v>
      </c>
      <c r="J134" s="147" t="s">
        <v>3678</v>
      </c>
      <c r="K134" s="151">
        <f t="shared" si="4"/>
        <v>0</v>
      </c>
      <c r="L134" s="147" t="s">
        <v>3678</v>
      </c>
      <c r="M134" s="147" t="s">
        <v>4302</v>
      </c>
      <c r="N134" s="151">
        <f t="shared" si="5"/>
        <v>48.53333333</v>
      </c>
      <c r="O134" s="147" t="s">
        <v>4144</v>
      </c>
      <c r="P134" s="151">
        <f t="shared" si="6"/>
        <v>3.433333333</v>
      </c>
    </row>
    <row r="135">
      <c r="A135" s="147" t="s">
        <v>4303</v>
      </c>
      <c r="B135" s="147" t="s">
        <v>4304</v>
      </c>
      <c r="C135" s="147" t="s">
        <v>3675</v>
      </c>
      <c r="D135" s="147" t="s">
        <v>3676</v>
      </c>
      <c r="E135" s="147" t="s">
        <v>3898</v>
      </c>
      <c r="F135" s="148">
        <v>1.0333333333333334</v>
      </c>
      <c r="G135" s="149">
        <f t="shared" si="1"/>
        <v>1.033333333</v>
      </c>
      <c r="H135" s="149">
        <f t="shared" si="2"/>
        <v>1.033333333</v>
      </c>
      <c r="I135" s="150">
        <f t="shared" si="3"/>
        <v>0.04305555556</v>
      </c>
      <c r="J135" s="147" t="s">
        <v>3678</v>
      </c>
      <c r="K135" s="151">
        <f t="shared" si="4"/>
        <v>0</v>
      </c>
      <c r="L135" s="147" t="s">
        <v>3678</v>
      </c>
      <c r="M135" s="147" t="s">
        <v>4042</v>
      </c>
      <c r="N135" s="151">
        <f t="shared" si="5"/>
        <v>0.65</v>
      </c>
      <c r="O135" s="147" t="s">
        <v>4305</v>
      </c>
      <c r="P135" s="151">
        <f t="shared" si="6"/>
        <v>0.3833333333</v>
      </c>
    </row>
    <row r="136">
      <c r="A136" s="147" t="s">
        <v>4306</v>
      </c>
      <c r="B136" s="147" t="s">
        <v>606</v>
      </c>
      <c r="C136" s="147" t="s">
        <v>3675</v>
      </c>
      <c r="D136" s="147" t="s">
        <v>3676</v>
      </c>
      <c r="E136" s="147" t="s">
        <v>3960</v>
      </c>
      <c r="F136" s="148">
        <v>42.0</v>
      </c>
      <c r="G136" s="149">
        <f t="shared" si="1"/>
        <v>42</v>
      </c>
      <c r="H136" s="149">
        <f t="shared" si="2"/>
        <v>41.98333333</v>
      </c>
      <c r="I136" s="150">
        <f t="shared" si="3"/>
        <v>1.749305556</v>
      </c>
      <c r="J136" s="147" t="s">
        <v>3678</v>
      </c>
      <c r="K136" s="151">
        <f t="shared" si="4"/>
        <v>0</v>
      </c>
      <c r="L136" s="147" t="s">
        <v>3678</v>
      </c>
      <c r="M136" s="147" t="s">
        <v>4307</v>
      </c>
      <c r="N136" s="151">
        <f t="shared" si="5"/>
        <v>36</v>
      </c>
      <c r="O136" s="147" t="s">
        <v>4308</v>
      </c>
      <c r="P136" s="151">
        <f t="shared" si="6"/>
        <v>5.983333333</v>
      </c>
    </row>
    <row r="137">
      <c r="A137" s="147" t="s">
        <v>4309</v>
      </c>
      <c r="B137" s="147" t="s">
        <v>680</v>
      </c>
      <c r="C137" s="147" t="s">
        <v>3675</v>
      </c>
      <c r="D137" s="147" t="s">
        <v>3676</v>
      </c>
      <c r="E137" s="147" t="s">
        <v>4310</v>
      </c>
      <c r="F137" s="148">
        <v>35.11666666666667</v>
      </c>
      <c r="G137" s="149">
        <f t="shared" si="1"/>
        <v>33.95</v>
      </c>
      <c r="H137" s="149">
        <f t="shared" si="2"/>
        <v>33.95</v>
      </c>
      <c r="I137" s="150">
        <f t="shared" si="3"/>
        <v>1.414583333</v>
      </c>
      <c r="J137" s="147" t="s">
        <v>4311</v>
      </c>
      <c r="K137" s="148">
        <f t="shared" si="4"/>
        <v>1.166666667</v>
      </c>
      <c r="L137" s="152">
        <v>0.0333</v>
      </c>
      <c r="M137" s="147" t="s">
        <v>4312</v>
      </c>
      <c r="N137" s="148">
        <f t="shared" si="5"/>
        <v>17.85</v>
      </c>
      <c r="O137" s="147" t="s">
        <v>4313</v>
      </c>
      <c r="P137" s="148">
        <f t="shared" si="6"/>
        <v>16.1</v>
      </c>
    </row>
    <row r="138">
      <c r="A138" s="147" t="s">
        <v>4314</v>
      </c>
      <c r="B138" s="147" t="s">
        <v>764</v>
      </c>
      <c r="C138" s="147" t="s">
        <v>3675</v>
      </c>
      <c r="D138" s="147" t="s">
        <v>3676</v>
      </c>
      <c r="E138" s="147" t="s">
        <v>4315</v>
      </c>
      <c r="F138" s="148">
        <v>50.81666666666667</v>
      </c>
      <c r="G138" s="149">
        <f t="shared" si="1"/>
        <v>50.81666667</v>
      </c>
      <c r="H138" s="149">
        <f t="shared" si="2"/>
        <v>50.81666667</v>
      </c>
      <c r="I138" s="150">
        <f t="shared" si="3"/>
        <v>2.117361111</v>
      </c>
      <c r="J138" s="147" t="s">
        <v>3678</v>
      </c>
      <c r="K138" s="151">
        <f t="shared" si="4"/>
        <v>0</v>
      </c>
      <c r="L138" s="147" t="s">
        <v>3678</v>
      </c>
      <c r="M138" s="147" t="s">
        <v>4316</v>
      </c>
      <c r="N138" s="151">
        <f t="shared" si="5"/>
        <v>33.11666667</v>
      </c>
      <c r="O138" s="147" t="s">
        <v>4317</v>
      </c>
      <c r="P138" s="151">
        <f t="shared" si="6"/>
        <v>17.7</v>
      </c>
    </row>
    <row r="139">
      <c r="A139" s="147" t="s">
        <v>4318</v>
      </c>
      <c r="B139" s="147" t="s">
        <v>4319</v>
      </c>
      <c r="C139" s="147" t="s">
        <v>3675</v>
      </c>
      <c r="D139" s="147" t="s">
        <v>3676</v>
      </c>
      <c r="E139" s="147" t="s">
        <v>4320</v>
      </c>
      <c r="F139" s="148">
        <v>30.983333333333334</v>
      </c>
      <c r="G139" s="149">
        <f t="shared" si="1"/>
        <v>30.41666667</v>
      </c>
      <c r="H139" s="149">
        <f t="shared" si="2"/>
        <v>30.38333333</v>
      </c>
      <c r="I139" s="150">
        <f t="shared" si="3"/>
        <v>1.265972222</v>
      </c>
      <c r="J139" s="147" t="s">
        <v>3719</v>
      </c>
      <c r="K139" s="148">
        <f t="shared" si="4"/>
        <v>0.5666666667</v>
      </c>
      <c r="L139" s="152">
        <v>0.0188</v>
      </c>
      <c r="M139" s="147" t="s">
        <v>4321</v>
      </c>
      <c r="N139" s="148">
        <f t="shared" si="5"/>
        <v>15.76666667</v>
      </c>
      <c r="O139" s="147" t="s">
        <v>4322</v>
      </c>
      <c r="P139" s="148">
        <f t="shared" si="6"/>
        <v>14.61666667</v>
      </c>
    </row>
    <row r="140">
      <c r="A140" s="147" t="s">
        <v>4323</v>
      </c>
      <c r="B140" s="147" t="s">
        <v>1257</v>
      </c>
      <c r="C140" s="147" t="s">
        <v>3675</v>
      </c>
      <c r="D140" s="147" t="s">
        <v>3676</v>
      </c>
      <c r="E140" s="147" t="s">
        <v>4324</v>
      </c>
      <c r="F140" s="148">
        <v>38.53333333333333</v>
      </c>
      <c r="G140" s="149">
        <f t="shared" si="1"/>
        <v>37.96666667</v>
      </c>
      <c r="H140" s="149">
        <f t="shared" si="2"/>
        <v>37.95</v>
      </c>
      <c r="I140" s="150">
        <f t="shared" si="3"/>
        <v>1.58125</v>
      </c>
      <c r="J140" s="147" t="s">
        <v>3719</v>
      </c>
      <c r="K140" s="148">
        <f t="shared" si="4"/>
        <v>0.5666666667</v>
      </c>
      <c r="L140" s="152">
        <v>0.015</v>
      </c>
      <c r="M140" s="147" t="s">
        <v>4325</v>
      </c>
      <c r="N140" s="148">
        <f t="shared" si="5"/>
        <v>19.13333333</v>
      </c>
      <c r="O140" s="147" t="s">
        <v>4326</v>
      </c>
      <c r="P140" s="148">
        <f t="shared" si="6"/>
        <v>18.81666667</v>
      </c>
    </row>
    <row r="141">
      <c r="A141" s="147" t="s">
        <v>4327</v>
      </c>
      <c r="B141" s="147" t="s">
        <v>890</v>
      </c>
      <c r="C141" s="147" t="s">
        <v>3675</v>
      </c>
      <c r="D141" s="147" t="s">
        <v>3692</v>
      </c>
      <c r="E141" s="147" t="s">
        <v>4328</v>
      </c>
      <c r="F141" s="148">
        <v>40.95</v>
      </c>
      <c r="G141" s="149">
        <f t="shared" si="1"/>
        <v>40.95</v>
      </c>
      <c r="H141" s="149">
        <f t="shared" si="2"/>
        <v>40.95</v>
      </c>
      <c r="I141" s="150">
        <f t="shared" si="3"/>
        <v>1.70625</v>
      </c>
      <c r="J141" s="147" t="s">
        <v>3678</v>
      </c>
      <c r="K141" s="151">
        <f t="shared" si="4"/>
        <v>0</v>
      </c>
      <c r="L141" s="147" t="s">
        <v>3678</v>
      </c>
      <c r="M141" s="147" t="s">
        <v>4329</v>
      </c>
      <c r="N141" s="151">
        <f t="shared" si="5"/>
        <v>36.8</v>
      </c>
      <c r="O141" s="147" t="s">
        <v>4330</v>
      </c>
      <c r="P141" s="151">
        <f t="shared" si="6"/>
        <v>4.15</v>
      </c>
    </row>
    <row r="142">
      <c r="A142" s="147" t="s">
        <v>4331</v>
      </c>
      <c r="B142" s="147" t="s">
        <v>4332</v>
      </c>
      <c r="C142" s="147" t="s">
        <v>3675</v>
      </c>
      <c r="D142" s="147" t="s">
        <v>3692</v>
      </c>
      <c r="E142" s="147" t="s">
        <v>4333</v>
      </c>
      <c r="F142" s="148">
        <v>40.2</v>
      </c>
      <c r="G142" s="149">
        <f t="shared" si="1"/>
        <v>40.2</v>
      </c>
      <c r="H142" s="149">
        <f t="shared" si="2"/>
        <v>40.2</v>
      </c>
      <c r="I142" s="150">
        <f t="shared" si="3"/>
        <v>1.675</v>
      </c>
      <c r="J142" s="147" t="s">
        <v>3678</v>
      </c>
      <c r="K142" s="151">
        <f t="shared" si="4"/>
        <v>0</v>
      </c>
      <c r="L142" s="147" t="s">
        <v>3678</v>
      </c>
      <c r="M142" s="147" t="s">
        <v>4334</v>
      </c>
      <c r="N142" s="151">
        <f t="shared" si="5"/>
        <v>38.66666667</v>
      </c>
      <c r="O142" s="147" t="s">
        <v>4335</v>
      </c>
      <c r="P142" s="151">
        <f t="shared" si="6"/>
        <v>1.533333333</v>
      </c>
    </row>
    <row r="143">
      <c r="A143" s="147" t="s">
        <v>4336</v>
      </c>
      <c r="B143" s="147" t="s">
        <v>4337</v>
      </c>
      <c r="C143" s="147" t="s">
        <v>3675</v>
      </c>
      <c r="D143" s="147" t="s">
        <v>4056</v>
      </c>
      <c r="E143" s="147" t="s">
        <v>4338</v>
      </c>
      <c r="F143" s="148">
        <v>5.866666666666667</v>
      </c>
      <c r="G143" s="149">
        <f t="shared" si="1"/>
        <v>5.866666667</v>
      </c>
      <c r="H143" s="149">
        <f t="shared" si="2"/>
        <v>5.866666667</v>
      </c>
      <c r="I143" s="150">
        <f t="shared" si="3"/>
        <v>0.2444444444</v>
      </c>
      <c r="J143" s="147" t="s">
        <v>3678</v>
      </c>
      <c r="K143" s="151">
        <f t="shared" si="4"/>
        <v>0</v>
      </c>
      <c r="L143" s="147" t="s">
        <v>3678</v>
      </c>
      <c r="M143" s="147" t="s">
        <v>4339</v>
      </c>
      <c r="N143" s="151">
        <f t="shared" si="5"/>
        <v>5.4</v>
      </c>
      <c r="O143" s="147" t="s">
        <v>3807</v>
      </c>
      <c r="P143" s="151">
        <f t="shared" si="6"/>
        <v>0.4666666667</v>
      </c>
    </row>
    <row r="144">
      <c r="A144" s="147" t="s">
        <v>4340</v>
      </c>
      <c r="B144" s="147" t="s">
        <v>4341</v>
      </c>
      <c r="C144" s="147" t="s">
        <v>3765</v>
      </c>
      <c r="D144" s="147" t="s">
        <v>3692</v>
      </c>
      <c r="E144" s="147" t="s">
        <v>4342</v>
      </c>
      <c r="F144" s="148">
        <v>54.166666666666664</v>
      </c>
      <c r="G144" s="149">
        <f t="shared" si="1"/>
        <v>54.16666667</v>
      </c>
      <c r="H144" s="149">
        <f t="shared" si="2"/>
        <v>54.15</v>
      </c>
      <c r="I144" s="150">
        <f t="shared" si="3"/>
        <v>2.25625</v>
      </c>
      <c r="J144" s="147" t="s">
        <v>3678</v>
      </c>
      <c r="K144" s="151">
        <f t="shared" si="4"/>
        <v>0</v>
      </c>
      <c r="L144" s="147" t="s">
        <v>3678</v>
      </c>
      <c r="M144" s="147" t="s">
        <v>4343</v>
      </c>
      <c r="N144" s="151">
        <f t="shared" si="5"/>
        <v>52.23333333</v>
      </c>
      <c r="O144" s="147" t="s">
        <v>4344</v>
      </c>
      <c r="P144" s="151">
        <f t="shared" si="6"/>
        <v>1.916666667</v>
      </c>
    </row>
    <row r="145">
      <c r="A145" s="147" t="s">
        <v>4345</v>
      </c>
      <c r="B145" s="147" t="s">
        <v>510</v>
      </c>
      <c r="C145" s="147" t="s">
        <v>3675</v>
      </c>
      <c r="D145" s="147" t="s">
        <v>3676</v>
      </c>
      <c r="E145" s="147" t="s">
        <v>4346</v>
      </c>
      <c r="F145" s="148">
        <v>49.03333333333333</v>
      </c>
      <c r="G145" s="149">
        <f t="shared" si="1"/>
        <v>49.03333333</v>
      </c>
      <c r="H145" s="149">
        <f t="shared" si="2"/>
        <v>49.03333333</v>
      </c>
      <c r="I145" s="150">
        <f t="shared" si="3"/>
        <v>2.043055556</v>
      </c>
      <c r="J145" s="147" t="s">
        <v>3678</v>
      </c>
      <c r="K145" s="151">
        <f t="shared" si="4"/>
        <v>0</v>
      </c>
      <c r="L145" s="147" t="s">
        <v>3678</v>
      </c>
      <c r="M145" s="147" t="s">
        <v>4347</v>
      </c>
      <c r="N145" s="151">
        <f t="shared" si="5"/>
        <v>30.86666667</v>
      </c>
      <c r="O145" s="147" t="s">
        <v>4348</v>
      </c>
      <c r="P145" s="151">
        <f t="shared" si="6"/>
        <v>18.16666667</v>
      </c>
    </row>
    <row r="146">
      <c r="A146" s="147" t="s">
        <v>4349</v>
      </c>
      <c r="B146" s="147" t="s">
        <v>236</v>
      </c>
      <c r="C146" s="147" t="s">
        <v>3675</v>
      </c>
      <c r="D146" s="147" t="s">
        <v>3686</v>
      </c>
      <c r="E146" s="147" t="s">
        <v>4350</v>
      </c>
      <c r="F146" s="148">
        <v>57.03333333333333</v>
      </c>
      <c r="G146" s="149">
        <f t="shared" si="1"/>
        <v>56.45</v>
      </c>
      <c r="H146" s="149">
        <f t="shared" si="2"/>
        <v>56.43333333</v>
      </c>
      <c r="I146" s="150">
        <f t="shared" si="3"/>
        <v>2.351388889</v>
      </c>
      <c r="J146" s="147" t="s">
        <v>4351</v>
      </c>
      <c r="K146" s="148">
        <f t="shared" si="4"/>
        <v>0.5833333333</v>
      </c>
      <c r="L146" s="152">
        <v>0.0104</v>
      </c>
      <c r="M146" s="147" t="s">
        <v>4352</v>
      </c>
      <c r="N146" s="148">
        <f t="shared" si="5"/>
        <v>43.7</v>
      </c>
      <c r="O146" s="147" t="s">
        <v>4353</v>
      </c>
      <c r="P146" s="148">
        <f t="shared" si="6"/>
        <v>12.73333333</v>
      </c>
    </row>
    <row r="147">
      <c r="A147" s="147" t="s">
        <v>4354</v>
      </c>
      <c r="B147" s="147" t="s">
        <v>1133</v>
      </c>
      <c r="C147" s="147" t="s">
        <v>3675</v>
      </c>
      <c r="D147" s="147" t="s">
        <v>3676</v>
      </c>
      <c r="E147" s="147" t="s">
        <v>4355</v>
      </c>
      <c r="F147" s="148">
        <v>35.1</v>
      </c>
      <c r="G147" s="149">
        <f t="shared" si="1"/>
        <v>35.1</v>
      </c>
      <c r="H147" s="149">
        <f t="shared" si="2"/>
        <v>35.08333333</v>
      </c>
      <c r="I147" s="150">
        <f t="shared" si="3"/>
        <v>1.461805556</v>
      </c>
      <c r="J147" s="147" t="s">
        <v>3678</v>
      </c>
      <c r="K147" s="151">
        <f t="shared" si="4"/>
        <v>0</v>
      </c>
      <c r="L147" s="147" t="s">
        <v>3678</v>
      </c>
      <c r="M147" s="147" t="s">
        <v>4356</v>
      </c>
      <c r="N147" s="151">
        <f t="shared" si="5"/>
        <v>25.78333333</v>
      </c>
      <c r="O147" s="147" t="s">
        <v>4357</v>
      </c>
      <c r="P147" s="151">
        <f t="shared" si="6"/>
        <v>9.3</v>
      </c>
    </row>
    <row r="148">
      <c r="A148" s="147" t="s">
        <v>4358</v>
      </c>
      <c r="B148" s="147" t="s">
        <v>4359</v>
      </c>
      <c r="C148" s="147" t="s">
        <v>3675</v>
      </c>
      <c r="D148" s="147" t="s">
        <v>3702</v>
      </c>
      <c r="E148" s="147" t="s">
        <v>4360</v>
      </c>
      <c r="F148" s="148">
        <v>28.166666666666668</v>
      </c>
      <c r="G148" s="149">
        <f t="shared" si="1"/>
        <v>28</v>
      </c>
      <c r="H148" s="149">
        <f t="shared" si="2"/>
        <v>27.98333333</v>
      </c>
      <c r="I148" s="150">
        <f t="shared" si="3"/>
        <v>1.165972222</v>
      </c>
      <c r="J148" s="147" t="s">
        <v>3724</v>
      </c>
      <c r="K148" s="148">
        <f t="shared" si="4"/>
        <v>0.1666666667</v>
      </c>
      <c r="L148" s="152">
        <v>0.006</v>
      </c>
      <c r="M148" s="147" t="s">
        <v>4361</v>
      </c>
      <c r="N148" s="148">
        <f t="shared" si="5"/>
        <v>17.43333333</v>
      </c>
      <c r="O148" s="147" t="s">
        <v>4362</v>
      </c>
      <c r="P148" s="148">
        <f t="shared" si="6"/>
        <v>10.55</v>
      </c>
    </row>
    <row r="149">
      <c r="A149" s="147" t="s">
        <v>4363</v>
      </c>
      <c r="B149" s="147" t="s">
        <v>1249</v>
      </c>
      <c r="C149" s="147" t="s">
        <v>3675</v>
      </c>
      <c r="D149" s="147" t="s">
        <v>3676</v>
      </c>
      <c r="E149" s="147" t="s">
        <v>4074</v>
      </c>
      <c r="F149" s="148">
        <v>40.15</v>
      </c>
      <c r="G149" s="149">
        <f t="shared" si="1"/>
        <v>39.96666667</v>
      </c>
      <c r="H149" s="149">
        <f t="shared" si="2"/>
        <v>39.96666667</v>
      </c>
      <c r="I149" s="150">
        <f t="shared" si="3"/>
        <v>1.665277778</v>
      </c>
      <c r="J149" s="147" t="s">
        <v>4364</v>
      </c>
      <c r="K149" s="148">
        <f t="shared" si="4"/>
        <v>0.1833333333</v>
      </c>
      <c r="L149" s="152">
        <v>0.0046</v>
      </c>
      <c r="M149" s="147" t="s">
        <v>4365</v>
      </c>
      <c r="N149" s="148">
        <f t="shared" si="5"/>
        <v>28.08333333</v>
      </c>
      <c r="O149" s="147" t="s">
        <v>4366</v>
      </c>
      <c r="P149" s="148">
        <f t="shared" si="6"/>
        <v>11.88333333</v>
      </c>
    </row>
    <row r="150">
      <c r="A150" s="147" t="s">
        <v>4367</v>
      </c>
      <c r="B150" s="147" t="s">
        <v>540</v>
      </c>
      <c r="C150" s="147" t="s">
        <v>3675</v>
      </c>
      <c r="D150" s="147" t="s">
        <v>3676</v>
      </c>
      <c r="E150" s="147" t="s">
        <v>4368</v>
      </c>
      <c r="F150" s="148">
        <v>49.36666666666667</v>
      </c>
      <c r="G150" s="149">
        <f t="shared" si="1"/>
        <v>47.26666667</v>
      </c>
      <c r="H150" s="149">
        <f t="shared" si="2"/>
        <v>47.25</v>
      </c>
      <c r="I150" s="150">
        <f t="shared" si="3"/>
        <v>1.96875</v>
      </c>
      <c r="J150" s="147" t="s">
        <v>4369</v>
      </c>
      <c r="K150" s="148">
        <f t="shared" si="4"/>
        <v>2.1</v>
      </c>
      <c r="L150" s="152">
        <v>0.0427</v>
      </c>
      <c r="M150" s="147" t="s">
        <v>4202</v>
      </c>
      <c r="N150" s="148">
        <f t="shared" si="5"/>
        <v>26.7</v>
      </c>
      <c r="O150" s="147" t="s">
        <v>4370</v>
      </c>
      <c r="P150" s="148">
        <f t="shared" si="6"/>
        <v>20.55</v>
      </c>
    </row>
    <row r="151">
      <c r="A151" s="147" t="s">
        <v>4371</v>
      </c>
      <c r="B151" s="147" t="s">
        <v>4372</v>
      </c>
      <c r="C151" s="147" t="s">
        <v>3675</v>
      </c>
      <c r="D151" s="147" t="s">
        <v>3676</v>
      </c>
      <c r="E151" s="147" t="s">
        <v>4042</v>
      </c>
      <c r="F151" s="148">
        <v>0.65</v>
      </c>
      <c r="G151" s="149">
        <f t="shared" si="1"/>
        <v>0.65</v>
      </c>
      <c r="H151" s="149">
        <f t="shared" si="2"/>
        <v>0.65</v>
      </c>
      <c r="I151" s="150">
        <f t="shared" si="3"/>
        <v>0.02708333333</v>
      </c>
      <c r="J151" s="147" t="s">
        <v>3678</v>
      </c>
      <c r="K151" s="151">
        <f t="shared" si="4"/>
        <v>0</v>
      </c>
      <c r="L151" s="147" t="s">
        <v>3678</v>
      </c>
      <c r="M151" s="147" t="s">
        <v>4115</v>
      </c>
      <c r="N151" s="151">
        <f t="shared" si="5"/>
        <v>0.4166666667</v>
      </c>
      <c r="O151" s="147" t="s">
        <v>4194</v>
      </c>
      <c r="P151" s="151">
        <f t="shared" si="6"/>
        <v>0.2333333333</v>
      </c>
    </row>
    <row r="152">
      <c r="A152" s="147" t="s">
        <v>4373</v>
      </c>
      <c r="B152" s="147" t="s">
        <v>703</v>
      </c>
      <c r="C152" s="147" t="s">
        <v>3675</v>
      </c>
      <c r="D152" s="147" t="s">
        <v>3676</v>
      </c>
      <c r="E152" s="147" t="s">
        <v>4374</v>
      </c>
      <c r="F152" s="148">
        <v>50.45</v>
      </c>
      <c r="G152" s="149">
        <f t="shared" si="1"/>
        <v>43.05</v>
      </c>
      <c r="H152" s="149">
        <f t="shared" si="2"/>
        <v>43.03333333</v>
      </c>
      <c r="I152" s="150">
        <f t="shared" si="3"/>
        <v>1.793055556</v>
      </c>
      <c r="J152" s="147" t="s">
        <v>4375</v>
      </c>
      <c r="K152" s="148">
        <f t="shared" si="4"/>
        <v>7.4</v>
      </c>
      <c r="L152" s="152">
        <v>0.1469</v>
      </c>
      <c r="M152" s="147" t="s">
        <v>4376</v>
      </c>
      <c r="N152" s="148">
        <f t="shared" si="5"/>
        <v>23.91666667</v>
      </c>
      <c r="O152" s="147" t="s">
        <v>4377</v>
      </c>
      <c r="P152" s="148">
        <f t="shared" si="6"/>
        <v>19.11666667</v>
      </c>
    </row>
    <row r="153">
      <c r="A153" s="147" t="s">
        <v>4378</v>
      </c>
      <c r="B153" s="147" t="s">
        <v>4379</v>
      </c>
      <c r="C153" s="147" t="s">
        <v>3675</v>
      </c>
      <c r="D153" s="147" t="s">
        <v>3692</v>
      </c>
      <c r="E153" s="147" t="s">
        <v>4380</v>
      </c>
      <c r="F153" s="148">
        <v>39.25</v>
      </c>
      <c r="G153" s="149">
        <f t="shared" si="1"/>
        <v>39.25</v>
      </c>
      <c r="H153" s="149">
        <f t="shared" si="2"/>
        <v>39.23333333</v>
      </c>
      <c r="I153" s="150">
        <f t="shared" si="3"/>
        <v>1.634722222</v>
      </c>
      <c r="J153" s="147" t="s">
        <v>3678</v>
      </c>
      <c r="K153" s="151">
        <f t="shared" si="4"/>
        <v>0</v>
      </c>
      <c r="L153" s="147" t="s">
        <v>3678</v>
      </c>
      <c r="M153" s="147" t="s">
        <v>4381</v>
      </c>
      <c r="N153" s="151">
        <f t="shared" si="5"/>
        <v>39.11666667</v>
      </c>
      <c r="O153" s="147" t="s">
        <v>4382</v>
      </c>
      <c r="P153" s="151">
        <f t="shared" si="6"/>
        <v>0.1166666667</v>
      </c>
    </row>
    <row r="154">
      <c r="A154" s="147" t="s">
        <v>4383</v>
      </c>
      <c r="B154" s="147" t="s">
        <v>1120</v>
      </c>
      <c r="C154" s="147" t="s">
        <v>3675</v>
      </c>
      <c r="D154" s="147" t="s">
        <v>3676</v>
      </c>
      <c r="E154" s="147" t="s">
        <v>4384</v>
      </c>
      <c r="F154" s="148">
        <v>35.166666666666664</v>
      </c>
      <c r="G154" s="149">
        <f t="shared" si="1"/>
        <v>34.46666667</v>
      </c>
      <c r="H154" s="149">
        <f t="shared" si="2"/>
        <v>34.45</v>
      </c>
      <c r="I154" s="150">
        <f t="shared" si="3"/>
        <v>1.435416667</v>
      </c>
      <c r="J154" s="147" t="s">
        <v>4385</v>
      </c>
      <c r="K154" s="148">
        <f t="shared" si="4"/>
        <v>0.7</v>
      </c>
      <c r="L154" s="152">
        <v>0.0203</v>
      </c>
      <c r="M154" s="147" t="s">
        <v>4386</v>
      </c>
      <c r="N154" s="148">
        <f t="shared" si="5"/>
        <v>16.91666667</v>
      </c>
      <c r="O154" s="147" t="s">
        <v>4387</v>
      </c>
      <c r="P154" s="148">
        <f t="shared" si="6"/>
        <v>17.53333333</v>
      </c>
    </row>
    <row r="155">
      <c r="A155" s="147" t="s">
        <v>4388</v>
      </c>
      <c r="B155" s="147" t="s">
        <v>4389</v>
      </c>
      <c r="C155" s="147" t="s">
        <v>3675</v>
      </c>
      <c r="D155" s="147" t="s">
        <v>3692</v>
      </c>
      <c r="E155" s="147" t="s">
        <v>4390</v>
      </c>
      <c r="F155" s="148">
        <v>39.1</v>
      </c>
      <c r="G155" s="149">
        <f t="shared" si="1"/>
        <v>39.1</v>
      </c>
      <c r="H155" s="149">
        <f t="shared" si="2"/>
        <v>39.08333333</v>
      </c>
      <c r="I155" s="150">
        <f t="shared" si="3"/>
        <v>1.628472222</v>
      </c>
      <c r="J155" s="147" t="s">
        <v>3678</v>
      </c>
      <c r="K155" s="151">
        <f t="shared" si="4"/>
        <v>0</v>
      </c>
      <c r="L155" s="147" t="s">
        <v>3678</v>
      </c>
      <c r="M155" s="147" t="s">
        <v>4391</v>
      </c>
      <c r="N155" s="151">
        <f t="shared" si="5"/>
        <v>36.66666667</v>
      </c>
      <c r="O155" s="147" t="s">
        <v>4392</v>
      </c>
      <c r="P155" s="151">
        <f t="shared" si="6"/>
        <v>2.416666667</v>
      </c>
    </row>
    <row r="156">
      <c r="A156" s="147" t="s">
        <v>4393</v>
      </c>
      <c r="B156" s="147" t="s">
        <v>4394</v>
      </c>
      <c r="C156" s="147" t="s">
        <v>3675</v>
      </c>
      <c r="D156" s="147" t="s">
        <v>3709</v>
      </c>
      <c r="E156" s="147" t="s">
        <v>4395</v>
      </c>
      <c r="F156" s="148">
        <v>41.38333333333333</v>
      </c>
      <c r="G156" s="149">
        <f t="shared" si="1"/>
        <v>41.38333333</v>
      </c>
      <c r="H156" s="149">
        <f t="shared" si="2"/>
        <v>41.36666667</v>
      </c>
      <c r="I156" s="150">
        <f t="shared" si="3"/>
        <v>1.723611111</v>
      </c>
      <c r="J156" s="147" t="s">
        <v>3678</v>
      </c>
      <c r="K156" s="151">
        <f t="shared" si="4"/>
        <v>0</v>
      </c>
      <c r="L156" s="147" t="s">
        <v>3678</v>
      </c>
      <c r="M156" s="147" t="s">
        <v>3863</v>
      </c>
      <c r="N156" s="151">
        <f t="shared" si="5"/>
        <v>40.83333333</v>
      </c>
      <c r="O156" s="147" t="s">
        <v>4396</v>
      </c>
      <c r="P156" s="151">
        <f t="shared" si="6"/>
        <v>0.5333333333</v>
      </c>
    </row>
    <row r="157">
      <c r="A157" s="147" t="s">
        <v>4397</v>
      </c>
      <c r="B157" s="147" t="s">
        <v>4398</v>
      </c>
      <c r="C157" s="147" t="s">
        <v>3675</v>
      </c>
      <c r="D157" s="147" t="s">
        <v>3709</v>
      </c>
      <c r="E157" s="147" t="s">
        <v>4399</v>
      </c>
      <c r="F157" s="148">
        <v>49.11666666666667</v>
      </c>
      <c r="G157" s="149">
        <f t="shared" si="1"/>
        <v>49.11666667</v>
      </c>
      <c r="H157" s="149">
        <f t="shared" si="2"/>
        <v>49.1</v>
      </c>
      <c r="I157" s="150">
        <f t="shared" si="3"/>
        <v>2.045833333</v>
      </c>
      <c r="J157" s="147" t="s">
        <v>3678</v>
      </c>
      <c r="K157" s="151">
        <f t="shared" si="4"/>
        <v>0</v>
      </c>
      <c r="L157" s="147" t="s">
        <v>3678</v>
      </c>
      <c r="M157" s="147" t="s">
        <v>4400</v>
      </c>
      <c r="N157" s="151">
        <f t="shared" si="5"/>
        <v>47.85</v>
      </c>
      <c r="O157" s="147" t="s">
        <v>4401</v>
      </c>
      <c r="P157" s="151">
        <f t="shared" si="6"/>
        <v>1.25</v>
      </c>
    </row>
    <row r="158">
      <c r="A158" s="147" t="s">
        <v>4402</v>
      </c>
      <c r="B158" s="147" t="s">
        <v>4403</v>
      </c>
      <c r="C158" s="147" t="s">
        <v>3675</v>
      </c>
      <c r="D158" s="147" t="s">
        <v>3735</v>
      </c>
      <c r="E158" s="147" t="s">
        <v>4404</v>
      </c>
      <c r="F158" s="148">
        <v>48.28333333333333</v>
      </c>
      <c r="G158" s="149">
        <f t="shared" si="1"/>
        <v>48.28333333</v>
      </c>
      <c r="H158" s="149">
        <f t="shared" si="2"/>
        <v>48.28333333</v>
      </c>
      <c r="I158" s="150">
        <f t="shared" si="3"/>
        <v>2.011805556</v>
      </c>
      <c r="J158" s="147" t="s">
        <v>3678</v>
      </c>
      <c r="K158" s="151">
        <f t="shared" si="4"/>
        <v>0</v>
      </c>
      <c r="L158" s="147" t="s">
        <v>3678</v>
      </c>
      <c r="M158" s="147" t="s">
        <v>4405</v>
      </c>
      <c r="N158" s="151">
        <f t="shared" si="5"/>
        <v>38.83333333</v>
      </c>
      <c r="O158" s="147" t="s">
        <v>4406</v>
      </c>
      <c r="P158" s="151">
        <f t="shared" si="6"/>
        <v>9.45</v>
      </c>
    </row>
    <row r="159">
      <c r="A159" s="147" t="s">
        <v>4407</v>
      </c>
      <c r="B159" s="147" t="s">
        <v>4408</v>
      </c>
      <c r="C159" s="147" t="s">
        <v>3765</v>
      </c>
      <c r="D159" s="147" t="s">
        <v>3676</v>
      </c>
      <c r="E159" s="147" t="s">
        <v>4409</v>
      </c>
      <c r="F159" s="148">
        <v>51.55</v>
      </c>
      <c r="G159" s="149">
        <f t="shared" si="1"/>
        <v>51.55</v>
      </c>
      <c r="H159" s="149">
        <f t="shared" si="2"/>
        <v>51.53333333</v>
      </c>
      <c r="I159" s="150">
        <f t="shared" si="3"/>
        <v>2.147222222</v>
      </c>
      <c r="J159" s="147" t="s">
        <v>3678</v>
      </c>
      <c r="K159" s="151">
        <f t="shared" si="4"/>
        <v>0</v>
      </c>
      <c r="L159" s="147" t="s">
        <v>3678</v>
      </c>
      <c r="M159" s="147" t="s">
        <v>4410</v>
      </c>
      <c r="N159" s="151">
        <f t="shared" si="5"/>
        <v>44.33333333</v>
      </c>
      <c r="O159" s="147" t="s">
        <v>4411</v>
      </c>
      <c r="P159" s="151">
        <f t="shared" si="6"/>
        <v>7.2</v>
      </c>
    </row>
    <row r="160">
      <c r="A160" s="147" t="s">
        <v>4412</v>
      </c>
      <c r="B160" s="147" t="s">
        <v>4413</v>
      </c>
      <c r="C160" s="147" t="s">
        <v>3675</v>
      </c>
      <c r="D160" s="147" t="s">
        <v>3676</v>
      </c>
      <c r="E160" s="147" t="s">
        <v>4414</v>
      </c>
      <c r="F160" s="148">
        <v>1.2833333333333332</v>
      </c>
      <c r="G160" s="149">
        <f t="shared" si="1"/>
        <v>1.283333333</v>
      </c>
      <c r="H160" s="149">
        <f t="shared" si="2"/>
        <v>1.266666667</v>
      </c>
      <c r="I160" s="150">
        <f t="shared" si="3"/>
        <v>0.05277777778</v>
      </c>
      <c r="J160" s="147" t="s">
        <v>3678</v>
      </c>
      <c r="K160" s="151">
        <f t="shared" si="4"/>
        <v>0</v>
      </c>
      <c r="L160" s="147" t="s">
        <v>3678</v>
      </c>
      <c r="M160" s="147" t="s">
        <v>4415</v>
      </c>
      <c r="N160" s="151">
        <f t="shared" si="5"/>
        <v>0.85</v>
      </c>
      <c r="O160" s="147" t="s">
        <v>4115</v>
      </c>
      <c r="P160" s="151">
        <f t="shared" si="6"/>
        <v>0.4166666667</v>
      </c>
    </row>
    <row r="161">
      <c r="A161" s="147" t="s">
        <v>4416</v>
      </c>
      <c r="B161" s="147" t="s">
        <v>2026</v>
      </c>
      <c r="C161" s="147" t="s">
        <v>3675</v>
      </c>
      <c r="D161" s="147" t="s">
        <v>3692</v>
      </c>
      <c r="E161" s="147" t="s">
        <v>4417</v>
      </c>
      <c r="F161" s="148">
        <v>42.9</v>
      </c>
      <c r="G161" s="149">
        <f t="shared" si="1"/>
        <v>42.9</v>
      </c>
      <c r="H161" s="149">
        <f t="shared" si="2"/>
        <v>42.88333333</v>
      </c>
      <c r="I161" s="150">
        <f t="shared" si="3"/>
        <v>1.786805556</v>
      </c>
      <c r="J161" s="147" t="s">
        <v>3678</v>
      </c>
      <c r="K161" s="151">
        <f t="shared" si="4"/>
        <v>0</v>
      </c>
      <c r="L161" s="147" t="s">
        <v>3678</v>
      </c>
      <c r="M161" s="147" t="s">
        <v>4418</v>
      </c>
      <c r="N161" s="151">
        <f t="shared" si="5"/>
        <v>37.43333333</v>
      </c>
      <c r="O161" s="147" t="s">
        <v>4419</v>
      </c>
      <c r="P161" s="151">
        <f t="shared" si="6"/>
        <v>5.45</v>
      </c>
    </row>
    <row r="162">
      <c r="A162" s="147" t="s">
        <v>4420</v>
      </c>
      <c r="B162" s="147" t="s">
        <v>1114</v>
      </c>
      <c r="C162" s="147" t="s">
        <v>3675</v>
      </c>
      <c r="D162" s="147" t="s">
        <v>3676</v>
      </c>
      <c r="E162" s="147" t="s">
        <v>4421</v>
      </c>
      <c r="F162" s="148">
        <v>46.95</v>
      </c>
      <c r="G162" s="149">
        <f t="shared" si="1"/>
        <v>46.95</v>
      </c>
      <c r="H162" s="149">
        <f t="shared" si="2"/>
        <v>46.93333333</v>
      </c>
      <c r="I162" s="150">
        <f t="shared" si="3"/>
        <v>1.955555556</v>
      </c>
      <c r="J162" s="147" t="s">
        <v>3678</v>
      </c>
      <c r="K162" s="151">
        <f t="shared" si="4"/>
        <v>0</v>
      </c>
      <c r="L162" s="147" t="s">
        <v>3678</v>
      </c>
      <c r="M162" s="147" t="s">
        <v>4422</v>
      </c>
      <c r="N162" s="151">
        <f t="shared" si="5"/>
        <v>30.7</v>
      </c>
      <c r="O162" s="147" t="s">
        <v>4423</v>
      </c>
      <c r="P162" s="151">
        <f t="shared" si="6"/>
        <v>16.23333333</v>
      </c>
    </row>
    <row r="163">
      <c r="A163" s="147" t="s">
        <v>4424</v>
      </c>
      <c r="B163" s="147" t="s">
        <v>4425</v>
      </c>
      <c r="C163" s="147" t="s">
        <v>3675</v>
      </c>
      <c r="D163" s="147" t="s">
        <v>3676</v>
      </c>
      <c r="E163" s="147" t="s">
        <v>4426</v>
      </c>
      <c r="F163" s="148">
        <v>50.18333333333333</v>
      </c>
      <c r="G163" s="149">
        <f t="shared" si="1"/>
        <v>50.18333333</v>
      </c>
      <c r="H163" s="149">
        <f t="shared" si="2"/>
        <v>50.18333333</v>
      </c>
      <c r="I163" s="150">
        <f t="shared" si="3"/>
        <v>2.090972222</v>
      </c>
      <c r="J163" s="147" t="s">
        <v>3678</v>
      </c>
      <c r="K163" s="151">
        <f t="shared" si="4"/>
        <v>0</v>
      </c>
      <c r="L163" s="147" t="s">
        <v>3678</v>
      </c>
      <c r="M163" s="147" t="s">
        <v>4427</v>
      </c>
      <c r="N163" s="151">
        <f t="shared" si="5"/>
        <v>33.58333333</v>
      </c>
      <c r="O163" s="147" t="s">
        <v>3973</v>
      </c>
      <c r="P163" s="151">
        <f t="shared" si="6"/>
        <v>16.6</v>
      </c>
    </row>
    <row r="164">
      <c r="A164" s="147" t="s">
        <v>4428</v>
      </c>
      <c r="B164" s="147" t="s">
        <v>4429</v>
      </c>
      <c r="C164" s="147" t="s">
        <v>3675</v>
      </c>
      <c r="D164" s="147" t="s">
        <v>3692</v>
      </c>
      <c r="E164" s="147" t="s">
        <v>4430</v>
      </c>
      <c r="F164" s="148">
        <v>39.45</v>
      </c>
      <c r="G164" s="149">
        <f t="shared" si="1"/>
        <v>39.45</v>
      </c>
      <c r="H164" s="149">
        <f t="shared" si="2"/>
        <v>39.43333333</v>
      </c>
      <c r="I164" s="150">
        <f t="shared" si="3"/>
        <v>1.643055556</v>
      </c>
      <c r="J164" s="147" t="s">
        <v>3678</v>
      </c>
      <c r="K164" s="151">
        <f t="shared" si="4"/>
        <v>0</v>
      </c>
      <c r="L164" s="147" t="s">
        <v>3678</v>
      </c>
      <c r="M164" s="147" t="s">
        <v>4431</v>
      </c>
      <c r="N164" s="151">
        <f t="shared" si="5"/>
        <v>34.66666667</v>
      </c>
      <c r="O164" s="147" t="s">
        <v>4432</v>
      </c>
      <c r="P164" s="151">
        <f t="shared" si="6"/>
        <v>4.766666667</v>
      </c>
    </row>
    <row r="165">
      <c r="A165" s="147" t="s">
        <v>4433</v>
      </c>
      <c r="B165" s="147" t="s">
        <v>170</v>
      </c>
      <c r="C165" s="147" t="s">
        <v>3675</v>
      </c>
      <c r="D165" s="147" t="s">
        <v>4434</v>
      </c>
      <c r="E165" s="147" t="s">
        <v>4435</v>
      </c>
      <c r="F165" s="148">
        <v>53.36666666666667</v>
      </c>
      <c r="G165" s="149">
        <f t="shared" si="1"/>
        <v>53.36666667</v>
      </c>
      <c r="H165" s="149">
        <f t="shared" si="2"/>
        <v>53.35</v>
      </c>
      <c r="I165" s="150">
        <f t="shared" si="3"/>
        <v>2.222916667</v>
      </c>
      <c r="J165" s="147" t="s">
        <v>3678</v>
      </c>
      <c r="K165" s="151">
        <f t="shared" si="4"/>
        <v>0</v>
      </c>
      <c r="L165" s="147" t="s">
        <v>3678</v>
      </c>
      <c r="M165" s="147" t="s">
        <v>4436</v>
      </c>
      <c r="N165" s="151">
        <f t="shared" si="5"/>
        <v>30.58333333</v>
      </c>
      <c r="O165" s="147" t="s">
        <v>3802</v>
      </c>
      <c r="P165" s="151">
        <f t="shared" si="6"/>
        <v>22.76666667</v>
      </c>
    </row>
    <row r="166">
      <c r="A166" s="147" t="s">
        <v>4437</v>
      </c>
      <c r="B166" s="147" t="s">
        <v>160</v>
      </c>
      <c r="C166" s="147" t="s">
        <v>3675</v>
      </c>
      <c r="D166" s="147" t="s">
        <v>3686</v>
      </c>
      <c r="E166" s="147" t="s">
        <v>4438</v>
      </c>
      <c r="F166" s="148">
        <v>58.8</v>
      </c>
      <c r="G166" s="149">
        <f t="shared" si="1"/>
        <v>58.8</v>
      </c>
      <c r="H166" s="149">
        <f t="shared" si="2"/>
        <v>58.8</v>
      </c>
      <c r="I166" s="150">
        <f t="shared" si="3"/>
        <v>2.45</v>
      </c>
      <c r="J166" s="147" t="s">
        <v>3678</v>
      </c>
      <c r="K166" s="151">
        <f t="shared" si="4"/>
        <v>0</v>
      </c>
      <c r="L166" s="147" t="s">
        <v>3678</v>
      </c>
      <c r="M166" s="147" t="s">
        <v>4439</v>
      </c>
      <c r="N166" s="151">
        <f t="shared" si="5"/>
        <v>54.63333333</v>
      </c>
      <c r="O166" s="147" t="s">
        <v>4189</v>
      </c>
      <c r="P166" s="151">
        <f t="shared" si="6"/>
        <v>4.166666667</v>
      </c>
    </row>
    <row r="167">
      <c r="A167" s="147" t="s">
        <v>4440</v>
      </c>
      <c r="B167" s="147" t="s">
        <v>4441</v>
      </c>
      <c r="C167" s="147" t="s">
        <v>3675</v>
      </c>
      <c r="D167" s="147" t="s">
        <v>3729</v>
      </c>
      <c r="E167" s="147" t="s">
        <v>4442</v>
      </c>
      <c r="F167" s="148">
        <v>42.36666666666667</v>
      </c>
      <c r="G167" s="149">
        <f t="shared" si="1"/>
        <v>42.36666667</v>
      </c>
      <c r="H167" s="149">
        <f t="shared" si="2"/>
        <v>42.36666667</v>
      </c>
      <c r="I167" s="150">
        <f t="shared" si="3"/>
        <v>1.765277778</v>
      </c>
      <c r="J167" s="147" t="s">
        <v>3678</v>
      </c>
      <c r="K167" s="151">
        <f t="shared" si="4"/>
        <v>0</v>
      </c>
      <c r="L167" s="147" t="s">
        <v>3678</v>
      </c>
      <c r="M167" s="147" t="s">
        <v>3944</v>
      </c>
      <c r="N167" s="151">
        <f t="shared" si="5"/>
        <v>36.45</v>
      </c>
      <c r="O167" s="147" t="s">
        <v>4443</v>
      </c>
      <c r="P167" s="151">
        <f t="shared" si="6"/>
        <v>5.916666667</v>
      </c>
    </row>
    <row r="168">
      <c r="A168" s="147" t="s">
        <v>4444</v>
      </c>
      <c r="B168" s="147" t="s">
        <v>717</v>
      </c>
      <c r="C168" s="147" t="s">
        <v>3675</v>
      </c>
      <c r="D168" s="147" t="s">
        <v>3676</v>
      </c>
      <c r="E168" s="147" t="s">
        <v>4445</v>
      </c>
      <c r="F168" s="148">
        <v>39.95</v>
      </c>
      <c r="G168" s="149">
        <f t="shared" si="1"/>
        <v>35.1</v>
      </c>
      <c r="H168" s="149">
        <f t="shared" si="2"/>
        <v>35.06666667</v>
      </c>
      <c r="I168" s="150">
        <f t="shared" si="3"/>
        <v>1.461111111</v>
      </c>
      <c r="J168" s="147" t="s">
        <v>4241</v>
      </c>
      <c r="K168" s="148">
        <f t="shared" si="4"/>
        <v>4.85</v>
      </c>
      <c r="L168" s="152">
        <v>0.1217</v>
      </c>
      <c r="M168" s="147" t="s">
        <v>4446</v>
      </c>
      <c r="N168" s="148">
        <f t="shared" si="5"/>
        <v>13.46666667</v>
      </c>
      <c r="O168" s="147" t="s">
        <v>4447</v>
      </c>
      <c r="P168" s="148">
        <f t="shared" si="6"/>
        <v>21.6</v>
      </c>
    </row>
    <row r="169">
      <c r="A169" s="147" t="s">
        <v>4448</v>
      </c>
      <c r="B169" s="147" t="s">
        <v>3377</v>
      </c>
      <c r="C169" s="147" t="s">
        <v>3675</v>
      </c>
      <c r="D169" s="147" t="s">
        <v>3800</v>
      </c>
      <c r="E169" s="147" t="s">
        <v>4449</v>
      </c>
      <c r="F169" s="148">
        <v>35.05</v>
      </c>
      <c r="G169" s="149">
        <f t="shared" si="1"/>
        <v>34.88333333</v>
      </c>
      <c r="H169" s="149">
        <f t="shared" si="2"/>
        <v>34.86666667</v>
      </c>
      <c r="I169" s="150">
        <f t="shared" si="3"/>
        <v>1.452777778</v>
      </c>
      <c r="J169" s="147" t="s">
        <v>3724</v>
      </c>
      <c r="K169" s="148">
        <f t="shared" si="4"/>
        <v>0.1666666667</v>
      </c>
      <c r="L169" s="152">
        <v>0.0048</v>
      </c>
      <c r="M169" s="147" t="s">
        <v>4450</v>
      </c>
      <c r="N169" s="148">
        <f t="shared" si="5"/>
        <v>25.53333333</v>
      </c>
      <c r="O169" s="147" t="s">
        <v>4451</v>
      </c>
      <c r="P169" s="148">
        <f t="shared" si="6"/>
        <v>9.333333333</v>
      </c>
    </row>
    <row r="170">
      <c r="A170" s="147" t="s">
        <v>4452</v>
      </c>
      <c r="B170" s="147" t="s">
        <v>4453</v>
      </c>
      <c r="C170" s="147" t="s">
        <v>3675</v>
      </c>
      <c r="D170" s="147" t="s">
        <v>3676</v>
      </c>
      <c r="E170" s="147" t="s">
        <v>4454</v>
      </c>
      <c r="F170" s="148">
        <v>43.016666666666666</v>
      </c>
      <c r="G170" s="149">
        <f t="shared" si="1"/>
        <v>43.01666667</v>
      </c>
      <c r="H170" s="149">
        <f t="shared" si="2"/>
        <v>43</v>
      </c>
      <c r="I170" s="150">
        <f t="shared" si="3"/>
        <v>1.791666667</v>
      </c>
      <c r="J170" s="147" t="s">
        <v>3678</v>
      </c>
      <c r="K170" s="151">
        <f t="shared" si="4"/>
        <v>0</v>
      </c>
      <c r="L170" s="147" t="s">
        <v>3678</v>
      </c>
      <c r="M170" s="147" t="s">
        <v>4455</v>
      </c>
      <c r="N170" s="151">
        <f t="shared" si="5"/>
        <v>25.88333333</v>
      </c>
      <c r="O170" s="147" t="s">
        <v>3679</v>
      </c>
      <c r="P170" s="151">
        <f t="shared" si="6"/>
        <v>17.11666667</v>
      </c>
    </row>
    <row r="171">
      <c r="A171" s="147" t="s">
        <v>4456</v>
      </c>
      <c r="B171" s="147" t="s">
        <v>4457</v>
      </c>
      <c r="C171" s="147" t="s">
        <v>3675</v>
      </c>
      <c r="D171" s="147" t="s">
        <v>3676</v>
      </c>
      <c r="E171" s="147" t="s">
        <v>3898</v>
      </c>
      <c r="F171" s="148">
        <v>1.0333333333333334</v>
      </c>
      <c r="G171" s="149">
        <f t="shared" si="1"/>
        <v>1.033333333</v>
      </c>
      <c r="H171" s="149">
        <f t="shared" si="2"/>
        <v>1.033333333</v>
      </c>
      <c r="I171" s="150">
        <f t="shared" si="3"/>
        <v>0.04305555556</v>
      </c>
      <c r="J171" s="147" t="s">
        <v>3678</v>
      </c>
      <c r="K171" s="151">
        <f t="shared" si="4"/>
        <v>0</v>
      </c>
      <c r="L171" s="147" t="s">
        <v>3678</v>
      </c>
      <c r="M171" s="147" t="s">
        <v>3776</v>
      </c>
      <c r="N171" s="151">
        <f t="shared" si="5"/>
        <v>0.9166666667</v>
      </c>
      <c r="O171" s="147" t="s">
        <v>4382</v>
      </c>
      <c r="P171" s="151">
        <f t="shared" si="6"/>
        <v>0.1166666667</v>
      </c>
    </row>
    <row r="172">
      <c r="A172" s="147" t="s">
        <v>4458</v>
      </c>
      <c r="B172" s="147" t="s">
        <v>4459</v>
      </c>
      <c r="C172" s="147" t="s">
        <v>3675</v>
      </c>
      <c r="D172" s="147" t="s">
        <v>3692</v>
      </c>
      <c r="E172" s="147" t="s">
        <v>4460</v>
      </c>
      <c r="F172" s="148">
        <v>38.0</v>
      </c>
      <c r="G172" s="149">
        <f t="shared" si="1"/>
        <v>38</v>
      </c>
      <c r="H172" s="149">
        <f t="shared" si="2"/>
        <v>37.98333333</v>
      </c>
      <c r="I172" s="150">
        <f t="shared" si="3"/>
        <v>1.582638889</v>
      </c>
      <c r="J172" s="147" t="s">
        <v>3678</v>
      </c>
      <c r="K172" s="151">
        <f t="shared" si="4"/>
        <v>0</v>
      </c>
      <c r="L172" s="147" t="s">
        <v>3678</v>
      </c>
      <c r="M172" s="147" t="s">
        <v>4461</v>
      </c>
      <c r="N172" s="151">
        <f t="shared" si="5"/>
        <v>31.71666667</v>
      </c>
      <c r="O172" s="147" t="s">
        <v>4288</v>
      </c>
      <c r="P172" s="151">
        <f t="shared" si="6"/>
        <v>6.266666667</v>
      </c>
    </row>
    <row r="173">
      <c r="A173" s="147" t="s">
        <v>4462</v>
      </c>
      <c r="B173" s="147" t="s">
        <v>4463</v>
      </c>
      <c r="C173" s="147" t="s">
        <v>3675</v>
      </c>
      <c r="D173" s="147" t="s">
        <v>4464</v>
      </c>
      <c r="E173" s="147" t="s">
        <v>4465</v>
      </c>
      <c r="F173" s="148">
        <v>26.4</v>
      </c>
      <c r="G173" s="149">
        <f t="shared" si="1"/>
        <v>26.4</v>
      </c>
      <c r="H173" s="149">
        <f t="shared" si="2"/>
        <v>26.4</v>
      </c>
      <c r="I173" s="150">
        <f t="shared" si="3"/>
        <v>1.1</v>
      </c>
      <c r="J173" s="147" t="s">
        <v>3678</v>
      </c>
      <c r="K173" s="151">
        <f t="shared" si="4"/>
        <v>0</v>
      </c>
      <c r="L173" s="147" t="s">
        <v>3678</v>
      </c>
      <c r="M173" s="147" t="s">
        <v>4466</v>
      </c>
      <c r="N173" s="151">
        <f t="shared" si="5"/>
        <v>19.06666667</v>
      </c>
      <c r="O173" s="147" t="s">
        <v>4467</v>
      </c>
      <c r="P173" s="151">
        <f t="shared" si="6"/>
        <v>7.333333333</v>
      </c>
    </row>
    <row r="174">
      <c r="A174" s="147" t="s">
        <v>4468</v>
      </c>
      <c r="B174" s="147" t="s">
        <v>270</v>
      </c>
      <c r="C174" s="147" t="s">
        <v>3675</v>
      </c>
      <c r="D174" s="147" t="s">
        <v>3686</v>
      </c>
      <c r="E174" s="147" t="s">
        <v>4469</v>
      </c>
      <c r="F174" s="148">
        <v>48.016666666666666</v>
      </c>
      <c r="G174" s="149">
        <f t="shared" si="1"/>
        <v>48.01666667</v>
      </c>
      <c r="H174" s="149">
        <f t="shared" si="2"/>
        <v>48</v>
      </c>
      <c r="I174" s="150">
        <f t="shared" si="3"/>
        <v>2</v>
      </c>
      <c r="J174" s="147" t="s">
        <v>3678</v>
      </c>
      <c r="K174" s="151">
        <f t="shared" si="4"/>
        <v>0</v>
      </c>
      <c r="L174" s="147" t="s">
        <v>3678</v>
      </c>
      <c r="M174" s="147" t="s">
        <v>4470</v>
      </c>
      <c r="N174" s="151">
        <f t="shared" si="5"/>
        <v>43.26666667</v>
      </c>
      <c r="O174" s="147" t="s">
        <v>4471</v>
      </c>
      <c r="P174" s="151">
        <f t="shared" si="6"/>
        <v>4.733333333</v>
      </c>
    </row>
    <row r="175">
      <c r="A175" s="147" t="s">
        <v>4472</v>
      </c>
      <c r="B175" s="147" t="s">
        <v>1205</v>
      </c>
      <c r="C175" s="147" t="s">
        <v>3675</v>
      </c>
      <c r="D175" s="147" t="s">
        <v>3676</v>
      </c>
      <c r="E175" s="147" t="s">
        <v>3965</v>
      </c>
      <c r="F175" s="148">
        <v>36.03333333333333</v>
      </c>
      <c r="G175" s="149">
        <f t="shared" si="1"/>
        <v>36.03333333</v>
      </c>
      <c r="H175" s="149">
        <f t="shared" si="2"/>
        <v>36.03333333</v>
      </c>
      <c r="I175" s="150">
        <f t="shared" si="3"/>
        <v>1.501388889</v>
      </c>
      <c r="J175" s="147" t="s">
        <v>3678</v>
      </c>
      <c r="K175" s="151">
        <f t="shared" si="4"/>
        <v>0</v>
      </c>
      <c r="L175" s="147" t="s">
        <v>3678</v>
      </c>
      <c r="M175" s="147" t="s">
        <v>4473</v>
      </c>
      <c r="N175" s="151">
        <f t="shared" si="5"/>
        <v>24.01666667</v>
      </c>
      <c r="O175" s="147" t="s">
        <v>4474</v>
      </c>
      <c r="P175" s="151">
        <f t="shared" si="6"/>
        <v>12.01666667</v>
      </c>
    </row>
    <row r="176">
      <c r="A176" s="147" t="s">
        <v>4475</v>
      </c>
      <c r="B176" s="147" t="s">
        <v>4476</v>
      </c>
      <c r="C176" s="147" t="s">
        <v>3675</v>
      </c>
      <c r="D176" s="147" t="s">
        <v>3692</v>
      </c>
      <c r="E176" s="147" t="s">
        <v>4477</v>
      </c>
      <c r="F176" s="148">
        <v>40.86666666666667</v>
      </c>
      <c r="G176" s="149">
        <f t="shared" si="1"/>
        <v>40.51666667</v>
      </c>
      <c r="H176" s="149">
        <f t="shared" si="2"/>
        <v>40.51666667</v>
      </c>
      <c r="I176" s="150">
        <f t="shared" si="3"/>
        <v>1.688194444</v>
      </c>
      <c r="J176" s="147" t="s">
        <v>4179</v>
      </c>
      <c r="K176" s="148">
        <f t="shared" si="4"/>
        <v>0.35</v>
      </c>
      <c r="L176" s="152">
        <v>0.0086</v>
      </c>
      <c r="M176" s="147" t="s">
        <v>4478</v>
      </c>
      <c r="N176" s="148">
        <f t="shared" si="5"/>
        <v>30.21666667</v>
      </c>
      <c r="O176" s="147" t="s">
        <v>4479</v>
      </c>
      <c r="P176" s="148">
        <f t="shared" si="6"/>
        <v>10.3</v>
      </c>
    </row>
    <row r="177">
      <c r="A177" s="147" t="s">
        <v>4480</v>
      </c>
      <c r="B177" s="147" t="s">
        <v>486</v>
      </c>
      <c r="C177" s="147" t="s">
        <v>3675</v>
      </c>
      <c r="D177" s="147" t="s">
        <v>3676</v>
      </c>
      <c r="E177" s="147" t="s">
        <v>4481</v>
      </c>
      <c r="F177" s="148">
        <v>43.3</v>
      </c>
      <c r="G177" s="149">
        <f t="shared" si="1"/>
        <v>42.96666667</v>
      </c>
      <c r="H177" s="149">
        <f t="shared" si="2"/>
        <v>42.95</v>
      </c>
      <c r="I177" s="150">
        <f t="shared" si="3"/>
        <v>1.789583333</v>
      </c>
      <c r="J177" s="147" t="s">
        <v>4221</v>
      </c>
      <c r="K177" s="148">
        <f t="shared" si="4"/>
        <v>0.3333333333</v>
      </c>
      <c r="L177" s="152">
        <v>0.008</v>
      </c>
      <c r="M177" s="147" t="s">
        <v>4482</v>
      </c>
      <c r="N177" s="148">
        <f t="shared" si="5"/>
        <v>29.95</v>
      </c>
      <c r="O177" s="147" t="s">
        <v>4483</v>
      </c>
      <c r="P177" s="148">
        <f t="shared" si="6"/>
        <v>13</v>
      </c>
    </row>
    <row r="178">
      <c r="A178" s="147" t="s">
        <v>4484</v>
      </c>
      <c r="B178" s="147" t="s">
        <v>644</v>
      </c>
      <c r="C178" s="147" t="s">
        <v>3675</v>
      </c>
      <c r="D178" s="147" t="s">
        <v>3676</v>
      </c>
      <c r="E178" s="147" t="s">
        <v>4485</v>
      </c>
      <c r="F178" s="148">
        <v>46.15</v>
      </c>
      <c r="G178" s="149">
        <f t="shared" si="1"/>
        <v>46.15</v>
      </c>
      <c r="H178" s="149">
        <f t="shared" si="2"/>
        <v>46.13333333</v>
      </c>
      <c r="I178" s="150">
        <f t="shared" si="3"/>
        <v>1.922222222</v>
      </c>
      <c r="J178" s="147" t="s">
        <v>3678</v>
      </c>
      <c r="K178" s="151">
        <f t="shared" si="4"/>
        <v>0</v>
      </c>
      <c r="L178" s="147" t="s">
        <v>3678</v>
      </c>
      <c r="M178" s="147" t="s">
        <v>4486</v>
      </c>
      <c r="N178" s="151">
        <f t="shared" si="5"/>
        <v>25.41666667</v>
      </c>
      <c r="O178" s="147" t="s">
        <v>4487</v>
      </c>
      <c r="P178" s="151">
        <f t="shared" si="6"/>
        <v>20.71666667</v>
      </c>
    </row>
    <row r="179">
      <c r="A179" s="147" t="s">
        <v>4488</v>
      </c>
      <c r="B179" s="147" t="s">
        <v>1479</v>
      </c>
      <c r="C179" s="147" t="s">
        <v>3675</v>
      </c>
      <c r="D179" s="147" t="s">
        <v>3692</v>
      </c>
      <c r="E179" s="147" t="s">
        <v>4489</v>
      </c>
      <c r="F179" s="148">
        <v>38.083333333333336</v>
      </c>
      <c r="G179" s="149">
        <f t="shared" si="1"/>
        <v>38.08333333</v>
      </c>
      <c r="H179" s="149">
        <f t="shared" si="2"/>
        <v>38.06666667</v>
      </c>
      <c r="I179" s="150">
        <f t="shared" si="3"/>
        <v>1.586111111</v>
      </c>
      <c r="J179" s="147" t="s">
        <v>3678</v>
      </c>
      <c r="K179" s="151">
        <f t="shared" si="4"/>
        <v>0</v>
      </c>
      <c r="L179" s="147" t="s">
        <v>3678</v>
      </c>
      <c r="M179" s="147" t="s">
        <v>4490</v>
      </c>
      <c r="N179" s="151">
        <f t="shared" si="5"/>
        <v>30.05</v>
      </c>
      <c r="O179" s="147" t="s">
        <v>4491</v>
      </c>
      <c r="P179" s="151">
        <f t="shared" si="6"/>
        <v>8.016666667</v>
      </c>
    </row>
    <row r="180">
      <c r="A180" s="147" t="s">
        <v>4492</v>
      </c>
      <c r="B180" s="147" t="s">
        <v>766</v>
      </c>
      <c r="C180" s="147" t="s">
        <v>3675</v>
      </c>
      <c r="D180" s="147" t="s">
        <v>3676</v>
      </c>
      <c r="E180" s="147" t="s">
        <v>4493</v>
      </c>
      <c r="F180" s="148">
        <v>49.0</v>
      </c>
      <c r="G180" s="149">
        <f t="shared" si="1"/>
        <v>48.78333333</v>
      </c>
      <c r="H180" s="149">
        <f t="shared" si="2"/>
        <v>48.78333333</v>
      </c>
      <c r="I180" s="150">
        <f t="shared" si="3"/>
        <v>2.032638889</v>
      </c>
      <c r="J180" s="147" t="s">
        <v>3756</v>
      </c>
      <c r="K180" s="148">
        <f t="shared" si="4"/>
        <v>0.2166666667</v>
      </c>
      <c r="L180" s="152">
        <v>0.0045</v>
      </c>
      <c r="M180" s="147" t="s">
        <v>4494</v>
      </c>
      <c r="N180" s="148">
        <f t="shared" si="5"/>
        <v>27.96666667</v>
      </c>
      <c r="O180" s="147" t="s">
        <v>4495</v>
      </c>
      <c r="P180" s="148">
        <f t="shared" si="6"/>
        <v>20.81666667</v>
      </c>
    </row>
    <row r="181">
      <c r="A181" s="147" t="s">
        <v>4496</v>
      </c>
      <c r="B181" s="147" t="s">
        <v>184</v>
      </c>
      <c r="C181" s="147" t="s">
        <v>3675</v>
      </c>
      <c r="D181" s="147" t="s">
        <v>3686</v>
      </c>
      <c r="E181" s="147" t="s">
        <v>4497</v>
      </c>
      <c r="F181" s="148">
        <v>52.75</v>
      </c>
      <c r="G181" s="149">
        <f t="shared" si="1"/>
        <v>52.75</v>
      </c>
      <c r="H181" s="149">
        <f t="shared" si="2"/>
        <v>52.75</v>
      </c>
      <c r="I181" s="150">
        <f t="shared" si="3"/>
        <v>2.197916667</v>
      </c>
      <c r="J181" s="147" t="s">
        <v>3678</v>
      </c>
      <c r="K181" s="151">
        <f t="shared" si="4"/>
        <v>0</v>
      </c>
      <c r="L181" s="147" t="s">
        <v>3678</v>
      </c>
      <c r="M181" s="147" t="s">
        <v>4498</v>
      </c>
      <c r="N181" s="151">
        <f t="shared" si="5"/>
        <v>51.91666667</v>
      </c>
      <c r="O181" s="147" t="s">
        <v>3806</v>
      </c>
      <c r="P181" s="151">
        <f t="shared" si="6"/>
        <v>0.8333333333</v>
      </c>
    </row>
    <row r="182">
      <c r="A182" s="147" t="s">
        <v>4499</v>
      </c>
      <c r="B182" s="147" t="s">
        <v>4500</v>
      </c>
      <c r="C182" s="147" t="s">
        <v>3675</v>
      </c>
      <c r="D182" s="147" t="s">
        <v>4501</v>
      </c>
      <c r="E182" s="147" t="s">
        <v>4502</v>
      </c>
      <c r="F182" s="148">
        <v>55.31666666666667</v>
      </c>
      <c r="G182" s="149">
        <f t="shared" si="1"/>
        <v>55.31666667</v>
      </c>
      <c r="H182" s="149">
        <f t="shared" si="2"/>
        <v>55.3</v>
      </c>
      <c r="I182" s="150">
        <f t="shared" si="3"/>
        <v>2.304166667</v>
      </c>
      <c r="J182" s="147" t="s">
        <v>3678</v>
      </c>
      <c r="K182" s="151">
        <f t="shared" si="4"/>
        <v>0</v>
      </c>
      <c r="L182" s="147" t="s">
        <v>3678</v>
      </c>
      <c r="M182" s="147" t="s">
        <v>4503</v>
      </c>
      <c r="N182" s="151">
        <f t="shared" si="5"/>
        <v>45.9</v>
      </c>
      <c r="O182" s="147" t="s">
        <v>4504</v>
      </c>
      <c r="P182" s="151">
        <f t="shared" si="6"/>
        <v>9.4</v>
      </c>
    </row>
    <row r="183">
      <c r="A183" s="147" t="s">
        <v>4505</v>
      </c>
      <c r="B183" s="147" t="s">
        <v>4506</v>
      </c>
      <c r="C183" s="147" t="s">
        <v>3675</v>
      </c>
      <c r="D183" s="147" t="s">
        <v>3939</v>
      </c>
      <c r="E183" s="147" t="s">
        <v>4507</v>
      </c>
      <c r="F183" s="148">
        <v>49.1</v>
      </c>
      <c r="G183" s="149">
        <f t="shared" si="1"/>
        <v>49.1</v>
      </c>
      <c r="H183" s="149">
        <f t="shared" si="2"/>
        <v>49.1</v>
      </c>
      <c r="I183" s="150">
        <f t="shared" si="3"/>
        <v>2.045833333</v>
      </c>
      <c r="J183" s="147" t="s">
        <v>3678</v>
      </c>
      <c r="K183" s="151">
        <f t="shared" si="4"/>
        <v>0</v>
      </c>
      <c r="L183" s="147" t="s">
        <v>3678</v>
      </c>
      <c r="M183" s="147" t="s">
        <v>4508</v>
      </c>
      <c r="N183" s="151">
        <f t="shared" si="5"/>
        <v>33.6</v>
      </c>
      <c r="O183" s="147" t="s">
        <v>4509</v>
      </c>
      <c r="P183" s="151">
        <f t="shared" si="6"/>
        <v>15.5</v>
      </c>
    </row>
    <row r="184">
      <c r="A184" s="147" t="s">
        <v>4510</v>
      </c>
      <c r="B184" s="147" t="s">
        <v>4511</v>
      </c>
      <c r="C184" s="147" t="s">
        <v>3675</v>
      </c>
      <c r="D184" s="147" t="s">
        <v>3692</v>
      </c>
      <c r="E184" s="147" t="s">
        <v>4512</v>
      </c>
      <c r="F184" s="148">
        <v>40.766666666666666</v>
      </c>
      <c r="G184" s="149">
        <f t="shared" si="1"/>
        <v>40.76666667</v>
      </c>
      <c r="H184" s="149">
        <f t="shared" si="2"/>
        <v>40.75</v>
      </c>
      <c r="I184" s="150">
        <f t="shared" si="3"/>
        <v>1.697916667</v>
      </c>
      <c r="J184" s="147" t="s">
        <v>3678</v>
      </c>
      <c r="K184" s="151">
        <f t="shared" si="4"/>
        <v>0</v>
      </c>
      <c r="L184" s="147" t="s">
        <v>3678</v>
      </c>
      <c r="M184" s="147" t="s">
        <v>4513</v>
      </c>
      <c r="N184" s="151">
        <f t="shared" si="5"/>
        <v>20.78333333</v>
      </c>
      <c r="O184" s="147" t="s">
        <v>4514</v>
      </c>
      <c r="P184" s="151">
        <f t="shared" si="6"/>
        <v>19.96666667</v>
      </c>
    </row>
    <row r="185">
      <c r="A185" s="147" t="s">
        <v>4515</v>
      </c>
      <c r="B185" s="147" t="s">
        <v>4516</v>
      </c>
      <c r="C185" s="147" t="s">
        <v>3675</v>
      </c>
      <c r="D185" s="147" t="s">
        <v>3676</v>
      </c>
      <c r="E185" s="147" t="s">
        <v>4517</v>
      </c>
      <c r="F185" s="148">
        <v>41.65</v>
      </c>
      <c r="G185" s="149">
        <f t="shared" si="1"/>
        <v>41.65</v>
      </c>
      <c r="H185" s="149">
        <f t="shared" si="2"/>
        <v>41.63333333</v>
      </c>
      <c r="I185" s="150">
        <f t="shared" si="3"/>
        <v>1.734722222</v>
      </c>
      <c r="J185" s="147" t="s">
        <v>3678</v>
      </c>
      <c r="K185" s="151">
        <f t="shared" si="4"/>
        <v>0</v>
      </c>
      <c r="L185" s="147" t="s">
        <v>3678</v>
      </c>
      <c r="M185" s="147" t="s">
        <v>4518</v>
      </c>
      <c r="N185" s="151">
        <f t="shared" si="5"/>
        <v>23.7</v>
      </c>
      <c r="O185" s="147" t="s">
        <v>4519</v>
      </c>
      <c r="P185" s="151">
        <f t="shared" si="6"/>
        <v>17.93333333</v>
      </c>
    </row>
    <row r="186">
      <c r="A186" s="147" t="s">
        <v>4520</v>
      </c>
      <c r="B186" s="147" t="s">
        <v>4521</v>
      </c>
      <c r="C186" s="147" t="s">
        <v>3675</v>
      </c>
      <c r="D186" s="147" t="s">
        <v>4501</v>
      </c>
      <c r="E186" s="147" t="s">
        <v>4522</v>
      </c>
      <c r="F186" s="148">
        <v>52.56666666666667</v>
      </c>
      <c r="G186" s="149">
        <f t="shared" si="1"/>
        <v>52.56666667</v>
      </c>
      <c r="H186" s="149">
        <f t="shared" si="2"/>
        <v>52.56666667</v>
      </c>
      <c r="I186" s="150">
        <f t="shared" si="3"/>
        <v>2.190277778</v>
      </c>
      <c r="J186" s="147" t="s">
        <v>3678</v>
      </c>
      <c r="K186" s="151">
        <f t="shared" si="4"/>
        <v>0</v>
      </c>
      <c r="L186" s="147" t="s">
        <v>3678</v>
      </c>
      <c r="M186" s="147" t="s">
        <v>4523</v>
      </c>
      <c r="N186" s="151">
        <f t="shared" si="5"/>
        <v>23.21666667</v>
      </c>
      <c r="O186" s="147" t="s">
        <v>4084</v>
      </c>
      <c r="P186" s="151">
        <f t="shared" si="6"/>
        <v>29.35</v>
      </c>
    </row>
    <row r="187">
      <c r="A187" s="147" t="s">
        <v>4524</v>
      </c>
      <c r="B187" s="147" t="s">
        <v>1953</v>
      </c>
      <c r="C187" s="147" t="s">
        <v>3675</v>
      </c>
      <c r="D187" s="147" t="s">
        <v>3692</v>
      </c>
      <c r="E187" s="147" t="s">
        <v>3856</v>
      </c>
      <c r="F187" s="148">
        <v>39.85</v>
      </c>
      <c r="G187" s="149">
        <f t="shared" si="1"/>
        <v>39.48333333</v>
      </c>
      <c r="H187" s="149">
        <f t="shared" si="2"/>
        <v>39.45</v>
      </c>
      <c r="I187" s="150">
        <f t="shared" si="3"/>
        <v>1.64375</v>
      </c>
      <c r="J187" s="147" t="s">
        <v>3796</v>
      </c>
      <c r="K187" s="148">
        <f t="shared" si="4"/>
        <v>0.3666666667</v>
      </c>
      <c r="L187" s="152">
        <v>0.0095</v>
      </c>
      <c r="M187" s="147" t="s">
        <v>4525</v>
      </c>
      <c r="N187" s="148">
        <f t="shared" si="5"/>
        <v>28.35</v>
      </c>
      <c r="O187" s="147" t="s">
        <v>4526</v>
      </c>
      <c r="P187" s="148">
        <f t="shared" si="6"/>
        <v>11.1</v>
      </c>
    </row>
    <row r="188">
      <c r="A188" s="147" t="s">
        <v>4527</v>
      </c>
      <c r="B188" s="147" t="s">
        <v>4528</v>
      </c>
      <c r="C188" s="147" t="s">
        <v>3675</v>
      </c>
      <c r="D188" s="147" t="s">
        <v>3954</v>
      </c>
      <c r="E188" s="147" t="s">
        <v>4529</v>
      </c>
      <c r="F188" s="148">
        <v>15.816666666666666</v>
      </c>
      <c r="G188" s="149">
        <f t="shared" si="1"/>
        <v>15.81666667</v>
      </c>
      <c r="H188" s="149">
        <f t="shared" si="2"/>
        <v>15.8</v>
      </c>
      <c r="I188" s="150">
        <f t="shared" si="3"/>
        <v>0.6583333333</v>
      </c>
      <c r="J188" s="147" t="s">
        <v>3678</v>
      </c>
      <c r="K188" s="151">
        <f t="shared" si="4"/>
        <v>0</v>
      </c>
      <c r="L188" s="147" t="s">
        <v>3678</v>
      </c>
      <c r="M188" s="147" t="s">
        <v>4530</v>
      </c>
      <c r="N188" s="151">
        <f t="shared" si="5"/>
        <v>11.26666667</v>
      </c>
      <c r="O188" s="147" t="s">
        <v>4531</v>
      </c>
      <c r="P188" s="151">
        <f t="shared" si="6"/>
        <v>4.533333333</v>
      </c>
    </row>
    <row r="189">
      <c r="A189" s="147" t="s">
        <v>4532</v>
      </c>
      <c r="B189" s="147" t="s">
        <v>4533</v>
      </c>
      <c r="C189" s="147" t="s">
        <v>3675</v>
      </c>
      <c r="D189" s="147" t="s">
        <v>3676</v>
      </c>
      <c r="E189" s="147" t="s">
        <v>4534</v>
      </c>
      <c r="F189" s="148">
        <v>16.05</v>
      </c>
      <c r="G189" s="149">
        <f t="shared" si="1"/>
        <v>16.05</v>
      </c>
      <c r="H189" s="149">
        <f t="shared" si="2"/>
        <v>16.03333333</v>
      </c>
      <c r="I189" s="150">
        <f t="shared" si="3"/>
        <v>0.6680555556</v>
      </c>
      <c r="J189" s="147" t="s">
        <v>3678</v>
      </c>
      <c r="K189" s="151">
        <f t="shared" si="4"/>
        <v>0</v>
      </c>
      <c r="L189" s="147" t="s">
        <v>3678</v>
      </c>
      <c r="M189" s="147" t="s">
        <v>4535</v>
      </c>
      <c r="N189" s="151">
        <f t="shared" si="5"/>
        <v>5.583333333</v>
      </c>
      <c r="O189" s="147" t="s">
        <v>4536</v>
      </c>
      <c r="P189" s="151">
        <f t="shared" si="6"/>
        <v>10.45</v>
      </c>
    </row>
    <row r="190">
      <c r="A190" s="147" t="s">
        <v>4537</v>
      </c>
      <c r="B190" s="147" t="s">
        <v>4538</v>
      </c>
      <c r="C190" s="147" t="s">
        <v>3675</v>
      </c>
      <c r="D190" s="147" t="s">
        <v>4434</v>
      </c>
      <c r="E190" s="147" t="s">
        <v>4539</v>
      </c>
      <c r="F190" s="148">
        <v>47.766666666666666</v>
      </c>
      <c r="G190" s="149">
        <f t="shared" si="1"/>
        <v>47.76666667</v>
      </c>
      <c r="H190" s="149">
        <f t="shared" si="2"/>
        <v>47.75</v>
      </c>
      <c r="I190" s="150">
        <f t="shared" si="3"/>
        <v>1.989583333</v>
      </c>
      <c r="J190" s="147" t="s">
        <v>3678</v>
      </c>
      <c r="K190" s="151">
        <f t="shared" si="4"/>
        <v>0</v>
      </c>
      <c r="L190" s="147" t="s">
        <v>3678</v>
      </c>
      <c r="M190" s="147" t="s">
        <v>4540</v>
      </c>
      <c r="N190" s="151">
        <f t="shared" si="5"/>
        <v>31.36666667</v>
      </c>
      <c r="O190" s="147" t="s">
        <v>4541</v>
      </c>
      <c r="P190" s="151">
        <f t="shared" si="6"/>
        <v>16.38333333</v>
      </c>
    </row>
    <row r="191">
      <c r="A191" s="147" t="s">
        <v>4542</v>
      </c>
      <c r="B191" s="147" t="s">
        <v>4543</v>
      </c>
      <c r="C191" s="147" t="s">
        <v>3675</v>
      </c>
      <c r="D191" s="147" t="s">
        <v>3939</v>
      </c>
      <c r="E191" s="147" t="s">
        <v>4544</v>
      </c>
      <c r="F191" s="148">
        <v>41.21666666666667</v>
      </c>
      <c r="G191" s="149">
        <f t="shared" si="1"/>
        <v>41</v>
      </c>
      <c r="H191" s="149">
        <f t="shared" si="2"/>
        <v>40.98333333</v>
      </c>
      <c r="I191" s="150">
        <f t="shared" si="3"/>
        <v>1.707638889</v>
      </c>
      <c r="J191" s="147" t="s">
        <v>3756</v>
      </c>
      <c r="K191" s="148">
        <f t="shared" si="4"/>
        <v>0.2166666667</v>
      </c>
      <c r="L191" s="152">
        <v>0.0056</v>
      </c>
      <c r="M191" s="147" t="s">
        <v>4088</v>
      </c>
      <c r="N191" s="148">
        <f t="shared" si="5"/>
        <v>34.33333333</v>
      </c>
      <c r="O191" s="147" t="s">
        <v>4545</v>
      </c>
      <c r="P191" s="148">
        <f t="shared" si="6"/>
        <v>6.65</v>
      </c>
    </row>
    <row r="192">
      <c r="A192" s="147" t="s">
        <v>4546</v>
      </c>
      <c r="B192" s="147" t="s">
        <v>1555</v>
      </c>
      <c r="C192" s="147" t="s">
        <v>3675</v>
      </c>
      <c r="D192" s="147" t="s">
        <v>3676</v>
      </c>
      <c r="E192" s="147" t="s">
        <v>3898</v>
      </c>
      <c r="F192" s="148">
        <v>1.0333333333333334</v>
      </c>
      <c r="G192" s="149">
        <f t="shared" si="1"/>
        <v>1.033333333</v>
      </c>
      <c r="H192" s="149">
        <f t="shared" si="2"/>
        <v>1.033333333</v>
      </c>
      <c r="I192" s="150">
        <f t="shared" si="3"/>
        <v>0.04305555556</v>
      </c>
      <c r="J192" s="147" t="s">
        <v>3678</v>
      </c>
      <c r="K192" s="151">
        <f t="shared" si="4"/>
        <v>0</v>
      </c>
      <c r="L192" s="147" t="s">
        <v>3678</v>
      </c>
      <c r="M192" s="147" t="s">
        <v>4547</v>
      </c>
      <c r="N192" s="151">
        <f t="shared" si="5"/>
        <v>0.8</v>
      </c>
      <c r="O192" s="147" t="s">
        <v>4194</v>
      </c>
      <c r="P192" s="151">
        <f t="shared" si="6"/>
        <v>0.2333333333</v>
      </c>
    </row>
    <row r="193">
      <c r="A193" s="147" t="s">
        <v>4548</v>
      </c>
      <c r="B193" s="147" t="s">
        <v>1263</v>
      </c>
      <c r="C193" s="147" t="s">
        <v>3675</v>
      </c>
      <c r="D193" s="147" t="s">
        <v>3676</v>
      </c>
      <c r="E193" s="147" t="s">
        <v>4549</v>
      </c>
      <c r="F193" s="148">
        <v>22.816666666666666</v>
      </c>
      <c r="G193" s="149">
        <f t="shared" si="1"/>
        <v>22.81666667</v>
      </c>
      <c r="H193" s="149">
        <f t="shared" si="2"/>
        <v>22.81666667</v>
      </c>
      <c r="I193" s="150">
        <f t="shared" si="3"/>
        <v>0.9506944444</v>
      </c>
      <c r="J193" s="147" t="s">
        <v>3678</v>
      </c>
      <c r="K193" s="151">
        <f t="shared" si="4"/>
        <v>0</v>
      </c>
      <c r="L193" s="147" t="s">
        <v>3678</v>
      </c>
      <c r="M193" s="147" t="s">
        <v>4550</v>
      </c>
      <c r="N193" s="151">
        <f t="shared" si="5"/>
        <v>19.53333333</v>
      </c>
      <c r="O193" s="147" t="s">
        <v>4246</v>
      </c>
      <c r="P193" s="151">
        <f t="shared" si="6"/>
        <v>3.283333333</v>
      </c>
    </row>
    <row r="194">
      <c r="A194" s="147" t="s">
        <v>4551</v>
      </c>
      <c r="B194" s="147" t="s">
        <v>307</v>
      </c>
      <c r="C194" s="147" t="s">
        <v>3675</v>
      </c>
      <c r="D194" s="147" t="s">
        <v>3676</v>
      </c>
      <c r="E194" s="147" t="s">
        <v>4552</v>
      </c>
      <c r="F194" s="148">
        <v>24.916666666666668</v>
      </c>
      <c r="G194" s="149">
        <f t="shared" si="1"/>
        <v>24.91666667</v>
      </c>
      <c r="H194" s="149">
        <f t="shared" si="2"/>
        <v>24.91666667</v>
      </c>
      <c r="I194" s="150">
        <f t="shared" si="3"/>
        <v>1.038194444</v>
      </c>
      <c r="J194" s="147" t="s">
        <v>3678</v>
      </c>
      <c r="K194" s="151">
        <f t="shared" si="4"/>
        <v>0</v>
      </c>
      <c r="L194" s="147" t="s">
        <v>3678</v>
      </c>
      <c r="M194" s="147" t="s">
        <v>4039</v>
      </c>
      <c r="N194" s="151">
        <f t="shared" si="5"/>
        <v>0</v>
      </c>
      <c r="O194" s="147" t="s">
        <v>4552</v>
      </c>
      <c r="P194" s="151">
        <f t="shared" si="6"/>
        <v>24.91666667</v>
      </c>
    </row>
    <row r="195">
      <c r="A195" s="147" t="s">
        <v>4553</v>
      </c>
      <c r="B195" s="147" t="s">
        <v>1237</v>
      </c>
      <c r="C195" s="147" t="s">
        <v>3675</v>
      </c>
      <c r="D195" s="147" t="s">
        <v>3676</v>
      </c>
      <c r="E195" s="147" t="s">
        <v>4384</v>
      </c>
      <c r="F195" s="148">
        <v>35.166666666666664</v>
      </c>
      <c r="G195" s="149">
        <f t="shared" si="1"/>
        <v>35.16666667</v>
      </c>
      <c r="H195" s="149">
        <f t="shared" si="2"/>
        <v>35.16666667</v>
      </c>
      <c r="I195" s="150">
        <f t="shared" si="3"/>
        <v>1.465277778</v>
      </c>
      <c r="J195" s="147" t="s">
        <v>3678</v>
      </c>
      <c r="K195" s="151">
        <f t="shared" si="4"/>
        <v>0</v>
      </c>
      <c r="L195" s="147" t="s">
        <v>3678</v>
      </c>
      <c r="M195" s="147" t="s">
        <v>4554</v>
      </c>
      <c r="N195" s="151">
        <f t="shared" si="5"/>
        <v>19.26666667</v>
      </c>
      <c r="O195" s="147" t="s">
        <v>4555</v>
      </c>
      <c r="P195" s="151">
        <f t="shared" si="6"/>
        <v>15.9</v>
      </c>
    </row>
    <row r="196">
      <c r="A196" s="147" t="s">
        <v>4556</v>
      </c>
      <c r="B196" s="147" t="s">
        <v>2062</v>
      </c>
      <c r="C196" s="147" t="s">
        <v>3675</v>
      </c>
      <c r="D196" s="147" t="s">
        <v>4215</v>
      </c>
      <c r="E196" s="147" t="s">
        <v>4557</v>
      </c>
      <c r="F196" s="148">
        <v>50.86666666666667</v>
      </c>
      <c r="G196" s="149">
        <f t="shared" si="1"/>
        <v>50.45</v>
      </c>
      <c r="H196" s="149">
        <f t="shared" si="2"/>
        <v>50.43333333</v>
      </c>
      <c r="I196" s="150">
        <f t="shared" si="3"/>
        <v>2.101388889</v>
      </c>
      <c r="J196" s="147" t="s">
        <v>4115</v>
      </c>
      <c r="K196" s="148">
        <f t="shared" si="4"/>
        <v>0.4166666667</v>
      </c>
      <c r="L196" s="152">
        <v>0.0084</v>
      </c>
      <c r="M196" s="147" t="s">
        <v>4558</v>
      </c>
      <c r="N196" s="148">
        <f t="shared" si="5"/>
        <v>30.13333333</v>
      </c>
      <c r="O196" s="147" t="s">
        <v>4559</v>
      </c>
      <c r="P196" s="148">
        <f t="shared" si="6"/>
        <v>20.3</v>
      </c>
    </row>
    <row r="197">
      <c r="A197" s="147" t="s">
        <v>4560</v>
      </c>
      <c r="B197" s="147" t="s">
        <v>1197</v>
      </c>
      <c r="C197" s="147" t="s">
        <v>3675</v>
      </c>
      <c r="D197" s="147" t="s">
        <v>3676</v>
      </c>
      <c r="E197" s="147" t="s">
        <v>4460</v>
      </c>
      <c r="F197" s="148">
        <v>38.0</v>
      </c>
      <c r="G197" s="149">
        <f t="shared" si="1"/>
        <v>38</v>
      </c>
      <c r="H197" s="149">
        <f t="shared" si="2"/>
        <v>38</v>
      </c>
      <c r="I197" s="150">
        <f t="shared" si="3"/>
        <v>1.583333333</v>
      </c>
      <c r="J197" s="147" t="s">
        <v>3678</v>
      </c>
      <c r="K197" s="151">
        <f t="shared" si="4"/>
        <v>0</v>
      </c>
      <c r="L197" s="147" t="s">
        <v>3678</v>
      </c>
      <c r="M197" s="147" t="s">
        <v>4158</v>
      </c>
      <c r="N197" s="151">
        <f t="shared" si="5"/>
        <v>16.96666667</v>
      </c>
      <c r="O197" s="147" t="s">
        <v>4561</v>
      </c>
      <c r="P197" s="151">
        <f t="shared" si="6"/>
        <v>21.03333333</v>
      </c>
    </row>
    <row r="198">
      <c r="A198" s="147" t="s">
        <v>4562</v>
      </c>
      <c r="B198" s="147" t="s">
        <v>1199</v>
      </c>
      <c r="C198" s="147" t="s">
        <v>3675</v>
      </c>
      <c r="D198" s="147" t="s">
        <v>3676</v>
      </c>
      <c r="E198" s="147" t="s">
        <v>4563</v>
      </c>
      <c r="F198" s="148">
        <v>43.916666666666664</v>
      </c>
      <c r="G198" s="149">
        <f t="shared" si="1"/>
        <v>43.73333333</v>
      </c>
      <c r="H198" s="149">
        <f t="shared" si="2"/>
        <v>43.71666667</v>
      </c>
      <c r="I198" s="150">
        <f t="shared" si="3"/>
        <v>1.821527778</v>
      </c>
      <c r="J198" s="147" t="s">
        <v>4364</v>
      </c>
      <c r="K198" s="148">
        <f t="shared" si="4"/>
        <v>0.1833333333</v>
      </c>
      <c r="L198" s="152">
        <v>0.0044</v>
      </c>
      <c r="M198" s="147" t="s">
        <v>4564</v>
      </c>
      <c r="N198" s="148">
        <f t="shared" si="5"/>
        <v>37.55</v>
      </c>
      <c r="O198" s="147" t="s">
        <v>4184</v>
      </c>
      <c r="P198" s="148">
        <f t="shared" si="6"/>
        <v>6.166666667</v>
      </c>
    </row>
    <row r="199">
      <c r="A199" s="147" t="s">
        <v>4565</v>
      </c>
      <c r="B199" s="147" t="s">
        <v>1081</v>
      </c>
      <c r="C199" s="147" t="s">
        <v>3675</v>
      </c>
      <c r="D199" s="147" t="s">
        <v>3676</v>
      </c>
      <c r="E199" s="147" t="s">
        <v>4566</v>
      </c>
      <c r="F199" s="148">
        <v>44.0</v>
      </c>
      <c r="G199" s="149">
        <f t="shared" si="1"/>
        <v>44</v>
      </c>
      <c r="H199" s="149">
        <f t="shared" si="2"/>
        <v>43.98333333</v>
      </c>
      <c r="I199" s="150">
        <f t="shared" si="3"/>
        <v>1.832638889</v>
      </c>
      <c r="J199" s="147" t="s">
        <v>3678</v>
      </c>
      <c r="K199" s="151">
        <f t="shared" si="4"/>
        <v>0</v>
      </c>
      <c r="L199" s="147" t="s">
        <v>3678</v>
      </c>
      <c r="M199" s="147" t="s">
        <v>4567</v>
      </c>
      <c r="N199" s="151">
        <f t="shared" si="5"/>
        <v>18.7</v>
      </c>
      <c r="O199" s="147" t="s">
        <v>4568</v>
      </c>
      <c r="P199" s="151">
        <f t="shared" si="6"/>
        <v>25.28333333</v>
      </c>
    </row>
    <row r="200">
      <c r="A200" s="147" t="s">
        <v>4569</v>
      </c>
      <c r="B200" s="147" t="s">
        <v>1921</v>
      </c>
      <c r="C200" s="147" t="s">
        <v>3675</v>
      </c>
      <c r="D200" s="147" t="s">
        <v>3692</v>
      </c>
      <c r="E200" s="147" t="s">
        <v>4570</v>
      </c>
      <c r="F200" s="148">
        <v>42.81666666666667</v>
      </c>
      <c r="G200" s="149">
        <f t="shared" si="1"/>
        <v>42.81666667</v>
      </c>
      <c r="H200" s="149">
        <f t="shared" si="2"/>
        <v>42.8</v>
      </c>
      <c r="I200" s="150">
        <f t="shared" si="3"/>
        <v>1.783333333</v>
      </c>
      <c r="J200" s="147" t="s">
        <v>3678</v>
      </c>
      <c r="K200" s="151">
        <f t="shared" si="4"/>
        <v>0</v>
      </c>
      <c r="L200" s="147" t="s">
        <v>3678</v>
      </c>
      <c r="M200" s="147" t="s">
        <v>4571</v>
      </c>
      <c r="N200" s="151">
        <f t="shared" si="5"/>
        <v>21.41666667</v>
      </c>
      <c r="O200" s="147" t="s">
        <v>4572</v>
      </c>
      <c r="P200" s="151">
        <f t="shared" si="6"/>
        <v>21.38333333</v>
      </c>
    </row>
    <row r="201">
      <c r="A201" s="147" t="s">
        <v>4573</v>
      </c>
      <c r="B201" s="147" t="s">
        <v>4574</v>
      </c>
      <c r="C201" s="147" t="s">
        <v>3675</v>
      </c>
      <c r="D201" s="147" t="s">
        <v>3709</v>
      </c>
      <c r="E201" s="147" t="s">
        <v>4575</v>
      </c>
      <c r="F201" s="148">
        <v>46.0</v>
      </c>
      <c r="G201" s="149">
        <f t="shared" si="1"/>
        <v>46</v>
      </c>
      <c r="H201" s="149">
        <f t="shared" si="2"/>
        <v>45.98333333</v>
      </c>
      <c r="I201" s="150">
        <f t="shared" si="3"/>
        <v>1.915972222</v>
      </c>
      <c r="J201" s="147" t="s">
        <v>3678</v>
      </c>
      <c r="K201" s="151">
        <f t="shared" si="4"/>
        <v>0</v>
      </c>
      <c r="L201" s="147" t="s">
        <v>3678</v>
      </c>
      <c r="M201" s="147" t="s">
        <v>4576</v>
      </c>
      <c r="N201" s="151">
        <f t="shared" si="5"/>
        <v>35.13333333</v>
      </c>
      <c r="O201" s="147" t="s">
        <v>4577</v>
      </c>
      <c r="P201" s="151">
        <f t="shared" si="6"/>
        <v>10.85</v>
      </c>
    </row>
    <row r="202">
      <c r="A202" s="147" t="s">
        <v>4578</v>
      </c>
      <c r="B202" s="147" t="s">
        <v>1996</v>
      </c>
      <c r="C202" s="147" t="s">
        <v>3675</v>
      </c>
      <c r="D202" s="147" t="s">
        <v>3692</v>
      </c>
      <c r="E202" s="147" t="s">
        <v>3750</v>
      </c>
      <c r="F202" s="148">
        <v>39.61666666666667</v>
      </c>
      <c r="G202" s="149">
        <f t="shared" si="1"/>
        <v>39.61666667</v>
      </c>
      <c r="H202" s="149">
        <f t="shared" si="2"/>
        <v>39.6</v>
      </c>
      <c r="I202" s="150">
        <f t="shared" si="3"/>
        <v>1.65</v>
      </c>
      <c r="J202" s="147" t="s">
        <v>3678</v>
      </c>
      <c r="K202" s="151">
        <f t="shared" si="4"/>
        <v>0</v>
      </c>
      <c r="L202" s="147" t="s">
        <v>3678</v>
      </c>
      <c r="M202" s="147" t="s">
        <v>4162</v>
      </c>
      <c r="N202" s="151">
        <f t="shared" si="5"/>
        <v>29.18333333</v>
      </c>
      <c r="O202" s="147" t="s">
        <v>4579</v>
      </c>
      <c r="P202" s="151">
        <f t="shared" si="6"/>
        <v>10.41666667</v>
      </c>
    </row>
    <row r="203">
      <c r="A203" s="147" t="s">
        <v>4580</v>
      </c>
      <c r="B203" s="147" t="s">
        <v>682</v>
      </c>
      <c r="C203" s="147" t="s">
        <v>3675</v>
      </c>
      <c r="D203" s="147" t="s">
        <v>3676</v>
      </c>
      <c r="E203" s="147" t="s">
        <v>4581</v>
      </c>
      <c r="F203" s="148">
        <v>39.75</v>
      </c>
      <c r="G203" s="149">
        <f t="shared" si="1"/>
        <v>39.75</v>
      </c>
      <c r="H203" s="149">
        <f t="shared" si="2"/>
        <v>39.75</v>
      </c>
      <c r="I203" s="150">
        <f t="shared" si="3"/>
        <v>1.65625</v>
      </c>
      <c r="J203" s="147" t="s">
        <v>3678</v>
      </c>
      <c r="K203" s="151">
        <f t="shared" si="4"/>
        <v>0</v>
      </c>
      <c r="L203" s="147" t="s">
        <v>3678</v>
      </c>
      <c r="M203" s="147" t="s">
        <v>4582</v>
      </c>
      <c r="N203" s="151">
        <f t="shared" si="5"/>
        <v>27.21666667</v>
      </c>
      <c r="O203" s="147" t="s">
        <v>4583</v>
      </c>
      <c r="P203" s="151">
        <f t="shared" si="6"/>
        <v>12.53333333</v>
      </c>
    </row>
    <row r="204">
      <c r="A204" s="147" t="s">
        <v>4584</v>
      </c>
      <c r="B204" s="147" t="s">
        <v>1259</v>
      </c>
      <c r="C204" s="147" t="s">
        <v>3675</v>
      </c>
      <c r="D204" s="147" t="s">
        <v>3676</v>
      </c>
      <c r="E204" s="147" t="s">
        <v>4585</v>
      </c>
      <c r="F204" s="148">
        <v>38.583333333333336</v>
      </c>
      <c r="G204" s="149">
        <f t="shared" si="1"/>
        <v>38.58333333</v>
      </c>
      <c r="H204" s="149">
        <f t="shared" si="2"/>
        <v>38.56666667</v>
      </c>
      <c r="I204" s="150">
        <f t="shared" si="3"/>
        <v>1.606944444</v>
      </c>
      <c r="J204" s="147" t="s">
        <v>3678</v>
      </c>
      <c r="K204" s="151">
        <f t="shared" si="4"/>
        <v>0</v>
      </c>
      <c r="L204" s="147" t="s">
        <v>3678</v>
      </c>
      <c r="M204" s="147" t="s">
        <v>4586</v>
      </c>
      <c r="N204" s="151">
        <f t="shared" si="5"/>
        <v>21.15</v>
      </c>
      <c r="O204" s="147" t="s">
        <v>3968</v>
      </c>
      <c r="P204" s="151">
        <f t="shared" si="6"/>
        <v>17.41666667</v>
      </c>
    </row>
    <row r="205">
      <c r="A205" s="147" t="s">
        <v>4587</v>
      </c>
      <c r="B205" s="147" t="s">
        <v>4588</v>
      </c>
      <c r="C205" s="147" t="s">
        <v>3675</v>
      </c>
      <c r="D205" s="147" t="s">
        <v>3676</v>
      </c>
      <c r="E205" s="147" t="s">
        <v>4589</v>
      </c>
      <c r="F205" s="148">
        <v>41.06666666666667</v>
      </c>
      <c r="G205" s="149">
        <f t="shared" si="1"/>
        <v>40.65</v>
      </c>
      <c r="H205" s="149">
        <f t="shared" si="2"/>
        <v>40.63333333</v>
      </c>
      <c r="I205" s="150">
        <f t="shared" si="3"/>
        <v>1.693055556</v>
      </c>
      <c r="J205" s="147" t="s">
        <v>4115</v>
      </c>
      <c r="K205" s="148">
        <f t="shared" si="4"/>
        <v>0.4166666667</v>
      </c>
      <c r="L205" s="152">
        <v>0.0105</v>
      </c>
      <c r="M205" s="147" t="s">
        <v>4590</v>
      </c>
      <c r="N205" s="148">
        <f t="shared" si="5"/>
        <v>25.36666667</v>
      </c>
      <c r="O205" s="147" t="s">
        <v>4591</v>
      </c>
      <c r="P205" s="148">
        <f t="shared" si="6"/>
        <v>15.26666667</v>
      </c>
    </row>
    <row r="206">
      <c r="A206" s="147" t="s">
        <v>4592</v>
      </c>
      <c r="B206" s="147" t="s">
        <v>1151</v>
      </c>
      <c r="C206" s="147" t="s">
        <v>3675</v>
      </c>
      <c r="D206" s="147" t="s">
        <v>3676</v>
      </c>
      <c r="E206" s="147" t="s">
        <v>4593</v>
      </c>
      <c r="F206" s="148">
        <v>44.63333333333333</v>
      </c>
      <c r="G206" s="149">
        <f t="shared" si="1"/>
        <v>44.21666667</v>
      </c>
      <c r="H206" s="149">
        <f t="shared" si="2"/>
        <v>44.18333333</v>
      </c>
      <c r="I206" s="150">
        <f t="shared" si="3"/>
        <v>1.840972222</v>
      </c>
      <c r="J206" s="147" t="s">
        <v>4115</v>
      </c>
      <c r="K206" s="148">
        <f t="shared" si="4"/>
        <v>0.4166666667</v>
      </c>
      <c r="L206" s="152">
        <v>0.0095</v>
      </c>
      <c r="M206" s="147" t="s">
        <v>4594</v>
      </c>
      <c r="N206" s="148">
        <f t="shared" si="5"/>
        <v>24.63333333</v>
      </c>
      <c r="O206" s="147" t="s">
        <v>3946</v>
      </c>
      <c r="P206" s="148">
        <f t="shared" si="6"/>
        <v>19.55</v>
      </c>
    </row>
    <row r="207">
      <c r="A207" s="147" t="s">
        <v>4595</v>
      </c>
      <c r="B207" s="147" t="s">
        <v>3375</v>
      </c>
      <c r="C207" s="147" t="s">
        <v>3675</v>
      </c>
      <c r="D207" s="147" t="s">
        <v>3800</v>
      </c>
      <c r="E207" s="147" t="s">
        <v>4596</v>
      </c>
      <c r="F207" s="148">
        <v>43.5</v>
      </c>
      <c r="G207" s="149">
        <f t="shared" si="1"/>
        <v>39.63333333</v>
      </c>
      <c r="H207" s="149">
        <f t="shared" si="2"/>
        <v>39.61666667</v>
      </c>
      <c r="I207" s="150">
        <f t="shared" si="3"/>
        <v>1.650694444</v>
      </c>
      <c r="J207" s="147" t="s">
        <v>4597</v>
      </c>
      <c r="K207" s="148">
        <f t="shared" si="4"/>
        <v>3.866666667</v>
      </c>
      <c r="L207" s="152">
        <v>0.0891</v>
      </c>
      <c r="M207" s="147" t="s">
        <v>4598</v>
      </c>
      <c r="N207" s="148">
        <f t="shared" si="5"/>
        <v>15.83333333</v>
      </c>
      <c r="O207" s="147" t="s">
        <v>4599</v>
      </c>
      <c r="P207" s="148">
        <f t="shared" si="6"/>
        <v>23.78333333</v>
      </c>
    </row>
    <row r="208">
      <c r="A208" s="147" t="s">
        <v>4600</v>
      </c>
      <c r="B208" s="147" t="s">
        <v>4601</v>
      </c>
      <c r="C208" s="147" t="s">
        <v>3675</v>
      </c>
      <c r="D208" s="147" t="s">
        <v>3954</v>
      </c>
      <c r="E208" s="147" t="s">
        <v>4256</v>
      </c>
      <c r="F208" s="148">
        <v>45.266666666666666</v>
      </c>
      <c r="G208" s="149">
        <f t="shared" si="1"/>
        <v>45.26666667</v>
      </c>
      <c r="H208" s="149">
        <f t="shared" si="2"/>
        <v>45.25</v>
      </c>
      <c r="I208" s="150">
        <f t="shared" si="3"/>
        <v>1.885416667</v>
      </c>
      <c r="J208" s="147" t="s">
        <v>3678</v>
      </c>
      <c r="K208" s="151">
        <f t="shared" si="4"/>
        <v>0</v>
      </c>
      <c r="L208" s="147" t="s">
        <v>3678</v>
      </c>
      <c r="M208" s="147" t="s">
        <v>4602</v>
      </c>
      <c r="N208" s="151">
        <f t="shared" si="5"/>
        <v>41.36666667</v>
      </c>
      <c r="O208" s="147" t="s">
        <v>4603</v>
      </c>
      <c r="P208" s="151">
        <f t="shared" si="6"/>
        <v>3.883333333</v>
      </c>
    </row>
    <row r="209">
      <c r="A209" s="147" t="s">
        <v>4604</v>
      </c>
      <c r="B209" s="147" t="s">
        <v>4605</v>
      </c>
      <c r="C209" s="147" t="s">
        <v>3675</v>
      </c>
      <c r="D209" s="147" t="s">
        <v>3729</v>
      </c>
      <c r="E209" s="147" t="s">
        <v>4297</v>
      </c>
      <c r="F209" s="148">
        <v>40.06666666666667</v>
      </c>
      <c r="G209" s="149">
        <f t="shared" si="1"/>
        <v>40.06666667</v>
      </c>
      <c r="H209" s="149">
        <f t="shared" si="2"/>
        <v>40.06666667</v>
      </c>
      <c r="I209" s="150">
        <f t="shared" si="3"/>
        <v>1.669444444</v>
      </c>
      <c r="J209" s="147" t="s">
        <v>3678</v>
      </c>
      <c r="K209" s="151">
        <f t="shared" si="4"/>
        <v>0</v>
      </c>
      <c r="L209" s="147" t="s">
        <v>3678</v>
      </c>
      <c r="M209" s="147" t="s">
        <v>4606</v>
      </c>
      <c r="N209" s="151">
        <f t="shared" si="5"/>
        <v>38.61666667</v>
      </c>
      <c r="O209" s="147" t="s">
        <v>4607</v>
      </c>
      <c r="P209" s="151">
        <f t="shared" si="6"/>
        <v>1.45</v>
      </c>
    </row>
    <row r="210">
      <c r="A210" s="147" t="s">
        <v>4608</v>
      </c>
      <c r="B210" s="147" t="s">
        <v>4609</v>
      </c>
      <c r="C210" s="147" t="s">
        <v>3675</v>
      </c>
      <c r="D210" s="147" t="s">
        <v>4610</v>
      </c>
      <c r="E210" s="147" t="s">
        <v>3790</v>
      </c>
      <c r="F210" s="148">
        <v>40.166666666666664</v>
      </c>
      <c r="G210" s="149">
        <f t="shared" si="1"/>
        <v>40.16666667</v>
      </c>
      <c r="H210" s="149">
        <f t="shared" si="2"/>
        <v>40.15</v>
      </c>
      <c r="I210" s="150">
        <f t="shared" si="3"/>
        <v>1.672916667</v>
      </c>
      <c r="J210" s="147" t="s">
        <v>3678</v>
      </c>
      <c r="K210" s="151">
        <f t="shared" si="4"/>
        <v>0</v>
      </c>
      <c r="L210" s="147" t="s">
        <v>3678</v>
      </c>
      <c r="M210" s="147" t="s">
        <v>4611</v>
      </c>
      <c r="N210" s="151">
        <f t="shared" si="5"/>
        <v>17.33333333</v>
      </c>
      <c r="O210" s="147" t="s">
        <v>4549</v>
      </c>
      <c r="P210" s="151">
        <f t="shared" si="6"/>
        <v>22.81666667</v>
      </c>
    </row>
    <row r="211">
      <c r="A211" s="147" t="s">
        <v>4612</v>
      </c>
      <c r="B211" s="147" t="s">
        <v>4613</v>
      </c>
      <c r="C211" s="147" t="s">
        <v>3675</v>
      </c>
      <c r="D211" s="147" t="s">
        <v>3676</v>
      </c>
      <c r="E211" s="147" t="s">
        <v>4614</v>
      </c>
      <c r="F211" s="148">
        <v>40.45</v>
      </c>
      <c r="G211" s="149">
        <f t="shared" si="1"/>
        <v>34</v>
      </c>
      <c r="H211" s="149">
        <f t="shared" si="2"/>
        <v>33.96666667</v>
      </c>
      <c r="I211" s="150">
        <f t="shared" si="3"/>
        <v>1.415277778</v>
      </c>
      <c r="J211" s="147" t="s">
        <v>3712</v>
      </c>
      <c r="K211" s="148">
        <f t="shared" si="4"/>
        <v>6.45</v>
      </c>
      <c r="L211" s="152">
        <v>0.1598</v>
      </c>
      <c r="M211" s="147" t="s">
        <v>4615</v>
      </c>
      <c r="N211" s="148">
        <f t="shared" si="5"/>
        <v>20.61666667</v>
      </c>
      <c r="O211" s="147" t="s">
        <v>4616</v>
      </c>
      <c r="P211" s="148">
        <f t="shared" si="6"/>
        <v>13.35</v>
      </c>
    </row>
    <row r="212">
      <c r="A212" s="147" t="s">
        <v>4617</v>
      </c>
      <c r="B212" s="147" t="s">
        <v>275</v>
      </c>
      <c r="C212" s="147" t="s">
        <v>3675</v>
      </c>
      <c r="D212" s="147" t="s">
        <v>3709</v>
      </c>
      <c r="E212" s="147" t="s">
        <v>4618</v>
      </c>
      <c r="F212" s="148">
        <v>46.81666666666667</v>
      </c>
      <c r="G212" s="149">
        <f t="shared" si="1"/>
        <v>46.81666667</v>
      </c>
      <c r="H212" s="149">
        <f t="shared" si="2"/>
        <v>46.81666667</v>
      </c>
      <c r="I212" s="150">
        <f t="shared" si="3"/>
        <v>1.950694444</v>
      </c>
      <c r="J212" s="147" t="s">
        <v>3678</v>
      </c>
      <c r="K212" s="151">
        <f t="shared" si="4"/>
        <v>0</v>
      </c>
      <c r="L212" s="147" t="s">
        <v>3678</v>
      </c>
      <c r="M212" s="147" t="s">
        <v>4619</v>
      </c>
      <c r="N212" s="151">
        <f t="shared" si="5"/>
        <v>41.15</v>
      </c>
      <c r="O212" s="147" t="s">
        <v>3983</v>
      </c>
      <c r="P212" s="151">
        <f t="shared" si="6"/>
        <v>5.666666667</v>
      </c>
    </row>
    <row r="213">
      <c r="A213" s="147" t="s">
        <v>4620</v>
      </c>
      <c r="B213" s="147" t="s">
        <v>4621</v>
      </c>
      <c r="C213" s="147" t="s">
        <v>3675</v>
      </c>
      <c r="D213" s="147" t="s">
        <v>3939</v>
      </c>
      <c r="E213" s="147" t="s">
        <v>4622</v>
      </c>
      <c r="F213" s="148">
        <v>54.016666666666666</v>
      </c>
      <c r="G213" s="149">
        <f t="shared" si="1"/>
        <v>54.01666667</v>
      </c>
      <c r="H213" s="149">
        <f t="shared" si="2"/>
        <v>54.01666667</v>
      </c>
      <c r="I213" s="150">
        <f t="shared" si="3"/>
        <v>2.250694444</v>
      </c>
      <c r="J213" s="147" t="s">
        <v>3678</v>
      </c>
      <c r="K213" s="151">
        <f t="shared" si="4"/>
        <v>0</v>
      </c>
      <c r="L213" s="147" t="s">
        <v>3678</v>
      </c>
      <c r="M213" s="147" t="s">
        <v>4623</v>
      </c>
      <c r="N213" s="151">
        <f t="shared" si="5"/>
        <v>47.93333333</v>
      </c>
      <c r="O213" s="147" t="s">
        <v>4624</v>
      </c>
      <c r="P213" s="151">
        <f t="shared" si="6"/>
        <v>6.083333333</v>
      </c>
    </row>
    <row r="214">
      <c r="A214" s="147" t="s">
        <v>4625</v>
      </c>
      <c r="B214" s="147" t="s">
        <v>4626</v>
      </c>
      <c r="C214" s="147" t="s">
        <v>3675</v>
      </c>
      <c r="D214" s="147" t="s">
        <v>3709</v>
      </c>
      <c r="E214" s="147" t="s">
        <v>4627</v>
      </c>
      <c r="F214" s="148">
        <v>33.85</v>
      </c>
      <c r="G214" s="149">
        <f t="shared" si="1"/>
        <v>33.68333333</v>
      </c>
      <c r="H214" s="149">
        <f t="shared" si="2"/>
        <v>33.66666667</v>
      </c>
      <c r="I214" s="150">
        <f t="shared" si="3"/>
        <v>1.402777778</v>
      </c>
      <c r="J214" s="147" t="s">
        <v>3724</v>
      </c>
      <c r="K214" s="148">
        <f t="shared" si="4"/>
        <v>0.1666666667</v>
      </c>
      <c r="L214" s="152">
        <v>0.0052</v>
      </c>
      <c r="M214" s="147" t="s">
        <v>4628</v>
      </c>
      <c r="N214" s="148">
        <f t="shared" si="5"/>
        <v>26.78333333</v>
      </c>
      <c r="O214" s="147" t="s">
        <v>4629</v>
      </c>
      <c r="P214" s="148">
        <f t="shared" si="6"/>
        <v>6.883333333</v>
      </c>
    </row>
    <row r="215">
      <c r="A215" s="147" t="s">
        <v>4630</v>
      </c>
      <c r="B215" s="147" t="s">
        <v>4631</v>
      </c>
      <c r="C215" s="147" t="s">
        <v>3675</v>
      </c>
      <c r="D215" s="147" t="s">
        <v>3810</v>
      </c>
      <c r="E215" s="147" t="s">
        <v>4352</v>
      </c>
      <c r="F215" s="148">
        <v>43.7</v>
      </c>
      <c r="G215" s="149">
        <f t="shared" si="1"/>
        <v>43.5</v>
      </c>
      <c r="H215" s="149">
        <f t="shared" si="2"/>
        <v>43.48333333</v>
      </c>
      <c r="I215" s="150">
        <f t="shared" si="3"/>
        <v>1.811805556</v>
      </c>
      <c r="J215" s="147" t="s">
        <v>3787</v>
      </c>
      <c r="K215" s="148">
        <f t="shared" si="4"/>
        <v>0.2</v>
      </c>
      <c r="L215" s="152">
        <v>0.0047</v>
      </c>
      <c r="M215" s="147" t="s">
        <v>4632</v>
      </c>
      <c r="N215" s="148">
        <f t="shared" si="5"/>
        <v>20.41666667</v>
      </c>
      <c r="O215" s="147" t="s">
        <v>4633</v>
      </c>
      <c r="P215" s="148">
        <f t="shared" si="6"/>
        <v>23.06666667</v>
      </c>
    </row>
    <row r="216">
      <c r="A216" s="147" t="s">
        <v>4634</v>
      </c>
      <c r="B216" s="147" t="s">
        <v>4635</v>
      </c>
      <c r="C216" s="147" t="s">
        <v>3765</v>
      </c>
      <c r="D216" s="147" t="s">
        <v>4636</v>
      </c>
      <c r="E216" s="147" t="s">
        <v>3828</v>
      </c>
      <c r="F216" s="148">
        <v>38.65</v>
      </c>
      <c r="G216" s="149">
        <f t="shared" si="1"/>
        <v>38.65</v>
      </c>
      <c r="H216" s="149">
        <f t="shared" si="2"/>
        <v>38.65</v>
      </c>
      <c r="I216" s="150">
        <f t="shared" si="3"/>
        <v>1.610416667</v>
      </c>
      <c r="J216" s="147" t="s">
        <v>3678</v>
      </c>
      <c r="K216" s="151">
        <f t="shared" si="4"/>
        <v>0</v>
      </c>
      <c r="L216" s="147" t="s">
        <v>3678</v>
      </c>
      <c r="M216" s="147" t="s">
        <v>3988</v>
      </c>
      <c r="N216" s="151">
        <f t="shared" si="5"/>
        <v>26.26666667</v>
      </c>
      <c r="O216" s="147" t="s">
        <v>4637</v>
      </c>
      <c r="P216" s="151">
        <f t="shared" si="6"/>
        <v>12.38333333</v>
      </c>
    </row>
    <row r="217">
      <c r="A217" s="147" t="s">
        <v>4638</v>
      </c>
      <c r="B217" s="147" t="s">
        <v>331</v>
      </c>
      <c r="C217" s="147" t="s">
        <v>3675</v>
      </c>
      <c r="D217" s="147" t="s">
        <v>3939</v>
      </c>
      <c r="E217" s="147" t="s">
        <v>4639</v>
      </c>
      <c r="F217" s="148">
        <v>65.05</v>
      </c>
      <c r="G217" s="149">
        <f t="shared" si="1"/>
        <v>65.05</v>
      </c>
      <c r="H217" s="149">
        <f t="shared" si="2"/>
        <v>65.05</v>
      </c>
      <c r="I217" s="150">
        <f t="shared" si="3"/>
        <v>2.710416667</v>
      </c>
      <c r="J217" s="147" t="s">
        <v>3678</v>
      </c>
      <c r="K217" s="151">
        <f t="shared" si="4"/>
        <v>0</v>
      </c>
      <c r="L217" s="147" t="s">
        <v>3678</v>
      </c>
      <c r="M217" s="147" t="s">
        <v>4640</v>
      </c>
      <c r="N217" s="151">
        <f t="shared" si="5"/>
        <v>61.06666667</v>
      </c>
      <c r="O217" s="147" t="s">
        <v>4641</v>
      </c>
      <c r="P217" s="151">
        <f t="shared" si="6"/>
        <v>3.983333333</v>
      </c>
    </row>
    <row r="218">
      <c r="A218" s="147" t="s">
        <v>4642</v>
      </c>
      <c r="B218" s="147" t="s">
        <v>590</v>
      </c>
      <c r="C218" s="147" t="s">
        <v>3675</v>
      </c>
      <c r="D218" s="147" t="s">
        <v>3676</v>
      </c>
      <c r="E218" s="147" t="s">
        <v>4643</v>
      </c>
      <c r="F218" s="148">
        <v>52.0</v>
      </c>
      <c r="G218" s="149">
        <f t="shared" si="1"/>
        <v>52</v>
      </c>
      <c r="H218" s="149">
        <f t="shared" si="2"/>
        <v>51.98333333</v>
      </c>
      <c r="I218" s="150">
        <f t="shared" si="3"/>
        <v>2.165972222</v>
      </c>
      <c r="J218" s="147" t="s">
        <v>3678</v>
      </c>
      <c r="K218" s="151">
        <f t="shared" si="4"/>
        <v>0</v>
      </c>
      <c r="L218" s="147" t="s">
        <v>3678</v>
      </c>
      <c r="M218" s="147" t="s">
        <v>4644</v>
      </c>
      <c r="N218" s="151">
        <f t="shared" si="5"/>
        <v>42.96666667</v>
      </c>
      <c r="O218" s="147" t="s">
        <v>4645</v>
      </c>
      <c r="P218" s="151">
        <f t="shared" si="6"/>
        <v>9.016666667</v>
      </c>
    </row>
    <row r="219">
      <c r="A219" s="147" t="s">
        <v>4646</v>
      </c>
      <c r="B219" s="147" t="s">
        <v>4647</v>
      </c>
      <c r="C219" s="147" t="s">
        <v>3675</v>
      </c>
      <c r="D219" s="147" t="s">
        <v>3676</v>
      </c>
      <c r="E219" s="147" t="s">
        <v>4648</v>
      </c>
      <c r="F219" s="148">
        <v>2.6</v>
      </c>
      <c r="G219" s="149">
        <f t="shared" si="1"/>
        <v>1.716666667</v>
      </c>
      <c r="H219" s="149">
        <f t="shared" si="2"/>
        <v>1.683333333</v>
      </c>
      <c r="I219" s="150">
        <f t="shared" si="3"/>
        <v>0.07013888889</v>
      </c>
      <c r="J219" s="147" t="s">
        <v>4649</v>
      </c>
      <c r="K219" s="148">
        <f t="shared" si="4"/>
        <v>0.8833333333</v>
      </c>
      <c r="L219" s="152">
        <v>0.3452</v>
      </c>
      <c r="M219" s="147" t="s">
        <v>4650</v>
      </c>
      <c r="N219" s="148">
        <f t="shared" si="5"/>
        <v>1.2</v>
      </c>
      <c r="O219" s="147" t="s">
        <v>3778</v>
      </c>
      <c r="P219" s="148">
        <f t="shared" si="6"/>
        <v>0.4833333333</v>
      </c>
    </row>
    <row r="220">
      <c r="A220" s="147" t="s">
        <v>4651</v>
      </c>
      <c r="B220" s="147" t="s">
        <v>618</v>
      </c>
      <c r="C220" s="147" t="s">
        <v>3675</v>
      </c>
      <c r="D220" s="147" t="s">
        <v>4215</v>
      </c>
      <c r="E220" s="147" t="s">
        <v>3985</v>
      </c>
      <c r="F220" s="148">
        <v>49.28333333333333</v>
      </c>
      <c r="G220" s="149">
        <f t="shared" si="1"/>
        <v>49.28333333</v>
      </c>
      <c r="H220" s="149">
        <f t="shared" si="2"/>
        <v>49.28333333</v>
      </c>
      <c r="I220" s="150">
        <f t="shared" si="3"/>
        <v>2.053472222</v>
      </c>
      <c r="J220" s="147" t="s">
        <v>3678</v>
      </c>
      <c r="K220" s="151">
        <f t="shared" si="4"/>
        <v>0</v>
      </c>
      <c r="L220" s="147" t="s">
        <v>3678</v>
      </c>
      <c r="M220" s="147" t="s">
        <v>4652</v>
      </c>
      <c r="N220" s="151">
        <f t="shared" si="5"/>
        <v>29.86666667</v>
      </c>
      <c r="O220" s="147" t="s">
        <v>4653</v>
      </c>
      <c r="P220" s="151">
        <f t="shared" si="6"/>
        <v>19.41666667</v>
      </c>
    </row>
    <row r="221">
      <c r="A221" s="147" t="s">
        <v>4654</v>
      </c>
      <c r="B221" s="147" t="s">
        <v>1646</v>
      </c>
      <c r="C221" s="147" t="s">
        <v>3675</v>
      </c>
      <c r="D221" s="147" t="s">
        <v>3810</v>
      </c>
      <c r="E221" s="147" t="s">
        <v>4655</v>
      </c>
      <c r="F221" s="148">
        <v>44.28333333333333</v>
      </c>
      <c r="G221" s="149">
        <f t="shared" si="1"/>
        <v>44.05</v>
      </c>
      <c r="H221" s="149">
        <f t="shared" si="2"/>
        <v>44.03333333</v>
      </c>
      <c r="I221" s="150">
        <f t="shared" si="3"/>
        <v>1.834722222</v>
      </c>
      <c r="J221" s="147" t="s">
        <v>4194</v>
      </c>
      <c r="K221" s="148">
        <f t="shared" si="4"/>
        <v>0.2333333333</v>
      </c>
      <c r="L221" s="152">
        <v>0.0053</v>
      </c>
      <c r="M221" s="147" t="s">
        <v>4101</v>
      </c>
      <c r="N221" s="148">
        <f t="shared" si="5"/>
        <v>28.91666667</v>
      </c>
      <c r="O221" s="147" t="s">
        <v>4656</v>
      </c>
      <c r="P221" s="148">
        <f t="shared" si="6"/>
        <v>15.11666667</v>
      </c>
    </row>
    <row r="222">
      <c r="A222" s="147" t="s">
        <v>4657</v>
      </c>
      <c r="B222" s="147" t="s">
        <v>4658</v>
      </c>
      <c r="C222" s="147" t="s">
        <v>3675</v>
      </c>
      <c r="D222" s="147" t="s">
        <v>3676</v>
      </c>
      <c r="E222" s="147" t="s">
        <v>4659</v>
      </c>
      <c r="F222" s="148">
        <v>45.03333333333333</v>
      </c>
      <c r="G222" s="149">
        <f t="shared" si="1"/>
        <v>45.03333333</v>
      </c>
      <c r="H222" s="149">
        <f t="shared" si="2"/>
        <v>45.03333333</v>
      </c>
      <c r="I222" s="150">
        <f t="shared" si="3"/>
        <v>1.876388889</v>
      </c>
      <c r="J222" s="147" t="s">
        <v>3678</v>
      </c>
      <c r="K222" s="151">
        <f t="shared" si="4"/>
        <v>0</v>
      </c>
      <c r="L222" s="147" t="s">
        <v>3678</v>
      </c>
      <c r="M222" s="147" t="s">
        <v>4660</v>
      </c>
      <c r="N222" s="151">
        <f t="shared" si="5"/>
        <v>44.66666667</v>
      </c>
      <c r="O222" s="147" t="s">
        <v>3796</v>
      </c>
      <c r="P222" s="151">
        <f t="shared" si="6"/>
        <v>0.3666666667</v>
      </c>
    </row>
    <row r="223">
      <c r="A223" s="147" t="s">
        <v>4661</v>
      </c>
      <c r="B223" s="147" t="s">
        <v>162</v>
      </c>
      <c r="C223" s="147" t="s">
        <v>3675</v>
      </c>
      <c r="D223" s="147" t="s">
        <v>3686</v>
      </c>
      <c r="E223" s="147" t="s">
        <v>4662</v>
      </c>
      <c r="F223" s="148">
        <v>47.1</v>
      </c>
      <c r="G223" s="149">
        <f t="shared" si="1"/>
        <v>47.1</v>
      </c>
      <c r="H223" s="149">
        <f t="shared" si="2"/>
        <v>47.08333333</v>
      </c>
      <c r="I223" s="150">
        <f t="shared" si="3"/>
        <v>1.961805556</v>
      </c>
      <c r="J223" s="147" t="s">
        <v>3678</v>
      </c>
      <c r="K223" s="151">
        <f t="shared" si="4"/>
        <v>0</v>
      </c>
      <c r="L223" s="147" t="s">
        <v>3678</v>
      </c>
      <c r="M223" s="147" t="s">
        <v>4310</v>
      </c>
      <c r="N223" s="151">
        <f t="shared" si="5"/>
        <v>35.11666667</v>
      </c>
      <c r="O223" s="147" t="s">
        <v>4663</v>
      </c>
      <c r="P223" s="151">
        <f t="shared" si="6"/>
        <v>11.96666667</v>
      </c>
    </row>
    <row r="224">
      <c r="A224" s="147" t="s">
        <v>4664</v>
      </c>
      <c r="B224" s="147" t="s">
        <v>1969</v>
      </c>
      <c r="C224" s="147" t="s">
        <v>3675</v>
      </c>
      <c r="D224" s="147" t="s">
        <v>3692</v>
      </c>
      <c r="E224" s="147" t="s">
        <v>4665</v>
      </c>
      <c r="F224" s="148">
        <v>40.05</v>
      </c>
      <c r="G224" s="149">
        <f t="shared" si="1"/>
        <v>40.05</v>
      </c>
      <c r="H224" s="149">
        <f t="shared" si="2"/>
        <v>40.05</v>
      </c>
      <c r="I224" s="150">
        <f t="shared" si="3"/>
        <v>1.66875</v>
      </c>
      <c r="J224" s="147" t="s">
        <v>3678</v>
      </c>
      <c r="K224" s="151">
        <f t="shared" si="4"/>
        <v>0</v>
      </c>
      <c r="L224" s="147" t="s">
        <v>3678</v>
      </c>
      <c r="M224" s="147" t="s">
        <v>4666</v>
      </c>
      <c r="N224" s="151">
        <f t="shared" si="5"/>
        <v>27.78333333</v>
      </c>
      <c r="O224" s="147" t="s">
        <v>4667</v>
      </c>
      <c r="P224" s="151">
        <f t="shared" si="6"/>
        <v>12.26666667</v>
      </c>
    </row>
    <row r="225">
      <c r="A225" s="147" t="s">
        <v>4668</v>
      </c>
      <c r="B225" s="147" t="s">
        <v>572</v>
      </c>
      <c r="C225" s="147" t="s">
        <v>3675</v>
      </c>
      <c r="D225" s="147" t="s">
        <v>3676</v>
      </c>
      <c r="E225" s="147" t="s">
        <v>4669</v>
      </c>
      <c r="F225" s="148">
        <v>42.016666666666666</v>
      </c>
      <c r="G225" s="149">
        <f t="shared" si="1"/>
        <v>42.01666667</v>
      </c>
      <c r="H225" s="149">
        <f t="shared" si="2"/>
        <v>42</v>
      </c>
      <c r="I225" s="150">
        <f t="shared" si="3"/>
        <v>1.75</v>
      </c>
      <c r="J225" s="147" t="s">
        <v>3678</v>
      </c>
      <c r="K225" s="151">
        <f t="shared" si="4"/>
        <v>0</v>
      </c>
      <c r="L225" s="147" t="s">
        <v>3678</v>
      </c>
      <c r="M225" s="147" t="s">
        <v>4670</v>
      </c>
      <c r="N225" s="151">
        <f t="shared" si="5"/>
        <v>24.38333333</v>
      </c>
      <c r="O225" s="147" t="s">
        <v>4671</v>
      </c>
      <c r="P225" s="151">
        <f t="shared" si="6"/>
        <v>17.61666667</v>
      </c>
    </row>
    <row r="226">
      <c r="A226" s="147" t="s">
        <v>4672</v>
      </c>
      <c r="B226" s="147" t="s">
        <v>4673</v>
      </c>
      <c r="C226" s="147" t="s">
        <v>3675</v>
      </c>
      <c r="D226" s="147" t="s">
        <v>3692</v>
      </c>
      <c r="E226" s="147" t="s">
        <v>4282</v>
      </c>
      <c r="F226" s="148">
        <v>41.86666666666667</v>
      </c>
      <c r="G226" s="149">
        <f t="shared" si="1"/>
        <v>41.28333333</v>
      </c>
      <c r="H226" s="149">
        <f t="shared" si="2"/>
        <v>41.26666667</v>
      </c>
      <c r="I226" s="150">
        <f t="shared" si="3"/>
        <v>1.719444444</v>
      </c>
      <c r="J226" s="147" t="s">
        <v>4351</v>
      </c>
      <c r="K226" s="148">
        <f t="shared" si="4"/>
        <v>0.5833333333</v>
      </c>
      <c r="L226" s="152">
        <v>0.0141</v>
      </c>
      <c r="M226" s="147" t="s">
        <v>4674</v>
      </c>
      <c r="N226" s="148">
        <f t="shared" si="5"/>
        <v>39.15</v>
      </c>
      <c r="O226" s="147" t="s">
        <v>4675</v>
      </c>
      <c r="P226" s="148">
        <f t="shared" si="6"/>
        <v>2.116666667</v>
      </c>
    </row>
    <row r="227">
      <c r="A227" s="147" t="s">
        <v>4676</v>
      </c>
      <c r="B227" s="147" t="s">
        <v>4677</v>
      </c>
      <c r="C227" s="147" t="s">
        <v>3675</v>
      </c>
      <c r="D227" s="147" t="s">
        <v>3676</v>
      </c>
      <c r="E227" s="147" t="s">
        <v>4678</v>
      </c>
      <c r="F227" s="148">
        <v>33.13333333333333</v>
      </c>
      <c r="G227" s="149">
        <f t="shared" si="1"/>
        <v>32.53333333</v>
      </c>
      <c r="H227" s="149">
        <f t="shared" si="2"/>
        <v>32.51666667</v>
      </c>
      <c r="I227" s="150">
        <f t="shared" si="3"/>
        <v>1.354861111</v>
      </c>
      <c r="J227" s="147" t="s">
        <v>4679</v>
      </c>
      <c r="K227" s="148">
        <f t="shared" si="4"/>
        <v>0.6</v>
      </c>
      <c r="L227" s="152">
        <v>0.0184</v>
      </c>
      <c r="M227" s="147" t="s">
        <v>4680</v>
      </c>
      <c r="N227" s="148">
        <f t="shared" si="5"/>
        <v>11.28333333</v>
      </c>
      <c r="O227" s="147" t="s">
        <v>4681</v>
      </c>
      <c r="P227" s="148">
        <f t="shared" si="6"/>
        <v>21.23333333</v>
      </c>
    </row>
    <row r="228">
      <c r="A228" s="147" t="s">
        <v>4682</v>
      </c>
      <c r="B228" s="147" t="s">
        <v>4683</v>
      </c>
      <c r="C228" s="147" t="s">
        <v>3675</v>
      </c>
      <c r="D228" s="147" t="s">
        <v>3692</v>
      </c>
      <c r="E228" s="147" t="s">
        <v>4684</v>
      </c>
      <c r="F228" s="148">
        <v>31.966666666666665</v>
      </c>
      <c r="G228" s="149">
        <f t="shared" si="1"/>
        <v>31.96666667</v>
      </c>
      <c r="H228" s="149">
        <f t="shared" si="2"/>
        <v>31.96666667</v>
      </c>
      <c r="I228" s="150">
        <f t="shared" si="3"/>
        <v>1.331944444</v>
      </c>
      <c r="J228" s="147" t="s">
        <v>3678</v>
      </c>
      <c r="K228" s="151">
        <f t="shared" si="4"/>
        <v>0</v>
      </c>
      <c r="L228" s="147" t="s">
        <v>3678</v>
      </c>
      <c r="M228" s="147" t="s">
        <v>4685</v>
      </c>
      <c r="N228" s="151">
        <f t="shared" si="5"/>
        <v>23.48333333</v>
      </c>
      <c r="O228" s="147" t="s">
        <v>4686</v>
      </c>
      <c r="P228" s="151">
        <f t="shared" si="6"/>
        <v>8.483333333</v>
      </c>
    </row>
    <row r="229">
      <c r="A229" s="147" t="s">
        <v>4687</v>
      </c>
      <c r="B229" s="147" t="s">
        <v>626</v>
      </c>
      <c r="C229" s="147" t="s">
        <v>3675</v>
      </c>
      <c r="D229" s="147" t="s">
        <v>3676</v>
      </c>
      <c r="E229" s="147" t="s">
        <v>4688</v>
      </c>
      <c r="F229" s="148">
        <v>48.166666666666664</v>
      </c>
      <c r="G229" s="149">
        <f t="shared" si="1"/>
        <v>48.16666667</v>
      </c>
      <c r="H229" s="149">
        <f t="shared" si="2"/>
        <v>48.16666667</v>
      </c>
      <c r="I229" s="150">
        <f t="shared" si="3"/>
        <v>2.006944444</v>
      </c>
      <c r="J229" s="147" t="s">
        <v>3678</v>
      </c>
      <c r="K229" s="151">
        <f t="shared" si="4"/>
        <v>0</v>
      </c>
      <c r="L229" s="147" t="s">
        <v>3678</v>
      </c>
      <c r="M229" s="147" t="s">
        <v>4689</v>
      </c>
      <c r="N229" s="151">
        <f t="shared" si="5"/>
        <v>47.2</v>
      </c>
      <c r="O229" s="147" t="s">
        <v>4690</v>
      </c>
      <c r="P229" s="151">
        <f t="shared" si="6"/>
        <v>0.9666666667</v>
      </c>
    </row>
    <row r="230">
      <c r="A230" s="147" t="s">
        <v>4691</v>
      </c>
      <c r="B230" s="147" t="s">
        <v>900</v>
      </c>
      <c r="C230" s="147" t="s">
        <v>3675</v>
      </c>
      <c r="D230" s="147" t="s">
        <v>3800</v>
      </c>
      <c r="E230" s="147" t="s">
        <v>4493</v>
      </c>
      <c r="F230" s="148">
        <v>49.0</v>
      </c>
      <c r="G230" s="149">
        <f t="shared" si="1"/>
        <v>49</v>
      </c>
      <c r="H230" s="149">
        <f t="shared" si="2"/>
        <v>49</v>
      </c>
      <c r="I230" s="150">
        <f t="shared" si="3"/>
        <v>2.041666667</v>
      </c>
      <c r="J230" s="147" t="s">
        <v>3678</v>
      </c>
      <c r="K230" s="151">
        <f t="shared" si="4"/>
        <v>0</v>
      </c>
      <c r="L230" s="147" t="s">
        <v>3678</v>
      </c>
      <c r="M230" s="147" t="s">
        <v>4692</v>
      </c>
      <c r="N230" s="151">
        <f t="shared" si="5"/>
        <v>21</v>
      </c>
      <c r="O230" s="147" t="s">
        <v>4693</v>
      </c>
      <c r="P230" s="151">
        <f t="shared" si="6"/>
        <v>28</v>
      </c>
    </row>
    <row r="231">
      <c r="A231" s="147" t="s">
        <v>4694</v>
      </c>
      <c r="B231" s="147" t="s">
        <v>608</v>
      </c>
      <c r="C231" s="147" t="s">
        <v>3675</v>
      </c>
      <c r="D231" s="147" t="s">
        <v>4695</v>
      </c>
      <c r="E231" s="147" t="s">
        <v>4477</v>
      </c>
      <c r="F231" s="148">
        <v>40.86666666666667</v>
      </c>
      <c r="G231" s="149">
        <f t="shared" si="1"/>
        <v>40.86666667</v>
      </c>
      <c r="H231" s="149">
        <f t="shared" si="2"/>
        <v>40.86666667</v>
      </c>
      <c r="I231" s="150">
        <f t="shared" si="3"/>
        <v>1.702777778</v>
      </c>
      <c r="J231" s="147" t="s">
        <v>3678</v>
      </c>
      <c r="K231" s="151">
        <f t="shared" si="4"/>
        <v>0</v>
      </c>
      <c r="L231" s="147" t="s">
        <v>3678</v>
      </c>
      <c r="M231" s="147" t="s">
        <v>4380</v>
      </c>
      <c r="N231" s="151">
        <f t="shared" si="5"/>
        <v>39.25</v>
      </c>
      <c r="O231" s="147" t="s">
        <v>4696</v>
      </c>
      <c r="P231" s="151">
        <f t="shared" si="6"/>
        <v>1.616666667</v>
      </c>
    </row>
    <row r="232">
      <c r="A232" s="147" t="s">
        <v>4697</v>
      </c>
      <c r="B232" s="147" t="s">
        <v>182</v>
      </c>
      <c r="C232" s="147" t="s">
        <v>3675</v>
      </c>
      <c r="D232" s="147" t="s">
        <v>3686</v>
      </c>
      <c r="E232" s="147" t="s">
        <v>4698</v>
      </c>
      <c r="F232" s="148">
        <v>21.433333333333334</v>
      </c>
      <c r="G232" s="149">
        <f t="shared" si="1"/>
        <v>21.05</v>
      </c>
      <c r="H232" s="149">
        <f t="shared" si="2"/>
        <v>21.03333333</v>
      </c>
      <c r="I232" s="150">
        <f t="shared" si="3"/>
        <v>0.8763888889</v>
      </c>
      <c r="J232" s="147" t="s">
        <v>4305</v>
      </c>
      <c r="K232" s="148">
        <f t="shared" si="4"/>
        <v>0.3833333333</v>
      </c>
      <c r="L232" s="152">
        <v>0.0183</v>
      </c>
      <c r="M232" s="147" t="s">
        <v>4699</v>
      </c>
      <c r="N232" s="148">
        <f t="shared" si="5"/>
        <v>15.75</v>
      </c>
      <c r="O232" s="147" t="s">
        <v>4700</v>
      </c>
      <c r="P232" s="148">
        <f t="shared" si="6"/>
        <v>5.283333333</v>
      </c>
    </row>
    <row r="233">
      <c r="A233" s="147" t="s">
        <v>4701</v>
      </c>
      <c r="B233" s="147" t="s">
        <v>1245</v>
      </c>
      <c r="C233" s="147" t="s">
        <v>3675</v>
      </c>
      <c r="D233" s="147" t="s">
        <v>4702</v>
      </c>
      <c r="E233" s="147" t="s">
        <v>4217</v>
      </c>
      <c r="F233" s="148">
        <v>50.05</v>
      </c>
      <c r="G233" s="149">
        <f t="shared" si="1"/>
        <v>50.05</v>
      </c>
      <c r="H233" s="149">
        <f t="shared" si="2"/>
        <v>50.05</v>
      </c>
      <c r="I233" s="150">
        <f t="shared" si="3"/>
        <v>2.085416667</v>
      </c>
      <c r="J233" s="147" t="s">
        <v>4703</v>
      </c>
      <c r="K233" s="148">
        <f t="shared" si="4"/>
        <v>0</v>
      </c>
      <c r="L233" s="147" t="s">
        <v>3678</v>
      </c>
      <c r="M233" s="147" t="s">
        <v>4704</v>
      </c>
      <c r="N233" s="148">
        <f t="shared" si="5"/>
        <v>25.76666667</v>
      </c>
      <c r="O233" s="147" t="s">
        <v>4705</v>
      </c>
      <c r="P233" s="148">
        <f t="shared" si="6"/>
        <v>24.28333333</v>
      </c>
    </row>
    <row r="234">
      <c r="A234" s="147" t="s">
        <v>4706</v>
      </c>
      <c r="B234" s="147" t="s">
        <v>896</v>
      </c>
      <c r="C234" s="147" t="s">
        <v>3675</v>
      </c>
      <c r="D234" s="147" t="s">
        <v>4707</v>
      </c>
      <c r="E234" s="147" t="s">
        <v>4439</v>
      </c>
      <c r="F234" s="148">
        <v>54.63333333333333</v>
      </c>
      <c r="G234" s="149">
        <f t="shared" si="1"/>
        <v>53.71666667</v>
      </c>
      <c r="H234" s="149">
        <f t="shared" si="2"/>
        <v>53.7</v>
      </c>
      <c r="I234" s="150">
        <f t="shared" si="3"/>
        <v>2.2375</v>
      </c>
      <c r="J234" s="147" t="s">
        <v>3776</v>
      </c>
      <c r="K234" s="148">
        <f t="shared" si="4"/>
        <v>0.9166666667</v>
      </c>
      <c r="L234" s="152">
        <v>0.017</v>
      </c>
      <c r="M234" s="147" t="s">
        <v>4708</v>
      </c>
      <c r="N234" s="148">
        <f t="shared" si="5"/>
        <v>30.75</v>
      </c>
      <c r="O234" s="147" t="s">
        <v>4709</v>
      </c>
      <c r="P234" s="148">
        <f t="shared" si="6"/>
        <v>22.95</v>
      </c>
    </row>
    <row r="235">
      <c r="A235" s="147" t="s">
        <v>4710</v>
      </c>
      <c r="B235" s="147" t="s">
        <v>4711</v>
      </c>
      <c r="C235" s="147" t="s">
        <v>3675</v>
      </c>
      <c r="D235" s="147" t="s">
        <v>3692</v>
      </c>
      <c r="E235" s="147" t="s">
        <v>4712</v>
      </c>
      <c r="F235" s="148">
        <v>7.783333333333333</v>
      </c>
      <c r="G235" s="149">
        <f t="shared" si="1"/>
        <v>7.783333333</v>
      </c>
      <c r="H235" s="149">
        <f t="shared" si="2"/>
        <v>7.783333333</v>
      </c>
      <c r="I235" s="150">
        <f t="shared" si="3"/>
        <v>0.3243055556</v>
      </c>
      <c r="J235" s="147" t="s">
        <v>3678</v>
      </c>
      <c r="K235" s="151">
        <f t="shared" si="4"/>
        <v>0</v>
      </c>
      <c r="L235" s="147" t="s">
        <v>3678</v>
      </c>
      <c r="M235" s="147" t="s">
        <v>4184</v>
      </c>
      <c r="N235" s="151">
        <f t="shared" si="5"/>
        <v>6.166666667</v>
      </c>
      <c r="O235" s="147" t="s">
        <v>4696</v>
      </c>
      <c r="P235" s="151">
        <f t="shared" si="6"/>
        <v>1.616666667</v>
      </c>
    </row>
    <row r="236">
      <c r="A236" s="147" t="s">
        <v>4713</v>
      </c>
      <c r="B236" s="147" t="s">
        <v>4714</v>
      </c>
      <c r="C236" s="147" t="s">
        <v>3765</v>
      </c>
      <c r="D236" s="147" t="s">
        <v>4124</v>
      </c>
      <c r="E236" s="147" t="s">
        <v>4715</v>
      </c>
      <c r="F236" s="148">
        <v>64.8</v>
      </c>
      <c r="G236" s="149">
        <f t="shared" si="1"/>
        <v>64.8</v>
      </c>
      <c r="H236" s="149">
        <f t="shared" si="2"/>
        <v>64.8</v>
      </c>
      <c r="I236" s="150">
        <f t="shared" si="3"/>
        <v>2.7</v>
      </c>
      <c r="J236" s="147" t="s">
        <v>3678</v>
      </c>
      <c r="K236" s="151">
        <f t="shared" si="4"/>
        <v>0</v>
      </c>
      <c r="L236" s="147" t="s">
        <v>3678</v>
      </c>
      <c r="M236" s="147" t="s">
        <v>4716</v>
      </c>
      <c r="N236" s="151">
        <f t="shared" si="5"/>
        <v>46.35</v>
      </c>
      <c r="O236" s="147" t="s">
        <v>4717</v>
      </c>
      <c r="P236" s="151">
        <f t="shared" si="6"/>
        <v>18.45</v>
      </c>
    </row>
    <row r="237">
      <c r="A237" s="147" t="s">
        <v>4718</v>
      </c>
      <c r="B237" s="147" t="s">
        <v>4719</v>
      </c>
      <c r="C237" s="147" t="s">
        <v>3675</v>
      </c>
      <c r="D237" s="147" t="s">
        <v>3709</v>
      </c>
      <c r="E237" s="147" t="s">
        <v>4493</v>
      </c>
      <c r="F237" s="148">
        <v>49.0</v>
      </c>
      <c r="G237" s="149">
        <f t="shared" si="1"/>
        <v>49</v>
      </c>
      <c r="H237" s="149">
        <f t="shared" si="2"/>
        <v>49</v>
      </c>
      <c r="I237" s="150">
        <f t="shared" si="3"/>
        <v>2.041666667</v>
      </c>
      <c r="J237" s="147" t="s">
        <v>3678</v>
      </c>
      <c r="K237" s="151">
        <f t="shared" si="4"/>
        <v>0</v>
      </c>
      <c r="L237" s="147" t="s">
        <v>3678</v>
      </c>
      <c r="M237" s="147" t="s">
        <v>4720</v>
      </c>
      <c r="N237" s="151">
        <f t="shared" si="5"/>
        <v>42.41666667</v>
      </c>
      <c r="O237" s="147" t="s">
        <v>4721</v>
      </c>
      <c r="P237" s="151">
        <f t="shared" si="6"/>
        <v>6.583333333</v>
      </c>
    </row>
    <row r="238">
      <c r="A238" s="147" t="s">
        <v>4722</v>
      </c>
      <c r="B238" s="147" t="s">
        <v>4723</v>
      </c>
      <c r="C238" s="147" t="s">
        <v>3675</v>
      </c>
      <c r="D238" s="147" t="s">
        <v>3735</v>
      </c>
      <c r="E238" s="147" t="s">
        <v>4724</v>
      </c>
      <c r="F238" s="148">
        <v>50.36666666666667</v>
      </c>
      <c r="G238" s="149">
        <f t="shared" si="1"/>
        <v>50.36666667</v>
      </c>
      <c r="H238" s="149">
        <f t="shared" si="2"/>
        <v>50.35</v>
      </c>
      <c r="I238" s="150">
        <f t="shared" si="3"/>
        <v>2.097916667</v>
      </c>
      <c r="J238" s="147" t="s">
        <v>3678</v>
      </c>
      <c r="K238" s="151">
        <f t="shared" si="4"/>
        <v>0</v>
      </c>
      <c r="L238" s="147" t="s">
        <v>3678</v>
      </c>
      <c r="M238" s="147" t="s">
        <v>4725</v>
      </c>
      <c r="N238" s="151">
        <f t="shared" si="5"/>
        <v>28.38333333</v>
      </c>
      <c r="O238" s="147" t="s">
        <v>4726</v>
      </c>
      <c r="P238" s="151">
        <f t="shared" si="6"/>
        <v>21.96666667</v>
      </c>
    </row>
    <row r="239">
      <c r="A239" s="147" t="s">
        <v>4727</v>
      </c>
      <c r="B239" s="147" t="s">
        <v>4728</v>
      </c>
      <c r="C239" s="147" t="s">
        <v>3675</v>
      </c>
      <c r="D239" s="147" t="s">
        <v>3709</v>
      </c>
      <c r="E239" s="147" t="s">
        <v>4729</v>
      </c>
      <c r="F239" s="148">
        <v>44.266666666666666</v>
      </c>
      <c r="G239" s="149">
        <f t="shared" si="1"/>
        <v>44.26666667</v>
      </c>
      <c r="H239" s="149">
        <f t="shared" si="2"/>
        <v>44.25</v>
      </c>
      <c r="I239" s="150">
        <f t="shared" si="3"/>
        <v>1.84375</v>
      </c>
      <c r="J239" s="147" t="s">
        <v>3678</v>
      </c>
      <c r="K239" s="151">
        <f t="shared" si="4"/>
        <v>0</v>
      </c>
      <c r="L239" s="147" t="s">
        <v>3678</v>
      </c>
      <c r="M239" s="147" t="s">
        <v>4730</v>
      </c>
      <c r="N239" s="151">
        <f t="shared" si="5"/>
        <v>27.05</v>
      </c>
      <c r="O239" s="147" t="s">
        <v>4731</v>
      </c>
      <c r="P239" s="151">
        <f t="shared" si="6"/>
        <v>17.2</v>
      </c>
    </row>
    <row r="240">
      <c r="A240" s="147" t="s">
        <v>4732</v>
      </c>
      <c r="B240" s="147" t="s">
        <v>4733</v>
      </c>
      <c r="C240" s="147" t="s">
        <v>3675</v>
      </c>
      <c r="D240" s="147" t="s">
        <v>3692</v>
      </c>
      <c r="E240" s="147" t="s">
        <v>3882</v>
      </c>
      <c r="F240" s="148">
        <v>35.25</v>
      </c>
      <c r="G240" s="149">
        <f t="shared" si="1"/>
        <v>35.25</v>
      </c>
      <c r="H240" s="149">
        <f t="shared" si="2"/>
        <v>35.23333333</v>
      </c>
      <c r="I240" s="150">
        <f t="shared" si="3"/>
        <v>1.468055556</v>
      </c>
      <c r="J240" s="147" t="s">
        <v>3678</v>
      </c>
      <c r="K240" s="151">
        <f t="shared" si="4"/>
        <v>0</v>
      </c>
      <c r="L240" s="147" t="s">
        <v>3678</v>
      </c>
      <c r="M240" s="147" t="s">
        <v>4734</v>
      </c>
      <c r="N240" s="151">
        <f t="shared" si="5"/>
        <v>31.9</v>
      </c>
      <c r="O240" s="147" t="s">
        <v>4735</v>
      </c>
      <c r="P240" s="151">
        <f t="shared" si="6"/>
        <v>3.333333333</v>
      </c>
    </row>
    <row r="241">
      <c r="A241" s="147" t="s">
        <v>4736</v>
      </c>
      <c r="B241" s="147" t="s">
        <v>405</v>
      </c>
      <c r="C241" s="147" t="s">
        <v>3675</v>
      </c>
      <c r="D241" s="147" t="s">
        <v>4737</v>
      </c>
      <c r="E241" s="147" t="s">
        <v>4738</v>
      </c>
      <c r="F241" s="148">
        <v>49.46666666666667</v>
      </c>
      <c r="G241" s="149">
        <f t="shared" si="1"/>
        <v>49.46666667</v>
      </c>
      <c r="H241" s="149">
        <f t="shared" si="2"/>
        <v>49.45</v>
      </c>
      <c r="I241" s="150">
        <f t="shared" si="3"/>
        <v>2.060416667</v>
      </c>
      <c r="J241" s="147" t="s">
        <v>3678</v>
      </c>
      <c r="K241" s="151">
        <f t="shared" si="4"/>
        <v>0</v>
      </c>
      <c r="L241" s="147" t="s">
        <v>3678</v>
      </c>
      <c r="M241" s="147" t="s">
        <v>4739</v>
      </c>
      <c r="N241" s="151">
        <f t="shared" si="5"/>
        <v>34.53333333</v>
      </c>
      <c r="O241" s="147" t="s">
        <v>4740</v>
      </c>
      <c r="P241" s="151">
        <f t="shared" si="6"/>
        <v>14.91666667</v>
      </c>
    </row>
    <row r="242">
      <c r="A242" s="147" t="s">
        <v>4741</v>
      </c>
      <c r="B242" s="147" t="s">
        <v>4742</v>
      </c>
      <c r="C242" s="147" t="s">
        <v>3675</v>
      </c>
      <c r="D242" s="147" t="s">
        <v>3692</v>
      </c>
      <c r="E242" s="147" t="s">
        <v>4743</v>
      </c>
      <c r="F242" s="148">
        <v>40.28333333333333</v>
      </c>
      <c r="G242" s="149">
        <f t="shared" si="1"/>
        <v>40.28333333</v>
      </c>
      <c r="H242" s="149">
        <f t="shared" si="2"/>
        <v>40.26666667</v>
      </c>
      <c r="I242" s="150">
        <f t="shared" si="3"/>
        <v>1.677777778</v>
      </c>
      <c r="J242" s="147" t="s">
        <v>3678</v>
      </c>
      <c r="K242" s="151">
        <f t="shared" si="4"/>
        <v>0</v>
      </c>
      <c r="L242" s="147" t="s">
        <v>3678</v>
      </c>
      <c r="M242" s="147" t="s">
        <v>4744</v>
      </c>
      <c r="N242" s="151">
        <f t="shared" si="5"/>
        <v>33.2</v>
      </c>
      <c r="O242" s="147" t="s">
        <v>4745</v>
      </c>
      <c r="P242" s="151">
        <f t="shared" si="6"/>
        <v>7.066666667</v>
      </c>
    </row>
    <row r="243">
      <c r="A243" s="147" t="s">
        <v>4746</v>
      </c>
      <c r="B243" s="147" t="s">
        <v>4747</v>
      </c>
      <c r="C243" s="147" t="s">
        <v>3675</v>
      </c>
      <c r="D243" s="147" t="s">
        <v>3676</v>
      </c>
      <c r="E243" s="147" t="s">
        <v>4748</v>
      </c>
      <c r="F243" s="148">
        <v>38.55</v>
      </c>
      <c r="G243" s="149">
        <f t="shared" si="1"/>
        <v>38.55</v>
      </c>
      <c r="H243" s="149">
        <f t="shared" si="2"/>
        <v>38.55</v>
      </c>
      <c r="I243" s="150">
        <f t="shared" si="3"/>
        <v>1.60625</v>
      </c>
      <c r="J243" s="147" t="s">
        <v>3678</v>
      </c>
      <c r="K243" s="151">
        <f t="shared" si="4"/>
        <v>0</v>
      </c>
      <c r="L243" s="147" t="s">
        <v>3678</v>
      </c>
      <c r="M243" s="147" t="s">
        <v>4749</v>
      </c>
      <c r="N243" s="151">
        <f t="shared" si="5"/>
        <v>25.61666667</v>
      </c>
      <c r="O243" s="147" t="s">
        <v>4750</v>
      </c>
      <c r="P243" s="151">
        <f t="shared" si="6"/>
        <v>12.93333333</v>
      </c>
    </row>
    <row r="244">
      <c r="A244" s="147" t="s">
        <v>4751</v>
      </c>
      <c r="B244" s="147" t="s">
        <v>4752</v>
      </c>
      <c r="C244" s="147" t="s">
        <v>3675</v>
      </c>
      <c r="D244" s="147" t="s">
        <v>3692</v>
      </c>
      <c r="E244" s="147" t="s">
        <v>4753</v>
      </c>
      <c r="F244" s="148">
        <v>36.81666666666667</v>
      </c>
      <c r="G244" s="149">
        <f t="shared" si="1"/>
        <v>36.81666667</v>
      </c>
      <c r="H244" s="149">
        <f t="shared" si="2"/>
        <v>36.81666667</v>
      </c>
      <c r="I244" s="150">
        <f t="shared" si="3"/>
        <v>1.534027778</v>
      </c>
      <c r="J244" s="147" t="s">
        <v>3678</v>
      </c>
      <c r="K244" s="151">
        <f t="shared" si="4"/>
        <v>0</v>
      </c>
      <c r="L244" s="147" t="s">
        <v>3678</v>
      </c>
      <c r="M244" s="147" t="s">
        <v>3747</v>
      </c>
      <c r="N244" s="151">
        <f t="shared" si="5"/>
        <v>30.43333333</v>
      </c>
      <c r="O244" s="147" t="s">
        <v>4754</v>
      </c>
      <c r="P244" s="151">
        <f t="shared" si="6"/>
        <v>6.383333333</v>
      </c>
    </row>
    <row r="245">
      <c r="A245" s="147" t="s">
        <v>4755</v>
      </c>
      <c r="B245" s="147" t="s">
        <v>1033</v>
      </c>
      <c r="C245" s="147" t="s">
        <v>3675</v>
      </c>
      <c r="D245" s="147" t="s">
        <v>3676</v>
      </c>
      <c r="E245" s="147" t="s">
        <v>4756</v>
      </c>
      <c r="F245" s="148">
        <v>35.78333333333333</v>
      </c>
      <c r="G245" s="149">
        <f t="shared" si="1"/>
        <v>35.78333333</v>
      </c>
      <c r="H245" s="149">
        <f t="shared" si="2"/>
        <v>35.76666667</v>
      </c>
      <c r="I245" s="150">
        <f t="shared" si="3"/>
        <v>1.490277778</v>
      </c>
      <c r="J245" s="147" t="s">
        <v>3678</v>
      </c>
      <c r="K245" s="151">
        <f t="shared" si="4"/>
        <v>0</v>
      </c>
      <c r="L245" s="147" t="s">
        <v>3678</v>
      </c>
      <c r="M245" s="147" t="s">
        <v>4757</v>
      </c>
      <c r="N245" s="151">
        <f t="shared" si="5"/>
        <v>19.33333333</v>
      </c>
      <c r="O245" s="147" t="s">
        <v>4758</v>
      </c>
      <c r="P245" s="151">
        <f t="shared" si="6"/>
        <v>16.43333333</v>
      </c>
    </row>
    <row r="246">
      <c r="A246" s="147" t="s">
        <v>4759</v>
      </c>
      <c r="B246" s="147" t="s">
        <v>4760</v>
      </c>
      <c r="C246" s="147" t="s">
        <v>3675</v>
      </c>
      <c r="D246" s="147" t="s">
        <v>3735</v>
      </c>
      <c r="E246" s="147" t="s">
        <v>4761</v>
      </c>
      <c r="F246" s="148">
        <v>45.86666666666667</v>
      </c>
      <c r="G246" s="149">
        <f t="shared" si="1"/>
        <v>45.86666667</v>
      </c>
      <c r="H246" s="149">
        <f t="shared" si="2"/>
        <v>45.86666667</v>
      </c>
      <c r="I246" s="150">
        <f t="shared" si="3"/>
        <v>1.911111111</v>
      </c>
      <c r="J246" s="147" t="s">
        <v>3678</v>
      </c>
      <c r="K246" s="151">
        <f t="shared" si="4"/>
        <v>0</v>
      </c>
      <c r="L246" s="147" t="s">
        <v>3678</v>
      </c>
      <c r="M246" s="147" t="s">
        <v>4762</v>
      </c>
      <c r="N246" s="151">
        <f t="shared" si="5"/>
        <v>31.13333333</v>
      </c>
      <c r="O246" s="147" t="s">
        <v>4763</v>
      </c>
      <c r="P246" s="151">
        <f t="shared" si="6"/>
        <v>14.73333333</v>
      </c>
    </row>
    <row r="247">
      <c r="A247" s="147" t="s">
        <v>4764</v>
      </c>
      <c r="B247" s="147" t="s">
        <v>502</v>
      </c>
      <c r="C247" s="147" t="s">
        <v>3675</v>
      </c>
      <c r="D247" s="147" t="s">
        <v>3676</v>
      </c>
      <c r="E247" s="147" t="s">
        <v>4765</v>
      </c>
      <c r="F247" s="148">
        <v>45.016666666666666</v>
      </c>
      <c r="G247" s="149">
        <f t="shared" si="1"/>
        <v>43.93333333</v>
      </c>
      <c r="H247" s="149">
        <f t="shared" si="2"/>
        <v>43.91666667</v>
      </c>
      <c r="I247" s="150">
        <f t="shared" si="3"/>
        <v>1.829861111</v>
      </c>
      <c r="J247" s="147" t="s">
        <v>3951</v>
      </c>
      <c r="K247" s="148">
        <f t="shared" si="4"/>
        <v>1.083333333</v>
      </c>
      <c r="L247" s="152">
        <v>0.0242</v>
      </c>
      <c r="M247" s="147" t="s">
        <v>4766</v>
      </c>
      <c r="N247" s="148">
        <f t="shared" si="5"/>
        <v>18.2</v>
      </c>
      <c r="O247" s="147" t="s">
        <v>4270</v>
      </c>
      <c r="P247" s="148">
        <f t="shared" si="6"/>
        <v>25.71666667</v>
      </c>
    </row>
    <row r="248">
      <c r="A248" s="147" t="s">
        <v>4767</v>
      </c>
      <c r="B248" s="147" t="s">
        <v>4768</v>
      </c>
      <c r="C248" s="147" t="s">
        <v>3675</v>
      </c>
      <c r="D248" s="147" t="s">
        <v>4769</v>
      </c>
      <c r="E248" s="147" t="s">
        <v>4669</v>
      </c>
      <c r="F248" s="148">
        <v>42.016666666666666</v>
      </c>
      <c r="G248" s="149">
        <f t="shared" si="1"/>
        <v>41.81666667</v>
      </c>
      <c r="H248" s="149">
        <f t="shared" si="2"/>
        <v>41.78333333</v>
      </c>
      <c r="I248" s="150">
        <f t="shared" si="3"/>
        <v>1.740972222</v>
      </c>
      <c r="J248" s="147" t="s">
        <v>3787</v>
      </c>
      <c r="K248" s="148">
        <f t="shared" si="4"/>
        <v>0.2</v>
      </c>
      <c r="L248" s="152">
        <v>0.0051</v>
      </c>
      <c r="M248" s="147" t="s">
        <v>4652</v>
      </c>
      <c r="N248" s="148">
        <f t="shared" si="5"/>
        <v>29.86666667</v>
      </c>
      <c r="O248" s="147" t="s">
        <v>4770</v>
      </c>
      <c r="P248" s="148">
        <f t="shared" si="6"/>
        <v>11.91666667</v>
      </c>
    </row>
    <row r="249">
      <c r="A249" s="147" t="s">
        <v>1620</v>
      </c>
      <c r="B249" s="147" t="s">
        <v>1301</v>
      </c>
      <c r="C249" s="147" t="s">
        <v>3675</v>
      </c>
      <c r="D249" s="147" t="s">
        <v>3980</v>
      </c>
      <c r="E249" s="147" t="s">
        <v>4576</v>
      </c>
      <c r="F249" s="148">
        <v>35.13333333333333</v>
      </c>
      <c r="G249" s="149">
        <f t="shared" si="1"/>
        <v>31.91666667</v>
      </c>
      <c r="H249" s="149">
        <f t="shared" si="2"/>
        <v>31.91666667</v>
      </c>
      <c r="I249" s="150">
        <f t="shared" si="3"/>
        <v>1.329861111</v>
      </c>
      <c r="J249" s="147" t="s">
        <v>4771</v>
      </c>
      <c r="K249" s="148">
        <f t="shared" si="4"/>
        <v>3.216666667</v>
      </c>
      <c r="L249" s="152">
        <v>0.0916</v>
      </c>
      <c r="M249" s="147" t="s">
        <v>4772</v>
      </c>
      <c r="N249" s="148">
        <f t="shared" si="5"/>
        <v>7.5</v>
      </c>
      <c r="O249" s="147" t="s">
        <v>4773</v>
      </c>
      <c r="P249" s="148">
        <f t="shared" si="6"/>
        <v>24.41666667</v>
      </c>
    </row>
    <row r="250">
      <c r="A250" s="147" t="s">
        <v>4774</v>
      </c>
      <c r="B250" s="147" t="s">
        <v>172</v>
      </c>
      <c r="C250" s="147" t="s">
        <v>3675</v>
      </c>
      <c r="D250" s="147" t="s">
        <v>3686</v>
      </c>
      <c r="E250" s="147" t="s">
        <v>4775</v>
      </c>
      <c r="F250" s="148">
        <v>40.03333333333333</v>
      </c>
      <c r="G250" s="149">
        <f t="shared" si="1"/>
        <v>39.65</v>
      </c>
      <c r="H250" s="149">
        <f t="shared" si="2"/>
        <v>39.63333333</v>
      </c>
      <c r="I250" s="150">
        <f t="shared" si="3"/>
        <v>1.651388889</v>
      </c>
      <c r="J250" s="147" t="s">
        <v>4305</v>
      </c>
      <c r="K250" s="148">
        <f t="shared" si="4"/>
        <v>0.3833333333</v>
      </c>
      <c r="L250" s="152">
        <v>0.0099</v>
      </c>
      <c r="M250" s="147" t="s">
        <v>4776</v>
      </c>
      <c r="N250" s="148">
        <f t="shared" si="5"/>
        <v>32.25</v>
      </c>
      <c r="O250" s="147" t="s">
        <v>4777</v>
      </c>
      <c r="P250" s="148">
        <f t="shared" si="6"/>
        <v>7.383333333</v>
      </c>
    </row>
    <row r="251">
      <c r="A251" s="147" t="s">
        <v>4778</v>
      </c>
      <c r="B251" s="147" t="s">
        <v>4779</v>
      </c>
      <c r="C251" s="147" t="s">
        <v>3675</v>
      </c>
      <c r="D251" s="147" t="s">
        <v>3676</v>
      </c>
      <c r="E251" s="147" t="s">
        <v>4780</v>
      </c>
      <c r="F251" s="148">
        <v>33.333333333333336</v>
      </c>
      <c r="G251" s="149">
        <f t="shared" si="1"/>
        <v>20.81666667</v>
      </c>
      <c r="H251" s="149">
        <f t="shared" si="2"/>
        <v>20.8</v>
      </c>
      <c r="I251" s="150">
        <f t="shared" si="3"/>
        <v>0.8666666667</v>
      </c>
      <c r="J251" s="147" t="s">
        <v>4259</v>
      </c>
      <c r="K251" s="148">
        <f t="shared" si="4"/>
        <v>12.51666667</v>
      </c>
      <c r="L251" s="152">
        <v>0.3758</v>
      </c>
      <c r="M251" s="147" t="s">
        <v>4781</v>
      </c>
      <c r="N251" s="148">
        <f t="shared" si="5"/>
        <v>9.616666667</v>
      </c>
      <c r="O251" s="147" t="s">
        <v>4782</v>
      </c>
      <c r="P251" s="148">
        <f t="shared" si="6"/>
        <v>11.18333333</v>
      </c>
    </row>
    <row r="252">
      <c r="A252" s="147" t="s">
        <v>4783</v>
      </c>
      <c r="B252" s="147" t="s">
        <v>530</v>
      </c>
      <c r="C252" s="147" t="s">
        <v>3675</v>
      </c>
      <c r="D252" s="147" t="s">
        <v>3676</v>
      </c>
      <c r="E252" s="147" t="s">
        <v>3856</v>
      </c>
      <c r="F252" s="148">
        <v>39.85</v>
      </c>
      <c r="G252" s="149">
        <f t="shared" si="1"/>
        <v>39.85</v>
      </c>
      <c r="H252" s="149">
        <f t="shared" si="2"/>
        <v>39.85</v>
      </c>
      <c r="I252" s="150">
        <f t="shared" si="3"/>
        <v>1.660416667</v>
      </c>
      <c r="J252" s="147" t="s">
        <v>3678</v>
      </c>
      <c r="K252" s="151">
        <f t="shared" si="4"/>
        <v>0</v>
      </c>
      <c r="L252" s="147" t="s">
        <v>3678</v>
      </c>
      <c r="M252" s="147" t="s">
        <v>4784</v>
      </c>
      <c r="N252" s="151">
        <f t="shared" si="5"/>
        <v>23.26666667</v>
      </c>
      <c r="O252" s="147" t="s">
        <v>4785</v>
      </c>
      <c r="P252" s="151">
        <f t="shared" si="6"/>
        <v>16.58333333</v>
      </c>
    </row>
    <row r="253">
      <c r="A253" s="147" t="s">
        <v>4786</v>
      </c>
      <c r="B253" s="147" t="s">
        <v>4787</v>
      </c>
      <c r="C253" s="147" t="s">
        <v>3675</v>
      </c>
      <c r="D253" s="147" t="s">
        <v>3676</v>
      </c>
      <c r="E253" s="147" t="s">
        <v>4788</v>
      </c>
      <c r="F253" s="148">
        <v>37.81666666666667</v>
      </c>
      <c r="G253" s="149">
        <f t="shared" si="1"/>
        <v>37.81666667</v>
      </c>
      <c r="H253" s="149">
        <f t="shared" si="2"/>
        <v>37.8</v>
      </c>
      <c r="I253" s="150">
        <f t="shared" si="3"/>
        <v>1.575</v>
      </c>
      <c r="J253" s="147" t="s">
        <v>3678</v>
      </c>
      <c r="K253" s="151">
        <f t="shared" si="4"/>
        <v>0</v>
      </c>
      <c r="L253" s="147" t="s">
        <v>3678</v>
      </c>
      <c r="M253" s="147" t="s">
        <v>4789</v>
      </c>
      <c r="N253" s="151">
        <f t="shared" si="5"/>
        <v>27.25</v>
      </c>
      <c r="O253" s="147" t="s">
        <v>4362</v>
      </c>
      <c r="P253" s="151">
        <f t="shared" si="6"/>
        <v>10.55</v>
      </c>
    </row>
    <row r="254">
      <c r="A254" s="147" t="s">
        <v>4790</v>
      </c>
      <c r="B254" s="147" t="s">
        <v>4791</v>
      </c>
      <c r="C254" s="147" t="s">
        <v>3675</v>
      </c>
      <c r="D254" s="147" t="s">
        <v>3676</v>
      </c>
      <c r="E254" s="147" t="s">
        <v>4792</v>
      </c>
      <c r="F254" s="148">
        <v>1.05</v>
      </c>
      <c r="G254" s="149">
        <f t="shared" si="1"/>
        <v>1.05</v>
      </c>
      <c r="H254" s="149">
        <f t="shared" si="2"/>
        <v>1.033333333</v>
      </c>
      <c r="I254" s="150">
        <f t="shared" si="3"/>
        <v>0.04305555556</v>
      </c>
      <c r="J254" s="147" t="s">
        <v>3678</v>
      </c>
      <c r="K254" s="151">
        <f t="shared" si="4"/>
        <v>0</v>
      </c>
      <c r="L254" s="147" t="s">
        <v>3678</v>
      </c>
      <c r="M254" s="147" t="s">
        <v>3704</v>
      </c>
      <c r="N254" s="151">
        <f t="shared" si="5"/>
        <v>0.6833333333</v>
      </c>
      <c r="O254" s="147" t="s">
        <v>4179</v>
      </c>
      <c r="P254" s="151">
        <f t="shared" si="6"/>
        <v>0.35</v>
      </c>
    </row>
    <row r="255">
      <c r="A255" s="147" t="s">
        <v>4793</v>
      </c>
      <c r="B255" s="147" t="s">
        <v>4794</v>
      </c>
      <c r="C255" s="147" t="s">
        <v>3675</v>
      </c>
      <c r="D255" s="147" t="s">
        <v>3692</v>
      </c>
      <c r="E255" s="147" t="s">
        <v>4795</v>
      </c>
      <c r="F255" s="148">
        <v>39.6</v>
      </c>
      <c r="G255" s="149">
        <f t="shared" si="1"/>
        <v>37.83333333</v>
      </c>
      <c r="H255" s="149">
        <f t="shared" si="2"/>
        <v>37.81666667</v>
      </c>
      <c r="I255" s="150">
        <f t="shared" si="3"/>
        <v>1.575694444</v>
      </c>
      <c r="J255" s="147" t="s">
        <v>4796</v>
      </c>
      <c r="K255" s="148">
        <f t="shared" si="4"/>
        <v>1.766666667</v>
      </c>
      <c r="L255" s="152">
        <v>0.0449</v>
      </c>
      <c r="M255" s="147" t="s">
        <v>4797</v>
      </c>
      <c r="N255" s="148">
        <f t="shared" si="5"/>
        <v>27.61666667</v>
      </c>
      <c r="O255" s="147" t="s">
        <v>4798</v>
      </c>
      <c r="P255" s="148">
        <f t="shared" si="6"/>
        <v>10.2</v>
      </c>
    </row>
    <row r="256">
      <c r="A256" s="147" t="s">
        <v>4799</v>
      </c>
      <c r="B256" s="147" t="s">
        <v>972</v>
      </c>
      <c r="C256" s="147" t="s">
        <v>3675</v>
      </c>
      <c r="D256" s="147" t="s">
        <v>3676</v>
      </c>
      <c r="E256" s="147" t="s">
        <v>3828</v>
      </c>
      <c r="F256" s="148">
        <v>38.65</v>
      </c>
      <c r="G256" s="149">
        <f t="shared" si="1"/>
        <v>38.65</v>
      </c>
      <c r="H256" s="149">
        <f t="shared" si="2"/>
        <v>38.65</v>
      </c>
      <c r="I256" s="150">
        <f t="shared" si="3"/>
        <v>1.610416667</v>
      </c>
      <c r="J256" s="147" t="s">
        <v>3678</v>
      </c>
      <c r="K256" s="151">
        <f t="shared" si="4"/>
        <v>0</v>
      </c>
      <c r="L256" s="147" t="s">
        <v>3678</v>
      </c>
      <c r="M256" s="147" t="s">
        <v>4800</v>
      </c>
      <c r="N256" s="151">
        <f t="shared" si="5"/>
        <v>25.8</v>
      </c>
      <c r="O256" s="147" t="s">
        <v>4801</v>
      </c>
      <c r="P256" s="151">
        <f t="shared" si="6"/>
        <v>12.85</v>
      </c>
    </row>
    <row r="257">
      <c r="A257" s="147" t="s">
        <v>4802</v>
      </c>
      <c r="B257" s="147" t="s">
        <v>622</v>
      </c>
      <c r="C257" s="147" t="s">
        <v>3675</v>
      </c>
      <c r="D257" s="147" t="s">
        <v>3676</v>
      </c>
      <c r="E257" s="147" t="s">
        <v>4803</v>
      </c>
      <c r="F257" s="148">
        <v>51.56666666666667</v>
      </c>
      <c r="G257" s="149">
        <f t="shared" si="1"/>
        <v>50.96666667</v>
      </c>
      <c r="H257" s="149">
        <f t="shared" si="2"/>
        <v>50.95</v>
      </c>
      <c r="I257" s="150">
        <f t="shared" si="3"/>
        <v>2.122916667</v>
      </c>
      <c r="J257" s="147" t="s">
        <v>4679</v>
      </c>
      <c r="K257" s="148">
        <f t="shared" si="4"/>
        <v>0.6</v>
      </c>
      <c r="L257" s="152">
        <v>0.0119</v>
      </c>
      <c r="M257" s="147" t="s">
        <v>4804</v>
      </c>
      <c r="N257" s="148">
        <f t="shared" si="5"/>
        <v>28.1</v>
      </c>
      <c r="O257" s="147" t="s">
        <v>4805</v>
      </c>
      <c r="P257" s="148">
        <f t="shared" si="6"/>
        <v>22.85</v>
      </c>
    </row>
    <row r="258">
      <c r="A258" s="147" t="s">
        <v>4806</v>
      </c>
      <c r="B258" s="147" t="s">
        <v>4807</v>
      </c>
      <c r="C258" s="147" t="s">
        <v>3675</v>
      </c>
      <c r="D258" s="147" t="s">
        <v>3676</v>
      </c>
      <c r="E258" s="147" t="s">
        <v>4808</v>
      </c>
      <c r="F258" s="148">
        <v>1.0</v>
      </c>
      <c r="G258" s="149">
        <f t="shared" si="1"/>
        <v>1</v>
      </c>
      <c r="H258" s="149">
        <f t="shared" si="2"/>
        <v>1</v>
      </c>
      <c r="I258" s="150">
        <f t="shared" si="3"/>
        <v>0.04166666667</v>
      </c>
      <c r="J258" s="147" t="s">
        <v>3678</v>
      </c>
      <c r="K258" s="151">
        <f t="shared" si="4"/>
        <v>0</v>
      </c>
      <c r="L258" s="147" t="s">
        <v>3678</v>
      </c>
      <c r="M258" s="147" t="s">
        <v>4396</v>
      </c>
      <c r="N258" s="151">
        <f t="shared" si="5"/>
        <v>0.5333333333</v>
      </c>
      <c r="O258" s="147" t="s">
        <v>3807</v>
      </c>
      <c r="P258" s="151">
        <f t="shared" si="6"/>
        <v>0.4666666667</v>
      </c>
    </row>
    <row r="259">
      <c r="A259" s="147" t="s">
        <v>4809</v>
      </c>
      <c r="B259" s="147" t="s">
        <v>524</v>
      </c>
      <c r="C259" s="147" t="s">
        <v>3675</v>
      </c>
      <c r="D259" s="147" t="s">
        <v>3676</v>
      </c>
      <c r="E259" s="147" t="s">
        <v>3821</v>
      </c>
      <c r="F259" s="148">
        <v>40.0</v>
      </c>
      <c r="G259" s="149">
        <f t="shared" si="1"/>
        <v>40</v>
      </c>
      <c r="H259" s="149">
        <f t="shared" si="2"/>
        <v>40</v>
      </c>
      <c r="I259" s="150">
        <f t="shared" si="3"/>
        <v>1.666666667</v>
      </c>
      <c r="J259" s="147" t="s">
        <v>3678</v>
      </c>
      <c r="K259" s="151">
        <f t="shared" si="4"/>
        <v>0</v>
      </c>
      <c r="L259" s="147" t="s">
        <v>3678</v>
      </c>
      <c r="M259" s="147" t="s">
        <v>4810</v>
      </c>
      <c r="N259" s="151">
        <f t="shared" si="5"/>
        <v>20.9</v>
      </c>
      <c r="O259" s="147" t="s">
        <v>4811</v>
      </c>
      <c r="P259" s="151">
        <f t="shared" si="6"/>
        <v>19.1</v>
      </c>
    </row>
    <row r="260">
      <c r="A260" s="147" t="s">
        <v>4812</v>
      </c>
      <c r="B260" s="147" t="s">
        <v>4813</v>
      </c>
      <c r="C260" s="147" t="s">
        <v>3675</v>
      </c>
      <c r="D260" s="147" t="s">
        <v>3709</v>
      </c>
      <c r="E260" s="147" t="s">
        <v>4814</v>
      </c>
      <c r="F260" s="148">
        <v>49.016666666666666</v>
      </c>
      <c r="G260" s="149">
        <f t="shared" si="1"/>
        <v>46.58333333</v>
      </c>
      <c r="H260" s="149">
        <f t="shared" si="2"/>
        <v>46.56666667</v>
      </c>
      <c r="I260" s="150">
        <f t="shared" si="3"/>
        <v>1.940277778</v>
      </c>
      <c r="J260" s="147" t="s">
        <v>4815</v>
      </c>
      <c r="K260" s="148">
        <f t="shared" si="4"/>
        <v>2.433333333</v>
      </c>
      <c r="L260" s="152">
        <v>0.0498</v>
      </c>
      <c r="M260" s="147" t="s">
        <v>4816</v>
      </c>
      <c r="N260" s="148">
        <f t="shared" si="5"/>
        <v>39.78333333</v>
      </c>
      <c r="O260" s="147" t="s">
        <v>4817</v>
      </c>
      <c r="P260" s="148">
        <f t="shared" si="6"/>
        <v>6.783333333</v>
      </c>
    </row>
    <row r="261">
      <c r="A261" s="147" t="s">
        <v>4818</v>
      </c>
      <c r="B261" s="147" t="s">
        <v>620</v>
      </c>
      <c r="C261" s="147" t="s">
        <v>3675</v>
      </c>
      <c r="D261" s="147" t="s">
        <v>3676</v>
      </c>
      <c r="E261" s="147" t="s">
        <v>3694</v>
      </c>
      <c r="F261" s="148">
        <v>34.03333333333333</v>
      </c>
      <c r="G261" s="149">
        <f t="shared" si="1"/>
        <v>34.03333333</v>
      </c>
      <c r="H261" s="149">
        <f t="shared" si="2"/>
        <v>34.01666667</v>
      </c>
      <c r="I261" s="150">
        <f t="shared" si="3"/>
        <v>1.417361111</v>
      </c>
      <c r="J261" s="147" t="s">
        <v>3678</v>
      </c>
      <c r="K261" s="151">
        <f t="shared" si="4"/>
        <v>0</v>
      </c>
      <c r="L261" s="147" t="s">
        <v>3678</v>
      </c>
      <c r="M261" s="147" t="s">
        <v>4819</v>
      </c>
      <c r="N261" s="151">
        <f t="shared" si="5"/>
        <v>25.75</v>
      </c>
      <c r="O261" s="147" t="s">
        <v>4820</v>
      </c>
      <c r="P261" s="151">
        <f t="shared" si="6"/>
        <v>8.266666667</v>
      </c>
    </row>
    <row r="262">
      <c r="A262" s="147" t="s">
        <v>4821</v>
      </c>
      <c r="B262" s="147" t="s">
        <v>4822</v>
      </c>
      <c r="C262" s="147" t="s">
        <v>3675</v>
      </c>
      <c r="D262" s="147" t="s">
        <v>3709</v>
      </c>
      <c r="E262" s="147" t="s">
        <v>4217</v>
      </c>
      <c r="F262" s="148">
        <v>50.05</v>
      </c>
      <c r="G262" s="149">
        <f t="shared" si="1"/>
        <v>50.05</v>
      </c>
      <c r="H262" s="149">
        <f t="shared" si="2"/>
        <v>50.03333333</v>
      </c>
      <c r="I262" s="150">
        <f t="shared" si="3"/>
        <v>2.084722222</v>
      </c>
      <c r="J262" s="147" t="s">
        <v>3678</v>
      </c>
      <c r="K262" s="151">
        <f t="shared" si="4"/>
        <v>0</v>
      </c>
      <c r="L262" s="147" t="s">
        <v>3678</v>
      </c>
      <c r="M262" s="147" t="s">
        <v>4823</v>
      </c>
      <c r="N262" s="151">
        <f t="shared" si="5"/>
        <v>45.3</v>
      </c>
      <c r="O262" s="147" t="s">
        <v>4471</v>
      </c>
      <c r="P262" s="151">
        <f t="shared" si="6"/>
        <v>4.733333333</v>
      </c>
    </row>
    <row r="263">
      <c r="A263" s="147" t="s">
        <v>4824</v>
      </c>
      <c r="B263" s="147" t="s">
        <v>516</v>
      </c>
      <c r="C263" s="147" t="s">
        <v>3675</v>
      </c>
      <c r="D263" s="147" t="s">
        <v>3676</v>
      </c>
      <c r="E263" s="147" t="s">
        <v>4825</v>
      </c>
      <c r="F263" s="148">
        <v>46.233333333333334</v>
      </c>
      <c r="G263" s="149">
        <f t="shared" si="1"/>
        <v>46.23333333</v>
      </c>
      <c r="H263" s="149">
        <f t="shared" si="2"/>
        <v>46.21666667</v>
      </c>
      <c r="I263" s="150">
        <f t="shared" si="3"/>
        <v>1.925694444</v>
      </c>
      <c r="J263" s="147" t="s">
        <v>3678</v>
      </c>
      <c r="K263" s="151">
        <f t="shared" si="4"/>
        <v>0</v>
      </c>
      <c r="L263" s="147" t="s">
        <v>3678</v>
      </c>
      <c r="M263" s="147" t="s">
        <v>3732</v>
      </c>
      <c r="N263" s="151">
        <f t="shared" si="5"/>
        <v>24.86666667</v>
      </c>
      <c r="O263" s="147" t="s">
        <v>4826</v>
      </c>
      <c r="P263" s="151">
        <f t="shared" si="6"/>
        <v>21.35</v>
      </c>
    </row>
    <row r="264">
      <c r="A264" s="147" t="s">
        <v>4827</v>
      </c>
      <c r="B264" s="147" t="s">
        <v>1708</v>
      </c>
      <c r="C264" s="147" t="s">
        <v>3675</v>
      </c>
      <c r="D264" s="147" t="s">
        <v>3692</v>
      </c>
      <c r="E264" s="147" t="s">
        <v>4828</v>
      </c>
      <c r="F264" s="148">
        <v>40.7</v>
      </c>
      <c r="G264" s="149">
        <f t="shared" si="1"/>
        <v>40.36666667</v>
      </c>
      <c r="H264" s="149">
        <f t="shared" si="2"/>
        <v>40.35</v>
      </c>
      <c r="I264" s="150">
        <f t="shared" si="3"/>
        <v>1.68125</v>
      </c>
      <c r="J264" s="147" t="s">
        <v>4221</v>
      </c>
      <c r="K264" s="148">
        <f t="shared" si="4"/>
        <v>0.3333333333</v>
      </c>
      <c r="L264" s="152">
        <v>0.0084</v>
      </c>
      <c r="M264" s="147" t="s">
        <v>4829</v>
      </c>
      <c r="N264" s="148">
        <f t="shared" si="5"/>
        <v>27.71666667</v>
      </c>
      <c r="O264" s="147" t="s">
        <v>4830</v>
      </c>
      <c r="P264" s="148">
        <f t="shared" si="6"/>
        <v>12.63333333</v>
      </c>
    </row>
    <row r="265">
      <c r="A265" s="147" t="s">
        <v>4831</v>
      </c>
      <c r="B265" s="147" t="s">
        <v>1235</v>
      </c>
      <c r="C265" s="147" t="s">
        <v>3675</v>
      </c>
      <c r="D265" s="147" t="s">
        <v>3676</v>
      </c>
      <c r="E265" s="147" t="s">
        <v>4832</v>
      </c>
      <c r="F265" s="148">
        <v>49.31666666666667</v>
      </c>
      <c r="G265" s="149">
        <f t="shared" si="1"/>
        <v>47.6</v>
      </c>
      <c r="H265" s="149">
        <f t="shared" si="2"/>
        <v>47.58333333</v>
      </c>
      <c r="I265" s="150">
        <f t="shared" si="3"/>
        <v>1.982638889</v>
      </c>
      <c r="J265" s="147" t="s">
        <v>4833</v>
      </c>
      <c r="K265" s="148">
        <f t="shared" si="4"/>
        <v>1.716666667</v>
      </c>
      <c r="L265" s="152">
        <v>0.0351</v>
      </c>
      <c r="M265" s="147" t="s">
        <v>4540</v>
      </c>
      <c r="N265" s="148">
        <f t="shared" si="5"/>
        <v>31.36666667</v>
      </c>
      <c r="O265" s="147" t="s">
        <v>4834</v>
      </c>
      <c r="P265" s="148">
        <f t="shared" si="6"/>
        <v>16.21666667</v>
      </c>
    </row>
    <row r="266">
      <c r="A266" s="147" t="s">
        <v>4835</v>
      </c>
      <c r="B266" s="147" t="s">
        <v>443</v>
      </c>
      <c r="C266" s="147" t="s">
        <v>3675</v>
      </c>
      <c r="D266" s="147" t="s">
        <v>3676</v>
      </c>
      <c r="E266" s="147" t="s">
        <v>4836</v>
      </c>
      <c r="F266" s="148">
        <v>42.31666666666667</v>
      </c>
      <c r="G266" s="149">
        <f t="shared" si="1"/>
        <v>42.31666667</v>
      </c>
      <c r="H266" s="149">
        <f t="shared" si="2"/>
        <v>42.31666667</v>
      </c>
      <c r="I266" s="150">
        <f t="shared" si="3"/>
        <v>1.763194444</v>
      </c>
      <c r="J266" s="147" t="s">
        <v>3678</v>
      </c>
      <c r="K266" s="151">
        <f t="shared" si="4"/>
        <v>0</v>
      </c>
      <c r="L266" s="147" t="s">
        <v>3678</v>
      </c>
      <c r="M266" s="147" t="s">
        <v>4797</v>
      </c>
      <c r="N266" s="151">
        <f t="shared" si="5"/>
        <v>27.61666667</v>
      </c>
      <c r="O266" s="147" t="s">
        <v>4837</v>
      </c>
      <c r="P266" s="151">
        <f t="shared" si="6"/>
        <v>14.7</v>
      </c>
    </row>
    <row r="267">
      <c r="A267" s="147" t="s">
        <v>4838</v>
      </c>
      <c r="B267" s="147" t="s">
        <v>805</v>
      </c>
      <c r="C267" s="147" t="s">
        <v>3675</v>
      </c>
      <c r="D267" s="147" t="s">
        <v>3676</v>
      </c>
      <c r="E267" s="147" t="s">
        <v>4839</v>
      </c>
      <c r="F267" s="148">
        <v>45.766666666666666</v>
      </c>
      <c r="G267" s="149">
        <f t="shared" si="1"/>
        <v>40.83333333</v>
      </c>
      <c r="H267" s="149">
        <f t="shared" si="2"/>
        <v>40.81666667</v>
      </c>
      <c r="I267" s="150">
        <f t="shared" si="3"/>
        <v>1.700694444</v>
      </c>
      <c r="J267" s="147" t="s">
        <v>4840</v>
      </c>
      <c r="K267" s="148">
        <f t="shared" si="4"/>
        <v>4.933333333</v>
      </c>
      <c r="L267" s="152">
        <v>0.1079</v>
      </c>
      <c r="M267" s="147" t="s">
        <v>4841</v>
      </c>
      <c r="N267" s="148">
        <f t="shared" si="5"/>
        <v>20.06666667</v>
      </c>
      <c r="O267" s="147" t="s">
        <v>4842</v>
      </c>
      <c r="P267" s="148">
        <f t="shared" si="6"/>
        <v>20.75</v>
      </c>
    </row>
    <row r="268">
      <c r="A268" s="147" t="s">
        <v>4843</v>
      </c>
      <c r="B268" s="147" t="s">
        <v>4844</v>
      </c>
      <c r="C268" s="147" t="s">
        <v>3675</v>
      </c>
      <c r="D268" s="147" t="s">
        <v>3692</v>
      </c>
      <c r="E268" s="147" t="s">
        <v>4845</v>
      </c>
      <c r="F268" s="148">
        <v>30.033333333333335</v>
      </c>
      <c r="G268" s="149">
        <f t="shared" si="1"/>
        <v>30.03333333</v>
      </c>
      <c r="H268" s="149">
        <f t="shared" si="2"/>
        <v>30.01666667</v>
      </c>
      <c r="I268" s="150">
        <f t="shared" si="3"/>
        <v>1.250694444</v>
      </c>
      <c r="J268" s="147" t="s">
        <v>3678</v>
      </c>
      <c r="K268" s="151">
        <f t="shared" si="4"/>
        <v>0</v>
      </c>
      <c r="L268" s="147" t="s">
        <v>3678</v>
      </c>
      <c r="M268" s="147" t="s">
        <v>4749</v>
      </c>
      <c r="N268" s="151">
        <f t="shared" si="5"/>
        <v>25.61666667</v>
      </c>
      <c r="O268" s="147" t="s">
        <v>3858</v>
      </c>
      <c r="P268" s="151">
        <f t="shared" si="6"/>
        <v>4.4</v>
      </c>
    </row>
    <row r="269">
      <c r="A269" s="147" t="s">
        <v>4846</v>
      </c>
      <c r="B269" s="147" t="s">
        <v>212</v>
      </c>
      <c r="C269" s="147" t="s">
        <v>3675</v>
      </c>
      <c r="D269" s="147" t="s">
        <v>3686</v>
      </c>
      <c r="E269" s="147" t="s">
        <v>4847</v>
      </c>
      <c r="F269" s="148">
        <v>64.1</v>
      </c>
      <c r="G269" s="149">
        <f t="shared" si="1"/>
        <v>63.71666667</v>
      </c>
      <c r="H269" s="149">
        <f t="shared" si="2"/>
        <v>63.71666667</v>
      </c>
      <c r="I269" s="150">
        <f t="shared" si="3"/>
        <v>2.654861111</v>
      </c>
      <c r="J269" s="147" t="s">
        <v>4305</v>
      </c>
      <c r="K269" s="148">
        <f t="shared" si="4"/>
        <v>0.3833333333</v>
      </c>
      <c r="L269" s="152">
        <v>0.006</v>
      </c>
      <c r="M269" s="147" t="s">
        <v>4848</v>
      </c>
      <c r="N269" s="148">
        <f t="shared" si="5"/>
        <v>43.05</v>
      </c>
      <c r="O269" s="147" t="s">
        <v>4849</v>
      </c>
      <c r="P269" s="148">
        <f t="shared" si="6"/>
        <v>20.66666667</v>
      </c>
    </row>
    <row r="270">
      <c r="A270" s="147" t="s">
        <v>4850</v>
      </c>
      <c r="B270" s="147" t="s">
        <v>1051</v>
      </c>
      <c r="C270" s="147" t="s">
        <v>3675</v>
      </c>
      <c r="D270" s="147" t="s">
        <v>3676</v>
      </c>
      <c r="E270" s="147" t="s">
        <v>4851</v>
      </c>
      <c r="F270" s="148">
        <v>43.2</v>
      </c>
      <c r="G270" s="149">
        <f t="shared" si="1"/>
        <v>43.2</v>
      </c>
      <c r="H270" s="149">
        <f t="shared" si="2"/>
        <v>43.18333333</v>
      </c>
      <c r="I270" s="150">
        <f t="shared" si="3"/>
        <v>1.799305556</v>
      </c>
      <c r="J270" s="147" t="s">
        <v>3678</v>
      </c>
      <c r="K270" s="151">
        <f t="shared" si="4"/>
        <v>0</v>
      </c>
      <c r="L270" s="147" t="s">
        <v>3678</v>
      </c>
      <c r="M270" s="147" t="s">
        <v>4780</v>
      </c>
      <c r="N270" s="151">
        <f t="shared" si="5"/>
        <v>33.33333333</v>
      </c>
      <c r="O270" s="147" t="s">
        <v>4852</v>
      </c>
      <c r="P270" s="151">
        <f t="shared" si="6"/>
        <v>9.85</v>
      </c>
    </row>
    <row r="271">
      <c r="A271" s="147" t="s">
        <v>4853</v>
      </c>
      <c r="B271" s="147" t="s">
        <v>952</v>
      </c>
      <c r="C271" s="147" t="s">
        <v>3675</v>
      </c>
      <c r="D271" s="147" t="s">
        <v>3800</v>
      </c>
      <c r="E271" s="147" t="s">
        <v>4854</v>
      </c>
      <c r="F271" s="148">
        <v>43.483333333333334</v>
      </c>
      <c r="G271" s="149">
        <f t="shared" si="1"/>
        <v>43.48333333</v>
      </c>
      <c r="H271" s="149">
        <f t="shared" si="2"/>
        <v>43.48333333</v>
      </c>
      <c r="I271" s="150">
        <f t="shared" si="3"/>
        <v>1.811805556</v>
      </c>
      <c r="J271" s="147" t="s">
        <v>3678</v>
      </c>
      <c r="K271" s="151">
        <f t="shared" si="4"/>
        <v>0</v>
      </c>
      <c r="L271" s="147" t="s">
        <v>3678</v>
      </c>
      <c r="M271" s="147" t="s">
        <v>4855</v>
      </c>
      <c r="N271" s="151">
        <f t="shared" si="5"/>
        <v>15.78333333</v>
      </c>
      <c r="O271" s="147" t="s">
        <v>4856</v>
      </c>
      <c r="P271" s="151">
        <f t="shared" si="6"/>
        <v>27.7</v>
      </c>
    </row>
    <row r="272">
      <c r="A272" s="147" t="s">
        <v>4857</v>
      </c>
      <c r="B272" s="147" t="s">
        <v>1253</v>
      </c>
      <c r="C272" s="147" t="s">
        <v>3675</v>
      </c>
      <c r="D272" s="147" t="s">
        <v>3676</v>
      </c>
      <c r="E272" s="147" t="s">
        <v>4005</v>
      </c>
      <c r="F272" s="148">
        <v>41.016666666666666</v>
      </c>
      <c r="G272" s="149">
        <f t="shared" si="1"/>
        <v>40.81666667</v>
      </c>
      <c r="H272" s="149">
        <f t="shared" si="2"/>
        <v>40.81666667</v>
      </c>
      <c r="I272" s="150">
        <f t="shared" si="3"/>
        <v>1.700694444</v>
      </c>
      <c r="J272" s="147" t="s">
        <v>3787</v>
      </c>
      <c r="K272" s="148">
        <f t="shared" si="4"/>
        <v>0.2</v>
      </c>
      <c r="L272" s="152">
        <v>0.0049</v>
      </c>
      <c r="M272" s="147" t="s">
        <v>4858</v>
      </c>
      <c r="N272" s="148">
        <f t="shared" si="5"/>
        <v>22.53333333</v>
      </c>
      <c r="O272" s="147" t="s">
        <v>4859</v>
      </c>
      <c r="P272" s="148">
        <f t="shared" si="6"/>
        <v>18.28333333</v>
      </c>
    </row>
    <row r="273">
      <c r="A273" s="147" t="s">
        <v>4860</v>
      </c>
      <c r="B273" s="147" t="s">
        <v>918</v>
      </c>
      <c r="C273" s="147" t="s">
        <v>3675</v>
      </c>
      <c r="D273" s="147" t="s">
        <v>3676</v>
      </c>
      <c r="E273" s="147" t="s">
        <v>4861</v>
      </c>
      <c r="F273" s="148">
        <v>39.0</v>
      </c>
      <c r="G273" s="149">
        <f t="shared" si="1"/>
        <v>39</v>
      </c>
      <c r="H273" s="149">
        <f t="shared" si="2"/>
        <v>39</v>
      </c>
      <c r="I273" s="150">
        <f t="shared" si="3"/>
        <v>1.625</v>
      </c>
      <c r="J273" s="147" t="s">
        <v>3678</v>
      </c>
      <c r="K273" s="151">
        <f t="shared" si="4"/>
        <v>0</v>
      </c>
      <c r="L273" s="147" t="s">
        <v>3678</v>
      </c>
      <c r="M273" s="147" t="s">
        <v>4862</v>
      </c>
      <c r="N273" s="151">
        <f t="shared" si="5"/>
        <v>23.88333333</v>
      </c>
      <c r="O273" s="147" t="s">
        <v>4656</v>
      </c>
      <c r="P273" s="151">
        <f t="shared" si="6"/>
        <v>15.11666667</v>
      </c>
    </row>
    <row r="274">
      <c r="A274" s="147" t="s">
        <v>4863</v>
      </c>
      <c r="B274" s="147" t="s">
        <v>4864</v>
      </c>
      <c r="C274" s="147" t="s">
        <v>3675</v>
      </c>
      <c r="D274" s="147" t="s">
        <v>3676</v>
      </c>
      <c r="E274" s="147" t="s">
        <v>4865</v>
      </c>
      <c r="F274" s="148">
        <v>41.583333333333336</v>
      </c>
      <c r="G274" s="149">
        <f t="shared" si="1"/>
        <v>32.45</v>
      </c>
      <c r="H274" s="149">
        <f t="shared" si="2"/>
        <v>32.43333333</v>
      </c>
      <c r="I274" s="150">
        <f t="shared" si="3"/>
        <v>1.351388889</v>
      </c>
      <c r="J274" s="147" t="s">
        <v>4866</v>
      </c>
      <c r="K274" s="148">
        <f t="shared" si="4"/>
        <v>9.133333333</v>
      </c>
      <c r="L274" s="152">
        <v>0.2198</v>
      </c>
      <c r="M274" s="147" t="s">
        <v>4867</v>
      </c>
      <c r="N274" s="148">
        <f t="shared" si="5"/>
        <v>16.4</v>
      </c>
      <c r="O274" s="147" t="s">
        <v>4868</v>
      </c>
      <c r="P274" s="148">
        <f t="shared" si="6"/>
        <v>16.03333333</v>
      </c>
    </row>
    <row r="275">
      <c r="A275" s="147" t="s">
        <v>4869</v>
      </c>
      <c r="B275" s="147" t="s">
        <v>4870</v>
      </c>
      <c r="C275" s="147" t="s">
        <v>3675</v>
      </c>
      <c r="D275" s="147" t="s">
        <v>3676</v>
      </c>
      <c r="E275" s="147" t="s">
        <v>4871</v>
      </c>
      <c r="F275" s="148">
        <v>31.383333333333333</v>
      </c>
      <c r="G275" s="149">
        <f t="shared" si="1"/>
        <v>30.76666667</v>
      </c>
      <c r="H275" s="149">
        <f t="shared" si="2"/>
        <v>30.75</v>
      </c>
      <c r="I275" s="150">
        <f t="shared" si="3"/>
        <v>1.28125</v>
      </c>
      <c r="J275" s="147" t="s">
        <v>4872</v>
      </c>
      <c r="K275" s="148">
        <f t="shared" si="4"/>
        <v>0.6166666667</v>
      </c>
      <c r="L275" s="152">
        <v>0.0196</v>
      </c>
      <c r="M275" s="147" t="s">
        <v>3733</v>
      </c>
      <c r="N275" s="148">
        <f t="shared" si="5"/>
        <v>15.43333333</v>
      </c>
      <c r="O275" s="147" t="s">
        <v>4873</v>
      </c>
      <c r="P275" s="148">
        <f t="shared" si="6"/>
        <v>15.31666667</v>
      </c>
    </row>
    <row r="276">
      <c r="A276" s="147" t="s">
        <v>4874</v>
      </c>
      <c r="B276" s="147" t="s">
        <v>4875</v>
      </c>
      <c r="C276" s="147" t="s">
        <v>3675</v>
      </c>
      <c r="D276" s="147" t="s">
        <v>3692</v>
      </c>
      <c r="E276" s="147" t="s">
        <v>4876</v>
      </c>
      <c r="F276" s="148">
        <v>40.266666666666666</v>
      </c>
      <c r="G276" s="149">
        <f t="shared" si="1"/>
        <v>40.26666667</v>
      </c>
      <c r="H276" s="149">
        <f t="shared" si="2"/>
        <v>40.26666667</v>
      </c>
      <c r="I276" s="150">
        <f t="shared" si="3"/>
        <v>1.677777778</v>
      </c>
      <c r="J276" s="147" t="s">
        <v>3678</v>
      </c>
      <c r="K276" s="151">
        <f t="shared" si="4"/>
        <v>0</v>
      </c>
      <c r="L276" s="147" t="s">
        <v>3678</v>
      </c>
      <c r="M276" s="147" t="s">
        <v>4628</v>
      </c>
      <c r="N276" s="151">
        <f t="shared" si="5"/>
        <v>26.78333333</v>
      </c>
      <c r="O276" s="147" t="s">
        <v>4877</v>
      </c>
      <c r="P276" s="151">
        <f t="shared" si="6"/>
        <v>13.48333333</v>
      </c>
    </row>
    <row r="277">
      <c r="A277" s="147" t="s">
        <v>4878</v>
      </c>
      <c r="B277" s="147" t="s">
        <v>758</v>
      </c>
      <c r="C277" s="147" t="s">
        <v>3675</v>
      </c>
      <c r="D277" s="147" t="s">
        <v>3676</v>
      </c>
      <c r="E277" s="147" t="s">
        <v>4879</v>
      </c>
      <c r="F277" s="148">
        <v>30.9</v>
      </c>
      <c r="G277" s="149">
        <f t="shared" si="1"/>
        <v>30.9</v>
      </c>
      <c r="H277" s="149">
        <f t="shared" si="2"/>
        <v>30.88333333</v>
      </c>
      <c r="I277" s="150">
        <f t="shared" si="3"/>
        <v>1.286805556</v>
      </c>
      <c r="J277" s="147" t="s">
        <v>3678</v>
      </c>
      <c r="K277" s="151">
        <f t="shared" si="4"/>
        <v>0</v>
      </c>
      <c r="L277" s="147" t="s">
        <v>3678</v>
      </c>
      <c r="M277" s="147" t="s">
        <v>4880</v>
      </c>
      <c r="N277" s="151">
        <f t="shared" si="5"/>
        <v>16.33333333</v>
      </c>
      <c r="O277" s="147" t="s">
        <v>4881</v>
      </c>
      <c r="P277" s="151">
        <f t="shared" si="6"/>
        <v>14.55</v>
      </c>
    </row>
    <row r="278">
      <c r="A278" s="147" t="s">
        <v>4882</v>
      </c>
      <c r="B278" s="147" t="s">
        <v>1163</v>
      </c>
      <c r="C278" s="147" t="s">
        <v>3675</v>
      </c>
      <c r="D278" s="147" t="s">
        <v>3676</v>
      </c>
      <c r="E278" s="147" t="s">
        <v>4449</v>
      </c>
      <c r="F278" s="148">
        <v>35.05</v>
      </c>
      <c r="G278" s="149">
        <f t="shared" si="1"/>
        <v>35.05</v>
      </c>
      <c r="H278" s="149">
        <f t="shared" si="2"/>
        <v>35.05</v>
      </c>
      <c r="I278" s="150">
        <f t="shared" si="3"/>
        <v>1.460416667</v>
      </c>
      <c r="J278" s="147" t="s">
        <v>3678</v>
      </c>
      <c r="K278" s="151">
        <f t="shared" si="4"/>
        <v>0</v>
      </c>
      <c r="L278" s="147" t="s">
        <v>3678</v>
      </c>
      <c r="M278" s="147" t="s">
        <v>3888</v>
      </c>
      <c r="N278" s="151">
        <f t="shared" si="5"/>
        <v>19.95</v>
      </c>
      <c r="O278" s="147" t="s">
        <v>4883</v>
      </c>
      <c r="P278" s="151">
        <f t="shared" si="6"/>
        <v>15.1</v>
      </c>
    </row>
    <row r="279">
      <c r="A279" s="147" t="s">
        <v>4884</v>
      </c>
      <c r="B279" s="147" t="s">
        <v>1690</v>
      </c>
      <c r="C279" s="147" t="s">
        <v>3675</v>
      </c>
      <c r="D279" s="147" t="s">
        <v>3692</v>
      </c>
      <c r="E279" s="147" t="s">
        <v>4619</v>
      </c>
      <c r="F279" s="148">
        <v>41.15</v>
      </c>
      <c r="G279" s="149">
        <f t="shared" si="1"/>
        <v>41.15</v>
      </c>
      <c r="H279" s="149">
        <f t="shared" si="2"/>
        <v>41.13333333</v>
      </c>
      <c r="I279" s="150">
        <f t="shared" si="3"/>
        <v>1.713888889</v>
      </c>
      <c r="J279" s="147" t="s">
        <v>3678</v>
      </c>
      <c r="K279" s="151">
        <f t="shared" si="4"/>
        <v>0</v>
      </c>
      <c r="L279" s="147" t="s">
        <v>3678</v>
      </c>
      <c r="M279" s="147" t="s">
        <v>4885</v>
      </c>
      <c r="N279" s="151">
        <f t="shared" si="5"/>
        <v>38.06666667</v>
      </c>
      <c r="O279" s="147" t="s">
        <v>4886</v>
      </c>
      <c r="P279" s="151">
        <f t="shared" si="6"/>
        <v>3.066666667</v>
      </c>
    </row>
    <row r="280">
      <c r="A280" s="147" t="s">
        <v>4887</v>
      </c>
      <c r="B280" s="147" t="s">
        <v>4888</v>
      </c>
      <c r="C280" s="147" t="s">
        <v>3675</v>
      </c>
      <c r="D280" s="147" t="s">
        <v>3709</v>
      </c>
      <c r="E280" s="147" t="s">
        <v>4454</v>
      </c>
      <c r="F280" s="148">
        <v>43.016666666666666</v>
      </c>
      <c r="G280" s="149">
        <f t="shared" si="1"/>
        <v>43.01666667</v>
      </c>
      <c r="H280" s="149">
        <f t="shared" si="2"/>
        <v>43</v>
      </c>
      <c r="I280" s="150">
        <f t="shared" si="3"/>
        <v>1.791666667</v>
      </c>
      <c r="J280" s="147" t="s">
        <v>3678</v>
      </c>
      <c r="K280" s="151">
        <f t="shared" si="4"/>
        <v>0</v>
      </c>
      <c r="L280" s="147" t="s">
        <v>3678</v>
      </c>
      <c r="M280" s="147" t="s">
        <v>3857</v>
      </c>
      <c r="N280" s="151">
        <f t="shared" si="5"/>
        <v>35.45</v>
      </c>
      <c r="O280" s="147" t="s">
        <v>4889</v>
      </c>
      <c r="P280" s="151">
        <f t="shared" si="6"/>
        <v>7.55</v>
      </c>
    </row>
    <row r="281">
      <c r="A281" s="147" t="s">
        <v>4890</v>
      </c>
      <c r="B281" s="147" t="s">
        <v>4891</v>
      </c>
      <c r="C281" s="147" t="s">
        <v>3675</v>
      </c>
      <c r="D281" s="147" t="s">
        <v>4056</v>
      </c>
      <c r="E281" s="147" t="s">
        <v>4892</v>
      </c>
      <c r="F281" s="148">
        <v>61.31666666666667</v>
      </c>
      <c r="G281" s="149">
        <f t="shared" si="1"/>
        <v>57.65</v>
      </c>
      <c r="H281" s="149">
        <f t="shared" si="2"/>
        <v>57.61666667</v>
      </c>
      <c r="I281" s="150">
        <f t="shared" si="3"/>
        <v>2.400694444</v>
      </c>
      <c r="J281" s="147" t="s">
        <v>4893</v>
      </c>
      <c r="K281" s="148">
        <f t="shared" si="4"/>
        <v>3.666666667</v>
      </c>
      <c r="L281" s="152">
        <v>0.06</v>
      </c>
      <c r="M281" s="147" t="s">
        <v>4894</v>
      </c>
      <c r="N281" s="148">
        <f t="shared" si="5"/>
        <v>55.6</v>
      </c>
      <c r="O281" s="147" t="s">
        <v>4895</v>
      </c>
      <c r="P281" s="148">
        <f t="shared" si="6"/>
        <v>2.016666667</v>
      </c>
    </row>
    <row r="282">
      <c r="A282" s="147" t="s">
        <v>4896</v>
      </c>
      <c r="B282" s="147" t="s">
        <v>4897</v>
      </c>
      <c r="C282" s="147" t="s">
        <v>3675</v>
      </c>
      <c r="D282" s="147" t="s">
        <v>4124</v>
      </c>
      <c r="E282" s="147" t="s">
        <v>4898</v>
      </c>
      <c r="F282" s="148">
        <v>61.35</v>
      </c>
      <c r="G282" s="149">
        <f t="shared" si="1"/>
        <v>61.35</v>
      </c>
      <c r="H282" s="149">
        <f t="shared" si="2"/>
        <v>61.33333333</v>
      </c>
      <c r="I282" s="150">
        <f t="shared" si="3"/>
        <v>2.555555556</v>
      </c>
      <c r="J282" s="147" t="s">
        <v>3678</v>
      </c>
      <c r="K282" s="151">
        <f t="shared" si="4"/>
        <v>0</v>
      </c>
      <c r="L282" s="147" t="s">
        <v>3678</v>
      </c>
      <c r="M282" s="147" t="s">
        <v>4899</v>
      </c>
      <c r="N282" s="151">
        <f t="shared" si="5"/>
        <v>46.13333333</v>
      </c>
      <c r="O282" s="147" t="s">
        <v>4900</v>
      </c>
      <c r="P282" s="151">
        <f t="shared" si="6"/>
        <v>15.2</v>
      </c>
    </row>
    <row r="283">
      <c r="A283" s="147" t="s">
        <v>4901</v>
      </c>
      <c r="B283" s="147" t="s">
        <v>4902</v>
      </c>
      <c r="C283" s="147" t="s">
        <v>3675</v>
      </c>
      <c r="D283" s="147" t="s">
        <v>3692</v>
      </c>
      <c r="E283" s="147" t="s">
        <v>4903</v>
      </c>
      <c r="F283" s="148">
        <v>48.46666666666667</v>
      </c>
      <c r="G283" s="149">
        <f t="shared" si="1"/>
        <v>48.46666667</v>
      </c>
      <c r="H283" s="149">
        <f t="shared" si="2"/>
        <v>48.46666667</v>
      </c>
      <c r="I283" s="150">
        <f t="shared" si="3"/>
        <v>2.019444444</v>
      </c>
      <c r="J283" s="147" t="s">
        <v>3678</v>
      </c>
      <c r="K283" s="151">
        <f t="shared" si="4"/>
        <v>0</v>
      </c>
      <c r="L283" s="147" t="s">
        <v>3678</v>
      </c>
      <c r="M283" s="147" t="s">
        <v>4904</v>
      </c>
      <c r="N283" s="151">
        <f t="shared" si="5"/>
        <v>31.85</v>
      </c>
      <c r="O283" s="147" t="s">
        <v>4905</v>
      </c>
      <c r="P283" s="151">
        <f t="shared" si="6"/>
        <v>16.61666667</v>
      </c>
    </row>
    <row r="284">
      <c r="A284" s="147" t="s">
        <v>4906</v>
      </c>
      <c r="B284" s="147" t="s">
        <v>878</v>
      </c>
      <c r="C284" s="147" t="s">
        <v>3675</v>
      </c>
      <c r="D284" s="147" t="s">
        <v>3676</v>
      </c>
      <c r="E284" s="147" t="s">
        <v>4907</v>
      </c>
      <c r="F284" s="148">
        <v>41.81666666666667</v>
      </c>
      <c r="G284" s="149">
        <f t="shared" si="1"/>
        <v>41.81666667</v>
      </c>
      <c r="H284" s="149">
        <f t="shared" si="2"/>
        <v>41.81666667</v>
      </c>
      <c r="I284" s="150">
        <f t="shared" si="3"/>
        <v>1.742361111</v>
      </c>
      <c r="J284" s="147" t="s">
        <v>3678</v>
      </c>
      <c r="K284" s="151">
        <f t="shared" si="4"/>
        <v>0</v>
      </c>
      <c r="L284" s="147" t="s">
        <v>3678</v>
      </c>
      <c r="M284" s="147" t="s">
        <v>4908</v>
      </c>
      <c r="N284" s="151">
        <f t="shared" si="5"/>
        <v>32.28333333</v>
      </c>
      <c r="O284" s="147" t="s">
        <v>4909</v>
      </c>
      <c r="P284" s="151">
        <f t="shared" si="6"/>
        <v>9.533333333</v>
      </c>
    </row>
    <row r="285">
      <c r="A285" s="147" t="s">
        <v>4910</v>
      </c>
      <c r="B285" s="147" t="s">
        <v>4911</v>
      </c>
      <c r="C285" s="147" t="s">
        <v>3675</v>
      </c>
      <c r="D285" s="147" t="s">
        <v>3676</v>
      </c>
      <c r="E285" s="147" t="s">
        <v>4912</v>
      </c>
      <c r="F285" s="148">
        <v>36.06666666666667</v>
      </c>
      <c r="G285" s="149">
        <f t="shared" si="1"/>
        <v>36.06666667</v>
      </c>
      <c r="H285" s="149">
        <f t="shared" si="2"/>
        <v>36.06666667</v>
      </c>
      <c r="I285" s="150">
        <f t="shared" si="3"/>
        <v>1.502777778</v>
      </c>
      <c r="J285" s="147" t="s">
        <v>3678</v>
      </c>
      <c r="K285" s="151">
        <f t="shared" si="4"/>
        <v>0</v>
      </c>
      <c r="L285" s="147" t="s">
        <v>3678</v>
      </c>
      <c r="M285" s="147" t="s">
        <v>4913</v>
      </c>
      <c r="N285" s="151">
        <f t="shared" si="5"/>
        <v>20.6</v>
      </c>
      <c r="O285" s="147" t="s">
        <v>4914</v>
      </c>
      <c r="P285" s="151">
        <f t="shared" si="6"/>
        <v>15.46666667</v>
      </c>
    </row>
    <row r="286">
      <c r="A286" s="147" t="s">
        <v>4915</v>
      </c>
      <c r="B286" s="147" t="s">
        <v>4916</v>
      </c>
      <c r="C286" s="147" t="s">
        <v>3675</v>
      </c>
      <c r="D286" s="147" t="s">
        <v>3692</v>
      </c>
      <c r="E286" s="147" t="s">
        <v>4917</v>
      </c>
      <c r="F286" s="148">
        <v>42.2</v>
      </c>
      <c r="G286" s="149">
        <f t="shared" si="1"/>
        <v>42.2</v>
      </c>
      <c r="H286" s="149">
        <f t="shared" si="2"/>
        <v>42.2</v>
      </c>
      <c r="I286" s="150">
        <f t="shared" si="3"/>
        <v>1.758333333</v>
      </c>
      <c r="J286" s="147" t="s">
        <v>3678</v>
      </c>
      <c r="K286" s="151">
        <f t="shared" si="4"/>
        <v>0</v>
      </c>
      <c r="L286" s="147" t="s">
        <v>3678</v>
      </c>
      <c r="M286" s="147" t="s">
        <v>4918</v>
      </c>
      <c r="N286" s="151">
        <f t="shared" si="5"/>
        <v>40.85</v>
      </c>
      <c r="O286" s="147" t="s">
        <v>4919</v>
      </c>
      <c r="P286" s="151">
        <f t="shared" si="6"/>
        <v>1.35</v>
      </c>
    </row>
    <row r="287">
      <c r="A287" s="147" t="s">
        <v>4920</v>
      </c>
      <c r="B287" s="147" t="s">
        <v>1793</v>
      </c>
      <c r="C287" s="147" t="s">
        <v>3675</v>
      </c>
      <c r="D287" s="147" t="s">
        <v>3692</v>
      </c>
      <c r="E287" s="147" t="s">
        <v>4921</v>
      </c>
      <c r="F287" s="148">
        <v>42.46666666666667</v>
      </c>
      <c r="G287" s="149">
        <f t="shared" si="1"/>
        <v>42.05</v>
      </c>
      <c r="H287" s="149">
        <f t="shared" si="2"/>
        <v>42.03333333</v>
      </c>
      <c r="I287" s="150">
        <f t="shared" si="3"/>
        <v>1.751388889</v>
      </c>
      <c r="J287" s="147" t="s">
        <v>4115</v>
      </c>
      <c r="K287" s="148">
        <f t="shared" si="4"/>
        <v>0.4166666667</v>
      </c>
      <c r="L287" s="152">
        <v>0.0099</v>
      </c>
      <c r="M287" s="147" t="s">
        <v>4922</v>
      </c>
      <c r="N287" s="148">
        <f t="shared" si="5"/>
        <v>29.93333333</v>
      </c>
      <c r="O287" s="147" t="s">
        <v>4923</v>
      </c>
      <c r="P287" s="148">
        <f t="shared" si="6"/>
        <v>12.1</v>
      </c>
    </row>
    <row r="288">
      <c r="A288" s="147" t="s">
        <v>4924</v>
      </c>
      <c r="B288" s="147" t="s">
        <v>4925</v>
      </c>
      <c r="C288" s="147" t="s">
        <v>3675</v>
      </c>
      <c r="D288" s="147" t="s">
        <v>3676</v>
      </c>
      <c r="E288" s="147" t="s">
        <v>4066</v>
      </c>
      <c r="F288" s="148">
        <v>37.016666666666666</v>
      </c>
      <c r="G288" s="149">
        <f t="shared" si="1"/>
        <v>36.36666667</v>
      </c>
      <c r="H288" s="149">
        <f t="shared" si="2"/>
        <v>36.35</v>
      </c>
      <c r="I288" s="150">
        <f t="shared" si="3"/>
        <v>1.514583333</v>
      </c>
      <c r="J288" s="147" t="s">
        <v>4042</v>
      </c>
      <c r="K288" s="148">
        <f t="shared" si="4"/>
        <v>0.65</v>
      </c>
      <c r="L288" s="152">
        <v>0.0178</v>
      </c>
      <c r="M288" s="147" t="s">
        <v>4926</v>
      </c>
      <c r="N288" s="148">
        <f t="shared" si="5"/>
        <v>19.23333333</v>
      </c>
      <c r="O288" s="147" t="s">
        <v>3679</v>
      </c>
      <c r="P288" s="148">
        <f t="shared" si="6"/>
        <v>17.11666667</v>
      </c>
    </row>
    <row r="289">
      <c r="A289" s="147" t="s">
        <v>4927</v>
      </c>
      <c r="B289" s="147" t="s">
        <v>4928</v>
      </c>
      <c r="C289" s="147" t="s">
        <v>3675</v>
      </c>
      <c r="D289" s="147" t="s">
        <v>3692</v>
      </c>
      <c r="E289" s="147" t="s">
        <v>3898</v>
      </c>
      <c r="F289" s="148">
        <v>1.0333333333333334</v>
      </c>
      <c r="G289" s="149">
        <f t="shared" si="1"/>
        <v>1.033333333</v>
      </c>
      <c r="H289" s="149">
        <f t="shared" si="2"/>
        <v>1.033333333</v>
      </c>
      <c r="I289" s="150">
        <f t="shared" si="3"/>
        <v>0.04305555556</v>
      </c>
      <c r="J289" s="147" t="s">
        <v>3678</v>
      </c>
      <c r="K289" s="151">
        <f t="shared" si="4"/>
        <v>0</v>
      </c>
      <c r="L289" s="147" t="s">
        <v>3678</v>
      </c>
      <c r="M289" s="147" t="s">
        <v>3776</v>
      </c>
      <c r="N289" s="151">
        <f t="shared" si="5"/>
        <v>0.9166666667</v>
      </c>
      <c r="O289" s="147" t="s">
        <v>4382</v>
      </c>
      <c r="P289" s="151">
        <f t="shared" si="6"/>
        <v>0.1166666667</v>
      </c>
    </row>
    <row r="290">
      <c r="A290" s="147" t="s">
        <v>4929</v>
      </c>
      <c r="B290" s="147" t="s">
        <v>174</v>
      </c>
      <c r="C290" s="147" t="s">
        <v>3675</v>
      </c>
      <c r="D290" s="147" t="s">
        <v>3686</v>
      </c>
      <c r="E290" s="147" t="s">
        <v>4930</v>
      </c>
      <c r="F290" s="148">
        <v>63.65</v>
      </c>
      <c r="G290" s="149">
        <f t="shared" si="1"/>
        <v>63.25</v>
      </c>
      <c r="H290" s="149">
        <f t="shared" si="2"/>
        <v>63.23333333</v>
      </c>
      <c r="I290" s="150">
        <f t="shared" si="3"/>
        <v>2.634722222</v>
      </c>
      <c r="J290" s="147" t="s">
        <v>4080</v>
      </c>
      <c r="K290" s="148">
        <f t="shared" si="4"/>
        <v>0.4</v>
      </c>
      <c r="L290" s="152">
        <v>0.0063</v>
      </c>
      <c r="M290" s="147" t="s">
        <v>3982</v>
      </c>
      <c r="N290" s="148">
        <f t="shared" si="5"/>
        <v>41.2</v>
      </c>
      <c r="O290" s="147" t="s">
        <v>4931</v>
      </c>
      <c r="P290" s="148">
        <f t="shared" si="6"/>
        <v>22.03333333</v>
      </c>
    </row>
    <row r="291">
      <c r="A291" s="147" t="s">
        <v>4932</v>
      </c>
      <c r="B291" s="147" t="s">
        <v>4933</v>
      </c>
      <c r="C291" s="147" t="s">
        <v>3765</v>
      </c>
      <c r="D291" s="147" t="s">
        <v>4636</v>
      </c>
      <c r="E291" s="147" t="s">
        <v>4226</v>
      </c>
      <c r="F291" s="148">
        <v>44.166666666666664</v>
      </c>
      <c r="G291" s="149">
        <f t="shared" si="1"/>
        <v>43.73333333</v>
      </c>
      <c r="H291" s="149">
        <f t="shared" si="2"/>
        <v>43.7</v>
      </c>
      <c r="I291" s="150">
        <f t="shared" si="3"/>
        <v>1.820833333</v>
      </c>
      <c r="J291" s="147" t="s">
        <v>3777</v>
      </c>
      <c r="K291" s="148">
        <f t="shared" si="4"/>
        <v>0.4333333333</v>
      </c>
      <c r="L291" s="152">
        <v>0.01</v>
      </c>
      <c r="M291" s="147" t="s">
        <v>3757</v>
      </c>
      <c r="N291" s="148">
        <f t="shared" si="5"/>
        <v>25.11666667</v>
      </c>
      <c r="O291" s="147" t="s">
        <v>4934</v>
      </c>
      <c r="P291" s="148">
        <f t="shared" si="6"/>
        <v>18.58333333</v>
      </c>
    </row>
    <row r="292">
      <c r="A292" s="147" t="s">
        <v>4935</v>
      </c>
      <c r="B292" s="147" t="s">
        <v>4936</v>
      </c>
      <c r="C292" s="147" t="s">
        <v>3765</v>
      </c>
      <c r="D292" s="147" t="s">
        <v>4937</v>
      </c>
      <c r="E292" s="147" t="s">
        <v>4938</v>
      </c>
      <c r="F292" s="148">
        <v>51.9</v>
      </c>
      <c r="G292" s="149">
        <f t="shared" si="1"/>
        <v>51.9</v>
      </c>
      <c r="H292" s="149">
        <f t="shared" si="2"/>
        <v>51.9</v>
      </c>
      <c r="I292" s="150">
        <f t="shared" si="3"/>
        <v>2.1625</v>
      </c>
      <c r="J292" s="147" t="s">
        <v>3678</v>
      </c>
      <c r="K292" s="151">
        <f t="shared" si="4"/>
        <v>0</v>
      </c>
      <c r="L292" s="147" t="s">
        <v>3678</v>
      </c>
      <c r="M292" s="147" t="s">
        <v>4939</v>
      </c>
      <c r="N292" s="151">
        <f t="shared" si="5"/>
        <v>34.5</v>
      </c>
      <c r="O292" s="147" t="s">
        <v>4940</v>
      </c>
      <c r="P292" s="151">
        <f t="shared" si="6"/>
        <v>17.4</v>
      </c>
    </row>
    <row r="293">
      <c r="A293" s="147" t="s">
        <v>4941</v>
      </c>
      <c r="B293" s="147" t="s">
        <v>4942</v>
      </c>
      <c r="C293" s="147" t="s">
        <v>3675</v>
      </c>
      <c r="D293" s="147" t="s">
        <v>3692</v>
      </c>
      <c r="E293" s="147" t="s">
        <v>4138</v>
      </c>
      <c r="F293" s="148">
        <v>40.13333333333333</v>
      </c>
      <c r="G293" s="149">
        <f t="shared" si="1"/>
        <v>40.13333333</v>
      </c>
      <c r="H293" s="149">
        <f t="shared" si="2"/>
        <v>40.13333333</v>
      </c>
      <c r="I293" s="150">
        <f t="shared" si="3"/>
        <v>1.672222222</v>
      </c>
      <c r="J293" s="147" t="s">
        <v>3678</v>
      </c>
      <c r="K293" s="151">
        <f t="shared" si="4"/>
        <v>0</v>
      </c>
      <c r="L293" s="147" t="s">
        <v>3678</v>
      </c>
      <c r="M293" s="147" t="s">
        <v>4943</v>
      </c>
      <c r="N293" s="151">
        <f t="shared" si="5"/>
        <v>31.93333333</v>
      </c>
      <c r="O293" s="147" t="s">
        <v>4944</v>
      </c>
      <c r="P293" s="151">
        <f t="shared" si="6"/>
        <v>8.2</v>
      </c>
    </row>
    <row r="294">
      <c r="A294" s="147" t="s">
        <v>4945</v>
      </c>
      <c r="B294" s="147" t="s">
        <v>4946</v>
      </c>
      <c r="C294" s="147" t="s">
        <v>3675</v>
      </c>
      <c r="D294" s="147" t="s">
        <v>3676</v>
      </c>
      <c r="E294" s="147" t="s">
        <v>4947</v>
      </c>
      <c r="F294" s="148">
        <v>50.666666666666664</v>
      </c>
      <c r="G294" s="149">
        <f t="shared" si="1"/>
        <v>50.66666667</v>
      </c>
      <c r="H294" s="149">
        <f t="shared" si="2"/>
        <v>50.65</v>
      </c>
      <c r="I294" s="150">
        <f t="shared" si="3"/>
        <v>2.110416667</v>
      </c>
      <c r="J294" s="147" t="s">
        <v>3678</v>
      </c>
      <c r="K294" s="151">
        <f t="shared" si="4"/>
        <v>0</v>
      </c>
      <c r="L294" s="147" t="s">
        <v>3678</v>
      </c>
      <c r="M294" s="147" t="s">
        <v>4948</v>
      </c>
      <c r="N294" s="151">
        <f t="shared" si="5"/>
        <v>35.48333333</v>
      </c>
      <c r="O294" s="147" t="s">
        <v>4949</v>
      </c>
      <c r="P294" s="151">
        <f t="shared" si="6"/>
        <v>15.16666667</v>
      </c>
    </row>
    <row r="295">
      <c r="A295" s="147" t="s">
        <v>4950</v>
      </c>
      <c r="B295" s="147" t="s">
        <v>4951</v>
      </c>
      <c r="C295" s="147" t="s">
        <v>3675</v>
      </c>
      <c r="D295" s="147" t="s">
        <v>3729</v>
      </c>
      <c r="E295" s="147" t="s">
        <v>3886</v>
      </c>
      <c r="F295" s="148">
        <v>39.05</v>
      </c>
      <c r="G295" s="149">
        <f t="shared" si="1"/>
        <v>39.05</v>
      </c>
      <c r="H295" s="149">
        <f t="shared" si="2"/>
        <v>39.03333333</v>
      </c>
      <c r="I295" s="150">
        <f t="shared" si="3"/>
        <v>1.626388889</v>
      </c>
      <c r="J295" s="147" t="s">
        <v>3678</v>
      </c>
      <c r="K295" s="151">
        <f t="shared" si="4"/>
        <v>0</v>
      </c>
      <c r="L295" s="147" t="s">
        <v>3678</v>
      </c>
      <c r="M295" s="147" t="s">
        <v>4904</v>
      </c>
      <c r="N295" s="151">
        <f t="shared" si="5"/>
        <v>31.85</v>
      </c>
      <c r="O295" s="147" t="s">
        <v>4952</v>
      </c>
      <c r="P295" s="151">
        <f t="shared" si="6"/>
        <v>7.183333333</v>
      </c>
    </row>
    <row r="296">
      <c r="A296" s="147" t="s">
        <v>4953</v>
      </c>
      <c r="B296" s="147" t="s">
        <v>4954</v>
      </c>
      <c r="C296" s="147" t="s">
        <v>3675</v>
      </c>
      <c r="D296" s="147" t="s">
        <v>3676</v>
      </c>
      <c r="E296" s="147" t="s">
        <v>4955</v>
      </c>
      <c r="F296" s="148">
        <v>38.1</v>
      </c>
      <c r="G296" s="149">
        <f t="shared" si="1"/>
        <v>36.16666667</v>
      </c>
      <c r="H296" s="149">
        <f t="shared" si="2"/>
        <v>36.13333333</v>
      </c>
      <c r="I296" s="150">
        <f t="shared" si="3"/>
        <v>1.505555556</v>
      </c>
      <c r="J296" s="147" t="s">
        <v>4956</v>
      </c>
      <c r="K296" s="148">
        <f t="shared" si="4"/>
        <v>1.933333333</v>
      </c>
      <c r="L296" s="152">
        <v>0.0511</v>
      </c>
      <c r="M296" s="147" t="s">
        <v>4957</v>
      </c>
      <c r="N296" s="148">
        <f t="shared" si="5"/>
        <v>15.33333333</v>
      </c>
      <c r="O296" s="147" t="s">
        <v>3817</v>
      </c>
      <c r="P296" s="148">
        <f t="shared" si="6"/>
        <v>20.8</v>
      </c>
    </row>
    <row r="297">
      <c r="A297" s="147" t="s">
        <v>4958</v>
      </c>
      <c r="B297" s="147" t="s">
        <v>1209</v>
      </c>
      <c r="C297" s="147" t="s">
        <v>3675</v>
      </c>
      <c r="D297" s="147" t="s">
        <v>3676</v>
      </c>
      <c r="E297" s="147" t="s">
        <v>4244</v>
      </c>
      <c r="F297" s="148">
        <v>48.71666666666667</v>
      </c>
      <c r="G297" s="149">
        <f t="shared" si="1"/>
        <v>47.96666667</v>
      </c>
      <c r="H297" s="149">
        <f t="shared" si="2"/>
        <v>47.95</v>
      </c>
      <c r="I297" s="150">
        <f t="shared" si="3"/>
        <v>1.997916667</v>
      </c>
      <c r="J297" s="147" t="s">
        <v>3731</v>
      </c>
      <c r="K297" s="148">
        <f t="shared" si="4"/>
        <v>0.75</v>
      </c>
      <c r="L297" s="152">
        <v>0.0156</v>
      </c>
      <c r="M297" s="147" t="s">
        <v>4959</v>
      </c>
      <c r="N297" s="148">
        <f t="shared" si="5"/>
        <v>20.21666667</v>
      </c>
      <c r="O297" s="147" t="s">
        <v>4960</v>
      </c>
      <c r="P297" s="148">
        <f t="shared" si="6"/>
        <v>27.73333333</v>
      </c>
    </row>
    <row r="298">
      <c r="A298" s="147" t="s">
        <v>4961</v>
      </c>
      <c r="B298" s="147" t="s">
        <v>283</v>
      </c>
      <c r="C298" s="147" t="s">
        <v>3675</v>
      </c>
      <c r="D298" s="147" t="s">
        <v>3709</v>
      </c>
      <c r="E298" s="147" t="s">
        <v>4739</v>
      </c>
      <c r="F298" s="148">
        <v>34.53333333333333</v>
      </c>
      <c r="G298" s="149">
        <f t="shared" si="1"/>
        <v>34.53333333</v>
      </c>
      <c r="H298" s="149">
        <f t="shared" si="2"/>
        <v>34.51666667</v>
      </c>
      <c r="I298" s="150">
        <f t="shared" si="3"/>
        <v>1.438194444</v>
      </c>
      <c r="J298" s="147" t="s">
        <v>3678</v>
      </c>
      <c r="K298" s="151">
        <f t="shared" si="4"/>
        <v>0</v>
      </c>
      <c r="L298" s="147" t="s">
        <v>3678</v>
      </c>
      <c r="M298" s="147" t="s">
        <v>4726</v>
      </c>
      <c r="N298" s="151">
        <f t="shared" si="5"/>
        <v>21.96666667</v>
      </c>
      <c r="O298" s="147" t="s">
        <v>4962</v>
      </c>
      <c r="P298" s="151">
        <f t="shared" si="6"/>
        <v>12.55</v>
      </c>
    </row>
    <row r="299">
      <c r="A299" s="147" t="s">
        <v>4963</v>
      </c>
      <c r="B299" s="147" t="s">
        <v>322</v>
      </c>
      <c r="C299" s="147" t="s">
        <v>3675</v>
      </c>
      <c r="D299" s="147" t="s">
        <v>3686</v>
      </c>
      <c r="E299" s="147" t="s">
        <v>4964</v>
      </c>
      <c r="F299" s="148">
        <v>61.0</v>
      </c>
      <c r="G299" s="149">
        <f t="shared" si="1"/>
        <v>61</v>
      </c>
      <c r="H299" s="149">
        <f t="shared" si="2"/>
        <v>61</v>
      </c>
      <c r="I299" s="150">
        <f t="shared" si="3"/>
        <v>2.541666667</v>
      </c>
      <c r="J299" s="147" t="s">
        <v>3678</v>
      </c>
      <c r="K299" s="151">
        <f t="shared" si="4"/>
        <v>0</v>
      </c>
      <c r="L299" s="147" t="s">
        <v>3678</v>
      </c>
      <c r="M299" s="147" t="s">
        <v>4965</v>
      </c>
      <c r="N299" s="151">
        <f t="shared" si="5"/>
        <v>57.9</v>
      </c>
      <c r="O299" s="147" t="s">
        <v>4966</v>
      </c>
      <c r="P299" s="151">
        <f t="shared" si="6"/>
        <v>3.1</v>
      </c>
    </row>
    <row r="300">
      <c r="A300" s="147" t="s">
        <v>4967</v>
      </c>
      <c r="B300" s="147" t="s">
        <v>4968</v>
      </c>
      <c r="C300" s="147" t="s">
        <v>3675</v>
      </c>
      <c r="D300" s="147" t="s">
        <v>3702</v>
      </c>
      <c r="E300" s="147" t="s">
        <v>4969</v>
      </c>
      <c r="F300" s="148">
        <v>45.85</v>
      </c>
      <c r="G300" s="149">
        <f t="shared" si="1"/>
        <v>45.66666667</v>
      </c>
      <c r="H300" s="149">
        <f t="shared" si="2"/>
        <v>45.65</v>
      </c>
      <c r="I300" s="150">
        <f t="shared" si="3"/>
        <v>1.902083333</v>
      </c>
      <c r="J300" s="147" t="s">
        <v>4364</v>
      </c>
      <c r="K300" s="148">
        <f t="shared" si="4"/>
        <v>0.1833333333</v>
      </c>
      <c r="L300" s="152">
        <v>0.0042</v>
      </c>
      <c r="M300" s="147" t="s">
        <v>4970</v>
      </c>
      <c r="N300" s="148">
        <f t="shared" si="5"/>
        <v>34.3</v>
      </c>
      <c r="O300" s="147" t="s">
        <v>4971</v>
      </c>
      <c r="P300" s="148">
        <f t="shared" si="6"/>
        <v>11.35</v>
      </c>
    </row>
    <row r="301">
      <c r="A301" s="147" t="s">
        <v>4972</v>
      </c>
      <c r="B301" s="147" t="s">
        <v>476</v>
      </c>
      <c r="C301" s="147" t="s">
        <v>3675</v>
      </c>
      <c r="D301" s="147" t="s">
        <v>3676</v>
      </c>
      <c r="E301" s="147" t="s">
        <v>4346</v>
      </c>
      <c r="F301" s="148">
        <v>49.03333333333333</v>
      </c>
      <c r="G301" s="149">
        <f t="shared" si="1"/>
        <v>49.03333333</v>
      </c>
      <c r="H301" s="149">
        <f t="shared" si="2"/>
        <v>49.03333333</v>
      </c>
      <c r="I301" s="150">
        <f t="shared" si="3"/>
        <v>2.043055556</v>
      </c>
      <c r="J301" s="147" t="s">
        <v>3678</v>
      </c>
      <c r="K301" s="151">
        <f t="shared" si="4"/>
        <v>0</v>
      </c>
      <c r="L301" s="147" t="s">
        <v>3678</v>
      </c>
      <c r="M301" s="147" t="s">
        <v>4973</v>
      </c>
      <c r="N301" s="151">
        <f t="shared" si="5"/>
        <v>35.81666667</v>
      </c>
      <c r="O301" s="147" t="s">
        <v>4974</v>
      </c>
      <c r="P301" s="151">
        <f t="shared" si="6"/>
        <v>13.21666667</v>
      </c>
    </row>
    <row r="302">
      <c r="A302" s="147" t="s">
        <v>4975</v>
      </c>
      <c r="B302" s="147" t="s">
        <v>532</v>
      </c>
      <c r="C302" s="147" t="s">
        <v>3675</v>
      </c>
      <c r="D302" s="147" t="s">
        <v>3676</v>
      </c>
      <c r="E302" s="147" t="s">
        <v>4976</v>
      </c>
      <c r="F302" s="148">
        <v>50.016666666666666</v>
      </c>
      <c r="G302" s="149">
        <f t="shared" si="1"/>
        <v>50.01666667</v>
      </c>
      <c r="H302" s="149">
        <f t="shared" si="2"/>
        <v>50.01666667</v>
      </c>
      <c r="I302" s="150">
        <f t="shared" si="3"/>
        <v>2.084027778</v>
      </c>
      <c r="J302" s="147" t="s">
        <v>3678</v>
      </c>
      <c r="K302" s="151">
        <f t="shared" si="4"/>
        <v>0</v>
      </c>
      <c r="L302" s="147" t="s">
        <v>3678</v>
      </c>
      <c r="M302" s="147" t="s">
        <v>4977</v>
      </c>
      <c r="N302" s="151">
        <f t="shared" si="5"/>
        <v>31.31666667</v>
      </c>
      <c r="O302" s="147" t="s">
        <v>4567</v>
      </c>
      <c r="P302" s="151">
        <f t="shared" si="6"/>
        <v>18.7</v>
      </c>
    </row>
    <row r="303">
      <c r="A303" s="147" t="s">
        <v>4978</v>
      </c>
      <c r="B303" s="147" t="s">
        <v>167</v>
      </c>
      <c r="C303" s="147" t="s">
        <v>3675</v>
      </c>
      <c r="D303" s="147" t="s">
        <v>3686</v>
      </c>
      <c r="E303" s="147" t="s">
        <v>4979</v>
      </c>
      <c r="F303" s="148">
        <v>15.05</v>
      </c>
      <c r="G303" s="149">
        <f t="shared" si="1"/>
        <v>15.05</v>
      </c>
      <c r="H303" s="149">
        <f t="shared" si="2"/>
        <v>15.05</v>
      </c>
      <c r="I303" s="150">
        <f t="shared" si="3"/>
        <v>0.6270833333</v>
      </c>
      <c r="J303" s="147" t="s">
        <v>3678</v>
      </c>
      <c r="K303" s="151">
        <f t="shared" si="4"/>
        <v>0</v>
      </c>
      <c r="L303" s="147" t="s">
        <v>3678</v>
      </c>
      <c r="M303" s="147" t="s">
        <v>4980</v>
      </c>
      <c r="N303" s="151">
        <f t="shared" si="5"/>
        <v>10.65</v>
      </c>
      <c r="O303" s="147" t="s">
        <v>3858</v>
      </c>
      <c r="P303" s="151">
        <f t="shared" si="6"/>
        <v>4.4</v>
      </c>
    </row>
    <row r="304">
      <c r="A304" s="147" t="s">
        <v>4981</v>
      </c>
      <c r="B304" s="147" t="s">
        <v>1992</v>
      </c>
      <c r="C304" s="147" t="s">
        <v>3675</v>
      </c>
      <c r="D304" s="147" t="s">
        <v>3692</v>
      </c>
      <c r="E304" s="147" t="s">
        <v>4982</v>
      </c>
      <c r="F304" s="148">
        <v>40.416666666666664</v>
      </c>
      <c r="G304" s="149">
        <f t="shared" si="1"/>
        <v>40.41666667</v>
      </c>
      <c r="H304" s="149">
        <f t="shared" si="2"/>
        <v>40.4</v>
      </c>
      <c r="I304" s="150">
        <f t="shared" si="3"/>
        <v>1.683333333</v>
      </c>
      <c r="J304" s="147" t="s">
        <v>3678</v>
      </c>
      <c r="K304" s="151">
        <f t="shared" si="4"/>
        <v>0</v>
      </c>
      <c r="L304" s="147" t="s">
        <v>3678</v>
      </c>
      <c r="M304" s="147" t="s">
        <v>4983</v>
      </c>
      <c r="N304" s="151">
        <f t="shared" si="5"/>
        <v>35.43333333</v>
      </c>
      <c r="O304" s="147" t="s">
        <v>3966</v>
      </c>
      <c r="P304" s="151">
        <f t="shared" si="6"/>
        <v>4.966666667</v>
      </c>
    </row>
    <row r="305">
      <c r="A305" s="147" t="s">
        <v>4984</v>
      </c>
      <c r="B305" s="147" t="s">
        <v>4985</v>
      </c>
      <c r="C305" s="147" t="s">
        <v>3675</v>
      </c>
      <c r="D305" s="147" t="s">
        <v>3676</v>
      </c>
      <c r="E305" s="147" t="s">
        <v>3951</v>
      </c>
      <c r="F305" s="148">
        <v>1.0833333333333333</v>
      </c>
      <c r="G305" s="149">
        <f t="shared" si="1"/>
        <v>1.083333333</v>
      </c>
      <c r="H305" s="149">
        <f t="shared" si="2"/>
        <v>1.066666667</v>
      </c>
      <c r="I305" s="150">
        <f t="shared" si="3"/>
        <v>0.04444444444</v>
      </c>
      <c r="J305" s="147" t="s">
        <v>3678</v>
      </c>
      <c r="K305" s="151">
        <f t="shared" si="4"/>
        <v>0</v>
      </c>
      <c r="L305" s="147" t="s">
        <v>3678</v>
      </c>
      <c r="M305" s="147" t="s">
        <v>4649</v>
      </c>
      <c r="N305" s="151">
        <f t="shared" si="5"/>
        <v>0.8833333333</v>
      </c>
      <c r="O305" s="147" t="s">
        <v>4364</v>
      </c>
      <c r="P305" s="151">
        <f t="shared" si="6"/>
        <v>0.1833333333</v>
      </c>
    </row>
    <row r="306">
      <c r="A306" s="147" t="s">
        <v>4986</v>
      </c>
      <c r="B306" s="147" t="s">
        <v>956</v>
      </c>
      <c r="C306" s="147" t="s">
        <v>3675</v>
      </c>
      <c r="D306" s="147" t="s">
        <v>3800</v>
      </c>
      <c r="E306" s="147" t="s">
        <v>4987</v>
      </c>
      <c r="F306" s="148">
        <v>46.11666666666667</v>
      </c>
      <c r="G306" s="149">
        <f t="shared" si="1"/>
        <v>46.11666667</v>
      </c>
      <c r="H306" s="149">
        <f t="shared" si="2"/>
        <v>46.11666667</v>
      </c>
      <c r="I306" s="150">
        <f t="shared" si="3"/>
        <v>1.921527778</v>
      </c>
      <c r="J306" s="147" t="s">
        <v>3678</v>
      </c>
      <c r="K306" s="151">
        <f t="shared" si="4"/>
        <v>0</v>
      </c>
      <c r="L306" s="147" t="s">
        <v>3678</v>
      </c>
      <c r="M306" s="147" t="s">
        <v>4988</v>
      </c>
      <c r="N306" s="151">
        <f t="shared" si="5"/>
        <v>23.41666667</v>
      </c>
      <c r="O306" s="147" t="s">
        <v>4989</v>
      </c>
      <c r="P306" s="151">
        <f t="shared" si="6"/>
        <v>22.7</v>
      </c>
    </row>
    <row r="307">
      <c r="A307" s="147" t="s">
        <v>4990</v>
      </c>
      <c r="B307" s="147" t="s">
        <v>4991</v>
      </c>
      <c r="C307" s="147" t="s">
        <v>3675</v>
      </c>
      <c r="D307" s="147" t="s">
        <v>3676</v>
      </c>
      <c r="E307" s="147" t="s">
        <v>4992</v>
      </c>
      <c r="F307" s="148">
        <v>40.88333333333333</v>
      </c>
      <c r="G307" s="149">
        <f t="shared" si="1"/>
        <v>40.88333333</v>
      </c>
      <c r="H307" s="149">
        <f t="shared" si="2"/>
        <v>40.86666667</v>
      </c>
      <c r="I307" s="150">
        <f t="shared" si="3"/>
        <v>1.702777778</v>
      </c>
      <c r="J307" s="147" t="s">
        <v>3678</v>
      </c>
      <c r="K307" s="151">
        <f t="shared" si="4"/>
        <v>0</v>
      </c>
      <c r="L307" s="147" t="s">
        <v>3678</v>
      </c>
      <c r="M307" s="147" t="s">
        <v>4993</v>
      </c>
      <c r="N307" s="151">
        <f t="shared" si="5"/>
        <v>36.95</v>
      </c>
      <c r="O307" s="147" t="s">
        <v>4994</v>
      </c>
      <c r="P307" s="151">
        <f t="shared" si="6"/>
        <v>3.916666667</v>
      </c>
    </row>
    <row r="308">
      <c r="A308" s="147" t="s">
        <v>4995</v>
      </c>
      <c r="B308" s="147" t="s">
        <v>4996</v>
      </c>
      <c r="C308" s="147" t="s">
        <v>3675</v>
      </c>
      <c r="D308" s="147" t="s">
        <v>3692</v>
      </c>
      <c r="E308" s="147" t="s">
        <v>4997</v>
      </c>
      <c r="F308" s="148">
        <v>34.083333333333336</v>
      </c>
      <c r="G308" s="149">
        <f t="shared" si="1"/>
        <v>34.08333333</v>
      </c>
      <c r="H308" s="149">
        <f t="shared" si="2"/>
        <v>34.06666667</v>
      </c>
      <c r="I308" s="150">
        <f t="shared" si="3"/>
        <v>1.419444444</v>
      </c>
      <c r="J308" s="147" t="s">
        <v>3678</v>
      </c>
      <c r="K308" s="151">
        <f t="shared" si="4"/>
        <v>0</v>
      </c>
      <c r="L308" s="147" t="s">
        <v>3678</v>
      </c>
      <c r="M308" s="147" t="s">
        <v>4549</v>
      </c>
      <c r="N308" s="151">
        <f t="shared" si="5"/>
        <v>22.81666667</v>
      </c>
      <c r="O308" s="147" t="s">
        <v>4998</v>
      </c>
      <c r="P308" s="151">
        <f t="shared" si="6"/>
        <v>11.25</v>
      </c>
    </row>
    <row r="309">
      <c r="A309" s="147" t="s">
        <v>4999</v>
      </c>
      <c r="B309" s="147" t="s">
        <v>5000</v>
      </c>
      <c r="C309" s="147" t="s">
        <v>3675</v>
      </c>
      <c r="D309" s="147" t="s">
        <v>3692</v>
      </c>
      <c r="E309" s="147" t="s">
        <v>4114</v>
      </c>
      <c r="F309" s="148">
        <v>40.6</v>
      </c>
      <c r="G309" s="149">
        <f t="shared" si="1"/>
        <v>40.6</v>
      </c>
      <c r="H309" s="149">
        <f t="shared" si="2"/>
        <v>40.58333333</v>
      </c>
      <c r="I309" s="150">
        <f t="shared" si="3"/>
        <v>1.690972222</v>
      </c>
      <c r="J309" s="147" t="s">
        <v>3678</v>
      </c>
      <c r="K309" s="151">
        <f t="shared" si="4"/>
        <v>0</v>
      </c>
      <c r="L309" s="147" t="s">
        <v>3678</v>
      </c>
      <c r="M309" s="147" t="s">
        <v>5001</v>
      </c>
      <c r="N309" s="151">
        <f t="shared" si="5"/>
        <v>35.6</v>
      </c>
      <c r="O309" s="147" t="s">
        <v>5002</v>
      </c>
      <c r="P309" s="151">
        <f t="shared" si="6"/>
        <v>4.983333333</v>
      </c>
    </row>
    <row r="310">
      <c r="A310" s="147" t="s">
        <v>5003</v>
      </c>
      <c r="B310" s="147" t="s">
        <v>5004</v>
      </c>
      <c r="C310" s="147" t="s">
        <v>3675</v>
      </c>
      <c r="D310" s="147" t="s">
        <v>3692</v>
      </c>
      <c r="E310" s="147" t="s">
        <v>5005</v>
      </c>
      <c r="F310" s="148">
        <v>39.416666666666664</v>
      </c>
      <c r="G310" s="149">
        <f t="shared" si="1"/>
        <v>39</v>
      </c>
      <c r="H310" s="149">
        <f t="shared" si="2"/>
        <v>38.98333333</v>
      </c>
      <c r="I310" s="150">
        <f t="shared" si="3"/>
        <v>1.624305556</v>
      </c>
      <c r="J310" s="147" t="s">
        <v>4115</v>
      </c>
      <c r="K310" s="148">
        <f t="shared" si="4"/>
        <v>0.4166666667</v>
      </c>
      <c r="L310" s="152">
        <v>0.0107</v>
      </c>
      <c r="M310" s="147" t="s">
        <v>5006</v>
      </c>
      <c r="N310" s="148">
        <f t="shared" si="5"/>
        <v>32.43333333</v>
      </c>
      <c r="O310" s="147" t="s">
        <v>5007</v>
      </c>
      <c r="P310" s="148">
        <f t="shared" si="6"/>
        <v>6.55</v>
      </c>
    </row>
    <row r="311">
      <c r="A311" s="147" t="s">
        <v>5008</v>
      </c>
      <c r="B311" s="147" t="s">
        <v>5009</v>
      </c>
      <c r="C311" s="147" t="s">
        <v>3675</v>
      </c>
      <c r="D311" s="147" t="s">
        <v>3735</v>
      </c>
      <c r="E311" s="147" t="s">
        <v>5010</v>
      </c>
      <c r="F311" s="148">
        <v>49.18333333333333</v>
      </c>
      <c r="G311" s="149">
        <f t="shared" si="1"/>
        <v>49.18333333</v>
      </c>
      <c r="H311" s="149">
        <f t="shared" si="2"/>
        <v>49.18333333</v>
      </c>
      <c r="I311" s="150">
        <f t="shared" si="3"/>
        <v>2.049305556</v>
      </c>
      <c r="J311" s="147" t="s">
        <v>3678</v>
      </c>
      <c r="K311" s="151">
        <f t="shared" si="4"/>
        <v>0</v>
      </c>
      <c r="L311" s="147" t="s">
        <v>3678</v>
      </c>
      <c r="M311" s="147" t="s">
        <v>5011</v>
      </c>
      <c r="N311" s="151">
        <f t="shared" si="5"/>
        <v>41.83333333</v>
      </c>
      <c r="O311" s="147" t="s">
        <v>5012</v>
      </c>
      <c r="P311" s="151">
        <f t="shared" si="6"/>
        <v>7.35</v>
      </c>
    </row>
    <row r="312">
      <c r="A312" s="147" t="s">
        <v>5013</v>
      </c>
      <c r="B312" s="147" t="s">
        <v>564</v>
      </c>
      <c r="C312" s="147" t="s">
        <v>3675</v>
      </c>
      <c r="D312" s="147" t="s">
        <v>3676</v>
      </c>
      <c r="E312" s="147" t="s">
        <v>5014</v>
      </c>
      <c r="F312" s="148">
        <v>37.166666666666664</v>
      </c>
      <c r="G312" s="149">
        <f t="shared" si="1"/>
        <v>37.16666667</v>
      </c>
      <c r="H312" s="149">
        <f t="shared" si="2"/>
        <v>37.16666667</v>
      </c>
      <c r="I312" s="150">
        <f t="shared" si="3"/>
        <v>1.548611111</v>
      </c>
      <c r="J312" s="147" t="s">
        <v>3678</v>
      </c>
      <c r="K312" s="151">
        <f t="shared" si="4"/>
        <v>0</v>
      </c>
      <c r="L312" s="147" t="s">
        <v>3678</v>
      </c>
      <c r="M312" s="147" t="s">
        <v>5015</v>
      </c>
      <c r="N312" s="151">
        <f t="shared" si="5"/>
        <v>25.1</v>
      </c>
      <c r="O312" s="147" t="s">
        <v>5016</v>
      </c>
      <c r="P312" s="151">
        <f t="shared" si="6"/>
        <v>12.06666667</v>
      </c>
    </row>
    <row r="313">
      <c r="A313" s="147" t="s">
        <v>5017</v>
      </c>
      <c r="B313" s="147" t="s">
        <v>164</v>
      </c>
      <c r="C313" s="147" t="s">
        <v>3675</v>
      </c>
      <c r="D313" s="147" t="s">
        <v>3686</v>
      </c>
      <c r="E313" s="147" t="s">
        <v>5018</v>
      </c>
      <c r="F313" s="148">
        <v>39.63333333333333</v>
      </c>
      <c r="G313" s="149">
        <f t="shared" si="1"/>
        <v>39.63333333</v>
      </c>
      <c r="H313" s="149">
        <f t="shared" si="2"/>
        <v>39.63333333</v>
      </c>
      <c r="I313" s="150">
        <f t="shared" si="3"/>
        <v>1.651388889</v>
      </c>
      <c r="J313" s="147" t="s">
        <v>3678</v>
      </c>
      <c r="K313" s="151">
        <f t="shared" si="4"/>
        <v>0</v>
      </c>
      <c r="L313" s="147" t="s">
        <v>3678</v>
      </c>
      <c r="M313" s="147" t="s">
        <v>5019</v>
      </c>
      <c r="N313" s="151">
        <f t="shared" si="5"/>
        <v>33.15</v>
      </c>
      <c r="O313" s="147" t="s">
        <v>5020</v>
      </c>
      <c r="P313" s="151">
        <f t="shared" si="6"/>
        <v>6.483333333</v>
      </c>
    </row>
    <row r="314">
      <c r="A314" s="147" t="s">
        <v>5021</v>
      </c>
      <c r="B314" s="147" t="s">
        <v>1135</v>
      </c>
      <c r="C314" s="147" t="s">
        <v>3675</v>
      </c>
      <c r="D314" s="147" t="s">
        <v>3676</v>
      </c>
      <c r="E314" s="147" t="s">
        <v>5022</v>
      </c>
      <c r="F314" s="148">
        <v>37.68333333333333</v>
      </c>
      <c r="G314" s="149">
        <f t="shared" si="1"/>
        <v>35.18333333</v>
      </c>
      <c r="H314" s="149">
        <f t="shared" si="2"/>
        <v>35.16666667</v>
      </c>
      <c r="I314" s="150">
        <f t="shared" si="3"/>
        <v>1.465277778</v>
      </c>
      <c r="J314" s="147" t="s">
        <v>5023</v>
      </c>
      <c r="K314" s="148">
        <f t="shared" si="4"/>
        <v>2.5</v>
      </c>
      <c r="L314" s="152">
        <v>0.0667</v>
      </c>
      <c r="M314" s="147" t="s">
        <v>5024</v>
      </c>
      <c r="N314" s="148">
        <f t="shared" si="5"/>
        <v>19.86666667</v>
      </c>
      <c r="O314" s="147" t="s">
        <v>5025</v>
      </c>
      <c r="P314" s="148">
        <f t="shared" si="6"/>
        <v>15.3</v>
      </c>
    </row>
    <row r="315">
      <c r="A315" s="147" t="s">
        <v>5026</v>
      </c>
      <c r="B315" s="147" t="s">
        <v>1145</v>
      </c>
      <c r="C315" s="147" t="s">
        <v>3675</v>
      </c>
      <c r="D315" s="147" t="s">
        <v>3629</v>
      </c>
      <c r="E315" s="147" t="s">
        <v>5027</v>
      </c>
      <c r="F315" s="148">
        <v>13.166666666666666</v>
      </c>
      <c r="G315" s="149">
        <f t="shared" si="1"/>
        <v>13.16666667</v>
      </c>
      <c r="H315" s="149">
        <f t="shared" si="2"/>
        <v>13.16666667</v>
      </c>
      <c r="I315" s="150">
        <f t="shared" si="3"/>
        <v>0.5486111111</v>
      </c>
      <c r="J315" s="147" t="s">
        <v>3678</v>
      </c>
      <c r="K315" s="151">
        <f t="shared" si="4"/>
        <v>0</v>
      </c>
      <c r="L315" s="147" t="s">
        <v>3678</v>
      </c>
      <c r="M315" s="147" t="s">
        <v>5028</v>
      </c>
      <c r="N315" s="151">
        <f t="shared" si="5"/>
        <v>8.55</v>
      </c>
      <c r="O315" s="147" t="s">
        <v>5029</v>
      </c>
      <c r="P315" s="151">
        <f t="shared" si="6"/>
        <v>4.616666667</v>
      </c>
    </row>
    <row r="316">
      <c r="A316" s="147" t="s">
        <v>5030</v>
      </c>
      <c r="B316" s="147" t="s">
        <v>1672</v>
      </c>
      <c r="C316" s="147" t="s">
        <v>3675</v>
      </c>
      <c r="D316" s="147" t="s">
        <v>3692</v>
      </c>
      <c r="E316" s="147" t="s">
        <v>5031</v>
      </c>
      <c r="F316" s="148">
        <v>38.15</v>
      </c>
      <c r="G316" s="149">
        <f t="shared" si="1"/>
        <v>36.6</v>
      </c>
      <c r="H316" s="149">
        <f t="shared" si="2"/>
        <v>36.6</v>
      </c>
      <c r="I316" s="150">
        <f t="shared" si="3"/>
        <v>1.525</v>
      </c>
      <c r="J316" s="147" t="s">
        <v>5032</v>
      </c>
      <c r="K316" s="148">
        <f t="shared" si="4"/>
        <v>1.55</v>
      </c>
      <c r="L316" s="152">
        <v>0.0406</v>
      </c>
      <c r="M316" s="147" t="s">
        <v>4518</v>
      </c>
      <c r="N316" s="148">
        <f t="shared" si="5"/>
        <v>23.7</v>
      </c>
      <c r="O316" s="147" t="s">
        <v>5033</v>
      </c>
      <c r="P316" s="148">
        <f t="shared" si="6"/>
        <v>12.9</v>
      </c>
    </row>
    <row r="317">
      <c r="A317" s="147" t="s">
        <v>5034</v>
      </c>
      <c r="B317" s="147" t="s">
        <v>5035</v>
      </c>
      <c r="C317" s="147" t="s">
        <v>3675</v>
      </c>
      <c r="D317" s="147" t="s">
        <v>3709</v>
      </c>
      <c r="E317" s="147" t="s">
        <v>5036</v>
      </c>
      <c r="F317" s="148">
        <v>24.366666666666667</v>
      </c>
      <c r="G317" s="149">
        <f t="shared" si="1"/>
        <v>24.36666667</v>
      </c>
      <c r="H317" s="149">
        <f t="shared" si="2"/>
        <v>24.36666667</v>
      </c>
      <c r="I317" s="150">
        <f t="shared" si="3"/>
        <v>1.015277778</v>
      </c>
      <c r="J317" s="147" t="s">
        <v>3678</v>
      </c>
      <c r="K317" s="151">
        <f t="shared" si="4"/>
        <v>0</v>
      </c>
      <c r="L317" s="147" t="s">
        <v>3678</v>
      </c>
      <c r="M317" s="147" t="s">
        <v>5037</v>
      </c>
      <c r="N317" s="151">
        <f t="shared" si="5"/>
        <v>18.9</v>
      </c>
      <c r="O317" s="147" t="s">
        <v>5038</v>
      </c>
      <c r="P317" s="151">
        <f t="shared" si="6"/>
        <v>5.466666667</v>
      </c>
    </row>
    <row r="318">
      <c r="A318" s="147" t="s">
        <v>5039</v>
      </c>
      <c r="B318" s="147" t="s">
        <v>5040</v>
      </c>
      <c r="C318" s="147" t="s">
        <v>3675</v>
      </c>
      <c r="D318" s="147" t="s">
        <v>3729</v>
      </c>
      <c r="E318" s="147" t="s">
        <v>3697</v>
      </c>
      <c r="F318" s="148">
        <v>40.666666666666664</v>
      </c>
      <c r="G318" s="149">
        <f t="shared" si="1"/>
        <v>40.66666667</v>
      </c>
      <c r="H318" s="149">
        <f t="shared" si="2"/>
        <v>40.65</v>
      </c>
      <c r="I318" s="150">
        <f t="shared" si="3"/>
        <v>1.69375</v>
      </c>
      <c r="J318" s="147" t="s">
        <v>3678</v>
      </c>
      <c r="K318" s="151">
        <f t="shared" si="4"/>
        <v>0</v>
      </c>
      <c r="L318" s="147" t="s">
        <v>3678</v>
      </c>
      <c r="M318" s="147" t="s">
        <v>5041</v>
      </c>
      <c r="N318" s="151">
        <f t="shared" si="5"/>
        <v>34.65</v>
      </c>
      <c r="O318" s="147" t="s">
        <v>5042</v>
      </c>
      <c r="P318" s="151">
        <f t="shared" si="6"/>
        <v>6</v>
      </c>
    </row>
    <row r="319">
      <c r="A319" s="147" t="s">
        <v>5043</v>
      </c>
      <c r="B319" s="147" t="s">
        <v>5044</v>
      </c>
      <c r="C319" s="147" t="s">
        <v>3675</v>
      </c>
      <c r="D319" s="147" t="s">
        <v>3954</v>
      </c>
      <c r="E319" s="147" t="s">
        <v>5045</v>
      </c>
      <c r="F319" s="148">
        <v>52.81666666666667</v>
      </c>
      <c r="G319" s="149">
        <f t="shared" si="1"/>
        <v>52.81666667</v>
      </c>
      <c r="H319" s="149">
        <f t="shared" si="2"/>
        <v>52.81666667</v>
      </c>
      <c r="I319" s="150">
        <f t="shared" si="3"/>
        <v>2.200694444</v>
      </c>
      <c r="J319" s="147" t="s">
        <v>3678</v>
      </c>
      <c r="K319" s="151">
        <f t="shared" si="4"/>
        <v>0</v>
      </c>
      <c r="L319" s="147" t="s">
        <v>3678</v>
      </c>
      <c r="M319" s="147" t="s">
        <v>5046</v>
      </c>
      <c r="N319" s="151">
        <f t="shared" si="5"/>
        <v>48.13333333</v>
      </c>
      <c r="O319" s="147" t="s">
        <v>5047</v>
      </c>
      <c r="P319" s="151">
        <f t="shared" si="6"/>
        <v>4.683333333</v>
      </c>
    </row>
    <row r="320">
      <c r="A320" s="147" t="s">
        <v>5048</v>
      </c>
      <c r="B320" s="147" t="s">
        <v>411</v>
      </c>
      <c r="C320" s="147" t="s">
        <v>3675</v>
      </c>
      <c r="D320" s="147" t="s">
        <v>3676</v>
      </c>
      <c r="E320" s="147" t="s">
        <v>5049</v>
      </c>
      <c r="F320" s="148">
        <v>48.18333333333333</v>
      </c>
      <c r="G320" s="149">
        <f t="shared" si="1"/>
        <v>48.18333333</v>
      </c>
      <c r="H320" s="149">
        <f t="shared" si="2"/>
        <v>48.16666667</v>
      </c>
      <c r="I320" s="150">
        <f t="shared" si="3"/>
        <v>2.006944444</v>
      </c>
      <c r="J320" s="147" t="s">
        <v>3678</v>
      </c>
      <c r="K320" s="151">
        <f t="shared" si="4"/>
        <v>0</v>
      </c>
      <c r="L320" s="147" t="s">
        <v>3678</v>
      </c>
      <c r="M320" s="147" t="s">
        <v>5050</v>
      </c>
      <c r="N320" s="151">
        <f t="shared" si="5"/>
        <v>35.26666667</v>
      </c>
      <c r="O320" s="147" t="s">
        <v>5033</v>
      </c>
      <c r="P320" s="151">
        <f t="shared" si="6"/>
        <v>12.9</v>
      </c>
    </row>
    <row r="321">
      <c r="A321" s="147" t="s">
        <v>5051</v>
      </c>
      <c r="B321" s="147" t="s">
        <v>5052</v>
      </c>
      <c r="C321" s="147" t="s">
        <v>3675</v>
      </c>
      <c r="D321" s="147" t="s">
        <v>3735</v>
      </c>
      <c r="E321" s="147" t="s">
        <v>5053</v>
      </c>
      <c r="F321" s="148">
        <v>50.11666666666667</v>
      </c>
      <c r="G321" s="149">
        <f t="shared" si="1"/>
        <v>50.11666667</v>
      </c>
      <c r="H321" s="149">
        <f t="shared" si="2"/>
        <v>50.11666667</v>
      </c>
      <c r="I321" s="150">
        <f t="shared" si="3"/>
        <v>2.088194444</v>
      </c>
      <c r="J321" s="147" t="s">
        <v>3678</v>
      </c>
      <c r="K321" s="151">
        <f t="shared" si="4"/>
        <v>0</v>
      </c>
      <c r="L321" s="147" t="s">
        <v>3678</v>
      </c>
      <c r="M321" s="147" t="s">
        <v>5054</v>
      </c>
      <c r="N321" s="151">
        <f t="shared" si="5"/>
        <v>32.01666667</v>
      </c>
      <c r="O321" s="147" t="s">
        <v>5055</v>
      </c>
      <c r="P321" s="151">
        <f t="shared" si="6"/>
        <v>18.1</v>
      </c>
    </row>
    <row r="322">
      <c r="A322" s="147" t="s">
        <v>5056</v>
      </c>
      <c r="B322" s="147" t="s">
        <v>5057</v>
      </c>
      <c r="C322" s="147" t="s">
        <v>3675</v>
      </c>
      <c r="D322" s="147" t="s">
        <v>3709</v>
      </c>
      <c r="E322" s="147" t="s">
        <v>5058</v>
      </c>
      <c r="F322" s="148">
        <v>31.083333333333332</v>
      </c>
      <c r="G322" s="149">
        <f t="shared" si="1"/>
        <v>30.08333333</v>
      </c>
      <c r="H322" s="149">
        <f t="shared" si="2"/>
        <v>30.06666667</v>
      </c>
      <c r="I322" s="150">
        <f t="shared" si="3"/>
        <v>1.252777778</v>
      </c>
      <c r="J322" s="147" t="s">
        <v>4808</v>
      </c>
      <c r="K322" s="148">
        <f t="shared" si="4"/>
        <v>1</v>
      </c>
      <c r="L322" s="152">
        <v>0.0326</v>
      </c>
      <c r="M322" s="147" t="s">
        <v>5059</v>
      </c>
      <c r="N322" s="148">
        <f t="shared" si="5"/>
        <v>23.13333333</v>
      </c>
      <c r="O322" s="147" t="s">
        <v>5060</v>
      </c>
      <c r="P322" s="148">
        <f t="shared" si="6"/>
        <v>6.933333333</v>
      </c>
    </row>
    <row r="323">
      <c r="A323" s="147" t="s">
        <v>5061</v>
      </c>
      <c r="B323" s="147" t="s">
        <v>1093</v>
      </c>
      <c r="C323" s="147" t="s">
        <v>3675</v>
      </c>
      <c r="D323" s="147" t="s">
        <v>3692</v>
      </c>
      <c r="E323" s="147" t="s">
        <v>5062</v>
      </c>
      <c r="F323" s="148">
        <v>41.25</v>
      </c>
      <c r="G323" s="149">
        <f t="shared" si="1"/>
        <v>41.08333333</v>
      </c>
      <c r="H323" s="149">
        <f t="shared" si="2"/>
        <v>41.06666667</v>
      </c>
      <c r="I323" s="150">
        <f t="shared" si="3"/>
        <v>1.711111111</v>
      </c>
      <c r="J323" s="147" t="s">
        <v>3724</v>
      </c>
      <c r="K323" s="148">
        <f t="shared" si="4"/>
        <v>0.1666666667</v>
      </c>
      <c r="L323" s="152">
        <v>0.0042</v>
      </c>
      <c r="M323" s="147" t="s">
        <v>5063</v>
      </c>
      <c r="N323" s="148">
        <f t="shared" si="5"/>
        <v>34.95</v>
      </c>
      <c r="O323" s="147" t="s">
        <v>5064</v>
      </c>
      <c r="P323" s="148">
        <f t="shared" si="6"/>
        <v>6.116666667</v>
      </c>
    </row>
    <row r="324">
      <c r="A324" s="147" t="s">
        <v>5065</v>
      </c>
      <c r="B324" s="147" t="s">
        <v>1493</v>
      </c>
      <c r="C324" s="147" t="s">
        <v>3675</v>
      </c>
      <c r="D324" s="147" t="s">
        <v>3676</v>
      </c>
      <c r="E324" s="147" t="s">
        <v>5066</v>
      </c>
      <c r="F324" s="148">
        <v>40.1</v>
      </c>
      <c r="G324" s="149">
        <f t="shared" si="1"/>
        <v>40.1</v>
      </c>
      <c r="H324" s="149">
        <f t="shared" si="2"/>
        <v>40.1</v>
      </c>
      <c r="I324" s="150">
        <f t="shared" si="3"/>
        <v>1.670833333</v>
      </c>
      <c r="J324" s="147" t="s">
        <v>3678</v>
      </c>
      <c r="K324" s="151">
        <f t="shared" si="4"/>
        <v>0</v>
      </c>
      <c r="L324" s="147" t="s">
        <v>3678</v>
      </c>
      <c r="M324" s="147" t="s">
        <v>5067</v>
      </c>
      <c r="N324" s="151">
        <f t="shared" si="5"/>
        <v>27.28333333</v>
      </c>
      <c r="O324" s="147" t="s">
        <v>5068</v>
      </c>
      <c r="P324" s="151">
        <f t="shared" si="6"/>
        <v>12.81666667</v>
      </c>
    </row>
    <row r="325">
      <c r="A325" s="147" t="s">
        <v>5069</v>
      </c>
      <c r="B325" s="147" t="s">
        <v>5070</v>
      </c>
      <c r="C325" s="147" t="s">
        <v>3675</v>
      </c>
      <c r="D325" s="147" t="s">
        <v>3676</v>
      </c>
      <c r="E325" s="147" t="s">
        <v>4792</v>
      </c>
      <c r="F325" s="148">
        <v>1.05</v>
      </c>
      <c r="G325" s="149">
        <f t="shared" si="1"/>
        <v>1.05</v>
      </c>
      <c r="H325" s="149">
        <f t="shared" si="2"/>
        <v>1.033333333</v>
      </c>
      <c r="I325" s="150">
        <f t="shared" si="3"/>
        <v>0.04305555556</v>
      </c>
      <c r="J325" s="147" t="s">
        <v>3678</v>
      </c>
      <c r="K325" s="151">
        <f t="shared" si="4"/>
        <v>0</v>
      </c>
      <c r="L325" s="147" t="s">
        <v>3678</v>
      </c>
      <c r="M325" s="147" t="s">
        <v>5071</v>
      </c>
      <c r="N325" s="151">
        <f t="shared" si="5"/>
        <v>0</v>
      </c>
      <c r="O325" s="147" t="s">
        <v>3898</v>
      </c>
      <c r="P325" s="151">
        <f t="shared" si="6"/>
        <v>1.033333333</v>
      </c>
    </row>
    <row r="326">
      <c r="A326" s="147" t="s">
        <v>5072</v>
      </c>
      <c r="B326" s="147" t="s">
        <v>5073</v>
      </c>
      <c r="C326" s="147" t="s">
        <v>3675</v>
      </c>
      <c r="D326" s="147" t="s">
        <v>3692</v>
      </c>
      <c r="E326" s="147" t="s">
        <v>5074</v>
      </c>
      <c r="F326" s="148">
        <v>37.63333333333333</v>
      </c>
      <c r="G326" s="149">
        <f t="shared" si="1"/>
        <v>37.63333333</v>
      </c>
      <c r="H326" s="149">
        <f t="shared" si="2"/>
        <v>37.61666667</v>
      </c>
      <c r="I326" s="150">
        <f t="shared" si="3"/>
        <v>1.567361111</v>
      </c>
      <c r="J326" s="147" t="s">
        <v>3678</v>
      </c>
      <c r="K326" s="151">
        <f t="shared" si="4"/>
        <v>0</v>
      </c>
      <c r="L326" s="147" t="s">
        <v>3678</v>
      </c>
      <c r="M326" s="147" t="s">
        <v>5075</v>
      </c>
      <c r="N326" s="151">
        <f t="shared" si="5"/>
        <v>34.11666667</v>
      </c>
      <c r="O326" s="147" t="s">
        <v>5076</v>
      </c>
      <c r="P326" s="151">
        <f t="shared" si="6"/>
        <v>3.5</v>
      </c>
    </row>
    <row r="327">
      <c r="A327" s="147" t="s">
        <v>5077</v>
      </c>
      <c r="B327" s="147" t="s">
        <v>5078</v>
      </c>
      <c r="C327" s="147" t="s">
        <v>3675</v>
      </c>
      <c r="D327" s="147" t="s">
        <v>3692</v>
      </c>
      <c r="E327" s="147" t="s">
        <v>5079</v>
      </c>
      <c r="F327" s="148">
        <v>47.016666666666666</v>
      </c>
      <c r="G327" s="149">
        <f t="shared" si="1"/>
        <v>46.81666667</v>
      </c>
      <c r="H327" s="149">
        <f t="shared" si="2"/>
        <v>46.8</v>
      </c>
      <c r="I327" s="150">
        <f t="shared" si="3"/>
        <v>1.95</v>
      </c>
      <c r="J327" s="147" t="s">
        <v>3787</v>
      </c>
      <c r="K327" s="148">
        <f t="shared" si="4"/>
        <v>0.2</v>
      </c>
      <c r="L327" s="152">
        <v>0.0043</v>
      </c>
      <c r="M327" s="147" t="s">
        <v>5080</v>
      </c>
      <c r="N327" s="148">
        <f t="shared" si="5"/>
        <v>42.83333333</v>
      </c>
      <c r="O327" s="147" t="s">
        <v>5081</v>
      </c>
      <c r="P327" s="148">
        <f t="shared" si="6"/>
        <v>3.966666667</v>
      </c>
    </row>
    <row r="328">
      <c r="A328" s="147" t="s">
        <v>5082</v>
      </c>
      <c r="B328" s="147" t="s">
        <v>5083</v>
      </c>
      <c r="C328" s="147" t="s">
        <v>3675</v>
      </c>
      <c r="D328" s="147" t="s">
        <v>3676</v>
      </c>
      <c r="E328" s="147" t="s">
        <v>3703</v>
      </c>
      <c r="F328" s="148">
        <v>42.666666666666664</v>
      </c>
      <c r="G328" s="149">
        <f t="shared" si="1"/>
        <v>41.81666667</v>
      </c>
      <c r="H328" s="149">
        <f t="shared" si="2"/>
        <v>41.8</v>
      </c>
      <c r="I328" s="150">
        <f t="shared" si="3"/>
        <v>1.741666667</v>
      </c>
      <c r="J328" s="147" t="s">
        <v>4415</v>
      </c>
      <c r="K328" s="148">
        <f t="shared" si="4"/>
        <v>0.85</v>
      </c>
      <c r="L328" s="152">
        <v>0.0202</v>
      </c>
      <c r="M328" s="147" t="s">
        <v>5084</v>
      </c>
      <c r="N328" s="148">
        <f t="shared" si="5"/>
        <v>21.9</v>
      </c>
      <c r="O328" s="147" t="s">
        <v>5085</v>
      </c>
      <c r="P328" s="148">
        <f t="shared" si="6"/>
        <v>19.9</v>
      </c>
    </row>
    <row r="329">
      <c r="A329" s="147" t="s">
        <v>5086</v>
      </c>
      <c r="B329" s="147" t="s">
        <v>5087</v>
      </c>
      <c r="C329" s="147" t="s">
        <v>3675</v>
      </c>
      <c r="D329" s="147" t="s">
        <v>3676</v>
      </c>
      <c r="E329" s="147" t="s">
        <v>4756</v>
      </c>
      <c r="F329" s="148">
        <v>35.78333333333333</v>
      </c>
      <c r="G329" s="149">
        <f t="shared" si="1"/>
        <v>35.78333333</v>
      </c>
      <c r="H329" s="149">
        <f t="shared" si="2"/>
        <v>35.76666667</v>
      </c>
      <c r="I329" s="150">
        <f t="shared" si="3"/>
        <v>1.490277778</v>
      </c>
      <c r="J329" s="147" t="s">
        <v>3678</v>
      </c>
      <c r="K329" s="151">
        <f t="shared" si="4"/>
        <v>0</v>
      </c>
      <c r="L329" s="147" t="s">
        <v>3678</v>
      </c>
      <c r="M329" s="147" t="s">
        <v>4111</v>
      </c>
      <c r="N329" s="151">
        <f t="shared" si="5"/>
        <v>24.2</v>
      </c>
      <c r="O329" s="147" t="s">
        <v>5088</v>
      </c>
      <c r="P329" s="151">
        <f t="shared" si="6"/>
        <v>11.56666667</v>
      </c>
    </row>
    <row r="330">
      <c r="A330" s="147" t="s">
        <v>5089</v>
      </c>
      <c r="B330" s="147" t="s">
        <v>5090</v>
      </c>
      <c r="C330" s="147" t="s">
        <v>3675</v>
      </c>
      <c r="D330" s="147" t="s">
        <v>3676</v>
      </c>
      <c r="E330" s="147" t="s">
        <v>5091</v>
      </c>
      <c r="F330" s="148">
        <v>1.1333333333333333</v>
      </c>
      <c r="G330" s="149">
        <f t="shared" si="1"/>
        <v>1.133333333</v>
      </c>
      <c r="H330" s="149">
        <f t="shared" si="2"/>
        <v>1.116666667</v>
      </c>
      <c r="I330" s="150">
        <f t="shared" si="3"/>
        <v>0.04652777778</v>
      </c>
      <c r="J330" s="147" t="s">
        <v>3678</v>
      </c>
      <c r="K330" s="151">
        <f t="shared" si="4"/>
        <v>0</v>
      </c>
      <c r="L330" s="147" t="s">
        <v>3678</v>
      </c>
      <c r="M330" s="147" t="s">
        <v>4690</v>
      </c>
      <c r="N330" s="151">
        <f t="shared" si="5"/>
        <v>0.9666666667</v>
      </c>
      <c r="O330" s="147" t="s">
        <v>5092</v>
      </c>
      <c r="P330" s="151">
        <f t="shared" si="6"/>
        <v>0.15</v>
      </c>
    </row>
    <row r="331">
      <c r="A331" s="147" t="s">
        <v>5093</v>
      </c>
      <c r="B331" s="147" t="s">
        <v>650</v>
      </c>
      <c r="C331" s="147" t="s">
        <v>3675</v>
      </c>
      <c r="D331" s="147" t="s">
        <v>3676</v>
      </c>
      <c r="E331" s="147" t="s">
        <v>5094</v>
      </c>
      <c r="F331" s="148">
        <v>43.15</v>
      </c>
      <c r="G331" s="149">
        <f t="shared" si="1"/>
        <v>43.15</v>
      </c>
      <c r="H331" s="149">
        <f t="shared" si="2"/>
        <v>43.13333333</v>
      </c>
      <c r="I331" s="150">
        <f t="shared" si="3"/>
        <v>1.797222222</v>
      </c>
      <c r="J331" s="147" t="s">
        <v>3678</v>
      </c>
      <c r="K331" s="151">
        <f t="shared" si="4"/>
        <v>0</v>
      </c>
      <c r="L331" s="147" t="s">
        <v>3678</v>
      </c>
      <c r="M331" s="147" t="s">
        <v>5095</v>
      </c>
      <c r="N331" s="151">
        <f t="shared" si="5"/>
        <v>26.65</v>
      </c>
      <c r="O331" s="147" t="s">
        <v>5096</v>
      </c>
      <c r="P331" s="151">
        <f t="shared" si="6"/>
        <v>16.48333333</v>
      </c>
    </row>
    <row r="332">
      <c r="A332" s="147" t="s">
        <v>5097</v>
      </c>
      <c r="B332" s="147" t="s">
        <v>5098</v>
      </c>
      <c r="C332" s="147" t="s">
        <v>3675</v>
      </c>
      <c r="D332" s="147" t="s">
        <v>3692</v>
      </c>
      <c r="E332" s="147" t="s">
        <v>4442</v>
      </c>
      <c r="F332" s="148">
        <v>42.36666666666667</v>
      </c>
      <c r="G332" s="149">
        <f t="shared" si="1"/>
        <v>42.36666667</v>
      </c>
      <c r="H332" s="149">
        <f t="shared" si="2"/>
        <v>42.36666667</v>
      </c>
      <c r="I332" s="150">
        <f t="shared" si="3"/>
        <v>1.765277778</v>
      </c>
      <c r="J332" s="147" t="s">
        <v>3678</v>
      </c>
      <c r="K332" s="151">
        <f t="shared" si="4"/>
        <v>0</v>
      </c>
      <c r="L332" s="147" t="s">
        <v>3678</v>
      </c>
      <c r="M332" s="147" t="s">
        <v>5099</v>
      </c>
      <c r="N332" s="151">
        <f t="shared" si="5"/>
        <v>29.48333333</v>
      </c>
      <c r="O332" s="147" t="s">
        <v>4228</v>
      </c>
      <c r="P332" s="151">
        <f t="shared" si="6"/>
        <v>12.88333333</v>
      </c>
    </row>
    <row r="333">
      <c r="A333" s="147" t="s">
        <v>5100</v>
      </c>
      <c r="B333" s="147" t="s">
        <v>5101</v>
      </c>
      <c r="C333" s="147" t="s">
        <v>3675</v>
      </c>
      <c r="D333" s="147" t="s">
        <v>3676</v>
      </c>
      <c r="E333" s="147" t="s">
        <v>4861</v>
      </c>
      <c r="F333" s="148">
        <v>39.0</v>
      </c>
      <c r="G333" s="149">
        <f t="shared" si="1"/>
        <v>39</v>
      </c>
      <c r="H333" s="149">
        <f t="shared" si="2"/>
        <v>39</v>
      </c>
      <c r="I333" s="150">
        <f t="shared" si="3"/>
        <v>1.625</v>
      </c>
      <c r="J333" s="147" t="s">
        <v>3678</v>
      </c>
      <c r="K333" s="151">
        <f t="shared" si="4"/>
        <v>0</v>
      </c>
      <c r="L333" s="147" t="s">
        <v>3678</v>
      </c>
      <c r="M333" s="147" t="s">
        <v>5102</v>
      </c>
      <c r="N333" s="151">
        <f t="shared" si="5"/>
        <v>18.96666667</v>
      </c>
      <c r="O333" s="147" t="s">
        <v>5103</v>
      </c>
      <c r="P333" s="151">
        <f t="shared" si="6"/>
        <v>20.03333333</v>
      </c>
    </row>
    <row r="334">
      <c r="A334" s="147" t="s">
        <v>5104</v>
      </c>
      <c r="B334" s="147" t="s">
        <v>1949</v>
      </c>
      <c r="C334" s="147" t="s">
        <v>3675</v>
      </c>
      <c r="D334" s="147" t="s">
        <v>3692</v>
      </c>
      <c r="E334" s="147" t="s">
        <v>3878</v>
      </c>
      <c r="F334" s="148">
        <v>40.11666666666667</v>
      </c>
      <c r="G334" s="149">
        <f t="shared" si="1"/>
        <v>38.5</v>
      </c>
      <c r="H334" s="149">
        <f t="shared" si="2"/>
        <v>38.5</v>
      </c>
      <c r="I334" s="150">
        <f t="shared" si="3"/>
        <v>1.604166667</v>
      </c>
      <c r="J334" s="147" t="s">
        <v>4696</v>
      </c>
      <c r="K334" s="148">
        <f t="shared" si="4"/>
        <v>1.616666667</v>
      </c>
      <c r="L334" s="152">
        <v>0.0404</v>
      </c>
      <c r="M334" s="147" t="s">
        <v>4879</v>
      </c>
      <c r="N334" s="148">
        <f t="shared" si="5"/>
        <v>30.9</v>
      </c>
      <c r="O334" s="147" t="s">
        <v>5105</v>
      </c>
      <c r="P334" s="148">
        <f t="shared" si="6"/>
        <v>7.6</v>
      </c>
    </row>
    <row r="335">
      <c r="A335" s="147" t="s">
        <v>5106</v>
      </c>
      <c r="B335" s="147" t="s">
        <v>295</v>
      </c>
      <c r="C335" s="147" t="s">
        <v>3675</v>
      </c>
      <c r="D335" s="147" t="s">
        <v>4028</v>
      </c>
      <c r="E335" s="147" t="s">
        <v>5107</v>
      </c>
      <c r="F335" s="148">
        <v>55.083333333333336</v>
      </c>
      <c r="G335" s="149">
        <f t="shared" si="1"/>
        <v>55.08333333</v>
      </c>
      <c r="H335" s="149">
        <f t="shared" si="2"/>
        <v>55.06666667</v>
      </c>
      <c r="I335" s="150">
        <f t="shared" si="3"/>
        <v>2.294444444</v>
      </c>
      <c r="J335" s="147" t="s">
        <v>3678</v>
      </c>
      <c r="K335" s="151">
        <f t="shared" si="4"/>
        <v>0</v>
      </c>
      <c r="L335" s="147" t="s">
        <v>3678</v>
      </c>
      <c r="M335" s="147" t="s">
        <v>5108</v>
      </c>
      <c r="N335" s="151">
        <f t="shared" si="5"/>
        <v>31.2</v>
      </c>
      <c r="O335" s="147" t="s">
        <v>5109</v>
      </c>
      <c r="P335" s="151">
        <f t="shared" si="6"/>
        <v>23.86666667</v>
      </c>
    </row>
    <row r="336">
      <c r="A336" s="147" t="s">
        <v>5110</v>
      </c>
      <c r="B336" s="147" t="s">
        <v>5111</v>
      </c>
      <c r="C336" s="147" t="s">
        <v>3675</v>
      </c>
      <c r="D336" s="147" t="s">
        <v>3630</v>
      </c>
      <c r="E336" s="147" t="s">
        <v>5112</v>
      </c>
      <c r="F336" s="148">
        <v>40.65</v>
      </c>
      <c r="G336" s="149">
        <f t="shared" si="1"/>
        <v>37.73333333</v>
      </c>
      <c r="H336" s="149">
        <f t="shared" si="2"/>
        <v>37.71666667</v>
      </c>
      <c r="I336" s="150">
        <f t="shared" si="3"/>
        <v>1.571527778</v>
      </c>
      <c r="J336" s="147" t="s">
        <v>5113</v>
      </c>
      <c r="K336" s="148">
        <f t="shared" si="4"/>
        <v>2.916666667</v>
      </c>
      <c r="L336" s="152">
        <v>0.0721</v>
      </c>
      <c r="M336" s="147" t="s">
        <v>5114</v>
      </c>
      <c r="N336" s="148">
        <f t="shared" si="5"/>
        <v>22.75</v>
      </c>
      <c r="O336" s="147" t="s">
        <v>5115</v>
      </c>
      <c r="P336" s="148">
        <f t="shared" si="6"/>
        <v>14.96666667</v>
      </c>
    </row>
    <row r="337">
      <c r="A337" s="147" t="s">
        <v>5116</v>
      </c>
      <c r="B337" s="147" t="s">
        <v>439</v>
      </c>
      <c r="C337" s="147" t="s">
        <v>3675</v>
      </c>
      <c r="D337" s="147" t="s">
        <v>3676</v>
      </c>
      <c r="E337" s="147" t="s">
        <v>5117</v>
      </c>
      <c r="F337" s="148">
        <v>51.016666666666666</v>
      </c>
      <c r="G337" s="149">
        <f t="shared" si="1"/>
        <v>51.01666667</v>
      </c>
      <c r="H337" s="149">
        <f t="shared" si="2"/>
        <v>51</v>
      </c>
      <c r="I337" s="150">
        <f t="shared" si="3"/>
        <v>2.125</v>
      </c>
      <c r="J337" s="147" t="s">
        <v>3678</v>
      </c>
      <c r="K337" s="151">
        <f t="shared" si="4"/>
        <v>0</v>
      </c>
      <c r="L337" s="147" t="s">
        <v>3678</v>
      </c>
      <c r="M337" s="147" t="s">
        <v>5118</v>
      </c>
      <c r="N337" s="151">
        <f t="shared" si="5"/>
        <v>29.3</v>
      </c>
      <c r="O337" s="147" t="s">
        <v>5119</v>
      </c>
      <c r="P337" s="151">
        <f t="shared" si="6"/>
        <v>21.7</v>
      </c>
    </row>
    <row r="338">
      <c r="A338" s="147" t="s">
        <v>5120</v>
      </c>
      <c r="B338" s="147" t="s">
        <v>165</v>
      </c>
      <c r="C338" s="147" t="s">
        <v>3675</v>
      </c>
      <c r="D338" s="147" t="s">
        <v>3686</v>
      </c>
      <c r="E338" s="147" t="s">
        <v>5121</v>
      </c>
      <c r="F338" s="148">
        <v>46.983333333333334</v>
      </c>
      <c r="G338" s="149">
        <f t="shared" si="1"/>
        <v>46.98333333</v>
      </c>
      <c r="H338" s="149">
        <f t="shared" si="2"/>
        <v>46.96666667</v>
      </c>
      <c r="I338" s="150">
        <f t="shared" si="3"/>
        <v>1.956944444</v>
      </c>
      <c r="J338" s="147" t="s">
        <v>3678</v>
      </c>
      <c r="K338" s="151">
        <f t="shared" si="4"/>
        <v>0</v>
      </c>
      <c r="L338" s="147" t="s">
        <v>3678</v>
      </c>
      <c r="M338" s="147" t="s">
        <v>5005</v>
      </c>
      <c r="N338" s="151">
        <f t="shared" si="5"/>
        <v>39.41666667</v>
      </c>
      <c r="O338" s="147" t="s">
        <v>4889</v>
      </c>
      <c r="P338" s="151">
        <f t="shared" si="6"/>
        <v>7.55</v>
      </c>
    </row>
    <row r="339">
      <c r="A339" s="147" t="s">
        <v>5122</v>
      </c>
      <c r="B339" s="147" t="s">
        <v>815</v>
      </c>
      <c r="C339" s="147" t="s">
        <v>3675</v>
      </c>
      <c r="D339" s="147" t="s">
        <v>3676</v>
      </c>
      <c r="E339" s="147" t="s">
        <v>5123</v>
      </c>
      <c r="F339" s="148">
        <v>35.68333333333333</v>
      </c>
      <c r="G339" s="149">
        <f t="shared" si="1"/>
        <v>35.68333333</v>
      </c>
      <c r="H339" s="149">
        <f t="shared" si="2"/>
        <v>35.66666667</v>
      </c>
      <c r="I339" s="150">
        <f t="shared" si="3"/>
        <v>1.486111111</v>
      </c>
      <c r="J339" s="147" t="s">
        <v>3678</v>
      </c>
      <c r="K339" s="151">
        <f t="shared" si="4"/>
        <v>0</v>
      </c>
      <c r="L339" s="147" t="s">
        <v>3678</v>
      </c>
      <c r="M339" s="147" t="s">
        <v>3883</v>
      </c>
      <c r="N339" s="151">
        <f t="shared" si="5"/>
        <v>20.25</v>
      </c>
      <c r="O339" s="147" t="s">
        <v>5124</v>
      </c>
      <c r="P339" s="151">
        <f t="shared" si="6"/>
        <v>15.41666667</v>
      </c>
    </row>
    <row r="340">
      <c r="A340" s="147" t="s">
        <v>5125</v>
      </c>
      <c r="B340" s="147" t="s">
        <v>756</v>
      </c>
      <c r="C340" s="147" t="s">
        <v>3675</v>
      </c>
      <c r="D340" s="147" t="s">
        <v>4695</v>
      </c>
      <c r="E340" s="147" t="s">
        <v>5126</v>
      </c>
      <c r="F340" s="148">
        <v>36.68333333333333</v>
      </c>
      <c r="G340" s="149">
        <f t="shared" si="1"/>
        <v>36.68333333</v>
      </c>
      <c r="H340" s="149">
        <f t="shared" si="2"/>
        <v>36.66666667</v>
      </c>
      <c r="I340" s="150">
        <f t="shared" si="3"/>
        <v>1.527777778</v>
      </c>
      <c r="J340" s="147" t="s">
        <v>3678</v>
      </c>
      <c r="K340" s="151">
        <f t="shared" si="4"/>
        <v>0</v>
      </c>
      <c r="L340" s="147" t="s">
        <v>3678</v>
      </c>
      <c r="M340" s="147" t="s">
        <v>4525</v>
      </c>
      <c r="N340" s="151">
        <f t="shared" si="5"/>
        <v>28.35</v>
      </c>
      <c r="O340" s="147" t="s">
        <v>5127</v>
      </c>
      <c r="P340" s="151">
        <f t="shared" si="6"/>
        <v>8.316666667</v>
      </c>
    </row>
    <row r="341">
      <c r="A341" s="147" t="s">
        <v>5128</v>
      </c>
      <c r="B341" s="147" t="s">
        <v>5129</v>
      </c>
      <c r="C341" s="147" t="s">
        <v>3675</v>
      </c>
      <c r="D341" s="147" t="s">
        <v>3709</v>
      </c>
      <c r="E341" s="147" t="s">
        <v>5130</v>
      </c>
      <c r="F341" s="148">
        <v>53.53333333333333</v>
      </c>
      <c r="G341" s="149">
        <f t="shared" si="1"/>
        <v>53.53333333</v>
      </c>
      <c r="H341" s="149">
        <f t="shared" si="2"/>
        <v>53.51666667</v>
      </c>
      <c r="I341" s="150">
        <f t="shared" si="3"/>
        <v>2.229861111</v>
      </c>
      <c r="J341" s="147" t="s">
        <v>3678</v>
      </c>
      <c r="K341" s="151">
        <f t="shared" si="4"/>
        <v>0</v>
      </c>
      <c r="L341" s="147" t="s">
        <v>3678</v>
      </c>
      <c r="M341" s="147" t="s">
        <v>5131</v>
      </c>
      <c r="N341" s="151">
        <f t="shared" si="5"/>
        <v>39.66666667</v>
      </c>
      <c r="O341" s="147" t="s">
        <v>5132</v>
      </c>
      <c r="P341" s="151">
        <f t="shared" si="6"/>
        <v>13.85</v>
      </c>
    </row>
    <row r="342">
      <c r="A342" s="147" t="s">
        <v>5133</v>
      </c>
      <c r="B342" s="147" t="s">
        <v>5134</v>
      </c>
      <c r="C342" s="147" t="s">
        <v>3675</v>
      </c>
      <c r="D342" s="147" t="s">
        <v>3676</v>
      </c>
      <c r="E342" s="147" t="s">
        <v>5135</v>
      </c>
      <c r="F342" s="148">
        <v>31.616666666666667</v>
      </c>
      <c r="G342" s="149">
        <f t="shared" si="1"/>
        <v>31.61666667</v>
      </c>
      <c r="H342" s="149">
        <f t="shared" si="2"/>
        <v>31.6</v>
      </c>
      <c r="I342" s="150">
        <f t="shared" si="3"/>
        <v>1.316666667</v>
      </c>
      <c r="J342" s="147" t="s">
        <v>3678</v>
      </c>
      <c r="K342" s="151">
        <f t="shared" si="4"/>
        <v>0</v>
      </c>
      <c r="L342" s="147" t="s">
        <v>3678</v>
      </c>
      <c r="M342" s="147" t="s">
        <v>5136</v>
      </c>
      <c r="N342" s="151">
        <f t="shared" si="5"/>
        <v>21.48333333</v>
      </c>
      <c r="O342" s="147" t="s">
        <v>5137</v>
      </c>
      <c r="P342" s="151">
        <f t="shared" si="6"/>
        <v>10.11666667</v>
      </c>
    </row>
    <row r="343">
      <c r="A343" s="147" t="s">
        <v>5138</v>
      </c>
      <c r="B343" s="147" t="s">
        <v>5139</v>
      </c>
      <c r="C343" s="147" t="s">
        <v>3675</v>
      </c>
      <c r="D343" s="147" t="s">
        <v>3692</v>
      </c>
      <c r="E343" s="147" t="s">
        <v>4775</v>
      </c>
      <c r="F343" s="148">
        <v>40.03333333333333</v>
      </c>
      <c r="G343" s="149">
        <f t="shared" si="1"/>
        <v>40.03333333</v>
      </c>
      <c r="H343" s="149">
        <f t="shared" si="2"/>
        <v>40.01666667</v>
      </c>
      <c r="I343" s="150">
        <f t="shared" si="3"/>
        <v>1.667361111</v>
      </c>
      <c r="J343" s="147" t="s">
        <v>3678</v>
      </c>
      <c r="K343" s="151">
        <f t="shared" si="4"/>
        <v>0</v>
      </c>
      <c r="L343" s="147" t="s">
        <v>3678</v>
      </c>
      <c r="M343" s="147" t="s">
        <v>4922</v>
      </c>
      <c r="N343" s="151">
        <f t="shared" si="5"/>
        <v>29.93333333</v>
      </c>
      <c r="O343" s="147" t="s">
        <v>5140</v>
      </c>
      <c r="P343" s="151">
        <f t="shared" si="6"/>
        <v>10.08333333</v>
      </c>
    </row>
    <row r="344">
      <c r="A344" s="147" t="s">
        <v>5141</v>
      </c>
      <c r="B344" s="147" t="s">
        <v>5142</v>
      </c>
      <c r="C344" s="147" t="s">
        <v>3675</v>
      </c>
      <c r="D344" s="147" t="s">
        <v>3676</v>
      </c>
      <c r="E344" s="147" t="s">
        <v>3904</v>
      </c>
      <c r="F344" s="148">
        <v>1.3666666666666667</v>
      </c>
      <c r="G344" s="149">
        <f t="shared" si="1"/>
        <v>1.166666667</v>
      </c>
      <c r="H344" s="149">
        <f t="shared" si="2"/>
        <v>1.15</v>
      </c>
      <c r="I344" s="150">
        <f t="shared" si="3"/>
        <v>0.04791666667</v>
      </c>
      <c r="J344" s="147" t="s">
        <v>3787</v>
      </c>
      <c r="K344" s="148">
        <f t="shared" si="4"/>
        <v>0.2</v>
      </c>
      <c r="L344" s="152">
        <v>0.154</v>
      </c>
      <c r="M344" s="147" t="s">
        <v>4351</v>
      </c>
      <c r="N344" s="148">
        <f t="shared" si="5"/>
        <v>0.5833333333</v>
      </c>
      <c r="O344" s="147" t="s">
        <v>3719</v>
      </c>
      <c r="P344" s="148">
        <f t="shared" si="6"/>
        <v>0.5666666667</v>
      </c>
    </row>
    <row r="345">
      <c r="A345" s="147" t="s">
        <v>5143</v>
      </c>
      <c r="B345" s="147" t="s">
        <v>1157</v>
      </c>
      <c r="C345" s="147" t="s">
        <v>3675</v>
      </c>
      <c r="D345" s="147" t="s">
        <v>3676</v>
      </c>
      <c r="E345" s="147" t="s">
        <v>5144</v>
      </c>
      <c r="F345" s="148">
        <v>27.066666666666666</v>
      </c>
      <c r="G345" s="149">
        <f t="shared" si="1"/>
        <v>27.06666667</v>
      </c>
      <c r="H345" s="149">
        <f t="shared" si="2"/>
        <v>27.06666667</v>
      </c>
      <c r="I345" s="150">
        <f t="shared" si="3"/>
        <v>1.127777778</v>
      </c>
      <c r="J345" s="147" t="s">
        <v>3678</v>
      </c>
      <c r="K345" s="151">
        <f t="shared" si="4"/>
        <v>0</v>
      </c>
      <c r="L345" s="147" t="s">
        <v>3678</v>
      </c>
      <c r="M345" s="147" t="s">
        <v>5145</v>
      </c>
      <c r="N345" s="151">
        <f t="shared" si="5"/>
        <v>17.38333333</v>
      </c>
      <c r="O345" s="147" t="s">
        <v>3908</v>
      </c>
      <c r="P345" s="151">
        <f t="shared" si="6"/>
        <v>9.683333333</v>
      </c>
    </row>
    <row r="346">
      <c r="A346" s="147" t="s">
        <v>5146</v>
      </c>
      <c r="B346" s="147" t="s">
        <v>5147</v>
      </c>
      <c r="C346" s="147" t="s">
        <v>3675</v>
      </c>
      <c r="D346" s="147" t="s">
        <v>3692</v>
      </c>
      <c r="E346" s="147" t="s">
        <v>5148</v>
      </c>
      <c r="F346" s="148">
        <v>39.93333333333333</v>
      </c>
      <c r="G346" s="149">
        <f t="shared" si="1"/>
        <v>39.93333333</v>
      </c>
      <c r="H346" s="149">
        <f t="shared" si="2"/>
        <v>39.91666667</v>
      </c>
      <c r="I346" s="150">
        <f t="shared" si="3"/>
        <v>1.663194444</v>
      </c>
      <c r="J346" s="147" t="s">
        <v>3678</v>
      </c>
      <c r="K346" s="151">
        <f t="shared" si="4"/>
        <v>0</v>
      </c>
      <c r="L346" s="147" t="s">
        <v>3678</v>
      </c>
      <c r="M346" s="147" t="s">
        <v>5149</v>
      </c>
      <c r="N346" s="151">
        <f t="shared" si="5"/>
        <v>32.23333333</v>
      </c>
      <c r="O346" s="147" t="s">
        <v>5150</v>
      </c>
      <c r="P346" s="151">
        <f t="shared" si="6"/>
        <v>7.683333333</v>
      </c>
    </row>
    <row r="347">
      <c r="A347" s="147" t="s">
        <v>5151</v>
      </c>
      <c r="B347" s="147" t="s">
        <v>293</v>
      </c>
      <c r="C347" s="147" t="s">
        <v>3675</v>
      </c>
      <c r="D347" s="147" t="s">
        <v>3709</v>
      </c>
      <c r="E347" s="147" t="s">
        <v>5152</v>
      </c>
      <c r="F347" s="148">
        <v>66.58333333333333</v>
      </c>
      <c r="G347" s="149">
        <f t="shared" si="1"/>
        <v>66.03333333</v>
      </c>
      <c r="H347" s="149">
        <f t="shared" si="2"/>
        <v>66.01666667</v>
      </c>
      <c r="I347" s="150">
        <f t="shared" si="3"/>
        <v>2.750694444</v>
      </c>
      <c r="J347" s="147" t="s">
        <v>4053</v>
      </c>
      <c r="K347" s="148">
        <f t="shared" si="4"/>
        <v>0.55</v>
      </c>
      <c r="L347" s="152">
        <v>0.0083</v>
      </c>
      <c r="M347" s="147" t="s">
        <v>4734</v>
      </c>
      <c r="N347" s="148">
        <f t="shared" si="5"/>
        <v>31.9</v>
      </c>
      <c r="O347" s="147" t="s">
        <v>5075</v>
      </c>
      <c r="P347" s="148">
        <f t="shared" si="6"/>
        <v>34.11666667</v>
      </c>
    </row>
    <row r="348">
      <c r="A348" s="147" t="s">
        <v>5153</v>
      </c>
      <c r="B348" s="147" t="s">
        <v>5154</v>
      </c>
      <c r="C348" s="147" t="s">
        <v>3675</v>
      </c>
      <c r="D348" s="147" t="s">
        <v>3692</v>
      </c>
      <c r="E348" s="147" t="s">
        <v>4665</v>
      </c>
      <c r="F348" s="148">
        <v>40.05</v>
      </c>
      <c r="G348" s="149">
        <f t="shared" si="1"/>
        <v>40.05</v>
      </c>
      <c r="H348" s="149">
        <f t="shared" si="2"/>
        <v>40.03333333</v>
      </c>
      <c r="I348" s="150">
        <f t="shared" si="3"/>
        <v>1.668055556</v>
      </c>
      <c r="J348" s="147" t="s">
        <v>3678</v>
      </c>
      <c r="K348" s="151">
        <f t="shared" si="4"/>
        <v>0</v>
      </c>
      <c r="L348" s="147" t="s">
        <v>3678</v>
      </c>
      <c r="M348" s="147" t="s">
        <v>5155</v>
      </c>
      <c r="N348" s="151">
        <f t="shared" si="5"/>
        <v>33.4</v>
      </c>
      <c r="O348" s="147" t="s">
        <v>5156</v>
      </c>
      <c r="P348" s="151">
        <f t="shared" si="6"/>
        <v>6.633333333</v>
      </c>
    </row>
    <row r="349">
      <c r="A349" s="147" t="s">
        <v>5157</v>
      </c>
      <c r="B349" s="147" t="s">
        <v>723</v>
      </c>
      <c r="C349" s="147" t="s">
        <v>3675</v>
      </c>
      <c r="D349" s="147" t="s">
        <v>3676</v>
      </c>
      <c r="E349" s="147" t="s">
        <v>4851</v>
      </c>
      <c r="F349" s="148">
        <v>43.2</v>
      </c>
      <c r="G349" s="149">
        <f t="shared" si="1"/>
        <v>43.2</v>
      </c>
      <c r="H349" s="149">
        <f t="shared" si="2"/>
        <v>43.2</v>
      </c>
      <c r="I349" s="150">
        <f t="shared" si="3"/>
        <v>1.8</v>
      </c>
      <c r="J349" s="147" t="s">
        <v>3678</v>
      </c>
      <c r="K349" s="151">
        <f t="shared" si="4"/>
        <v>0</v>
      </c>
      <c r="L349" s="147" t="s">
        <v>3678</v>
      </c>
      <c r="M349" s="147" t="s">
        <v>4084</v>
      </c>
      <c r="N349" s="151">
        <f t="shared" si="5"/>
        <v>29.35</v>
      </c>
      <c r="O349" s="147" t="s">
        <v>5132</v>
      </c>
      <c r="P349" s="151">
        <f t="shared" si="6"/>
        <v>13.85</v>
      </c>
    </row>
    <row r="350">
      <c r="A350" s="147" t="s">
        <v>5158</v>
      </c>
      <c r="B350" s="147" t="s">
        <v>5159</v>
      </c>
      <c r="C350" s="147" t="s">
        <v>3675</v>
      </c>
      <c r="D350" s="147" t="s">
        <v>3692</v>
      </c>
      <c r="E350" s="147" t="s">
        <v>5160</v>
      </c>
      <c r="F350" s="148">
        <v>44.7</v>
      </c>
      <c r="G350" s="149">
        <f t="shared" si="1"/>
        <v>44.7</v>
      </c>
      <c r="H350" s="149">
        <f t="shared" si="2"/>
        <v>44.7</v>
      </c>
      <c r="I350" s="150">
        <f t="shared" si="3"/>
        <v>1.8625</v>
      </c>
      <c r="J350" s="147" t="s">
        <v>3678</v>
      </c>
      <c r="K350" s="151">
        <f t="shared" si="4"/>
        <v>0</v>
      </c>
      <c r="L350" s="147" t="s">
        <v>3678</v>
      </c>
      <c r="M350" s="147" t="s">
        <v>4282</v>
      </c>
      <c r="N350" s="151">
        <f t="shared" si="5"/>
        <v>41.86666667</v>
      </c>
      <c r="O350" s="147" t="s">
        <v>5161</v>
      </c>
      <c r="P350" s="151">
        <f t="shared" si="6"/>
        <v>2.833333333</v>
      </c>
    </row>
    <row r="351">
      <c r="A351" s="147" t="s">
        <v>5162</v>
      </c>
      <c r="B351" s="147" t="s">
        <v>5163</v>
      </c>
      <c r="C351" s="147" t="s">
        <v>3675</v>
      </c>
      <c r="D351" s="147" t="s">
        <v>3676</v>
      </c>
      <c r="E351" s="147" t="s">
        <v>5164</v>
      </c>
      <c r="F351" s="148">
        <v>43.583333333333336</v>
      </c>
      <c r="G351" s="149">
        <f t="shared" si="1"/>
        <v>43.58333333</v>
      </c>
      <c r="H351" s="149">
        <f t="shared" si="2"/>
        <v>43.56666667</v>
      </c>
      <c r="I351" s="150">
        <f t="shared" si="3"/>
        <v>1.815277778</v>
      </c>
      <c r="J351" s="147" t="s">
        <v>3678</v>
      </c>
      <c r="K351" s="151">
        <f t="shared" si="4"/>
        <v>0</v>
      </c>
      <c r="L351" s="147" t="s">
        <v>3678</v>
      </c>
      <c r="M351" s="147" t="s">
        <v>3936</v>
      </c>
      <c r="N351" s="151">
        <f t="shared" si="5"/>
        <v>19.78333333</v>
      </c>
      <c r="O351" s="147" t="s">
        <v>4599</v>
      </c>
      <c r="P351" s="151">
        <f t="shared" si="6"/>
        <v>23.78333333</v>
      </c>
    </row>
    <row r="352">
      <c r="A352" s="147" t="s">
        <v>5165</v>
      </c>
      <c r="B352" s="147" t="s">
        <v>5166</v>
      </c>
      <c r="C352" s="147" t="s">
        <v>3675</v>
      </c>
      <c r="D352" s="147" t="s">
        <v>3939</v>
      </c>
      <c r="E352" s="147" t="s">
        <v>5167</v>
      </c>
      <c r="F352" s="148">
        <v>41.5</v>
      </c>
      <c r="G352" s="149">
        <f t="shared" si="1"/>
        <v>41.33333333</v>
      </c>
      <c r="H352" s="149">
        <f t="shared" si="2"/>
        <v>41.31666667</v>
      </c>
      <c r="I352" s="150">
        <f t="shared" si="3"/>
        <v>1.721527778</v>
      </c>
      <c r="J352" s="147" t="s">
        <v>3724</v>
      </c>
      <c r="K352" s="148">
        <f t="shared" si="4"/>
        <v>0.1666666667</v>
      </c>
      <c r="L352" s="152">
        <v>0.0041</v>
      </c>
      <c r="M352" s="147" t="s">
        <v>5168</v>
      </c>
      <c r="N352" s="148">
        <f t="shared" si="5"/>
        <v>29.66666667</v>
      </c>
      <c r="O352" s="147" t="s">
        <v>5169</v>
      </c>
      <c r="P352" s="148">
        <f t="shared" si="6"/>
        <v>11.65</v>
      </c>
    </row>
    <row r="353">
      <c r="A353" s="147" t="s">
        <v>5170</v>
      </c>
      <c r="B353" s="147" t="s">
        <v>5171</v>
      </c>
      <c r="C353" s="147" t="s">
        <v>3675</v>
      </c>
      <c r="D353" s="147" t="s">
        <v>3709</v>
      </c>
      <c r="E353" s="147" t="s">
        <v>4333</v>
      </c>
      <c r="F353" s="148">
        <v>40.2</v>
      </c>
      <c r="G353" s="149">
        <f t="shared" si="1"/>
        <v>40.2</v>
      </c>
      <c r="H353" s="149">
        <f t="shared" si="2"/>
        <v>40.2</v>
      </c>
      <c r="I353" s="150">
        <f t="shared" si="3"/>
        <v>1.675</v>
      </c>
      <c r="J353" s="147" t="s">
        <v>3678</v>
      </c>
      <c r="K353" s="151">
        <f t="shared" si="4"/>
        <v>0</v>
      </c>
      <c r="L353" s="147" t="s">
        <v>3678</v>
      </c>
      <c r="M353" s="147" t="s">
        <v>4030</v>
      </c>
      <c r="N353" s="151">
        <f t="shared" si="5"/>
        <v>29.56666667</v>
      </c>
      <c r="O353" s="147" t="s">
        <v>5172</v>
      </c>
      <c r="P353" s="151">
        <f t="shared" si="6"/>
        <v>10.63333333</v>
      </c>
    </row>
    <row r="354">
      <c r="A354" s="147" t="s">
        <v>5173</v>
      </c>
      <c r="B354" s="147" t="s">
        <v>5174</v>
      </c>
      <c r="C354" s="147" t="s">
        <v>3675</v>
      </c>
      <c r="D354" s="147" t="s">
        <v>3709</v>
      </c>
      <c r="E354" s="147" t="s">
        <v>5175</v>
      </c>
      <c r="F354" s="148">
        <v>31.7</v>
      </c>
      <c r="G354" s="149">
        <f t="shared" si="1"/>
        <v>31.7</v>
      </c>
      <c r="H354" s="149">
        <f t="shared" si="2"/>
        <v>31.68333333</v>
      </c>
      <c r="I354" s="150">
        <f t="shared" si="3"/>
        <v>1.320138889</v>
      </c>
      <c r="J354" s="147" t="s">
        <v>3678</v>
      </c>
      <c r="K354" s="151">
        <f t="shared" si="4"/>
        <v>0</v>
      </c>
      <c r="L354" s="147" t="s">
        <v>3678</v>
      </c>
      <c r="M354" s="147" t="s">
        <v>5176</v>
      </c>
      <c r="N354" s="151">
        <f t="shared" si="5"/>
        <v>25.86666667</v>
      </c>
      <c r="O354" s="147" t="s">
        <v>5177</v>
      </c>
      <c r="P354" s="151">
        <f t="shared" si="6"/>
        <v>5.816666667</v>
      </c>
    </row>
    <row r="355">
      <c r="A355" s="147" t="s">
        <v>5178</v>
      </c>
      <c r="B355" s="147" t="s">
        <v>1122</v>
      </c>
      <c r="C355" s="147" t="s">
        <v>3675</v>
      </c>
      <c r="D355" s="147" t="s">
        <v>3676</v>
      </c>
      <c r="E355" s="147" t="s">
        <v>3970</v>
      </c>
      <c r="F355" s="148">
        <v>39.766666666666666</v>
      </c>
      <c r="G355" s="149">
        <f t="shared" si="1"/>
        <v>39.55</v>
      </c>
      <c r="H355" s="149">
        <f t="shared" si="2"/>
        <v>39.53333333</v>
      </c>
      <c r="I355" s="150">
        <f t="shared" si="3"/>
        <v>1.647222222</v>
      </c>
      <c r="J355" s="147" t="s">
        <v>3756</v>
      </c>
      <c r="K355" s="148">
        <f t="shared" si="4"/>
        <v>0.2166666667</v>
      </c>
      <c r="L355" s="152">
        <v>0.0057</v>
      </c>
      <c r="M355" s="147" t="s">
        <v>5179</v>
      </c>
      <c r="N355" s="148">
        <f t="shared" si="5"/>
        <v>28.03333333</v>
      </c>
      <c r="O355" s="147" t="s">
        <v>5180</v>
      </c>
      <c r="P355" s="148">
        <f t="shared" si="6"/>
        <v>11.5</v>
      </c>
    </row>
    <row r="356">
      <c r="A356" s="147" t="s">
        <v>5181</v>
      </c>
      <c r="B356" s="147" t="s">
        <v>5182</v>
      </c>
      <c r="C356" s="147" t="s">
        <v>3675</v>
      </c>
      <c r="D356" s="147" t="s">
        <v>3676</v>
      </c>
      <c r="E356" s="147" t="s">
        <v>4602</v>
      </c>
      <c r="F356" s="148">
        <v>41.36666666666667</v>
      </c>
      <c r="G356" s="149">
        <f t="shared" si="1"/>
        <v>40.91666667</v>
      </c>
      <c r="H356" s="149">
        <f t="shared" si="2"/>
        <v>40.9</v>
      </c>
      <c r="I356" s="150">
        <f t="shared" si="3"/>
        <v>1.704166667</v>
      </c>
      <c r="J356" s="147" t="s">
        <v>5183</v>
      </c>
      <c r="K356" s="148">
        <f t="shared" si="4"/>
        <v>0.45</v>
      </c>
      <c r="L356" s="152">
        <v>0.011</v>
      </c>
      <c r="M356" s="147" t="s">
        <v>4739</v>
      </c>
      <c r="N356" s="148">
        <f t="shared" si="5"/>
        <v>34.53333333</v>
      </c>
      <c r="O356" s="147" t="s">
        <v>5184</v>
      </c>
      <c r="P356" s="148">
        <f t="shared" si="6"/>
        <v>6.366666667</v>
      </c>
    </row>
    <row r="357">
      <c r="A357" s="147" t="s">
        <v>5185</v>
      </c>
      <c r="B357" s="147" t="s">
        <v>986</v>
      </c>
      <c r="C357" s="147" t="s">
        <v>3675</v>
      </c>
      <c r="D357" s="147" t="s">
        <v>3676</v>
      </c>
      <c r="E357" s="147" t="s">
        <v>5186</v>
      </c>
      <c r="F357" s="148">
        <v>44.516666666666666</v>
      </c>
      <c r="G357" s="149">
        <f t="shared" si="1"/>
        <v>44.51666667</v>
      </c>
      <c r="H357" s="149">
        <f t="shared" si="2"/>
        <v>44.51666667</v>
      </c>
      <c r="I357" s="150">
        <f t="shared" si="3"/>
        <v>1.854861111</v>
      </c>
      <c r="J357" s="147" t="s">
        <v>3678</v>
      </c>
      <c r="K357" s="151">
        <f t="shared" si="4"/>
        <v>0</v>
      </c>
      <c r="L357" s="147" t="s">
        <v>3678</v>
      </c>
      <c r="M357" s="147" t="s">
        <v>4030</v>
      </c>
      <c r="N357" s="151">
        <f t="shared" si="5"/>
        <v>29.56666667</v>
      </c>
      <c r="O357" s="147" t="s">
        <v>5187</v>
      </c>
      <c r="P357" s="151">
        <f t="shared" si="6"/>
        <v>14.95</v>
      </c>
    </row>
    <row r="358">
      <c r="A358" s="147" t="s">
        <v>5188</v>
      </c>
      <c r="B358" s="147" t="s">
        <v>5189</v>
      </c>
      <c r="C358" s="147" t="s">
        <v>3675</v>
      </c>
      <c r="D358" s="147" t="s">
        <v>4610</v>
      </c>
      <c r="E358" s="147" t="s">
        <v>5190</v>
      </c>
      <c r="F358" s="148">
        <v>45.4</v>
      </c>
      <c r="G358" s="149">
        <f t="shared" si="1"/>
        <v>45.4</v>
      </c>
      <c r="H358" s="149">
        <f t="shared" si="2"/>
        <v>45.38333333</v>
      </c>
      <c r="I358" s="150">
        <f t="shared" si="3"/>
        <v>1.890972222</v>
      </c>
      <c r="J358" s="147" t="s">
        <v>3678</v>
      </c>
      <c r="K358" s="151">
        <f t="shared" si="4"/>
        <v>0</v>
      </c>
      <c r="L358" s="147" t="s">
        <v>3678</v>
      </c>
      <c r="M358" s="147" t="s">
        <v>5191</v>
      </c>
      <c r="N358" s="151">
        <f t="shared" si="5"/>
        <v>37.48333333</v>
      </c>
      <c r="O358" s="147" t="s">
        <v>5192</v>
      </c>
      <c r="P358" s="151">
        <f t="shared" si="6"/>
        <v>7.9</v>
      </c>
    </row>
    <row r="359">
      <c r="A359" s="147" t="s">
        <v>5193</v>
      </c>
      <c r="B359" s="147" t="s">
        <v>5194</v>
      </c>
      <c r="C359" s="147" t="s">
        <v>3675</v>
      </c>
      <c r="D359" s="147" t="s">
        <v>3676</v>
      </c>
      <c r="E359" s="147" t="s">
        <v>5195</v>
      </c>
      <c r="F359" s="148">
        <v>5.5</v>
      </c>
      <c r="G359" s="149">
        <f t="shared" si="1"/>
        <v>5.5</v>
      </c>
      <c r="H359" s="149">
        <f t="shared" si="2"/>
        <v>5.5</v>
      </c>
      <c r="I359" s="150">
        <f t="shared" si="3"/>
        <v>0.2291666667</v>
      </c>
      <c r="J359" s="147" t="s">
        <v>3678</v>
      </c>
      <c r="K359" s="151">
        <f t="shared" si="4"/>
        <v>0</v>
      </c>
      <c r="L359" s="147" t="s">
        <v>3678</v>
      </c>
      <c r="M359" s="147" t="s">
        <v>5196</v>
      </c>
      <c r="N359" s="151">
        <f t="shared" si="5"/>
        <v>4.9</v>
      </c>
      <c r="O359" s="147" t="s">
        <v>4679</v>
      </c>
      <c r="P359" s="151">
        <f t="shared" si="6"/>
        <v>0.6</v>
      </c>
    </row>
    <row r="360">
      <c r="A360" s="147" t="s">
        <v>5197</v>
      </c>
      <c r="B360" s="147" t="s">
        <v>5198</v>
      </c>
      <c r="C360" s="147" t="s">
        <v>3675</v>
      </c>
      <c r="D360" s="147" t="s">
        <v>3676</v>
      </c>
      <c r="E360" s="147" t="s">
        <v>5199</v>
      </c>
      <c r="F360" s="148">
        <v>46.016666666666666</v>
      </c>
      <c r="G360" s="149">
        <f t="shared" si="1"/>
        <v>46.01666667</v>
      </c>
      <c r="H360" s="149">
        <f t="shared" si="2"/>
        <v>46.01666667</v>
      </c>
      <c r="I360" s="150">
        <f t="shared" si="3"/>
        <v>1.917361111</v>
      </c>
      <c r="J360" s="147" t="s">
        <v>3678</v>
      </c>
      <c r="K360" s="151">
        <f t="shared" si="4"/>
        <v>0</v>
      </c>
      <c r="L360" s="147" t="s">
        <v>3678</v>
      </c>
      <c r="M360" s="147" t="s">
        <v>4845</v>
      </c>
      <c r="N360" s="151">
        <f t="shared" si="5"/>
        <v>30.03333333</v>
      </c>
      <c r="O360" s="147" t="s">
        <v>4223</v>
      </c>
      <c r="P360" s="151">
        <f t="shared" si="6"/>
        <v>15.98333333</v>
      </c>
    </row>
    <row r="361">
      <c r="A361" s="147" t="s">
        <v>5200</v>
      </c>
      <c r="B361" s="147" t="s">
        <v>5201</v>
      </c>
      <c r="C361" s="147" t="s">
        <v>3675</v>
      </c>
      <c r="D361" s="147" t="s">
        <v>3676</v>
      </c>
      <c r="E361" s="147" t="s">
        <v>5202</v>
      </c>
      <c r="F361" s="148">
        <v>27.016666666666666</v>
      </c>
      <c r="G361" s="149">
        <f t="shared" si="1"/>
        <v>26.4</v>
      </c>
      <c r="H361" s="149">
        <f t="shared" si="2"/>
        <v>26.36666667</v>
      </c>
      <c r="I361" s="150">
        <f t="shared" si="3"/>
        <v>1.098611111</v>
      </c>
      <c r="J361" s="147" t="s">
        <v>4872</v>
      </c>
      <c r="K361" s="148">
        <f t="shared" si="4"/>
        <v>0.6166666667</v>
      </c>
      <c r="L361" s="152">
        <v>0.0231</v>
      </c>
      <c r="M361" s="147" t="s">
        <v>5203</v>
      </c>
      <c r="N361" s="148">
        <f t="shared" si="5"/>
        <v>13.4</v>
      </c>
      <c r="O361" s="147" t="s">
        <v>5204</v>
      </c>
      <c r="P361" s="148">
        <f t="shared" si="6"/>
        <v>12.96666667</v>
      </c>
    </row>
    <row r="362">
      <c r="A362" s="147" t="s">
        <v>5205</v>
      </c>
      <c r="B362" s="147" t="s">
        <v>5206</v>
      </c>
      <c r="C362" s="147" t="s">
        <v>3675</v>
      </c>
      <c r="D362" s="147" t="s">
        <v>3692</v>
      </c>
      <c r="E362" s="147" t="s">
        <v>3771</v>
      </c>
      <c r="F362" s="148">
        <v>40.93333333333333</v>
      </c>
      <c r="G362" s="149">
        <f t="shared" si="1"/>
        <v>40.93333333</v>
      </c>
      <c r="H362" s="149">
        <f t="shared" si="2"/>
        <v>40.93333333</v>
      </c>
      <c r="I362" s="150">
        <f t="shared" si="3"/>
        <v>1.705555556</v>
      </c>
      <c r="J362" s="147" t="s">
        <v>3678</v>
      </c>
      <c r="K362" s="151">
        <f t="shared" si="4"/>
        <v>0</v>
      </c>
      <c r="L362" s="147" t="s">
        <v>3678</v>
      </c>
      <c r="M362" s="147" t="s">
        <v>5207</v>
      </c>
      <c r="N362" s="151">
        <f t="shared" si="5"/>
        <v>36.65</v>
      </c>
      <c r="O362" s="147" t="s">
        <v>5208</v>
      </c>
      <c r="P362" s="151">
        <f t="shared" si="6"/>
        <v>4.283333333</v>
      </c>
    </row>
    <row r="363">
      <c r="A363" s="147" t="s">
        <v>5209</v>
      </c>
      <c r="B363" s="147" t="s">
        <v>5210</v>
      </c>
      <c r="C363" s="147" t="s">
        <v>3675</v>
      </c>
      <c r="D363" s="147" t="s">
        <v>3676</v>
      </c>
      <c r="E363" s="147" t="s">
        <v>5211</v>
      </c>
      <c r="F363" s="148">
        <v>44.583333333333336</v>
      </c>
      <c r="G363" s="149">
        <f t="shared" si="1"/>
        <v>44.58333333</v>
      </c>
      <c r="H363" s="149">
        <f t="shared" si="2"/>
        <v>44.56666667</v>
      </c>
      <c r="I363" s="150">
        <f t="shared" si="3"/>
        <v>1.856944444</v>
      </c>
      <c r="J363" s="147" t="s">
        <v>3678</v>
      </c>
      <c r="K363" s="151">
        <f t="shared" si="4"/>
        <v>0</v>
      </c>
      <c r="L363" s="147" t="s">
        <v>3678</v>
      </c>
      <c r="M363" s="147" t="s">
        <v>4709</v>
      </c>
      <c r="N363" s="151">
        <f t="shared" si="5"/>
        <v>22.95</v>
      </c>
      <c r="O363" s="147" t="s">
        <v>5212</v>
      </c>
      <c r="P363" s="151">
        <f t="shared" si="6"/>
        <v>21.61666667</v>
      </c>
    </row>
    <row r="364">
      <c r="A364" s="147" t="s">
        <v>5213</v>
      </c>
      <c r="B364" s="147" t="s">
        <v>5214</v>
      </c>
      <c r="C364" s="147" t="s">
        <v>3675</v>
      </c>
      <c r="D364" s="147" t="s">
        <v>3709</v>
      </c>
      <c r="E364" s="147" t="s">
        <v>5215</v>
      </c>
      <c r="F364" s="148">
        <v>22.566666666666666</v>
      </c>
      <c r="G364" s="149">
        <f t="shared" si="1"/>
        <v>22.56666667</v>
      </c>
      <c r="H364" s="149">
        <f t="shared" si="2"/>
        <v>22.55</v>
      </c>
      <c r="I364" s="150">
        <f t="shared" si="3"/>
        <v>0.9395833333</v>
      </c>
      <c r="J364" s="147" t="s">
        <v>3678</v>
      </c>
      <c r="K364" s="151">
        <f t="shared" si="4"/>
        <v>0</v>
      </c>
      <c r="L364" s="147" t="s">
        <v>3678</v>
      </c>
      <c r="M364" s="147" t="s">
        <v>5216</v>
      </c>
      <c r="N364" s="151">
        <f t="shared" si="5"/>
        <v>17</v>
      </c>
      <c r="O364" s="147" t="s">
        <v>5217</v>
      </c>
      <c r="P364" s="151">
        <f t="shared" si="6"/>
        <v>5.55</v>
      </c>
    </row>
    <row r="365">
      <c r="A365" s="147" t="s">
        <v>5218</v>
      </c>
      <c r="B365" s="147" t="s">
        <v>693</v>
      </c>
      <c r="C365" s="147" t="s">
        <v>3675</v>
      </c>
      <c r="D365" s="147" t="s">
        <v>3676</v>
      </c>
      <c r="E365" s="147" t="s">
        <v>5219</v>
      </c>
      <c r="F365" s="148">
        <v>43.25</v>
      </c>
      <c r="G365" s="149">
        <f t="shared" si="1"/>
        <v>43.25</v>
      </c>
      <c r="H365" s="149">
        <f t="shared" si="2"/>
        <v>43.23333333</v>
      </c>
      <c r="I365" s="150">
        <f t="shared" si="3"/>
        <v>1.801388889</v>
      </c>
      <c r="J365" s="147" t="s">
        <v>3678</v>
      </c>
      <c r="K365" s="151">
        <f t="shared" si="4"/>
        <v>0</v>
      </c>
      <c r="L365" s="147" t="s">
        <v>3678</v>
      </c>
      <c r="M365" s="147" t="s">
        <v>5102</v>
      </c>
      <c r="N365" s="151">
        <f t="shared" si="5"/>
        <v>18.96666667</v>
      </c>
      <c r="O365" s="147" t="s">
        <v>5220</v>
      </c>
      <c r="P365" s="151">
        <f t="shared" si="6"/>
        <v>24.26666667</v>
      </c>
    </row>
    <row r="366">
      <c r="A366" s="147" t="s">
        <v>5221</v>
      </c>
      <c r="B366" s="147" t="s">
        <v>1103</v>
      </c>
      <c r="C366" s="147" t="s">
        <v>3675</v>
      </c>
      <c r="D366" s="147" t="s">
        <v>3676</v>
      </c>
      <c r="E366" s="147" t="s">
        <v>3771</v>
      </c>
      <c r="F366" s="148">
        <v>40.93333333333333</v>
      </c>
      <c r="G366" s="149">
        <f t="shared" si="1"/>
        <v>40.15</v>
      </c>
      <c r="H366" s="149">
        <f t="shared" si="2"/>
        <v>40.11666667</v>
      </c>
      <c r="I366" s="150">
        <f t="shared" si="3"/>
        <v>1.671527778</v>
      </c>
      <c r="J366" s="147" t="s">
        <v>4218</v>
      </c>
      <c r="K366" s="148">
        <f t="shared" si="4"/>
        <v>0.7833333333</v>
      </c>
      <c r="L366" s="152">
        <v>0.0193</v>
      </c>
      <c r="M366" s="147" t="s">
        <v>5222</v>
      </c>
      <c r="N366" s="148">
        <f t="shared" si="5"/>
        <v>19.3</v>
      </c>
      <c r="O366" s="147" t="s">
        <v>4495</v>
      </c>
      <c r="P366" s="148">
        <f t="shared" si="6"/>
        <v>20.81666667</v>
      </c>
    </row>
    <row r="367">
      <c r="A367" s="147" t="s">
        <v>5223</v>
      </c>
      <c r="B367" s="147" t="s">
        <v>5224</v>
      </c>
      <c r="C367" s="147" t="s">
        <v>3675</v>
      </c>
      <c r="D367" s="147" t="s">
        <v>3676</v>
      </c>
      <c r="E367" s="147" t="s">
        <v>3816</v>
      </c>
      <c r="F367" s="148">
        <v>38.05</v>
      </c>
      <c r="G367" s="149">
        <f t="shared" si="1"/>
        <v>36.88333333</v>
      </c>
      <c r="H367" s="149">
        <f t="shared" si="2"/>
        <v>36.86666667</v>
      </c>
      <c r="I367" s="150">
        <f t="shared" si="3"/>
        <v>1.536111111</v>
      </c>
      <c r="J367" s="147" t="s">
        <v>4311</v>
      </c>
      <c r="K367" s="148">
        <f t="shared" si="4"/>
        <v>1.166666667</v>
      </c>
      <c r="L367" s="152">
        <v>0.0308</v>
      </c>
      <c r="M367" s="147" t="s">
        <v>5225</v>
      </c>
      <c r="N367" s="148">
        <f t="shared" si="5"/>
        <v>18.68333333</v>
      </c>
      <c r="O367" s="147" t="s">
        <v>5226</v>
      </c>
      <c r="P367" s="148">
        <f t="shared" si="6"/>
        <v>18.18333333</v>
      </c>
    </row>
    <row r="368">
      <c r="A368" s="147" t="s">
        <v>5227</v>
      </c>
      <c r="B368" s="147" t="s">
        <v>5228</v>
      </c>
      <c r="C368" s="147" t="s">
        <v>3675</v>
      </c>
      <c r="D368" s="147" t="s">
        <v>3676</v>
      </c>
      <c r="E368" s="147" t="s">
        <v>4792</v>
      </c>
      <c r="F368" s="148">
        <v>1.05</v>
      </c>
      <c r="G368" s="149">
        <f t="shared" si="1"/>
        <v>1.05</v>
      </c>
      <c r="H368" s="149">
        <f t="shared" si="2"/>
        <v>1.05</v>
      </c>
      <c r="I368" s="150">
        <f t="shared" si="3"/>
        <v>0.04375</v>
      </c>
      <c r="J368" s="147" t="s">
        <v>3678</v>
      </c>
      <c r="K368" s="151">
        <f t="shared" si="4"/>
        <v>0</v>
      </c>
      <c r="L368" s="147" t="s">
        <v>3678</v>
      </c>
      <c r="M368" s="147" t="s">
        <v>4872</v>
      </c>
      <c r="N368" s="151">
        <f t="shared" si="5"/>
        <v>0.6166666667</v>
      </c>
      <c r="O368" s="147" t="s">
        <v>3777</v>
      </c>
      <c r="P368" s="151">
        <f t="shared" si="6"/>
        <v>0.4333333333</v>
      </c>
    </row>
    <row r="369">
      <c r="A369" s="147" t="s">
        <v>5229</v>
      </c>
      <c r="B369" s="147" t="s">
        <v>5230</v>
      </c>
      <c r="C369" s="147" t="s">
        <v>3675</v>
      </c>
      <c r="D369" s="147" t="s">
        <v>3735</v>
      </c>
      <c r="E369" s="147" t="s">
        <v>3955</v>
      </c>
      <c r="F369" s="148">
        <v>51.1</v>
      </c>
      <c r="G369" s="149">
        <f t="shared" si="1"/>
        <v>51.1</v>
      </c>
      <c r="H369" s="149">
        <f t="shared" si="2"/>
        <v>51.08333333</v>
      </c>
      <c r="I369" s="150">
        <f t="shared" si="3"/>
        <v>2.128472222</v>
      </c>
      <c r="J369" s="147" t="s">
        <v>3678</v>
      </c>
      <c r="K369" s="151">
        <f t="shared" si="4"/>
        <v>0</v>
      </c>
      <c r="L369" s="147" t="s">
        <v>3678</v>
      </c>
      <c r="M369" s="147" t="s">
        <v>5231</v>
      </c>
      <c r="N369" s="151">
        <f t="shared" si="5"/>
        <v>38.11666667</v>
      </c>
      <c r="O369" s="147" t="s">
        <v>5204</v>
      </c>
      <c r="P369" s="151">
        <f t="shared" si="6"/>
        <v>12.96666667</v>
      </c>
    </row>
    <row r="370">
      <c r="A370" s="147" t="s">
        <v>5232</v>
      </c>
      <c r="B370" s="147" t="s">
        <v>624</v>
      </c>
      <c r="C370" s="147" t="s">
        <v>3675</v>
      </c>
      <c r="D370" s="147" t="s">
        <v>4737</v>
      </c>
      <c r="E370" s="147" t="s">
        <v>5233</v>
      </c>
      <c r="F370" s="148">
        <v>45.5</v>
      </c>
      <c r="G370" s="149">
        <f t="shared" si="1"/>
        <v>44.85</v>
      </c>
      <c r="H370" s="149">
        <f t="shared" si="2"/>
        <v>44.83333333</v>
      </c>
      <c r="I370" s="150">
        <f t="shared" si="3"/>
        <v>1.868055556</v>
      </c>
      <c r="J370" s="147" t="s">
        <v>4042</v>
      </c>
      <c r="K370" s="148">
        <f t="shared" si="4"/>
        <v>0.65</v>
      </c>
      <c r="L370" s="152">
        <v>0.0146</v>
      </c>
      <c r="M370" s="147" t="s">
        <v>5234</v>
      </c>
      <c r="N370" s="148">
        <f t="shared" si="5"/>
        <v>20.43333333</v>
      </c>
      <c r="O370" s="147" t="s">
        <v>5235</v>
      </c>
      <c r="P370" s="148">
        <f t="shared" si="6"/>
        <v>24.4</v>
      </c>
    </row>
    <row r="371">
      <c r="A371" s="147" t="s">
        <v>5236</v>
      </c>
      <c r="B371" s="147" t="s">
        <v>534</v>
      </c>
      <c r="C371" s="147" t="s">
        <v>3675</v>
      </c>
      <c r="D371" s="147" t="s">
        <v>3692</v>
      </c>
      <c r="E371" s="147" t="s">
        <v>4665</v>
      </c>
      <c r="F371" s="148">
        <v>40.05</v>
      </c>
      <c r="G371" s="149">
        <f t="shared" si="1"/>
        <v>40.05</v>
      </c>
      <c r="H371" s="149">
        <f t="shared" si="2"/>
        <v>40.05</v>
      </c>
      <c r="I371" s="150">
        <f t="shared" si="3"/>
        <v>1.66875</v>
      </c>
      <c r="J371" s="147" t="s">
        <v>3678</v>
      </c>
      <c r="K371" s="151">
        <f t="shared" si="4"/>
        <v>0</v>
      </c>
      <c r="L371" s="147" t="s">
        <v>3678</v>
      </c>
      <c r="M371" s="147" t="s">
        <v>4590</v>
      </c>
      <c r="N371" s="151">
        <f t="shared" si="5"/>
        <v>25.36666667</v>
      </c>
      <c r="O371" s="147" t="s">
        <v>5237</v>
      </c>
      <c r="P371" s="151">
        <f t="shared" si="6"/>
        <v>14.68333333</v>
      </c>
    </row>
    <row r="372">
      <c r="A372" s="147" t="s">
        <v>5238</v>
      </c>
      <c r="B372" s="147" t="s">
        <v>604</v>
      </c>
      <c r="C372" s="147" t="s">
        <v>3675</v>
      </c>
      <c r="D372" s="147" t="s">
        <v>3676</v>
      </c>
      <c r="E372" s="147" t="s">
        <v>5239</v>
      </c>
      <c r="F372" s="148">
        <v>31.116666666666667</v>
      </c>
      <c r="G372" s="149">
        <f t="shared" si="1"/>
        <v>30.26666667</v>
      </c>
      <c r="H372" s="149">
        <f t="shared" si="2"/>
        <v>30.23333333</v>
      </c>
      <c r="I372" s="150">
        <f t="shared" si="3"/>
        <v>1.259722222</v>
      </c>
      <c r="J372" s="147" t="s">
        <v>4415</v>
      </c>
      <c r="K372" s="148">
        <f t="shared" si="4"/>
        <v>0.85</v>
      </c>
      <c r="L372" s="152">
        <v>0.0278</v>
      </c>
      <c r="M372" s="147" t="s">
        <v>5109</v>
      </c>
      <c r="N372" s="148">
        <f t="shared" si="5"/>
        <v>23.86666667</v>
      </c>
      <c r="O372" s="147" t="s">
        <v>5184</v>
      </c>
      <c r="P372" s="148">
        <f t="shared" si="6"/>
        <v>6.366666667</v>
      </c>
    </row>
    <row r="373">
      <c r="A373" s="147" t="s">
        <v>5240</v>
      </c>
      <c r="B373" s="147" t="s">
        <v>5241</v>
      </c>
      <c r="C373" s="147" t="s">
        <v>3675</v>
      </c>
      <c r="D373" s="147" t="s">
        <v>3692</v>
      </c>
      <c r="E373" s="147" t="s">
        <v>5242</v>
      </c>
      <c r="F373" s="148">
        <v>44.53333333333333</v>
      </c>
      <c r="G373" s="149">
        <f t="shared" si="1"/>
        <v>44.53333333</v>
      </c>
      <c r="H373" s="149">
        <f t="shared" si="2"/>
        <v>44.53333333</v>
      </c>
      <c r="I373" s="150">
        <f t="shared" si="3"/>
        <v>1.855555556</v>
      </c>
      <c r="J373" s="147" t="s">
        <v>3678</v>
      </c>
      <c r="K373" s="151">
        <f t="shared" si="4"/>
        <v>0</v>
      </c>
      <c r="L373" s="147" t="s">
        <v>3678</v>
      </c>
      <c r="M373" s="147" t="s">
        <v>4644</v>
      </c>
      <c r="N373" s="151">
        <f t="shared" si="5"/>
        <v>42.96666667</v>
      </c>
      <c r="O373" s="147" t="s">
        <v>5243</v>
      </c>
      <c r="P373" s="151">
        <f t="shared" si="6"/>
        <v>1.566666667</v>
      </c>
    </row>
    <row r="374">
      <c r="A374" s="147" t="s">
        <v>5244</v>
      </c>
      <c r="B374" s="147" t="s">
        <v>1821</v>
      </c>
      <c r="C374" s="147" t="s">
        <v>3675</v>
      </c>
      <c r="D374" s="147" t="s">
        <v>3692</v>
      </c>
      <c r="E374" s="147" t="s">
        <v>4156</v>
      </c>
      <c r="F374" s="148">
        <v>41.0</v>
      </c>
      <c r="G374" s="149">
        <f t="shared" si="1"/>
        <v>41</v>
      </c>
      <c r="H374" s="149">
        <f t="shared" si="2"/>
        <v>41</v>
      </c>
      <c r="I374" s="150">
        <f t="shared" si="3"/>
        <v>1.708333333</v>
      </c>
      <c r="J374" s="147" t="s">
        <v>3678</v>
      </c>
      <c r="K374" s="151">
        <f t="shared" si="4"/>
        <v>0</v>
      </c>
      <c r="L374" s="147" t="s">
        <v>3678</v>
      </c>
      <c r="M374" s="147" t="s">
        <v>5245</v>
      </c>
      <c r="N374" s="151">
        <f t="shared" si="5"/>
        <v>32.65</v>
      </c>
      <c r="O374" s="147" t="s">
        <v>5246</v>
      </c>
      <c r="P374" s="151">
        <f t="shared" si="6"/>
        <v>8.35</v>
      </c>
    </row>
    <row r="375">
      <c r="A375" s="147" t="s">
        <v>5247</v>
      </c>
      <c r="B375" s="147" t="s">
        <v>5248</v>
      </c>
      <c r="C375" s="147" t="s">
        <v>3675</v>
      </c>
      <c r="D375" s="147" t="s">
        <v>3676</v>
      </c>
      <c r="E375" s="147" t="s">
        <v>5249</v>
      </c>
      <c r="F375" s="148">
        <v>37.583333333333336</v>
      </c>
      <c r="G375" s="149">
        <f t="shared" si="1"/>
        <v>36.95</v>
      </c>
      <c r="H375" s="149">
        <f t="shared" si="2"/>
        <v>36.93333333</v>
      </c>
      <c r="I375" s="150">
        <f t="shared" si="3"/>
        <v>1.538888889</v>
      </c>
      <c r="J375" s="147" t="s">
        <v>5250</v>
      </c>
      <c r="K375" s="148">
        <f t="shared" si="4"/>
        <v>0.6333333333</v>
      </c>
      <c r="L375" s="152">
        <v>0.017</v>
      </c>
      <c r="M375" s="147" t="s">
        <v>4628</v>
      </c>
      <c r="N375" s="148">
        <f t="shared" si="5"/>
        <v>26.78333333</v>
      </c>
      <c r="O375" s="147" t="s">
        <v>4196</v>
      </c>
      <c r="P375" s="148">
        <f t="shared" si="6"/>
        <v>10.15</v>
      </c>
    </row>
    <row r="376">
      <c r="A376" s="147" t="s">
        <v>5251</v>
      </c>
      <c r="B376" s="147" t="s">
        <v>417</v>
      </c>
      <c r="C376" s="147" t="s">
        <v>3675</v>
      </c>
      <c r="D376" s="147" t="s">
        <v>3676</v>
      </c>
      <c r="E376" s="147" t="s">
        <v>5252</v>
      </c>
      <c r="F376" s="148">
        <v>35.0</v>
      </c>
      <c r="G376" s="149">
        <f t="shared" si="1"/>
        <v>35</v>
      </c>
      <c r="H376" s="149">
        <f t="shared" si="2"/>
        <v>34.98333333</v>
      </c>
      <c r="I376" s="150">
        <f t="shared" si="3"/>
        <v>1.457638889</v>
      </c>
      <c r="J376" s="147" t="s">
        <v>3678</v>
      </c>
      <c r="K376" s="151">
        <f t="shared" si="4"/>
        <v>0</v>
      </c>
      <c r="L376" s="147" t="s">
        <v>3678</v>
      </c>
      <c r="M376" s="147" t="s">
        <v>3936</v>
      </c>
      <c r="N376" s="151">
        <f t="shared" si="5"/>
        <v>19.78333333</v>
      </c>
      <c r="O376" s="147" t="s">
        <v>4900</v>
      </c>
      <c r="P376" s="151">
        <f t="shared" si="6"/>
        <v>15.2</v>
      </c>
    </row>
    <row r="377">
      <c r="A377" s="147" t="s">
        <v>5253</v>
      </c>
      <c r="B377" s="147" t="s">
        <v>5254</v>
      </c>
      <c r="C377" s="147" t="s">
        <v>3675</v>
      </c>
      <c r="D377" s="147" t="s">
        <v>3676</v>
      </c>
      <c r="E377" s="147" t="s">
        <v>5255</v>
      </c>
      <c r="F377" s="148">
        <v>43.1</v>
      </c>
      <c r="G377" s="149">
        <f t="shared" si="1"/>
        <v>43.1</v>
      </c>
      <c r="H377" s="149">
        <f t="shared" si="2"/>
        <v>43.08333333</v>
      </c>
      <c r="I377" s="150">
        <f t="shared" si="3"/>
        <v>1.795138889</v>
      </c>
      <c r="J377" s="147" t="s">
        <v>3678</v>
      </c>
      <c r="K377" s="151">
        <f t="shared" si="4"/>
        <v>0</v>
      </c>
      <c r="L377" s="147" t="s">
        <v>3678</v>
      </c>
      <c r="M377" s="147" t="s">
        <v>5256</v>
      </c>
      <c r="N377" s="151">
        <f t="shared" si="5"/>
        <v>27.33333333</v>
      </c>
      <c r="O377" s="147" t="s">
        <v>4699</v>
      </c>
      <c r="P377" s="151">
        <f t="shared" si="6"/>
        <v>15.75</v>
      </c>
    </row>
    <row r="378">
      <c r="A378" s="147" t="s">
        <v>5257</v>
      </c>
      <c r="B378" s="147" t="s">
        <v>1499</v>
      </c>
      <c r="C378" s="147" t="s">
        <v>3675</v>
      </c>
      <c r="D378" s="147" t="s">
        <v>3810</v>
      </c>
      <c r="E378" s="147" t="s">
        <v>5258</v>
      </c>
      <c r="F378" s="148">
        <v>31.45</v>
      </c>
      <c r="G378" s="149">
        <f t="shared" si="1"/>
        <v>31.11666667</v>
      </c>
      <c r="H378" s="149">
        <f t="shared" si="2"/>
        <v>31.1</v>
      </c>
      <c r="I378" s="150">
        <f t="shared" si="3"/>
        <v>1.295833333</v>
      </c>
      <c r="J378" s="147" t="s">
        <v>4221</v>
      </c>
      <c r="K378" s="148">
        <f t="shared" si="4"/>
        <v>0.3333333333</v>
      </c>
      <c r="L378" s="152">
        <v>0.0109</v>
      </c>
      <c r="M378" s="147" t="s">
        <v>5259</v>
      </c>
      <c r="N378" s="148">
        <f t="shared" si="5"/>
        <v>22.13333333</v>
      </c>
      <c r="O378" s="147" t="s">
        <v>5260</v>
      </c>
      <c r="P378" s="148">
        <f t="shared" si="6"/>
        <v>8.966666667</v>
      </c>
    </row>
    <row r="379">
      <c r="A379" s="147" t="s">
        <v>5261</v>
      </c>
      <c r="B379" s="147" t="s">
        <v>5262</v>
      </c>
      <c r="C379" s="147" t="s">
        <v>3675</v>
      </c>
      <c r="D379" s="147" t="s">
        <v>3709</v>
      </c>
      <c r="E379" s="147" t="s">
        <v>4655</v>
      </c>
      <c r="F379" s="148">
        <v>44.28333333333333</v>
      </c>
      <c r="G379" s="149">
        <f t="shared" si="1"/>
        <v>44.28333333</v>
      </c>
      <c r="H379" s="149">
        <f t="shared" si="2"/>
        <v>44.28333333</v>
      </c>
      <c r="I379" s="150">
        <f t="shared" si="3"/>
        <v>1.845138889</v>
      </c>
      <c r="J379" s="147" t="s">
        <v>3678</v>
      </c>
      <c r="K379" s="151">
        <f t="shared" si="4"/>
        <v>0</v>
      </c>
      <c r="L379" s="147" t="s">
        <v>3678</v>
      </c>
      <c r="M379" s="147" t="s">
        <v>5263</v>
      </c>
      <c r="N379" s="151">
        <f t="shared" si="5"/>
        <v>32.9</v>
      </c>
      <c r="O379" s="147" t="s">
        <v>5264</v>
      </c>
      <c r="P379" s="151">
        <f t="shared" si="6"/>
        <v>11.38333333</v>
      </c>
    </row>
    <row r="380">
      <c r="A380" s="147" t="s">
        <v>5265</v>
      </c>
      <c r="B380" s="147" t="s">
        <v>566</v>
      </c>
      <c r="C380" s="147" t="s">
        <v>3675</v>
      </c>
      <c r="D380" s="147" t="s">
        <v>3676</v>
      </c>
      <c r="E380" s="147" t="s">
        <v>5199</v>
      </c>
      <c r="F380" s="148">
        <v>46.016666666666666</v>
      </c>
      <c r="G380" s="149">
        <f t="shared" si="1"/>
        <v>45.31666667</v>
      </c>
      <c r="H380" s="149">
        <f t="shared" si="2"/>
        <v>45.3</v>
      </c>
      <c r="I380" s="150">
        <f t="shared" si="3"/>
        <v>1.8875</v>
      </c>
      <c r="J380" s="147" t="s">
        <v>4385</v>
      </c>
      <c r="K380" s="148">
        <f t="shared" si="4"/>
        <v>0.7</v>
      </c>
      <c r="L380" s="152">
        <v>0.0153</v>
      </c>
      <c r="M380" s="147" t="s">
        <v>5266</v>
      </c>
      <c r="N380" s="148">
        <f t="shared" si="5"/>
        <v>34.05</v>
      </c>
      <c r="O380" s="147" t="s">
        <v>4998</v>
      </c>
      <c r="P380" s="148">
        <f t="shared" si="6"/>
        <v>11.25</v>
      </c>
    </row>
    <row r="381">
      <c r="A381" s="147" t="s">
        <v>5267</v>
      </c>
      <c r="B381" s="147" t="s">
        <v>902</v>
      </c>
      <c r="C381" s="147" t="s">
        <v>3675</v>
      </c>
      <c r="D381" s="147" t="s">
        <v>5268</v>
      </c>
      <c r="E381" s="147" t="s">
        <v>5269</v>
      </c>
      <c r="F381" s="148">
        <v>69.01666666666667</v>
      </c>
      <c r="G381" s="149">
        <f t="shared" si="1"/>
        <v>69.01666667</v>
      </c>
      <c r="H381" s="149">
        <f t="shared" si="2"/>
        <v>69</v>
      </c>
      <c r="I381" s="150">
        <f t="shared" si="3"/>
        <v>2.875</v>
      </c>
      <c r="J381" s="147" t="s">
        <v>3678</v>
      </c>
      <c r="K381" s="151">
        <f t="shared" si="4"/>
        <v>0</v>
      </c>
      <c r="L381" s="147" t="s">
        <v>3678</v>
      </c>
      <c r="M381" s="147" t="s">
        <v>5270</v>
      </c>
      <c r="N381" s="151">
        <f t="shared" si="5"/>
        <v>41.28333333</v>
      </c>
      <c r="O381" s="147" t="s">
        <v>4829</v>
      </c>
      <c r="P381" s="151">
        <f t="shared" si="6"/>
        <v>27.71666667</v>
      </c>
    </row>
    <row r="382">
      <c r="A382" s="147" t="s">
        <v>5271</v>
      </c>
      <c r="B382" s="147" t="s">
        <v>180</v>
      </c>
      <c r="C382" s="147" t="s">
        <v>3675</v>
      </c>
      <c r="D382" s="147" t="s">
        <v>3686</v>
      </c>
      <c r="E382" s="147" t="s">
        <v>5272</v>
      </c>
      <c r="F382" s="148">
        <v>65.68333333333334</v>
      </c>
      <c r="G382" s="149">
        <f t="shared" si="1"/>
        <v>64.35</v>
      </c>
      <c r="H382" s="149">
        <f t="shared" si="2"/>
        <v>64.33333333</v>
      </c>
      <c r="I382" s="150">
        <f t="shared" si="3"/>
        <v>2.680555556</v>
      </c>
      <c r="J382" s="147" t="s">
        <v>5273</v>
      </c>
      <c r="K382" s="148">
        <f t="shared" si="4"/>
        <v>1.333333333</v>
      </c>
      <c r="L382" s="152">
        <v>0.0205</v>
      </c>
      <c r="M382" s="147" t="s">
        <v>5274</v>
      </c>
      <c r="N382" s="148">
        <f t="shared" si="5"/>
        <v>50.23333333</v>
      </c>
      <c r="O382" s="147" t="s">
        <v>5275</v>
      </c>
      <c r="P382" s="148">
        <f t="shared" si="6"/>
        <v>14.1</v>
      </c>
    </row>
    <row r="383">
      <c r="A383" s="147" t="s">
        <v>5276</v>
      </c>
      <c r="B383" s="147" t="s">
        <v>5277</v>
      </c>
      <c r="C383" s="147" t="s">
        <v>3675</v>
      </c>
      <c r="D383" s="147" t="s">
        <v>3745</v>
      </c>
      <c r="E383" s="147" t="s">
        <v>5278</v>
      </c>
      <c r="F383" s="148">
        <v>53.03333333333333</v>
      </c>
      <c r="G383" s="149">
        <f t="shared" si="1"/>
        <v>53.03333333</v>
      </c>
      <c r="H383" s="149">
        <f t="shared" si="2"/>
        <v>53.03333333</v>
      </c>
      <c r="I383" s="150">
        <f t="shared" si="3"/>
        <v>2.209722222</v>
      </c>
      <c r="J383" s="147" t="s">
        <v>3678</v>
      </c>
      <c r="K383" s="151">
        <f t="shared" si="4"/>
        <v>0</v>
      </c>
      <c r="L383" s="147" t="s">
        <v>3678</v>
      </c>
      <c r="M383" s="147" t="s">
        <v>5279</v>
      </c>
      <c r="N383" s="151">
        <f t="shared" si="5"/>
        <v>42.21666667</v>
      </c>
      <c r="O383" s="147" t="s">
        <v>5280</v>
      </c>
      <c r="P383" s="151">
        <f t="shared" si="6"/>
        <v>10.81666667</v>
      </c>
    </row>
    <row r="384">
      <c r="A384" s="147" t="s">
        <v>5281</v>
      </c>
      <c r="B384" s="147" t="s">
        <v>291</v>
      </c>
      <c r="C384" s="147" t="s">
        <v>3675</v>
      </c>
      <c r="D384" s="147" t="s">
        <v>3709</v>
      </c>
      <c r="E384" s="147" t="s">
        <v>3985</v>
      </c>
      <c r="F384" s="148">
        <v>49.28333333333333</v>
      </c>
      <c r="G384" s="149">
        <f t="shared" si="1"/>
        <v>49.28333333</v>
      </c>
      <c r="H384" s="149">
        <f t="shared" si="2"/>
        <v>49.26666667</v>
      </c>
      <c r="I384" s="150">
        <f t="shared" si="3"/>
        <v>2.052777778</v>
      </c>
      <c r="J384" s="147" t="s">
        <v>3678</v>
      </c>
      <c r="K384" s="151">
        <f t="shared" si="4"/>
        <v>0</v>
      </c>
      <c r="L384" s="147" t="s">
        <v>3678</v>
      </c>
      <c r="M384" s="147" t="s">
        <v>5282</v>
      </c>
      <c r="N384" s="151">
        <f t="shared" si="5"/>
        <v>47.63333333</v>
      </c>
      <c r="O384" s="147" t="s">
        <v>5283</v>
      </c>
      <c r="P384" s="151">
        <f t="shared" si="6"/>
        <v>1.633333333</v>
      </c>
    </row>
    <row r="385">
      <c r="A385" s="147" t="s">
        <v>5284</v>
      </c>
      <c r="B385" s="147" t="s">
        <v>870</v>
      </c>
      <c r="C385" s="147" t="s">
        <v>3675</v>
      </c>
      <c r="D385" s="147" t="s">
        <v>3980</v>
      </c>
      <c r="E385" s="147" t="s">
        <v>5285</v>
      </c>
      <c r="F385" s="148">
        <v>42.05</v>
      </c>
      <c r="G385" s="149">
        <f t="shared" si="1"/>
        <v>41.06666667</v>
      </c>
      <c r="H385" s="149">
        <f t="shared" si="2"/>
        <v>41.03333333</v>
      </c>
      <c r="I385" s="150">
        <f t="shared" si="3"/>
        <v>1.709722222</v>
      </c>
      <c r="J385" s="147" t="s">
        <v>5286</v>
      </c>
      <c r="K385" s="148">
        <f t="shared" si="4"/>
        <v>0.9833333333</v>
      </c>
      <c r="L385" s="152">
        <v>0.0238</v>
      </c>
      <c r="M385" s="147" t="s">
        <v>5287</v>
      </c>
      <c r="N385" s="148">
        <f t="shared" si="5"/>
        <v>17.5</v>
      </c>
      <c r="O385" s="147" t="s">
        <v>5288</v>
      </c>
      <c r="P385" s="148">
        <f t="shared" si="6"/>
        <v>23.53333333</v>
      </c>
    </row>
    <row r="386">
      <c r="A386" s="147" t="s">
        <v>5289</v>
      </c>
      <c r="B386" s="147" t="s">
        <v>1101</v>
      </c>
      <c r="C386" s="147" t="s">
        <v>3675</v>
      </c>
      <c r="D386" s="147" t="s">
        <v>3676</v>
      </c>
      <c r="E386" s="147" t="s">
        <v>4368</v>
      </c>
      <c r="F386" s="148">
        <v>49.36666666666667</v>
      </c>
      <c r="G386" s="149">
        <f t="shared" si="1"/>
        <v>49.36666667</v>
      </c>
      <c r="H386" s="149">
        <f t="shared" si="2"/>
        <v>49.35</v>
      </c>
      <c r="I386" s="150">
        <f t="shared" si="3"/>
        <v>2.05625</v>
      </c>
      <c r="J386" s="147" t="s">
        <v>3678</v>
      </c>
      <c r="K386" s="151">
        <f t="shared" si="4"/>
        <v>0</v>
      </c>
      <c r="L386" s="147" t="s">
        <v>3678</v>
      </c>
      <c r="M386" s="147" t="s">
        <v>5290</v>
      </c>
      <c r="N386" s="151">
        <f t="shared" si="5"/>
        <v>35.55</v>
      </c>
      <c r="O386" s="147" t="s">
        <v>5291</v>
      </c>
      <c r="P386" s="151">
        <f t="shared" si="6"/>
        <v>13.8</v>
      </c>
    </row>
    <row r="387">
      <c r="A387" s="147" t="s">
        <v>5292</v>
      </c>
      <c r="B387" s="147" t="s">
        <v>5293</v>
      </c>
      <c r="C387" s="147" t="s">
        <v>3675</v>
      </c>
      <c r="D387" s="147" t="s">
        <v>3692</v>
      </c>
      <c r="E387" s="147" t="s">
        <v>4876</v>
      </c>
      <c r="F387" s="148">
        <v>40.266666666666666</v>
      </c>
      <c r="G387" s="149">
        <f t="shared" si="1"/>
        <v>40.26666667</v>
      </c>
      <c r="H387" s="149">
        <f t="shared" si="2"/>
        <v>40.26666667</v>
      </c>
      <c r="I387" s="150">
        <f t="shared" si="3"/>
        <v>1.677777778</v>
      </c>
      <c r="J387" s="147" t="s">
        <v>3678</v>
      </c>
      <c r="K387" s="151">
        <f t="shared" si="4"/>
        <v>0</v>
      </c>
      <c r="L387" s="147" t="s">
        <v>3678</v>
      </c>
      <c r="M387" s="147" t="s">
        <v>4405</v>
      </c>
      <c r="N387" s="151">
        <f t="shared" si="5"/>
        <v>38.83333333</v>
      </c>
      <c r="O387" s="147" t="s">
        <v>5294</v>
      </c>
      <c r="P387" s="151">
        <f t="shared" si="6"/>
        <v>1.433333333</v>
      </c>
    </row>
    <row r="388">
      <c r="A388" s="147" t="s">
        <v>5295</v>
      </c>
      <c r="B388" s="147" t="s">
        <v>1939</v>
      </c>
      <c r="C388" s="147" t="s">
        <v>3675</v>
      </c>
      <c r="D388" s="147" t="s">
        <v>3629</v>
      </c>
      <c r="E388" s="147" t="s">
        <v>5296</v>
      </c>
      <c r="F388" s="148">
        <v>43.43333333333333</v>
      </c>
      <c r="G388" s="149">
        <f t="shared" si="1"/>
        <v>43.43333333</v>
      </c>
      <c r="H388" s="149">
        <f t="shared" si="2"/>
        <v>43.41666667</v>
      </c>
      <c r="I388" s="150">
        <f t="shared" si="3"/>
        <v>1.809027778</v>
      </c>
      <c r="J388" s="147" t="s">
        <v>3678</v>
      </c>
      <c r="K388" s="151">
        <f t="shared" si="4"/>
        <v>0</v>
      </c>
      <c r="L388" s="147" t="s">
        <v>3678</v>
      </c>
      <c r="M388" s="147" t="s">
        <v>3926</v>
      </c>
      <c r="N388" s="151">
        <f t="shared" si="5"/>
        <v>38.26666667</v>
      </c>
      <c r="O388" s="147" t="s">
        <v>5297</v>
      </c>
      <c r="P388" s="151">
        <f t="shared" si="6"/>
        <v>5.15</v>
      </c>
    </row>
    <row r="389">
      <c r="A389" s="147" t="s">
        <v>5298</v>
      </c>
      <c r="B389" s="147" t="s">
        <v>5299</v>
      </c>
      <c r="C389" s="147" t="s">
        <v>3675</v>
      </c>
      <c r="D389" s="147" t="s">
        <v>3676</v>
      </c>
      <c r="E389" s="147" t="s">
        <v>5300</v>
      </c>
      <c r="F389" s="148">
        <v>41.766666666666666</v>
      </c>
      <c r="G389" s="149">
        <f t="shared" si="1"/>
        <v>40.65</v>
      </c>
      <c r="H389" s="149">
        <f t="shared" si="2"/>
        <v>40.63333333</v>
      </c>
      <c r="I389" s="150">
        <f t="shared" si="3"/>
        <v>1.693055556</v>
      </c>
      <c r="J389" s="147" t="s">
        <v>5301</v>
      </c>
      <c r="K389" s="148">
        <f t="shared" si="4"/>
        <v>1.116666667</v>
      </c>
      <c r="L389" s="152">
        <v>0.027</v>
      </c>
      <c r="M389" s="147" t="s">
        <v>5302</v>
      </c>
      <c r="N389" s="148">
        <f t="shared" si="5"/>
        <v>27.3</v>
      </c>
      <c r="O389" s="147" t="s">
        <v>5303</v>
      </c>
      <c r="P389" s="148">
        <f t="shared" si="6"/>
        <v>13.33333333</v>
      </c>
    </row>
    <row r="390">
      <c r="A390" s="147" t="s">
        <v>5304</v>
      </c>
      <c r="B390" s="147" t="s">
        <v>1027</v>
      </c>
      <c r="C390" s="147" t="s">
        <v>3675</v>
      </c>
      <c r="D390" s="147" t="s">
        <v>3676</v>
      </c>
      <c r="E390" s="147" t="s">
        <v>4861</v>
      </c>
      <c r="F390" s="148">
        <v>39.0</v>
      </c>
      <c r="G390" s="149">
        <f t="shared" si="1"/>
        <v>39</v>
      </c>
      <c r="H390" s="149">
        <f t="shared" si="2"/>
        <v>39</v>
      </c>
      <c r="I390" s="150">
        <f t="shared" si="3"/>
        <v>1.625</v>
      </c>
      <c r="J390" s="147" t="s">
        <v>3678</v>
      </c>
      <c r="K390" s="151">
        <f t="shared" si="4"/>
        <v>0</v>
      </c>
      <c r="L390" s="147" t="s">
        <v>3678</v>
      </c>
      <c r="M390" s="147" t="s">
        <v>5305</v>
      </c>
      <c r="N390" s="151">
        <f t="shared" si="5"/>
        <v>22.16666667</v>
      </c>
      <c r="O390" s="147" t="s">
        <v>5306</v>
      </c>
      <c r="P390" s="151">
        <f t="shared" si="6"/>
        <v>16.83333333</v>
      </c>
    </row>
    <row r="391">
      <c r="A391" s="147" t="s">
        <v>5307</v>
      </c>
      <c r="B391" s="147" t="s">
        <v>1131</v>
      </c>
      <c r="C391" s="147" t="s">
        <v>3675</v>
      </c>
      <c r="D391" s="147" t="s">
        <v>3954</v>
      </c>
      <c r="E391" s="147" t="s">
        <v>5308</v>
      </c>
      <c r="F391" s="148">
        <v>43.96666666666667</v>
      </c>
      <c r="G391" s="149">
        <f t="shared" si="1"/>
        <v>41.38333333</v>
      </c>
      <c r="H391" s="149">
        <f t="shared" si="2"/>
        <v>41.36666667</v>
      </c>
      <c r="I391" s="150">
        <f t="shared" si="3"/>
        <v>1.723611111</v>
      </c>
      <c r="J391" s="147" t="s">
        <v>3992</v>
      </c>
      <c r="K391" s="148">
        <f t="shared" si="4"/>
        <v>2.583333333</v>
      </c>
      <c r="L391" s="152">
        <v>0.0591</v>
      </c>
      <c r="M391" s="147" t="s">
        <v>3891</v>
      </c>
      <c r="N391" s="148">
        <f t="shared" si="5"/>
        <v>36.1</v>
      </c>
      <c r="O391" s="147" t="s">
        <v>5309</v>
      </c>
      <c r="P391" s="148">
        <f t="shared" si="6"/>
        <v>5.266666667</v>
      </c>
    </row>
    <row r="392">
      <c r="A392" s="147" t="s">
        <v>5310</v>
      </c>
      <c r="B392" s="147" t="s">
        <v>699</v>
      </c>
      <c r="C392" s="147" t="s">
        <v>3675</v>
      </c>
      <c r="D392" s="147" t="s">
        <v>3676</v>
      </c>
      <c r="E392" s="147" t="s">
        <v>5311</v>
      </c>
      <c r="F392" s="148">
        <v>43.06666666666667</v>
      </c>
      <c r="G392" s="149">
        <f t="shared" si="1"/>
        <v>43.06666667</v>
      </c>
      <c r="H392" s="149">
        <f t="shared" si="2"/>
        <v>43.05</v>
      </c>
      <c r="I392" s="150">
        <f t="shared" si="3"/>
        <v>1.79375</v>
      </c>
      <c r="J392" s="147" t="s">
        <v>3678</v>
      </c>
      <c r="K392" s="151">
        <f t="shared" si="4"/>
        <v>0</v>
      </c>
      <c r="L392" s="147" t="s">
        <v>3678</v>
      </c>
      <c r="M392" s="147" t="s">
        <v>5312</v>
      </c>
      <c r="N392" s="151">
        <f t="shared" si="5"/>
        <v>28.8</v>
      </c>
      <c r="O392" s="147" t="s">
        <v>5313</v>
      </c>
      <c r="P392" s="151">
        <f t="shared" si="6"/>
        <v>14.25</v>
      </c>
    </row>
    <row r="393">
      <c r="A393" s="147" t="s">
        <v>5314</v>
      </c>
      <c r="B393" s="147" t="s">
        <v>5315</v>
      </c>
      <c r="C393" s="147" t="s">
        <v>3675</v>
      </c>
      <c r="D393" s="147" t="s">
        <v>5316</v>
      </c>
      <c r="E393" s="147" t="s">
        <v>5317</v>
      </c>
      <c r="F393" s="148">
        <v>61.93333333333333</v>
      </c>
      <c r="G393" s="149">
        <f t="shared" si="1"/>
        <v>61.93333333</v>
      </c>
      <c r="H393" s="149">
        <f t="shared" si="2"/>
        <v>61.93333333</v>
      </c>
      <c r="I393" s="150">
        <f t="shared" si="3"/>
        <v>2.580555556</v>
      </c>
      <c r="J393" s="147" t="s">
        <v>3678</v>
      </c>
      <c r="K393" s="151">
        <f t="shared" si="4"/>
        <v>0</v>
      </c>
      <c r="L393" s="147" t="s">
        <v>3678</v>
      </c>
      <c r="M393" s="147" t="s">
        <v>5318</v>
      </c>
      <c r="N393" s="151">
        <f t="shared" si="5"/>
        <v>51.05</v>
      </c>
      <c r="O393" s="147" t="s">
        <v>5319</v>
      </c>
      <c r="P393" s="151">
        <f t="shared" si="6"/>
        <v>10.88333333</v>
      </c>
    </row>
    <row r="394">
      <c r="A394" s="147" t="s">
        <v>5320</v>
      </c>
      <c r="B394" s="147" t="s">
        <v>5321</v>
      </c>
      <c r="C394" s="147" t="s">
        <v>3675</v>
      </c>
      <c r="D394" s="147" t="s">
        <v>3676</v>
      </c>
      <c r="E394" s="147" t="s">
        <v>4912</v>
      </c>
      <c r="F394" s="148">
        <v>36.06666666666667</v>
      </c>
      <c r="G394" s="149">
        <f t="shared" si="1"/>
        <v>36.06666667</v>
      </c>
      <c r="H394" s="149">
        <f t="shared" si="2"/>
        <v>36.05</v>
      </c>
      <c r="I394" s="150">
        <f t="shared" si="3"/>
        <v>1.502083333</v>
      </c>
      <c r="J394" s="147" t="s">
        <v>3678</v>
      </c>
      <c r="K394" s="151">
        <f t="shared" si="4"/>
        <v>0</v>
      </c>
      <c r="L394" s="147" t="s">
        <v>3678</v>
      </c>
      <c r="M394" s="147" t="s">
        <v>5322</v>
      </c>
      <c r="N394" s="151">
        <f t="shared" si="5"/>
        <v>18.51666667</v>
      </c>
      <c r="O394" s="147" t="s">
        <v>4387</v>
      </c>
      <c r="P394" s="151">
        <f t="shared" si="6"/>
        <v>17.53333333</v>
      </c>
    </row>
    <row r="395">
      <c r="A395" s="147" t="s">
        <v>5323</v>
      </c>
      <c r="B395" s="147" t="s">
        <v>192</v>
      </c>
      <c r="C395" s="147" t="s">
        <v>3675</v>
      </c>
      <c r="D395" s="147" t="s">
        <v>3709</v>
      </c>
      <c r="E395" s="147" t="s">
        <v>5324</v>
      </c>
      <c r="F395" s="148">
        <v>40.63333333333333</v>
      </c>
      <c r="G395" s="149">
        <f t="shared" si="1"/>
        <v>40.46666667</v>
      </c>
      <c r="H395" s="149">
        <f t="shared" si="2"/>
        <v>40.45</v>
      </c>
      <c r="I395" s="150">
        <f t="shared" si="3"/>
        <v>1.685416667</v>
      </c>
      <c r="J395" s="147" t="s">
        <v>3724</v>
      </c>
      <c r="K395" s="148">
        <f t="shared" si="4"/>
        <v>0.1666666667</v>
      </c>
      <c r="L395" s="152">
        <v>0.0043</v>
      </c>
      <c r="M395" s="147" t="s">
        <v>5325</v>
      </c>
      <c r="N395" s="148">
        <f t="shared" si="5"/>
        <v>22.78333333</v>
      </c>
      <c r="O395" s="147" t="s">
        <v>5326</v>
      </c>
      <c r="P395" s="148">
        <f t="shared" si="6"/>
        <v>17.66666667</v>
      </c>
    </row>
    <row r="396">
      <c r="A396" s="147" t="s">
        <v>5327</v>
      </c>
      <c r="B396" s="147" t="s">
        <v>425</v>
      </c>
      <c r="C396" s="147" t="s">
        <v>3675</v>
      </c>
      <c r="D396" s="147" t="s">
        <v>3702</v>
      </c>
      <c r="E396" s="147" t="s">
        <v>3878</v>
      </c>
      <c r="F396" s="148">
        <v>40.11666666666667</v>
      </c>
      <c r="G396" s="149">
        <f t="shared" si="1"/>
        <v>35.83333333</v>
      </c>
      <c r="H396" s="149">
        <f t="shared" si="2"/>
        <v>35.81666667</v>
      </c>
      <c r="I396" s="150">
        <f t="shared" si="3"/>
        <v>1.492361111</v>
      </c>
      <c r="J396" s="147" t="s">
        <v>5208</v>
      </c>
      <c r="K396" s="148">
        <f t="shared" si="4"/>
        <v>4.283333333</v>
      </c>
      <c r="L396" s="152">
        <v>0.1071</v>
      </c>
      <c r="M396" s="147" t="s">
        <v>5328</v>
      </c>
      <c r="N396" s="148">
        <f t="shared" si="5"/>
        <v>13.03333333</v>
      </c>
      <c r="O396" s="147" t="s">
        <v>5325</v>
      </c>
      <c r="P396" s="148">
        <f t="shared" si="6"/>
        <v>22.78333333</v>
      </c>
    </row>
    <row r="397">
      <c r="A397" s="147" t="s">
        <v>5329</v>
      </c>
      <c r="B397" s="147" t="s">
        <v>5330</v>
      </c>
      <c r="C397" s="147" t="s">
        <v>3675</v>
      </c>
      <c r="D397" s="147" t="s">
        <v>3692</v>
      </c>
      <c r="E397" s="147" t="s">
        <v>4619</v>
      </c>
      <c r="F397" s="148">
        <v>41.15</v>
      </c>
      <c r="G397" s="149">
        <f t="shared" si="1"/>
        <v>41.15</v>
      </c>
      <c r="H397" s="149">
        <f t="shared" si="2"/>
        <v>41.15</v>
      </c>
      <c r="I397" s="150">
        <f t="shared" si="3"/>
        <v>1.714583333</v>
      </c>
      <c r="J397" s="147" t="s">
        <v>3678</v>
      </c>
      <c r="K397" s="151">
        <f t="shared" si="4"/>
        <v>0</v>
      </c>
      <c r="L397" s="147" t="s">
        <v>3678</v>
      </c>
      <c r="M397" s="147" t="s">
        <v>5331</v>
      </c>
      <c r="N397" s="151">
        <f t="shared" si="5"/>
        <v>29.46666667</v>
      </c>
      <c r="O397" s="147" t="s">
        <v>5332</v>
      </c>
      <c r="P397" s="151">
        <f t="shared" si="6"/>
        <v>11.68333333</v>
      </c>
    </row>
    <row r="398">
      <c r="A398" s="147" t="s">
        <v>5333</v>
      </c>
      <c r="B398" s="147" t="s">
        <v>435</v>
      </c>
      <c r="C398" s="147" t="s">
        <v>3675</v>
      </c>
      <c r="D398" s="147" t="s">
        <v>3676</v>
      </c>
      <c r="E398" s="147" t="s">
        <v>5334</v>
      </c>
      <c r="F398" s="148">
        <v>41.43333333333333</v>
      </c>
      <c r="G398" s="149">
        <f t="shared" si="1"/>
        <v>40.73333333</v>
      </c>
      <c r="H398" s="149">
        <f t="shared" si="2"/>
        <v>40.73333333</v>
      </c>
      <c r="I398" s="150">
        <f t="shared" si="3"/>
        <v>1.697222222</v>
      </c>
      <c r="J398" s="147" t="s">
        <v>4385</v>
      </c>
      <c r="K398" s="148">
        <f t="shared" si="4"/>
        <v>0.7</v>
      </c>
      <c r="L398" s="152">
        <v>0.0169</v>
      </c>
      <c r="M398" s="147" t="s">
        <v>5335</v>
      </c>
      <c r="N398" s="148">
        <f t="shared" si="5"/>
        <v>31.5</v>
      </c>
      <c r="O398" s="147" t="s">
        <v>5336</v>
      </c>
      <c r="P398" s="148">
        <f t="shared" si="6"/>
        <v>9.233333333</v>
      </c>
    </row>
    <row r="399">
      <c r="A399" s="147" t="s">
        <v>5337</v>
      </c>
      <c r="B399" s="147" t="s">
        <v>2391</v>
      </c>
      <c r="C399" s="147" t="s">
        <v>3675</v>
      </c>
      <c r="D399" s="147" t="s">
        <v>5338</v>
      </c>
      <c r="E399" s="147" t="s">
        <v>5339</v>
      </c>
      <c r="F399" s="148">
        <v>59.6</v>
      </c>
      <c r="G399" s="149">
        <f t="shared" si="1"/>
        <v>59.6</v>
      </c>
      <c r="H399" s="149">
        <f t="shared" si="2"/>
        <v>59.6</v>
      </c>
      <c r="I399" s="150">
        <f t="shared" si="3"/>
        <v>2.483333333</v>
      </c>
      <c r="J399" s="147" t="s">
        <v>3678</v>
      </c>
      <c r="K399" s="151">
        <f t="shared" si="4"/>
        <v>0</v>
      </c>
      <c r="L399" s="147" t="s">
        <v>3678</v>
      </c>
      <c r="M399" s="147" t="s">
        <v>4469</v>
      </c>
      <c r="N399" s="151">
        <f t="shared" si="5"/>
        <v>48.01666667</v>
      </c>
      <c r="O399" s="147" t="s">
        <v>4026</v>
      </c>
      <c r="P399" s="151">
        <f t="shared" si="6"/>
        <v>11.58333333</v>
      </c>
    </row>
    <row r="400">
      <c r="A400" s="147" t="s">
        <v>5340</v>
      </c>
      <c r="B400" s="147" t="s">
        <v>2081</v>
      </c>
      <c r="C400" s="147" t="s">
        <v>3675</v>
      </c>
      <c r="D400" s="147" t="s">
        <v>3692</v>
      </c>
      <c r="E400" s="147" t="s">
        <v>5341</v>
      </c>
      <c r="F400" s="148">
        <v>41.96666666666667</v>
      </c>
      <c r="G400" s="149">
        <f t="shared" si="1"/>
        <v>41.01666667</v>
      </c>
      <c r="H400" s="149">
        <f t="shared" si="2"/>
        <v>41</v>
      </c>
      <c r="I400" s="150">
        <f t="shared" si="3"/>
        <v>1.708333333</v>
      </c>
      <c r="J400" s="147" t="s">
        <v>5342</v>
      </c>
      <c r="K400" s="148">
        <f t="shared" si="4"/>
        <v>0.95</v>
      </c>
      <c r="L400" s="152">
        <v>0.0228</v>
      </c>
      <c r="M400" s="147" t="s">
        <v>5343</v>
      </c>
      <c r="N400" s="148">
        <f t="shared" si="5"/>
        <v>33.86666667</v>
      </c>
      <c r="O400" s="147" t="s">
        <v>3762</v>
      </c>
      <c r="P400" s="148">
        <f t="shared" si="6"/>
        <v>7.133333333</v>
      </c>
    </row>
    <row r="401">
      <c r="A401" s="147" t="s">
        <v>5344</v>
      </c>
      <c r="B401" s="147" t="s">
        <v>701</v>
      </c>
      <c r="C401" s="147" t="s">
        <v>3675</v>
      </c>
      <c r="D401" s="147" t="s">
        <v>3676</v>
      </c>
      <c r="E401" s="147" t="s">
        <v>5345</v>
      </c>
      <c r="F401" s="148">
        <v>39.733333333333334</v>
      </c>
      <c r="G401" s="149">
        <f t="shared" si="1"/>
        <v>39.73333333</v>
      </c>
      <c r="H401" s="149">
        <f t="shared" si="2"/>
        <v>39.71666667</v>
      </c>
      <c r="I401" s="150">
        <f t="shared" si="3"/>
        <v>1.654861111</v>
      </c>
      <c r="J401" s="147" t="s">
        <v>3678</v>
      </c>
      <c r="K401" s="151">
        <f t="shared" si="4"/>
        <v>0</v>
      </c>
      <c r="L401" s="147" t="s">
        <v>3678</v>
      </c>
      <c r="M401" s="147" t="s">
        <v>5346</v>
      </c>
      <c r="N401" s="151">
        <f t="shared" si="5"/>
        <v>30.23333333</v>
      </c>
      <c r="O401" s="147" t="s">
        <v>5347</v>
      </c>
      <c r="P401" s="151">
        <f t="shared" si="6"/>
        <v>9.483333333</v>
      </c>
    </row>
    <row r="402">
      <c r="A402" s="147" t="s">
        <v>5348</v>
      </c>
      <c r="B402" s="147" t="s">
        <v>5349</v>
      </c>
      <c r="C402" s="147" t="s">
        <v>3765</v>
      </c>
      <c r="D402" s="147" t="s">
        <v>3692</v>
      </c>
      <c r="E402" s="147" t="s">
        <v>5350</v>
      </c>
      <c r="F402" s="148">
        <v>41.4</v>
      </c>
      <c r="G402" s="149">
        <f t="shared" si="1"/>
        <v>41.4</v>
      </c>
      <c r="H402" s="149">
        <f t="shared" si="2"/>
        <v>41.38333333</v>
      </c>
      <c r="I402" s="150">
        <f t="shared" si="3"/>
        <v>1.724305556</v>
      </c>
      <c r="J402" s="147" t="s">
        <v>3678</v>
      </c>
      <c r="K402" s="151">
        <f t="shared" si="4"/>
        <v>0</v>
      </c>
      <c r="L402" s="147" t="s">
        <v>3678</v>
      </c>
      <c r="M402" s="147" t="s">
        <v>4252</v>
      </c>
      <c r="N402" s="151">
        <f t="shared" si="5"/>
        <v>37.25</v>
      </c>
      <c r="O402" s="147" t="s">
        <v>5351</v>
      </c>
      <c r="P402" s="151">
        <f t="shared" si="6"/>
        <v>4.133333333</v>
      </c>
    </row>
    <row r="403">
      <c r="A403" s="147" t="s">
        <v>5352</v>
      </c>
      <c r="B403" s="147" t="s">
        <v>5353</v>
      </c>
      <c r="C403" s="147" t="s">
        <v>3675</v>
      </c>
      <c r="D403" s="147" t="s">
        <v>3692</v>
      </c>
      <c r="E403" s="147" t="s">
        <v>5354</v>
      </c>
      <c r="F403" s="148">
        <v>39.81666666666667</v>
      </c>
      <c r="G403" s="149">
        <f t="shared" si="1"/>
        <v>39.81666667</v>
      </c>
      <c r="H403" s="149">
        <f t="shared" si="2"/>
        <v>39.81666667</v>
      </c>
      <c r="I403" s="150">
        <f t="shared" si="3"/>
        <v>1.659027778</v>
      </c>
      <c r="J403" s="147" t="s">
        <v>3678</v>
      </c>
      <c r="K403" s="151">
        <f t="shared" si="4"/>
        <v>0</v>
      </c>
      <c r="L403" s="147" t="s">
        <v>3678</v>
      </c>
      <c r="M403" s="147" t="s">
        <v>3828</v>
      </c>
      <c r="N403" s="151">
        <f t="shared" si="5"/>
        <v>38.65</v>
      </c>
      <c r="O403" s="147" t="s">
        <v>4311</v>
      </c>
      <c r="P403" s="151">
        <f t="shared" si="6"/>
        <v>1.166666667</v>
      </c>
    </row>
    <row r="404">
      <c r="A404" s="147" t="s">
        <v>5355</v>
      </c>
      <c r="B404" s="147" t="s">
        <v>214</v>
      </c>
      <c r="C404" s="147" t="s">
        <v>3675</v>
      </c>
      <c r="D404" s="147" t="s">
        <v>5356</v>
      </c>
      <c r="E404" s="147" t="s">
        <v>5357</v>
      </c>
      <c r="F404" s="148">
        <v>59.483333333333334</v>
      </c>
      <c r="G404" s="149">
        <f t="shared" si="1"/>
        <v>58.68333333</v>
      </c>
      <c r="H404" s="149">
        <f t="shared" si="2"/>
        <v>58.65</v>
      </c>
      <c r="I404" s="150">
        <f t="shared" si="3"/>
        <v>2.44375</v>
      </c>
      <c r="J404" s="147" t="s">
        <v>4547</v>
      </c>
      <c r="K404" s="148">
        <f t="shared" si="4"/>
        <v>0.8</v>
      </c>
      <c r="L404" s="152">
        <v>0.0136</v>
      </c>
      <c r="M404" s="147" t="s">
        <v>5358</v>
      </c>
      <c r="N404" s="148">
        <f t="shared" si="5"/>
        <v>32.21666667</v>
      </c>
      <c r="O404" s="147" t="s">
        <v>5359</v>
      </c>
      <c r="P404" s="148">
        <f t="shared" si="6"/>
        <v>26.43333333</v>
      </c>
    </row>
    <row r="405">
      <c r="A405" s="147" t="s">
        <v>5360</v>
      </c>
      <c r="B405" s="147" t="s">
        <v>5361</v>
      </c>
      <c r="C405" s="147" t="s">
        <v>3675</v>
      </c>
      <c r="D405" s="147" t="s">
        <v>3676</v>
      </c>
      <c r="E405" s="147" t="s">
        <v>5362</v>
      </c>
      <c r="F405" s="148">
        <v>7.366666666666666</v>
      </c>
      <c r="G405" s="149">
        <f t="shared" si="1"/>
        <v>7.366666667</v>
      </c>
      <c r="H405" s="149">
        <f t="shared" si="2"/>
        <v>7.366666667</v>
      </c>
      <c r="I405" s="150">
        <f t="shared" si="3"/>
        <v>0.3069444444</v>
      </c>
      <c r="J405" s="147" t="s">
        <v>3678</v>
      </c>
      <c r="K405" s="151">
        <f t="shared" si="4"/>
        <v>0</v>
      </c>
      <c r="L405" s="147" t="s">
        <v>3678</v>
      </c>
      <c r="M405" s="147" t="s">
        <v>3928</v>
      </c>
      <c r="N405" s="151">
        <f t="shared" si="5"/>
        <v>3.816666667</v>
      </c>
      <c r="O405" s="147" t="s">
        <v>5363</v>
      </c>
      <c r="P405" s="151">
        <f t="shared" si="6"/>
        <v>3.55</v>
      </c>
    </row>
    <row r="406">
      <c r="A406" s="147" t="s">
        <v>5364</v>
      </c>
      <c r="B406" s="147" t="s">
        <v>5365</v>
      </c>
      <c r="C406" s="147" t="s">
        <v>3675</v>
      </c>
      <c r="D406" s="147" t="s">
        <v>3709</v>
      </c>
      <c r="E406" s="147" t="s">
        <v>5366</v>
      </c>
      <c r="F406" s="148">
        <v>50.55</v>
      </c>
      <c r="G406" s="149">
        <f t="shared" si="1"/>
        <v>50.55</v>
      </c>
      <c r="H406" s="149">
        <f t="shared" si="2"/>
        <v>50.53333333</v>
      </c>
      <c r="I406" s="150">
        <f t="shared" si="3"/>
        <v>2.105555556</v>
      </c>
      <c r="J406" s="147" t="s">
        <v>3678</v>
      </c>
      <c r="K406" s="151">
        <f t="shared" si="4"/>
        <v>0</v>
      </c>
      <c r="L406" s="147" t="s">
        <v>3678</v>
      </c>
      <c r="M406" s="147" t="s">
        <v>5367</v>
      </c>
      <c r="N406" s="151">
        <f t="shared" si="5"/>
        <v>44.73333333</v>
      </c>
      <c r="O406" s="147" t="s">
        <v>5368</v>
      </c>
      <c r="P406" s="151">
        <f t="shared" si="6"/>
        <v>5.8</v>
      </c>
    </row>
    <row r="407">
      <c r="A407" s="147" t="s">
        <v>5369</v>
      </c>
      <c r="B407" s="147" t="s">
        <v>2050</v>
      </c>
      <c r="C407" s="147" t="s">
        <v>3675</v>
      </c>
      <c r="D407" s="147" t="s">
        <v>3692</v>
      </c>
      <c r="E407" s="147" t="s">
        <v>5370</v>
      </c>
      <c r="F407" s="148">
        <v>40.516666666666666</v>
      </c>
      <c r="G407" s="149">
        <f t="shared" si="1"/>
        <v>40.18333333</v>
      </c>
      <c r="H407" s="149">
        <f t="shared" si="2"/>
        <v>40.15</v>
      </c>
      <c r="I407" s="150">
        <f t="shared" si="3"/>
        <v>1.672916667</v>
      </c>
      <c r="J407" s="147" t="s">
        <v>4221</v>
      </c>
      <c r="K407" s="148">
        <f t="shared" si="4"/>
        <v>0.3333333333</v>
      </c>
      <c r="L407" s="152">
        <v>0.0086</v>
      </c>
      <c r="M407" s="147" t="s">
        <v>4365</v>
      </c>
      <c r="N407" s="148">
        <f t="shared" si="5"/>
        <v>28.08333333</v>
      </c>
      <c r="O407" s="147" t="s">
        <v>5016</v>
      </c>
      <c r="P407" s="148">
        <f t="shared" si="6"/>
        <v>12.06666667</v>
      </c>
    </row>
    <row r="408">
      <c r="A408" s="147" t="s">
        <v>5371</v>
      </c>
      <c r="B408" s="147" t="s">
        <v>433</v>
      </c>
      <c r="C408" s="147" t="s">
        <v>3675</v>
      </c>
      <c r="D408" s="147" t="s">
        <v>3800</v>
      </c>
      <c r="E408" s="147" t="s">
        <v>5372</v>
      </c>
      <c r="F408" s="148">
        <v>36.46666666666667</v>
      </c>
      <c r="G408" s="149">
        <f t="shared" si="1"/>
        <v>36.46666667</v>
      </c>
      <c r="H408" s="149">
        <f t="shared" si="2"/>
        <v>36.46666667</v>
      </c>
      <c r="I408" s="150">
        <f t="shared" si="3"/>
        <v>1.519444444</v>
      </c>
      <c r="J408" s="147" t="s">
        <v>3678</v>
      </c>
      <c r="K408" s="151">
        <f t="shared" si="4"/>
        <v>0</v>
      </c>
      <c r="L408" s="147" t="s">
        <v>3678</v>
      </c>
      <c r="M408" s="147" t="s">
        <v>4423</v>
      </c>
      <c r="N408" s="151">
        <f t="shared" si="5"/>
        <v>16.23333333</v>
      </c>
      <c r="O408" s="147" t="s">
        <v>5373</v>
      </c>
      <c r="P408" s="151">
        <f t="shared" si="6"/>
        <v>20.23333333</v>
      </c>
    </row>
    <row r="409">
      <c r="A409" s="147" t="s">
        <v>5374</v>
      </c>
      <c r="B409" s="147" t="s">
        <v>277</v>
      </c>
      <c r="C409" s="147" t="s">
        <v>3675</v>
      </c>
      <c r="D409" s="147" t="s">
        <v>3709</v>
      </c>
      <c r="E409" s="147" t="s">
        <v>4105</v>
      </c>
      <c r="F409" s="148">
        <v>48.233333333333334</v>
      </c>
      <c r="G409" s="149">
        <f t="shared" si="1"/>
        <v>48.23333333</v>
      </c>
      <c r="H409" s="149">
        <f t="shared" si="2"/>
        <v>48.23333333</v>
      </c>
      <c r="I409" s="150">
        <f t="shared" si="3"/>
        <v>2.009722222</v>
      </c>
      <c r="J409" s="147" t="s">
        <v>3678</v>
      </c>
      <c r="K409" s="151">
        <f t="shared" si="4"/>
        <v>0</v>
      </c>
      <c r="L409" s="147" t="s">
        <v>3678</v>
      </c>
      <c r="M409" s="147" t="s">
        <v>5375</v>
      </c>
      <c r="N409" s="151">
        <f t="shared" si="5"/>
        <v>39.35</v>
      </c>
      <c r="O409" s="147" t="s">
        <v>5376</v>
      </c>
      <c r="P409" s="151">
        <f t="shared" si="6"/>
        <v>8.883333333</v>
      </c>
    </row>
    <row r="410">
      <c r="A410" s="147" t="s">
        <v>5377</v>
      </c>
      <c r="B410" s="147" t="s">
        <v>5378</v>
      </c>
      <c r="C410" s="147" t="s">
        <v>3675</v>
      </c>
      <c r="D410" s="147" t="s">
        <v>3692</v>
      </c>
      <c r="E410" s="147" t="s">
        <v>3918</v>
      </c>
      <c r="F410" s="148">
        <v>40.483333333333334</v>
      </c>
      <c r="G410" s="149">
        <f t="shared" si="1"/>
        <v>40.48333333</v>
      </c>
      <c r="H410" s="149">
        <f t="shared" si="2"/>
        <v>40.46666667</v>
      </c>
      <c r="I410" s="150">
        <f t="shared" si="3"/>
        <v>1.686111111</v>
      </c>
      <c r="J410" s="147" t="s">
        <v>3678</v>
      </c>
      <c r="K410" s="151">
        <f t="shared" si="4"/>
        <v>0</v>
      </c>
      <c r="L410" s="147" t="s">
        <v>3678</v>
      </c>
      <c r="M410" s="147" t="s">
        <v>5379</v>
      </c>
      <c r="N410" s="151">
        <f t="shared" si="5"/>
        <v>35.8</v>
      </c>
      <c r="O410" s="147" t="s">
        <v>3768</v>
      </c>
      <c r="P410" s="151">
        <f t="shared" si="6"/>
        <v>4.666666667</v>
      </c>
    </row>
    <row r="411">
      <c r="A411" s="147" t="s">
        <v>5380</v>
      </c>
      <c r="B411" s="147" t="s">
        <v>5381</v>
      </c>
      <c r="C411" s="147" t="s">
        <v>3675</v>
      </c>
      <c r="D411" s="147" t="s">
        <v>3676</v>
      </c>
      <c r="E411" s="147" t="s">
        <v>5382</v>
      </c>
      <c r="F411" s="148">
        <v>0.5166666666666667</v>
      </c>
      <c r="G411" s="149">
        <f t="shared" si="1"/>
        <v>0.5166666667</v>
      </c>
      <c r="H411" s="149">
        <f t="shared" si="2"/>
        <v>0.5166666667</v>
      </c>
      <c r="I411" s="150">
        <f t="shared" si="3"/>
        <v>0.02152777778</v>
      </c>
      <c r="J411" s="147" t="s">
        <v>3678</v>
      </c>
      <c r="K411" s="151">
        <f t="shared" si="4"/>
        <v>0</v>
      </c>
      <c r="L411" s="147" t="s">
        <v>3678</v>
      </c>
      <c r="M411" s="147" t="s">
        <v>3756</v>
      </c>
      <c r="N411" s="151">
        <f t="shared" si="5"/>
        <v>0.2166666667</v>
      </c>
      <c r="O411" s="147" t="s">
        <v>5383</v>
      </c>
      <c r="P411" s="151">
        <f t="shared" si="6"/>
        <v>0.3</v>
      </c>
    </row>
    <row r="412">
      <c r="A412" s="147" t="s">
        <v>5384</v>
      </c>
      <c r="B412" s="147" t="s">
        <v>5385</v>
      </c>
      <c r="C412" s="147" t="s">
        <v>3675</v>
      </c>
      <c r="D412" s="147" t="s">
        <v>3676</v>
      </c>
      <c r="E412" s="147" t="s">
        <v>5386</v>
      </c>
      <c r="F412" s="148">
        <v>22.833333333333332</v>
      </c>
      <c r="G412" s="149">
        <f t="shared" si="1"/>
        <v>22</v>
      </c>
      <c r="H412" s="149">
        <f t="shared" si="2"/>
        <v>21.96666667</v>
      </c>
      <c r="I412" s="150">
        <f t="shared" si="3"/>
        <v>0.9152777778</v>
      </c>
      <c r="J412" s="147" t="s">
        <v>3806</v>
      </c>
      <c r="K412" s="148">
        <f t="shared" si="4"/>
        <v>0.8333333333</v>
      </c>
      <c r="L412" s="152">
        <v>0.0368</v>
      </c>
      <c r="M412" s="147" t="s">
        <v>4877</v>
      </c>
      <c r="N412" s="148">
        <f t="shared" si="5"/>
        <v>13.48333333</v>
      </c>
      <c r="O412" s="147" t="s">
        <v>4686</v>
      </c>
      <c r="P412" s="148">
        <f t="shared" si="6"/>
        <v>8.483333333</v>
      </c>
    </row>
    <row r="413">
      <c r="A413" s="147" t="s">
        <v>5387</v>
      </c>
      <c r="B413" s="147" t="s">
        <v>1161</v>
      </c>
      <c r="C413" s="147" t="s">
        <v>3675</v>
      </c>
      <c r="D413" s="147" t="s">
        <v>3676</v>
      </c>
      <c r="E413" s="147" t="s">
        <v>5388</v>
      </c>
      <c r="F413" s="148">
        <v>44.4</v>
      </c>
      <c r="G413" s="149">
        <f t="shared" si="1"/>
        <v>43.01666667</v>
      </c>
      <c r="H413" s="149">
        <f t="shared" si="2"/>
        <v>42.98333333</v>
      </c>
      <c r="I413" s="150">
        <f t="shared" si="3"/>
        <v>1.790972222</v>
      </c>
      <c r="J413" s="147" t="s">
        <v>5389</v>
      </c>
      <c r="K413" s="148">
        <f t="shared" si="4"/>
        <v>1.383333333</v>
      </c>
      <c r="L413" s="152">
        <v>0.0315</v>
      </c>
      <c r="M413" s="147" t="s">
        <v>3801</v>
      </c>
      <c r="N413" s="148">
        <f t="shared" si="5"/>
        <v>42.88333333</v>
      </c>
      <c r="O413" s="147" t="s">
        <v>5390</v>
      </c>
      <c r="P413" s="148">
        <f t="shared" si="6"/>
        <v>0.1</v>
      </c>
    </row>
    <row r="414">
      <c r="A414" s="147" t="s">
        <v>5391</v>
      </c>
      <c r="B414" s="147" t="s">
        <v>457</v>
      </c>
      <c r="C414" s="147" t="s">
        <v>3675</v>
      </c>
      <c r="D414" s="147" t="s">
        <v>3676</v>
      </c>
      <c r="E414" s="147" t="s">
        <v>5392</v>
      </c>
      <c r="F414" s="148">
        <v>42.483333333333334</v>
      </c>
      <c r="G414" s="149">
        <f t="shared" si="1"/>
        <v>42.48333333</v>
      </c>
      <c r="H414" s="149">
        <f t="shared" si="2"/>
        <v>42.46666667</v>
      </c>
      <c r="I414" s="150">
        <f t="shared" si="3"/>
        <v>1.769444444</v>
      </c>
      <c r="J414" s="147" t="s">
        <v>3678</v>
      </c>
      <c r="K414" s="151">
        <f t="shared" si="4"/>
        <v>0</v>
      </c>
      <c r="L414" s="147" t="s">
        <v>3678</v>
      </c>
      <c r="M414" s="147" t="s">
        <v>3699</v>
      </c>
      <c r="N414" s="151">
        <f t="shared" si="5"/>
        <v>17.15</v>
      </c>
      <c r="O414" s="147" t="s">
        <v>3838</v>
      </c>
      <c r="P414" s="151">
        <f t="shared" si="6"/>
        <v>25.31666667</v>
      </c>
    </row>
    <row r="415">
      <c r="A415" s="147" t="s">
        <v>5393</v>
      </c>
      <c r="B415" s="147" t="s">
        <v>5394</v>
      </c>
      <c r="C415" s="147" t="s">
        <v>3675</v>
      </c>
      <c r="D415" s="147" t="s">
        <v>3676</v>
      </c>
      <c r="E415" s="147" t="s">
        <v>4401</v>
      </c>
      <c r="F415" s="148">
        <v>1.25</v>
      </c>
      <c r="G415" s="149">
        <f t="shared" si="1"/>
        <v>1.25</v>
      </c>
      <c r="H415" s="149">
        <f t="shared" si="2"/>
        <v>1.25</v>
      </c>
      <c r="I415" s="150">
        <f t="shared" si="3"/>
        <v>0.05208333333</v>
      </c>
      <c r="J415" s="147" t="s">
        <v>3678</v>
      </c>
      <c r="K415" s="151">
        <f t="shared" si="4"/>
        <v>0</v>
      </c>
      <c r="L415" s="147" t="s">
        <v>3678</v>
      </c>
      <c r="M415" s="147" t="s">
        <v>4690</v>
      </c>
      <c r="N415" s="151">
        <f t="shared" si="5"/>
        <v>0.9666666667</v>
      </c>
      <c r="O415" s="147" t="s">
        <v>4059</v>
      </c>
      <c r="P415" s="151">
        <f t="shared" si="6"/>
        <v>0.2833333333</v>
      </c>
    </row>
    <row r="416">
      <c r="A416" s="147" t="s">
        <v>5395</v>
      </c>
      <c r="B416" s="147" t="s">
        <v>5396</v>
      </c>
      <c r="C416" s="147" t="s">
        <v>3765</v>
      </c>
      <c r="D416" s="147" t="s">
        <v>3709</v>
      </c>
      <c r="E416" s="147" t="s">
        <v>5397</v>
      </c>
      <c r="F416" s="148">
        <v>75.45</v>
      </c>
      <c r="G416" s="149">
        <f t="shared" si="1"/>
        <v>75.45</v>
      </c>
      <c r="H416" s="149">
        <f t="shared" si="2"/>
        <v>75.45</v>
      </c>
      <c r="I416" s="150">
        <f t="shared" si="3"/>
        <v>3.14375</v>
      </c>
      <c r="J416" s="147" t="s">
        <v>3678</v>
      </c>
      <c r="K416" s="151">
        <f t="shared" si="4"/>
        <v>0</v>
      </c>
      <c r="L416" s="147" t="s">
        <v>3678</v>
      </c>
      <c r="M416" s="147" t="s">
        <v>5398</v>
      </c>
      <c r="N416" s="151">
        <f t="shared" si="5"/>
        <v>66.56666667</v>
      </c>
      <c r="O416" s="147" t="s">
        <v>5376</v>
      </c>
      <c r="P416" s="151">
        <f t="shared" si="6"/>
        <v>8.883333333</v>
      </c>
    </row>
    <row r="417">
      <c r="A417" s="147" t="s">
        <v>5399</v>
      </c>
      <c r="B417" s="147" t="s">
        <v>5400</v>
      </c>
      <c r="C417" s="147" t="s">
        <v>3675</v>
      </c>
      <c r="D417" s="147" t="s">
        <v>3686</v>
      </c>
      <c r="E417" s="147" t="s">
        <v>5278</v>
      </c>
      <c r="F417" s="148">
        <v>53.03333333333333</v>
      </c>
      <c r="G417" s="149">
        <f t="shared" si="1"/>
        <v>52.28333333</v>
      </c>
      <c r="H417" s="149">
        <f t="shared" si="2"/>
        <v>52.26666667</v>
      </c>
      <c r="I417" s="150">
        <f t="shared" si="3"/>
        <v>2.177777778</v>
      </c>
      <c r="J417" s="147" t="s">
        <v>3731</v>
      </c>
      <c r="K417" s="148">
        <f t="shared" si="4"/>
        <v>0.75</v>
      </c>
      <c r="L417" s="152">
        <v>0.0142</v>
      </c>
      <c r="M417" s="147" t="s">
        <v>5401</v>
      </c>
      <c r="N417" s="148">
        <f t="shared" si="5"/>
        <v>32.81666667</v>
      </c>
      <c r="O417" s="147" t="s">
        <v>5402</v>
      </c>
      <c r="P417" s="148">
        <f t="shared" si="6"/>
        <v>19.45</v>
      </c>
    </row>
    <row r="418">
      <c r="A418" s="147" t="s">
        <v>5403</v>
      </c>
      <c r="B418" s="147" t="s">
        <v>5404</v>
      </c>
      <c r="C418" s="147" t="s">
        <v>3675</v>
      </c>
      <c r="D418" s="147" t="s">
        <v>3676</v>
      </c>
      <c r="E418" s="147" t="s">
        <v>5405</v>
      </c>
      <c r="F418" s="148">
        <v>37.083333333333336</v>
      </c>
      <c r="G418" s="149">
        <f t="shared" si="1"/>
        <v>37.08333333</v>
      </c>
      <c r="H418" s="149">
        <f t="shared" si="2"/>
        <v>37.08333333</v>
      </c>
      <c r="I418" s="150">
        <f t="shared" si="3"/>
        <v>1.545138889</v>
      </c>
      <c r="J418" s="147" t="s">
        <v>3678</v>
      </c>
      <c r="K418" s="151">
        <f t="shared" si="4"/>
        <v>0</v>
      </c>
      <c r="L418" s="147" t="s">
        <v>3678</v>
      </c>
      <c r="M418" s="147" t="s">
        <v>5406</v>
      </c>
      <c r="N418" s="151">
        <f t="shared" si="5"/>
        <v>35.7</v>
      </c>
      <c r="O418" s="147" t="s">
        <v>5389</v>
      </c>
      <c r="P418" s="151">
        <f t="shared" si="6"/>
        <v>1.383333333</v>
      </c>
    </row>
    <row r="419">
      <c r="A419" s="147" t="s">
        <v>5407</v>
      </c>
      <c r="B419" s="147" t="s">
        <v>5408</v>
      </c>
      <c r="C419" s="147" t="s">
        <v>3675</v>
      </c>
      <c r="D419" s="147" t="s">
        <v>3676</v>
      </c>
      <c r="E419" s="147" t="s">
        <v>4808</v>
      </c>
      <c r="F419" s="148">
        <v>1.0</v>
      </c>
      <c r="G419" s="149">
        <f t="shared" si="1"/>
        <v>1</v>
      </c>
      <c r="H419" s="149">
        <f t="shared" si="2"/>
        <v>0.9833333333</v>
      </c>
      <c r="I419" s="150">
        <f t="shared" si="3"/>
        <v>0.04097222222</v>
      </c>
      <c r="J419" s="147" t="s">
        <v>3678</v>
      </c>
      <c r="K419" s="151">
        <f t="shared" si="4"/>
        <v>0</v>
      </c>
      <c r="L419" s="147" t="s">
        <v>3678</v>
      </c>
      <c r="M419" s="147" t="s">
        <v>4396</v>
      </c>
      <c r="N419" s="151">
        <f t="shared" si="5"/>
        <v>0.5333333333</v>
      </c>
      <c r="O419" s="147" t="s">
        <v>5183</v>
      </c>
      <c r="P419" s="151">
        <f t="shared" si="6"/>
        <v>0.45</v>
      </c>
    </row>
    <row r="420">
      <c r="A420" s="147" t="s">
        <v>5409</v>
      </c>
      <c r="B420" s="147" t="s">
        <v>1239</v>
      </c>
      <c r="C420" s="147" t="s">
        <v>3675</v>
      </c>
      <c r="D420" s="147" t="s">
        <v>3676</v>
      </c>
      <c r="E420" s="147" t="s">
        <v>5410</v>
      </c>
      <c r="F420" s="148">
        <v>41.266666666666666</v>
      </c>
      <c r="G420" s="149">
        <f t="shared" si="1"/>
        <v>41.26666667</v>
      </c>
      <c r="H420" s="149">
        <f t="shared" si="2"/>
        <v>41.26666667</v>
      </c>
      <c r="I420" s="150">
        <f t="shared" si="3"/>
        <v>1.719444444</v>
      </c>
      <c r="J420" s="147" t="s">
        <v>3678</v>
      </c>
      <c r="K420" s="151">
        <f t="shared" si="4"/>
        <v>0</v>
      </c>
      <c r="L420" s="147" t="s">
        <v>3678</v>
      </c>
      <c r="M420" s="147" t="s">
        <v>5411</v>
      </c>
      <c r="N420" s="151">
        <f t="shared" si="5"/>
        <v>29.88333333</v>
      </c>
      <c r="O420" s="147" t="s">
        <v>5264</v>
      </c>
      <c r="P420" s="151">
        <f t="shared" si="6"/>
        <v>11.38333333</v>
      </c>
    </row>
    <row r="421">
      <c r="A421" s="147" t="s">
        <v>5412</v>
      </c>
      <c r="B421" s="147" t="s">
        <v>5413</v>
      </c>
      <c r="C421" s="147" t="s">
        <v>3675</v>
      </c>
      <c r="D421" s="147" t="s">
        <v>3686</v>
      </c>
      <c r="E421" s="147" t="s">
        <v>5414</v>
      </c>
      <c r="F421" s="148">
        <v>19.716666666666665</v>
      </c>
      <c r="G421" s="149">
        <f t="shared" si="1"/>
        <v>19.71666667</v>
      </c>
      <c r="H421" s="149">
        <f t="shared" si="2"/>
        <v>19.7</v>
      </c>
      <c r="I421" s="150">
        <f t="shared" si="3"/>
        <v>0.8208333333</v>
      </c>
      <c r="J421" s="147" t="s">
        <v>3678</v>
      </c>
      <c r="K421" s="151">
        <f t="shared" si="4"/>
        <v>0</v>
      </c>
      <c r="L421" s="147" t="s">
        <v>3678</v>
      </c>
      <c r="M421" s="147" t="s">
        <v>5415</v>
      </c>
      <c r="N421" s="151">
        <f t="shared" si="5"/>
        <v>17.03333333</v>
      </c>
      <c r="O421" s="147" t="s">
        <v>5416</v>
      </c>
      <c r="P421" s="151">
        <f t="shared" si="6"/>
        <v>2.666666667</v>
      </c>
    </row>
    <row r="422">
      <c r="A422" s="147" t="s">
        <v>5417</v>
      </c>
      <c r="B422" s="147" t="s">
        <v>3266</v>
      </c>
      <c r="C422" s="147" t="s">
        <v>3675</v>
      </c>
      <c r="D422" s="147" t="s">
        <v>5418</v>
      </c>
      <c r="E422" s="147" t="s">
        <v>5419</v>
      </c>
      <c r="F422" s="148">
        <v>46.46666666666667</v>
      </c>
      <c r="G422" s="149">
        <f t="shared" si="1"/>
        <v>46.46666667</v>
      </c>
      <c r="H422" s="149">
        <f t="shared" si="2"/>
        <v>46.45</v>
      </c>
      <c r="I422" s="150">
        <f t="shared" si="3"/>
        <v>1.935416667</v>
      </c>
      <c r="J422" s="147" t="s">
        <v>3678</v>
      </c>
      <c r="K422" s="151">
        <f t="shared" si="4"/>
        <v>0</v>
      </c>
      <c r="L422" s="147" t="s">
        <v>3678</v>
      </c>
      <c r="M422" s="147" t="s">
        <v>5420</v>
      </c>
      <c r="N422" s="151">
        <f t="shared" si="5"/>
        <v>44.25</v>
      </c>
      <c r="O422" s="147" t="s">
        <v>5421</v>
      </c>
      <c r="P422" s="151">
        <f t="shared" si="6"/>
        <v>2.2</v>
      </c>
    </row>
    <row r="423">
      <c r="A423" s="147" t="s">
        <v>5422</v>
      </c>
      <c r="B423" s="147" t="s">
        <v>746</v>
      </c>
      <c r="C423" s="147" t="s">
        <v>3675</v>
      </c>
      <c r="D423" s="147" t="s">
        <v>3676</v>
      </c>
      <c r="E423" s="147" t="s">
        <v>4622</v>
      </c>
      <c r="F423" s="148">
        <v>54.016666666666666</v>
      </c>
      <c r="G423" s="149">
        <f t="shared" si="1"/>
        <v>54.01666667</v>
      </c>
      <c r="H423" s="149">
        <f t="shared" si="2"/>
        <v>54.01666667</v>
      </c>
      <c r="I423" s="150">
        <f t="shared" si="3"/>
        <v>2.250694444</v>
      </c>
      <c r="J423" s="147" t="s">
        <v>3678</v>
      </c>
      <c r="K423" s="151">
        <f t="shared" si="4"/>
        <v>0</v>
      </c>
      <c r="L423" s="147" t="s">
        <v>3678</v>
      </c>
      <c r="M423" s="147" t="s">
        <v>5392</v>
      </c>
      <c r="N423" s="151">
        <f t="shared" si="5"/>
        <v>42.48333333</v>
      </c>
      <c r="O423" s="147" t="s">
        <v>5423</v>
      </c>
      <c r="P423" s="151">
        <f t="shared" si="6"/>
        <v>11.53333333</v>
      </c>
    </row>
    <row r="424">
      <c r="A424" s="147" t="s">
        <v>5424</v>
      </c>
      <c r="B424" s="147" t="s">
        <v>3373</v>
      </c>
      <c r="C424" s="147" t="s">
        <v>3675</v>
      </c>
      <c r="D424" s="147" t="s">
        <v>3800</v>
      </c>
      <c r="E424" s="147" t="s">
        <v>4261</v>
      </c>
      <c r="F424" s="148">
        <v>44.016666666666666</v>
      </c>
      <c r="G424" s="149">
        <f t="shared" si="1"/>
        <v>44.01666667</v>
      </c>
      <c r="H424" s="149">
        <f t="shared" si="2"/>
        <v>44</v>
      </c>
      <c r="I424" s="150">
        <f t="shared" si="3"/>
        <v>1.833333333</v>
      </c>
      <c r="J424" s="147" t="s">
        <v>3678</v>
      </c>
      <c r="K424" s="151">
        <f t="shared" si="4"/>
        <v>0</v>
      </c>
      <c r="L424" s="147" t="s">
        <v>3678</v>
      </c>
      <c r="M424" s="147" t="s">
        <v>5425</v>
      </c>
      <c r="N424" s="151">
        <f t="shared" si="5"/>
        <v>32.75</v>
      </c>
      <c r="O424" s="147" t="s">
        <v>4998</v>
      </c>
      <c r="P424" s="151">
        <f t="shared" si="6"/>
        <v>11.25</v>
      </c>
    </row>
    <row r="425">
      <c r="A425" s="147" t="s">
        <v>5426</v>
      </c>
      <c r="B425" s="147" t="s">
        <v>5427</v>
      </c>
      <c r="C425" s="147" t="s">
        <v>3675</v>
      </c>
      <c r="D425" s="147" t="s">
        <v>3676</v>
      </c>
      <c r="E425" s="147" t="s">
        <v>5428</v>
      </c>
      <c r="F425" s="148">
        <v>47.05</v>
      </c>
      <c r="G425" s="149">
        <f t="shared" si="1"/>
        <v>45.38333333</v>
      </c>
      <c r="H425" s="149">
        <f t="shared" si="2"/>
        <v>45.36666667</v>
      </c>
      <c r="I425" s="150">
        <f t="shared" si="3"/>
        <v>1.890277778</v>
      </c>
      <c r="J425" s="147" t="s">
        <v>5429</v>
      </c>
      <c r="K425" s="148">
        <f t="shared" si="4"/>
        <v>1.666666667</v>
      </c>
      <c r="L425" s="152">
        <v>0.0356</v>
      </c>
      <c r="M425" s="147" t="s">
        <v>5430</v>
      </c>
      <c r="N425" s="148">
        <f t="shared" si="5"/>
        <v>12.58333333</v>
      </c>
      <c r="O425" s="147" t="s">
        <v>5431</v>
      </c>
      <c r="P425" s="148">
        <f t="shared" si="6"/>
        <v>32.78333333</v>
      </c>
    </row>
    <row r="426">
      <c r="A426" s="147" t="s">
        <v>5432</v>
      </c>
      <c r="B426" s="147" t="s">
        <v>1337</v>
      </c>
      <c r="C426" s="147" t="s">
        <v>3675</v>
      </c>
      <c r="D426" s="147" t="s">
        <v>5433</v>
      </c>
      <c r="E426" s="147" t="s">
        <v>4000</v>
      </c>
      <c r="F426" s="148">
        <v>35.016666666666666</v>
      </c>
      <c r="G426" s="149">
        <f t="shared" si="1"/>
        <v>35.01666667</v>
      </c>
      <c r="H426" s="149">
        <f t="shared" si="2"/>
        <v>35.01666667</v>
      </c>
      <c r="I426" s="150">
        <f t="shared" si="3"/>
        <v>1.459027778</v>
      </c>
      <c r="J426" s="147" t="s">
        <v>3678</v>
      </c>
      <c r="K426" s="151">
        <f t="shared" si="4"/>
        <v>0</v>
      </c>
      <c r="L426" s="147" t="s">
        <v>3678</v>
      </c>
      <c r="M426" s="147" t="s">
        <v>5434</v>
      </c>
      <c r="N426" s="151">
        <f t="shared" si="5"/>
        <v>19.35</v>
      </c>
      <c r="O426" s="147" t="s">
        <v>3742</v>
      </c>
      <c r="P426" s="151">
        <f t="shared" si="6"/>
        <v>15.66666667</v>
      </c>
    </row>
    <row r="427">
      <c r="A427" s="147" t="s">
        <v>5435</v>
      </c>
      <c r="B427" s="147" t="s">
        <v>5436</v>
      </c>
      <c r="C427" s="147" t="s">
        <v>3765</v>
      </c>
      <c r="D427" s="147" t="s">
        <v>4192</v>
      </c>
      <c r="E427" s="147" t="s">
        <v>5437</v>
      </c>
      <c r="F427" s="148">
        <v>84.98333333333333</v>
      </c>
      <c r="G427" s="149">
        <f t="shared" si="1"/>
        <v>84.98333333</v>
      </c>
      <c r="H427" s="149">
        <f t="shared" si="2"/>
        <v>84.98333333</v>
      </c>
      <c r="I427" s="150">
        <f t="shared" si="3"/>
        <v>3.540972222</v>
      </c>
      <c r="J427" s="147" t="s">
        <v>3678</v>
      </c>
      <c r="K427" s="151">
        <f t="shared" si="4"/>
        <v>0</v>
      </c>
      <c r="L427" s="147" t="s">
        <v>3678</v>
      </c>
      <c r="M427" s="147" t="s">
        <v>5438</v>
      </c>
      <c r="N427" s="151">
        <f t="shared" si="5"/>
        <v>48.48333333</v>
      </c>
      <c r="O427" s="147" t="s">
        <v>4041</v>
      </c>
      <c r="P427" s="151">
        <f t="shared" si="6"/>
        <v>36.5</v>
      </c>
    </row>
    <row r="428">
      <c r="A428" s="147" t="s">
        <v>5439</v>
      </c>
      <c r="B428" s="147" t="s">
        <v>5440</v>
      </c>
      <c r="C428" s="147" t="s">
        <v>3675</v>
      </c>
      <c r="D428" s="147" t="s">
        <v>3692</v>
      </c>
      <c r="E428" s="147" t="s">
        <v>3957</v>
      </c>
      <c r="F428" s="148">
        <v>40.31666666666667</v>
      </c>
      <c r="G428" s="149">
        <f t="shared" si="1"/>
        <v>38.21666667</v>
      </c>
      <c r="H428" s="149">
        <f t="shared" si="2"/>
        <v>38.2</v>
      </c>
      <c r="I428" s="150">
        <f t="shared" si="3"/>
        <v>1.591666667</v>
      </c>
      <c r="J428" s="147" t="s">
        <v>4369</v>
      </c>
      <c r="K428" s="148">
        <f t="shared" si="4"/>
        <v>2.1</v>
      </c>
      <c r="L428" s="152">
        <v>0.0524</v>
      </c>
      <c r="M428" s="147" t="s">
        <v>5441</v>
      </c>
      <c r="N428" s="148">
        <f t="shared" si="5"/>
        <v>20.05</v>
      </c>
      <c r="O428" s="147" t="s">
        <v>5442</v>
      </c>
      <c r="P428" s="148">
        <f t="shared" si="6"/>
        <v>18.15</v>
      </c>
    </row>
    <row r="429">
      <c r="A429" s="147" t="s">
        <v>5443</v>
      </c>
      <c r="B429" s="147" t="s">
        <v>5444</v>
      </c>
      <c r="C429" s="147" t="s">
        <v>3675</v>
      </c>
      <c r="D429" s="147" t="s">
        <v>3735</v>
      </c>
      <c r="E429" s="147" t="s">
        <v>4138</v>
      </c>
      <c r="F429" s="148">
        <v>40.13333333333333</v>
      </c>
      <c r="G429" s="149">
        <f t="shared" si="1"/>
        <v>39.95</v>
      </c>
      <c r="H429" s="149">
        <f t="shared" si="2"/>
        <v>39.93333333</v>
      </c>
      <c r="I429" s="150">
        <f t="shared" si="3"/>
        <v>1.663888889</v>
      </c>
      <c r="J429" s="147" t="s">
        <v>4364</v>
      </c>
      <c r="K429" s="148">
        <f t="shared" si="4"/>
        <v>0.1833333333</v>
      </c>
      <c r="L429" s="152">
        <v>0.0047</v>
      </c>
      <c r="M429" s="147" t="s">
        <v>3741</v>
      </c>
      <c r="N429" s="148">
        <f t="shared" si="5"/>
        <v>28.13333333</v>
      </c>
      <c r="O429" s="147" t="s">
        <v>5445</v>
      </c>
      <c r="P429" s="148">
        <f t="shared" si="6"/>
        <v>11.8</v>
      </c>
    </row>
    <row r="430">
      <c r="A430" s="147" t="s">
        <v>5446</v>
      </c>
      <c r="B430" s="147" t="s">
        <v>5447</v>
      </c>
      <c r="C430" s="147" t="s">
        <v>3675</v>
      </c>
      <c r="D430" s="147" t="s">
        <v>3939</v>
      </c>
      <c r="E430" s="147" t="s">
        <v>4665</v>
      </c>
      <c r="F430" s="148">
        <v>40.05</v>
      </c>
      <c r="G430" s="149">
        <f t="shared" si="1"/>
        <v>40.05</v>
      </c>
      <c r="H430" s="149">
        <f t="shared" si="2"/>
        <v>40.05</v>
      </c>
      <c r="I430" s="150">
        <f t="shared" si="3"/>
        <v>1.66875</v>
      </c>
      <c r="J430" s="147" t="s">
        <v>5448</v>
      </c>
      <c r="K430" s="148">
        <f t="shared" si="4"/>
        <v>0</v>
      </c>
      <c r="L430" s="147" t="s">
        <v>3678</v>
      </c>
      <c r="M430" s="147" t="s">
        <v>3927</v>
      </c>
      <c r="N430" s="148">
        <f t="shared" si="5"/>
        <v>34.43333333</v>
      </c>
      <c r="O430" s="147" t="s">
        <v>5449</v>
      </c>
      <c r="P430" s="148">
        <f t="shared" si="6"/>
        <v>5.616666667</v>
      </c>
    </row>
    <row r="431">
      <c r="A431" s="147" t="s">
        <v>5450</v>
      </c>
      <c r="B431" s="147" t="s">
        <v>5451</v>
      </c>
      <c r="C431" s="147" t="s">
        <v>3675</v>
      </c>
      <c r="D431" s="147" t="s">
        <v>3692</v>
      </c>
      <c r="E431" s="147" t="s">
        <v>5452</v>
      </c>
      <c r="F431" s="148">
        <v>44.083333333333336</v>
      </c>
      <c r="G431" s="149">
        <f t="shared" si="1"/>
        <v>44.08333333</v>
      </c>
      <c r="H431" s="149">
        <f t="shared" si="2"/>
        <v>44.06666667</v>
      </c>
      <c r="I431" s="150">
        <f t="shared" si="3"/>
        <v>1.836111111</v>
      </c>
      <c r="J431" s="147" t="s">
        <v>3678</v>
      </c>
      <c r="K431" s="151">
        <f t="shared" si="4"/>
        <v>0</v>
      </c>
      <c r="L431" s="147" t="s">
        <v>3678</v>
      </c>
      <c r="M431" s="147" t="s">
        <v>5453</v>
      </c>
      <c r="N431" s="151">
        <f t="shared" si="5"/>
        <v>41.41666667</v>
      </c>
      <c r="O431" s="147" t="s">
        <v>5454</v>
      </c>
      <c r="P431" s="151">
        <f t="shared" si="6"/>
        <v>2.65</v>
      </c>
    </row>
    <row r="432">
      <c r="A432" s="147" t="s">
        <v>5455</v>
      </c>
      <c r="B432" s="147" t="s">
        <v>5456</v>
      </c>
      <c r="C432" s="147" t="s">
        <v>3765</v>
      </c>
      <c r="D432" s="147" t="s">
        <v>3709</v>
      </c>
      <c r="E432" s="147" t="s">
        <v>5457</v>
      </c>
      <c r="F432" s="148">
        <v>25.233333333333334</v>
      </c>
      <c r="G432" s="149">
        <f t="shared" si="1"/>
        <v>25.23333333</v>
      </c>
      <c r="H432" s="149">
        <f t="shared" si="2"/>
        <v>25.23333333</v>
      </c>
      <c r="I432" s="150">
        <f t="shared" si="3"/>
        <v>1.051388889</v>
      </c>
      <c r="J432" s="147" t="s">
        <v>3678</v>
      </c>
      <c r="K432" s="151">
        <f t="shared" si="4"/>
        <v>0</v>
      </c>
      <c r="L432" s="147" t="s">
        <v>3678</v>
      </c>
      <c r="M432" s="147" t="s">
        <v>5458</v>
      </c>
      <c r="N432" s="151">
        <f t="shared" si="5"/>
        <v>24.31666667</v>
      </c>
      <c r="O432" s="147" t="s">
        <v>3776</v>
      </c>
      <c r="P432" s="151">
        <f t="shared" si="6"/>
        <v>0.9166666667</v>
      </c>
    </row>
    <row r="433">
      <c r="A433" s="147" t="s">
        <v>5459</v>
      </c>
      <c r="B433" s="147" t="s">
        <v>5460</v>
      </c>
      <c r="C433" s="147" t="s">
        <v>3675</v>
      </c>
      <c r="D433" s="147" t="s">
        <v>3676</v>
      </c>
      <c r="E433" s="147" t="s">
        <v>5286</v>
      </c>
      <c r="F433" s="148">
        <v>0.9833333333333333</v>
      </c>
      <c r="G433" s="149">
        <f t="shared" si="1"/>
        <v>0.9833333333</v>
      </c>
      <c r="H433" s="149">
        <f t="shared" si="2"/>
        <v>0.9666666667</v>
      </c>
      <c r="I433" s="150">
        <f t="shared" si="3"/>
        <v>0.04027777778</v>
      </c>
      <c r="J433" s="147" t="s">
        <v>3678</v>
      </c>
      <c r="K433" s="151">
        <f t="shared" si="4"/>
        <v>0</v>
      </c>
      <c r="L433" s="147" t="s">
        <v>3678</v>
      </c>
      <c r="M433" s="147" t="s">
        <v>4080</v>
      </c>
      <c r="N433" s="151">
        <f t="shared" si="5"/>
        <v>0.4</v>
      </c>
      <c r="O433" s="147" t="s">
        <v>3719</v>
      </c>
      <c r="P433" s="151">
        <f t="shared" si="6"/>
        <v>0.5666666667</v>
      </c>
    </row>
    <row r="434">
      <c r="A434" s="147" t="s">
        <v>5461</v>
      </c>
      <c r="B434" s="147" t="s">
        <v>5462</v>
      </c>
      <c r="C434" s="147" t="s">
        <v>3675</v>
      </c>
      <c r="D434" s="147" t="s">
        <v>3642</v>
      </c>
      <c r="E434" s="147" t="s">
        <v>5463</v>
      </c>
      <c r="F434" s="148">
        <v>29.116666666666667</v>
      </c>
      <c r="G434" s="149">
        <f t="shared" si="1"/>
        <v>27.06666667</v>
      </c>
      <c r="H434" s="149">
        <f t="shared" si="2"/>
        <v>27.06666667</v>
      </c>
      <c r="I434" s="150">
        <f t="shared" si="3"/>
        <v>1.127777778</v>
      </c>
      <c r="J434" s="147" t="s">
        <v>5464</v>
      </c>
      <c r="K434" s="148">
        <f t="shared" si="4"/>
        <v>2.05</v>
      </c>
      <c r="L434" s="152">
        <v>0.0708</v>
      </c>
      <c r="M434" s="147" t="s">
        <v>5465</v>
      </c>
      <c r="N434" s="148">
        <f t="shared" si="5"/>
        <v>9.816666667</v>
      </c>
      <c r="O434" s="147" t="s">
        <v>3818</v>
      </c>
      <c r="P434" s="148">
        <f t="shared" si="6"/>
        <v>17.25</v>
      </c>
    </row>
    <row r="435">
      <c r="A435" s="147" t="s">
        <v>5466</v>
      </c>
      <c r="B435" s="147" t="s">
        <v>1191</v>
      </c>
      <c r="C435" s="147" t="s">
        <v>3675</v>
      </c>
      <c r="D435" s="147" t="s">
        <v>3676</v>
      </c>
      <c r="E435" s="147" t="s">
        <v>5467</v>
      </c>
      <c r="F435" s="148">
        <v>48.43333333333333</v>
      </c>
      <c r="G435" s="149">
        <f t="shared" si="1"/>
        <v>48.43333333</v>
      </c>
      <c r="H435" s="149">
        <f t="shared" si="2"/>
        <v>48.43333333</v>
      </c>
      <c r="I435" s="150">
        <f t="shared" si="3"/>
        <v>2.018055556</v>
      </c>
      <c r="J435" s="147" t="s">
        <v>3678</v>
      </c>
      <c r="K435" s="151">
        <f t="shared" si="4"/>
        <v>0</v>
      </c>
      <c r="L435" s="147" t="s">
        <v>3678</v>
      </c>
      <c r="M435" s="147" t="s">
        <v>5468</v>
      </c>
      <c r="N435" s="151">
        <f t="shared" si="5"/>
        <v>29.16666667</v>
      </c>
      <c r="O435" s="147" t="s">
        <v>4554</v>
      </c>
      <c r="P435" s="151">
        <f t="shared" si="6"/>
        <v>19.26666667</v>
      </c>
    </row>
    <row r="436">
      <c r="A436" s="147" t="s">
        <v>5469</v>
      </c>
      <c r="B436" s="147" t="s">
        <v>5470</v>
      </c>
      <c r="C436" s="147" t="s">
        <v>3675</v>
      </c>
      <c r="D436" s="147" t="s">
        <v>5471</v>
      </c>
      <c r="E436" s="147" t="s">
        <v>5112</v>
      </c>
      <c r="F436" s="148">
        <v>40.65</v>
      </c>
      <c r="G436" s="149">
        <f t="shared" si="1"/>
        <v>40.65</v>
      </c>
      <c r="H436" s="149">
        <f t="shared" si="2"/>
        <v>40.65</v>
      </c>
      <c r="I436" s="150">
        <f t="shared" si="3"/>
        <v>1.69375</v>
      </c>
      <c r="J436" s="147" t="s">
        <v>3678</v>
      </c>
      <c r="K436" s="151">
        <f t="shared" si="4"/>
        <v>0</v>
      </c>
      <c r="L436" s="147" t="s">
        <v>3678</v>
      </c>
      <c r="M436" s="147" t="s">
        <v>5472</v>
      </c>
      <c r="N436" s="151">
        <f t="shared" si="5"/>
        <v>28.85</v>
      </c>
      <c r="O436" s="147" t="s">
        <v>5445</v>
      </c>
      <c r="P436" s="151">
        <f t="shared" si="6"/>
        <v>11.8</v>
      </c>
    </row>
    <row r="437">
      <c r="A437" s="147" t="s">
        <v>5473</v>
      </c>
      <c r="B437" s="147" t="s">
        <v>445</v>
      </c>
      <c r="C437" s="147" t="s">
        <v>3675</v>
      </c>
      <c r="D437" s="147" t="s">
        <v>3676</v>
      </c>
      <c r="E437" s="147" t="s">
        <v>5474</v>
      </c>
      <c r="F437" s="148">
        <v>46.2</v>
      </c>
      <c r="G437" s="149">
        <f t="shared" si="1"/>
        <v>46.2</v>
      </c>
      <c r="H437" s="149">
        <f t="shared" si="2"/>
        <v>46.2</v>
      </c>
      <c r="I437" s="150">
        <f t="shared" si="3"/>
        <v>1.925</v>
      </c>
      <c r="J437" s="147" t="s">
        <v>3678</v>
      </c>
      <c r="K437" s="151">
        <f t="shared" si="4"/>
        <v>0</v>
      </c>
      <c r="L437" s="147" t="s">
        <v>3678</v>
      </c>
      <c r="M437" s="147" t="s">
        <v>4482</v>
      </c>
      <c r="N437" s="151">
        <f t="shared" si="5"/>
        <v>29.95</v>
      </c>
      <c r="O437" s="147" t="s">
        <v>5475</v>
      </c>
      <c r="P437" s="151">
        <f t="shared" si="6"/>
        <v>16.25</v>
      </c>
    </row>
    <row r="438">
      <c r="A438" s="147" t="s">
        <v>5476</v>
      </c>
      <c r="B438" s="147" t="s">
        <v>413</v>
      </c>
      <c r="C438" s="147" t="s">
        <v>3675</v>
      </c>
      <c r="D438" s="147" t="s">
        <v>3676</v>
      </c>
      <c r="E438" s="147" t="s">
        <v>5477</v>
      </c>
      <c r="F438" s="148">
        <v>43.03333333333333</v>
      </c>
      <c r="G438" s="149">
        <f t="shared" si="1"/>
        <v>43.03333333</v>
      </c>
      <c r="H438" s="149">
        <f t="shared" si="2"/>
        <v>43.01666667</v>
      </c>
      <c r="I438" s="150">
        <f t="shared" si="3"/>
        <v>1.792361111</v>
      </c>
      <c r="J438" s="147" t="s">
        <v>3678</v>
      </c>
      <c r="K438" s="151">
        <f t="shared" si="4"/>
        <v>0</v>
      </c>
      <c r="L438" s="147" t="s">
        <v>3678</v>
      </c>
      <c r="M438" s="147" t="s">
        <v>5478</v>
      </c>
      <c r="N438" s="151">
        <f t="shared" si="5"/>
        <v>24.15</v>
      </c>
      <c r="O438" s="147" t="s">
        <v>5479</v>
      </c>
      <c r="P438" s="151">
        <f t="shared" si="6"/>
        <v>18.86666667</v>
      </c>
    </row>
    <row r="439">
      <c r="A439" s="147" t="s">
        <v>5480</v>
      </c>
      <c r="B439" s="147" t="s">
        <v>363</v>
      </c>
      <c r="C439" s="147" t="s">
        <v>3675</v>
      </c>
      <c r="D439" s="147" t="s">
        <v>3686</v>
      </c>
      <c r="E439" s="147" t="s">
        <v>5481</v>
      </c>
      <c r="F439" s="148">
        <v>44.1</v>
      </c>
      <c r="G439" s="149">
        <f t="shared" si="1"/>
        <v>43.71666667</v>
      </c>
      <c r="H439" s="149">
        <f t="shared" si="2"/>
        <v>43.71666667</v>
      </c>
      <c r="I439" s="150">
        <f t="shared" si="3"/>
        <v>1.821527778</v>
      </c>
      <c r="J439" s="147" t="s">
        <v>4305</v>
      </c>
      <c r="K439" s="148">
        <f t="shared" si="4"/>
        <v>0.3833333333</v>
      </c>
      <c r="L439" s="152">
        <v>0.0087</v>
      </c>
      <c r="M439" s="147" t="s">
        <v>5482</v>
      </c>
      <c r="N439" s="148">
        <f t="shared" si="5"/>
        <v>19.01666667</v>
      </c>
      <c r="O439" s="147" t="s">
        <v>5483</v>
      </c>
      <c r="P439" s="148">
        <f t="shared" si="6"/>
        <v>24.7</v>
      </c>
    </row>
    <row r="440">
      <c r="A440" s="147" t="s">
        <v>5484</v>
      </c>
      <c r="B440" s="147" t="s">
        <v>186</v>
      </c>
      <c r="C440" s="147" t="s">
        <v>3675</v>
      </c>
      <c r="D440" s="147" t="s">
        <v>3686</v>
      </c>
      <c r="E440" s="147" t="s">
        <v>5485</v>
      </c>
      <c r="F440" s="148">
        <v>38.43333333333333</v>
      </c>
      <c r="G440" s="149">
        <f t="shared" si="1"/>
        <v>38.43333333</v>
      </c>
      <c r="H440" s="149">
        <f t="shared" si="2"/>
        <v>38.43333333</v>
      </c>
      <c r="I440" s="150">
        <f t="shared" si="3"/>
        <v>1.601388889</v>
      </c>
      <c r="J440" s="147" t="s">
        <v>3678</v>
      </c>
      <c r="K440" s="151">
        <f t="shared" si="4"/>
        <v>0</v>
      </c>
      <c r="L440" s="147" t="s">
        <v>3678</v>
      </c>
      <c r="M440" s="147" t="s">
        <v>5486</v>
      </c>
      <c r="N440" s="151">
        <f t="shared" si="5"/>
        <v>35.2</v>
      </c>
      <c r="O440" s="147" t="s">
        <v>5487</v>
      </c>
      <c r="P440" s="151">
        <f t="shared" si="6"/>
        <v>3.233333333</v>
      </c>
    </row>
    <row r="441">
      <c r="A441" s="147" t="s">
        <v>5488</v>
      </c>
      <c r="B441" s="147" t="s">
        <v>5489</v>
      </c>
      <c r="C441" s="147" t="s">
        <v>3675</v>
      </c>
      <c r="D441" s="147" t="s">
        <v>5338</v>
      </c>
      <c r="E441" s="147" t="s">
        <v>5490</v>
      </c>
      <c r="F441" s="148">
        <v>38.8</v>
      </c>
      <c r="G441" s="149">
        <f t="shared" si="1"/>
        <v>38.8</v>
      </c>
      <c r="H441" s="149">
        <f t="shared" si="2"/>
        <v>38.8</v>
      </c>
      <c r="I441" s="150">
        <f t="shared" si="3"/>
        <v>1.616666667</v>
      </c>
      <c r="J441" s="147" t="s">
        <v>3678</v>
      </c>
      <c r="K441" s="151">
        <f t="shared" si="4"/>
        <v>0</v>
      </c>
      <c r="L441" s="147" t="s">
        <v>3678</v>
      </c>
      <c r="M441" s="147" t="s">
        <v>5491</v>
      </c>
      <c r="N441" s="151">
        <f t="shared" si="5"/>
        <v>27.58333333</v>
      </c>
      <c r="O441" s="147" t="s">
        <v>5492</v>
      </c>
      <c r="P441" s="151">
        <f t="shared" si="6"/>
        <v>11.21666667</v>
      </c>
    </row>
    <row r="442">
      <c r="A442" s="147" t="s">
        <v>5493</v>
      </c>
      <c r="B442" s="147" t="s">
        <v>5494</v>
      </c>
      <c r="C442" s="147" t="s">
        <v>3675</v>
      </c>
      <c r="D442" s="147" t="s">
        <v>4215</v>
      </c>
      <c r="E442" s="147" t="s">
        <v>5495</v>
      </c>
      <c r="F442" s="148">
        <v>56.483333333333334</v>
      </c>
      <c r="G442" s="149">
        <f t="shared" si="1"/>
        <v>56.48333333</v>
      </c>
      <c r="H442" s="149">
        <f t="shared" si="2"/>
        <v>56.46666667</v>
      </c>
      <c r="I442" s="150">
        <f t="shared" si="3"/>
        <v>2.352777778</v>
      </c>
      <c r="J442" s="147" t="s">
        <v>3678</v>
      </c>
      <c r="K442" s="151">
        <f t="shared" si="4"/>
        <v>0</v>
      </c>
      <c r="L442" s="147" t="s">
        <v>3678</v>
      </c>
      <c r="M442" s="147" t="s">
        <v>5496</v>
      </c>
      <c r="N442" s="151">
        <f t="shared" si="5"/>
        <v>40.23333333</v>
      </c>
      <c r="O442" s="147" t="s">
        <v>4423</v>
      </c>
      <c r="P442" s="151">
        <f t="shared" si="6"/>
        <v>16.23333333</v>
      </c>
    </row>
    <row r="443">
      <c r="A443" s="147" t="s">
        <v>5497</v>
      </c>
      <c r="B443" s="147" t="s">
        <v>5498</v>
      </c>
      <c r="C443" s="147" t="s">
        <v>3675</v>
      </c>
      <c r="D443" s="147" t="s">
        <v>3692</v>
      </c>
      <c r="E443" s="147" t="s">
        <v>5499</v>
      </c>
      <c r="F443" s="148">
        <v>42.85</v>
      </c>
      <c r="G443" s="149">
        <f t="shared" si="1"/>
        <v>42.71666667</v>
      </c>
      <c r="H443" s="149">
        <f t="shared" si="2"/>
        <v>42.68333333</v>
      </c>
      <c r="I443" s="150">
        <f t="shared" si="3"/>
        <v>1.778472222</v>
      </c>
      <c r="J443" s="147" t="s">
        <v>5500</v>
      </c>
      <c r="K443" s="148">
        <f t="shared" si="4"/>
        <v>0.1333333333</v>
      </c>
      <c r="L443" s="152">
        <v>0.0034</v>
      </c>
      <c r="M443" s="147" t="s">
        <v>5501</v>
      </c>
      <c r="N443" s="148">
        <f t="shared" si="5"/>
        <v>34.96666667</v>
      </c>
      <c r="O443" s="147" t="s">
        <v>5502</v>
      </c>
      <c r="P443" s="148">
        <f t="shared" si="6"/>
        <v>7.716666667</v>
      </c>
    </row>
    <row r="444">
      <c r="A444" s="147" t="s">
        <v>5503</v>
      </c>
      <c r="B444" s="147" t="s">
        <v>5504</v>
      </c>
      <c r="C444" s="147" t="s">
        <v>3675</v>
      </c>
      <c r="D444" s="147" t="s">
        <v>3692</v>
      </c>
      <c r="E444" s="147" t="s">
        <v>4517</v>
      </c>
      <c r="F444" s="148">
        <v>41.65</v>
      </c>
      <c r="G444" s="149">
        <f t="shared" si="1"/>
        <v>41.65</v>
      </c>
      <c r="H444" s="149">
        <f t="shared" si="2"/>
        <v>41.65</v>
      </c>
      <c r="I444" s="150">
        <f t="shared" si="3"/>
        <v>1.735416667</v>
      </c>
      <c r="J444" s="147" t="s">
        <v>3678</v>
      </c>
      <c r="K444" s="151">
        <f t="shared" si="4"/>
        <v>0</v>
      </c>
      <c r="L444" s="147" t="s">
        <v>3678</v>
      </c>
      <c r="M444" s="147" t="s">
        <v>5505</v>
      </c>
      <c r="N444" s="151">
        <f t="shared" si="5"/>
        <v>41.56666667</v>
      </c>
      <c r="O444" s="147" t="s">
        <v>4064</v>
      </c>
      <c r="P444" s="151">
        <f t="shared" si="6"/>
        <v>0.08333333333</v>
      </c>
    </row>
    <row r="445">
      <c r="A445" s="147" t="s">
        <v>5506</v>
      </c>
      <c r="B445" s="147" t="s">
        <v>848</v>
      </c>
      <c r="C445" s="147" t="s">
        <v>3675</v>
      </c>
      <c r="D445" s="147" t="s">
        <v>3676</v>
      </c>
      <c r="E445" s="147" t="s">
        <v>4566</v>
      </c>
      <c r="F445" s="148">
        <v>44.0</v>
      </c>
      <c r="G445" s="149">
        <f t="shared" si="1"/>
        <v>44</v>
      </c>
      <c r="H445" s="149">
        <f t="shared" si="2"/>
        <v>43.98333333</v>
      </c>
      <c r="I445" s="150">
        <f t="shared" si="3"/>
        <v>1.832638889</v>
      </c>
      <c r="J445" s="147" t="s">
        <v>3678</v>
      </c>
      <c r="K445" s="151">
        <f t="shared" si="4"/>
        <v>0</v>
      </c>
      <c r="L445" s="147" t="s">
        <v>3678</v>
      </c>
      <c r="M445" s="147" t="s">
        <v>5507</v>
      </c>
      <c r="N445" s="151">
        <f t="shared" si="5"/>
        <v>30.96666667</v>
      </c>
      <c r="O445" s="147" t="s">
        <v>4299</v>
      </c>
      <c r="P445" s="151">
        <f t="shared" si="6"/>
        <v>13.01666667</v>
      </c>
    </row>
    <row r="446">
      <c r="A446" s="147" t="s">
        <v>5508</v>
      </c>
      <c r="B446" s="147" t="s">
        <v>5509</v>
      </c>
      <c r="C446" s="147" t="s">
        <v>3675</v>
      </c>
      <c r="D446" s="147" t="s">
        <v>3692</v>
      </c>
      <c r="E446" s="147" t="s">
        <v>5510</v>
      </c>
      <c r="F446" s="148">
        <v>41.733333333333334</v>
      </c>
      <c r="G446" s="149">
        <f t="shared" si="1"/>
        <v>35.28333333</v>
      </c>
      <c r="H446" s="149">
        <f t="shared" si="2"/>
        <v>35.26666667</v>
      </c>
      <c r="I446" s="150">
        <f t="shared" si="3"/>
        <v>1.469444444</v>
      </c>
      <c r="J446" s="147" t="s">
        <v>3712</v>
      </c>
      <c r="K446" s="148">
        <f t="shared" si="4"/>
        <v>6.45</v>
      </c>
      <c r="L446" s="152">
        <v>0.1549</v>
      </c>
      <c r="M446" s="147" t="s">
        <v>4157</v>
      </c>
      <c r="N446" s="148">
        <f t="shared" si="5"/>
        <v>23.65</v>
      </c>
      <c r="O446" s="147" t="s">
        <v>5511</v>
      </c>
      <c r="P446" s="148">
        <f t="shared" si="6"/>
        <v>11.61666667</v>
      </c>
    </row>
    <row r="447">
      <c r="A447" s="147" t="s">
        <v>5512</v>
      </c>
      <c r="B447" s="147" t="s">
        <v>5513</v>
      </c>
      <c r="C447" s="147" t="s">
        <v>3675</v>
      </c>
      <c r="D447" s="147" t="s">
        <v>3676</v>
      </c>
      <c r="E447" s="147" t="s">
        <v>4917</v>
      </c>
      <c r="F447" s="148">
        <v>42.2</v>
      </c>
      <c r="G447" s="149">
        <f t="shared" si="1"/>
        <v>41.45</v>
      </c>
      <c r="H447" s="149">
        <f t="shared" si="2"/>
        <v>41.43333333</v>
      </c>
      <c r="I447" s="150">
        <f t="shared" si="3"/>
        <v>1.726388889</v>
      </c>
      <c r="J447" s="147" t="s">
        <v>3731</v>
      </c>
      <c r="K447" s="148">
        <f t="shared" si="4"/>
        <v>0.75</v>
      </c>
      <c r="L447" s="152">
        <v>0.018</v>
      </c>
      <c r="M447" s="147" t="s">
        <v>5514</v>
      </c>
      <c r="N447" s="148">
        <f t="shared" si="5"/>
        <v>25.58333333</v>
      </c>
      <c r="O447" s="147" t="s">
        <v>5515</v>
      </c>
      <c r="P447" s="148">
        <f t="shared" si="6"/>
        <v>15.85</v>
      </c>
    </row>
    <row r="448">
      <c r="A448" s="147" t="s">
        <v>5516</v>
      </c>
      <c r="B448" s="147" t="s">
        <v>5517</v>
      </c>
      <c r="C448" s="147" t="s">
        <v>3675</v>
      </c>
      <c r="D448" s="147" t="s">
        <v>3692</v>
      </c>
      <c r="E448" s="147" t="s">
        <v>5518</v>
      </c>
      <c r="F448" s="148">
        <v>45.333333333333336</v>
      </c>
      <c r="G448" s="149">
        <f t="shared" si="1"/>
        <v>45.15</v>
      </c>
      <c r="H448" s="149">
        <f t="shared" si="2"/>
        <v>45.13333333</v>
      </c>
      <c r="I448" s="150">
        <f t="shared" si="3"/>
        <v>1.880555556</v>
      </c>
      <c r="J448" s="147" t="s">
        <v>4364</v>
      </c>
      <c r="K448" s="148">
        <f t="shared" si="4"/>
        <v>0.1833333333</v>
      </c>
      <c r="L448" s="152">
        <v>0.0042</v>
      </c>
      <c r="M448" s="147" t="s">
        <v>4449</v>
      </c>
      <c r="N448" s="148">
        <f t="shared" si="5"/>
        <v>35.05</v>
      </c>
      <c r="O448" s="147" t="s">
        <v>5140</v>
      </c>
      <c r="P448" s="148">
        <f t="shared" si="6"/>
        <v>10.08333333</v>
      </c>
    </row>
    <row r="449">
      <c r="A449" s="147" t="s">
        <v>5519</v>
      </c>
      <c r="B449" s="147" t="s">
        <v>5520</v>
      </c>
      <c r="C449" s="147" t="s">
        <v>3675</v>
      </c>
      <c r="D449" s="147" t="s">
        <v>4124</v>
      </c>
      <c r="E449" s="147" t="s">
        <v>5521</v>
      </c>
      <c r="F449" s="148">
        <v>60.36666666666667</v>
      </c>
      <c r="G449" s="149">
        <f t="shared" si="1"/>
        <v>60.36666667</v>
      </c>
      <c r="H449" s="149">
        <f t="shared" si="2"/>
        <v>60.36666667</v>
      </c>
      <c r="I449" s="150">
        <f t="shared" si="3"/>
        <v>2.515277778</v>
      </c>
      <c r="J449" s="147" t="s">
        <v>3678</v>
      </c>
      <c r="K449" s="151">
        <f t="shared" si="4"/>
        <v>0</v>
      </c>
      <c r="L449" s="147" t="s">
        <v>3678</v>
      </c>
      <c r="M449" s="147" t="s">
        <v>5522</v>
      </c>
      <c r="N449" s="151">
        <f t="shared" si="5"/>
        <v>44.18333333</v>
      </c>
      <c r="O449" s="147" t="s">
        <v>5523</v>
      </c>
      <c r="P449" s="151">
        <f t="shared" si="6"/>
        <v>16.18333333</v>
      </c>
    </row>
    <row r="450">
      <c r="A450" s="147" t="s">
        <v>5524</v>
      </c>
      <c r="B450" s="147" t="s">
        <v>752</v>
      </c>
      <c r="C450" s="147" t="s">
        <v>3675</v>
      </c>
      <c r="D450" s="147" t="s">
        <v>3676</v>
      </c>
      <c r="E450" s="147" t="s">
        <v>3882</v>
      </c>
      <c r="F450" s="148">
        <v>35.25</v>
      </c>
      <c r="G450" s="149">
        <f t="shared" si="1"/>
        <v>35.25</v>
      </c>
      <c r="H450" s="149">
        <f t="shared" si="2"/>
        <v>35.25</v>
      </c>
      <c r="I450" s="150">
        <f t="shared" si="3"/>
        <v>1.46875</v>
      </c>
      <c r="J450" s="147" t="s">
        <v>4703</v>
      </c>
      <c r="K450" s="148">
        <f t="shared" si="4"/>
        <v>0</v>
      </c>
      <c r="L450" s="147" t="s">
        <v>3678</v>
      </c>
      <c r="M450" s="147" t="s">
        <v>5525</v>
      </c>
      <c r="N450" s="148">
        <f t="shared" si="5"/>
        <v>19.98333333</v>
      </c>
      <c r="O450" s="147" t="s">
        <v>4591</v>
      </c>
      <c r="P450" s="148">
        <f t="shared" si="6"/>
        <v>15.26666667</v>
      </c>
    </row>
    <row r="451">
      <c r="A451" s="147" t="s">
        <v>5526</v>
      </c>
      <c r="B451" s="147" t="s">
        <v>1805</v>
      </c>
      <c r="C451" s="147" t="s">
        <v>3675</v>
      </c>
      <c r="D451" s="147" t="s">
        <v>3676</v>
      </c>
      <c r="E451" s="147" t="s">
        <v>5527</v>
      </c>
      <c r="F451" s="148">
        <v>1.0166666666666666</v>
      </c>
      <c r="G451" s="149">
        <f t="shared" si="1"/>
        <v>1.016666667</v>
      </c>
      <c r="H451" s="149">
        <f t="shared" si="2"/>
        <v>1</v>
      </c>
      <c r="I451" s="150">
        <f t="shared" si="3"/>
        <v>0.04166666667</v>
      </c>
      <c r="J451" s="147" t="s">
        <v>3678</v>
      </c>
      <c r="K451" s="151">
        <f t="shared" si="4"/>
        <v>0</v>
      </c>
      <c r="L451" s="147" t="s">
        <v>3678</v>
      </c>
      <c r="M451" s="147" t="s">
        <v>5528</v>
      </c>
      <c r="N451" s="151">
        <f t="shared" si="5"/>
        <v>0.9</v>
      </c>
      <c r="O451" s="147" t="s">
        <v>5390</v>
      </c>
      <c r="P451" s="151">
        <f t="shared" si="6"/>
        <v>0.1</v>
      </c>
    </row>
    <row r="452">
      <c r="A452" s="147" t="s">
        <v>5529</v>
      </c>
      <c r="B452" s="147" t="s">
        <v>5530</v>
      </c>
      <c r="C452" s="147" t="s">
        <v>3765</v>
      </c>
      <c r="D452" s="147" t="s">
        <v>3686</v>
      </c>
      <c r="E452" s="147" t="s">
        <v>4498</v>
      </c>
      <c r="F452" s="148">
        <v>51.916666666666664</v>
      </c>
      <c r="G452" s="149">
        <f t="shared" si="1"/>
        <v>51.91666667</v>
      </c>
      <c r="H452" s="149">
        <f t="shared" si="2"/>
        <v>51.9</v>
      </c>
      <c r="I452" s="150">
        <f t="shared" si="3"/>
        <v>2.1625</v>
      </c>
      <c r="J452" s="147" t="s">
        <v>3678</v>
      </c>
      <c r="K452" s="151">
        <f t="shared" si="4"/>
        <v>0</v>
      </c>
      <c r="L452" s="147" t="s">
        <v>3678</v>
      </c>
      <c r="M452" s="147" t="s">
        <v>3860</v>
      </c>
      <c r="N452" s="151">
        <f t="shared" si="5"/>
        <v>49.6</v>
      </c>
      <c r="O452" s="147" t="s">
        <v>5531</v>
      </c>
      <c r="P452" s="151">
        <f t="shared" si="6"/>
        <v>2.3</v>
      </c>
    </row>
    <row r="453">
      <c r="A453" s="147" t="s">
        <v>5532</v>
      </c>
      <c r="B453" s="147" t="s">
        <v>884</v>
      </c>
      <c r="C453" s="147" t="s">
        <v>3675</v>
      </c>
      <c r="D453" s="147" t="s">
        <v>3692</v>
      </c>
      <c r="E453" s="147" t="s">
        <v>5533</v>
      </c>
      <c r="F453" s="148">
        <v>37.5</v>
      </c>
      <c r="G453" s="149">
        <f t="shared" si="1"/>
        <v>35.06666667</v>
      </c>
      <c r="H453" s="149">
        <f t="shared" si="2"/>
        <v>35.06666667</v>
      </c>
      <c r="I453" s="150">
        <f t="shared" si="3"/>
        <v>1.461111111</v>
      </c>
      <c r="J453" s="147" t="s">
        <v>4815</v>
      </c>
      <c r="K453" s="148">
        <f t="shared" si="4"/>
        <v>2.433333333</v>
      </c>
      <c r="L453" s="152">
        <v>0.065</v>
      </c>
      <c r="M453" s="147" t="s">
        <v>5534</v>
      </c>
      <c r="N453" s="148">
        <f t="shared" si="5"/>
        <v>16.8</v>
      </c>
      <c r="O453" s="147" t="s">
        <v>3889</v>
      </c>
      <c r="P453" s="148">
        <f t="shared" si="6"/>
        <v>18.26666667</v>
      </c>
    </row>
    <row r="454">
      <c r="A454" s="147" t="s">
        <v>5535</v>
      </c>
      <c r="B454" s="147" t="s">
        <v>5536</v>
      </c>
      <c r="C454" s="147" t="s">
        <v>3675</v>
      </c>
      <c r="D454" s="147" t="s">
        <v>3676</v>
      </c>
      <c r="E454" s="147" t="s">
        <v>5255</v>
      </c>
      <c r="F454" s="148">
        <v>43.1</v>
      </c>
      <c r="G454" s="149">
        <f t="shared" si="1"/>
        <v>43.1</v>
      </c>
      <c r="H454" s="149">
        <f t="shared" si="2"/>
        <v>43.1</v>
      </c>
      <c r="I454" s="150">
        <f t="shared" si="3"/>
        <v>1.795833333</v>
      </c>
      <c r="J454" s="147" t="s">
        <v>3678</v>
      </c>
      <c r="K454" s="151">
        <f t="shared" si="4"/>
        <v>0</v>
      </c>
      <c r="L454" s="147" t="s">
        <v>3678</v>
      </c>
      <c r="M454" s="147" t="s">
        <v>5537</v>
      </c>
      <c r="N454" s="151">
        <f t="shared" si="5"/>
        <v>33.65</v>
      </c>
      <c r="O454" s="147" t="s">
        <v>4406</v>
      </c>
      <c r="P454" s="151">
        <f t="shared" si="6"/>
        <v>9.45</v>
      </c>
    </row>
    <row r="455">
      <c r="A455" s="147" t="s">
        <v>5538</v>
      </c>
      <c r="B455" s="147" t="s">
        <v>1233</v>
      </c>
      <c r="C455" s="147" t="s">
        <v>3675</v>
      </c>
      <c r="D455" s="147" t="s">
        <v>3676</v>
      </c>
      <c r="E455" s="147" t="s">
        <v>5539</v>
      </c>
      <c r="F455" s="148">
        <v>38.766666666666666</v>
      </c>
      <c r="G455" s="149">
        <f t="shared" si="1"/>
        <v>38.43333333</v>
      </c>
      <c r="H455" s="149">
        <f t="shared" si="2"/>
        <v>38.43333333</v>
      </c>
      <c r="I455" s="150">
        <f t="shared" si="3"/>
        <v>1.601388889</v>
      </c>
      <c r="J455" s="147" t="s">
        <v>4221</v>
      </c>
      <c r="K455" s="148">
        <f t="shared" si="4"/>
        <v>0.3333333333</v>
      </c>
      <c r="L455" s="152">
        <v>0.0086</v>
      </c>
      <c r="M455" s="147" t="s">
        <v>5540</v>
      </c>
      <c r="N455" s="148">
        <f t="shared" si="5"/>
        <v>18</v>
      </c>
      <c r="O455" s="147" t="s">
        <v>5234</v>
      </c>
      <c r="P455" s="148">
        <f t="shared" si="6"/>
        <v>20.43333333</v>
      </c>
    </row>
    <row r="456">
      <c r="A456" s="147" t="s">
        <v>5541</v>
      </c>
      <c r="B456" s="147" t="s">
        <v>1059</v>
      </c>
      <c r="C456" s="147" t="s">
        <v>3675</v>
      </c>
      <c r="D456" s="147" t="s">
        <v>3676</v>
      </c>
      <c r="E456" s="147" t="s">
        <v>5542</v>
      </c>
      <c r="F456" s="148">
        <v>41.63333333333333</v>
      </c>
      <c r="G456" s="149">
        <f t="shared" si="1"/>
        <v>41.63333333</v>
      </c>
      <c r="H456" s="149">
        <f t="shared" si="2"/>
        <v>41.63333333</v>
      </c>
      <c r="I456" s="150">
        <f t="shared" si="3"/>
        <v>1.734722222</v>
      </c>
      <c r="J456" s="147" t="s">
        <v>3678</v>
      </c>
      <c r="K456" s="151">
        <f t="shared" si="4"/>
        <v>0</v>
      </c>
      <c r="L456" s="147" t="s">
        <v>3678</v>
      </c>
      <c r="M456" s="147" t="s">
        <v>5543</v>
      </c>
      <c r="N456" s="151">
        <f t="shared" si="5"/>
        <v>28.68333333</v>
      </c>
      <c r="O456" s="147" t="s">
        <v>5544</v>
      </c>
      <c r="P456" s="151">
        <f t="shared" si="6"/>
        <v>12.95</v>
      </c>
    </row>
    <row r="457">
      <c r="A457" s="147" t="s">
        <v>5545</v>
      </c>
      <c r="B457" s="147" t="s">
        <v>2327</v>
      </c>
      <c r="C457" s="147" t="s">
        <v>3675</v>
      </c>
      <c r="D457" s="147" t="s">
        <v>3676</v>
      </c>
      <c r="E457" s="147" t="s">
        <v>3898</v>
      </c>
      <c r="F457" s="148">
        <v>1.0333333333333334</v>
      </c>
      <c r="G457" s="149">
        <f t="shared" si="1"/>
        <v>1.033333333</v>
      </c>
      <c r="H457" s="149">
        <f t="shared" si="2"/>
        <v>1.033333333</v>
      </c>
      <c r="I457" s="150">
        <f t="shared" si="3"/>
        <v>0.04305555556</v>
      </c>
      <c r="J457" s="147" t="s">
        <v>3678</v>
      </c>
      <c r="K457" s="151">
        <f t="shared" si="4"/>
        <v>0</v>
      </c>
      <c r="L457" s="147" t="s">
        <v>3678</v>
      </c>
      <c r="M457" s="147" t="s">
        <v>4385</v>
      </c>
      <c r="N457" s="151">
        <f t="shared" si="5"/>
        <v>0.7</v>
      </c>
      <c r="O457" s="147" t="s">
        <v>4221</v>
      </c>
      <c r="P457" s="151">
        <f t="shared" si="6"/>
        <v>0.3333333333</v>
      </c>
    </row>
    <row r="458">
      <c r="A458" s="147" t="s">
        <v>5546</v>
      </c>
      <c r="B458" s="147" t="s">
        <v>5547</v>
      </c>
      <c r="C458" s="147" t="s">
        <v>3675</v>
      </c>
      <c r="D458" s="147" t="s">
        <v>3676</v>
      </c>
      <c r="E458" s="147" t="s">
        <v>5548</v>
      </c>
      <c r="F458" s="148">
        <v>35.333333333333336</v>
      </c>
      <c r="G458" s="149">
        <f t="shared" si="1"/>
        <v>35.33333333</v>
      </c>
      <c r="H458" s="149">
        <f t="shared" si="2"/>
        <v>35.33333333</v>
      </c>
      <c r="I458" s="150">
        <f t="shared" si="3"/>
        <v>1.472222222</v>
      </c>
      <c r="J458" s="147" t="s">
        <v>3678</v>
      </c>
      <c r="K458" s="148">
        <f t="shared" si="4"/>
        <v>0</v>
      </c>
      <c r="L458" s="147" t="s">
        <v>3678</v>
      </c>
      <c r="M458" s="147" t="s">
        <v>5549</v>
      </c>
      <c r="N458" s="148">
        <f t="shared" si="5"/>
        <v>18.48333333</v>
      </c>
      <c r="O458" s="147" t="s">
        <v>5550</v>
      </c>
      <c r="P458" s="148">
        <f t="shared" si="6"/>
        <v>16.85</v>
      </c>
    </row>
    <row r="459">
      <c r="A459" s="153"/>
      <c r="B459" s="153"/>
      <c r="C459" s="153"/>
      <c r="D459" s="153"/>
      <c r="E459" s="153"/>
      <c r="F459" s="154">
        <v>0.0</v>
      </c>
      <c r="G459" s="149">
        <f t="shared" si="1"/>
        <v>0</v>
      </c>
      <c r="H459" s="154"/>
      <c r="I459" s="155"/>
      <c r="J459" s="153"/>
      <c r="K459" s="154"/>
      <c r="L459" s="153"/>
      <c r="M459" s="153"/>
      <c r="N459" s="154"/>
      <c r="O459" s="153"/>
      <c r="P459" s="154"/>
    </row>
    <row r="460">
      <c r="F460" s="63">
        <v>0.0</v>
      </c>
      <c r="G460" s="149">
        <f t="shared" si="1"/>
        <v>0</v>
      </c>
      <c r="H460" s="63"/>
      <c r="I460" s="156"/>
      <c r="K460" s="63"/>
      <c r="N460" s="63"/>
      <c r="P460" s="63"/>
    </row>
    <row r="461">
      <c r="F461" s="63">
        <v>0.0</v>
      </c>
      <c r="G461" s="149">
        <f t="shared" si="1"/>
        <v>0</v>
      </c>
      <c r="H461" s="63"/>
      <c r="I461" s="156"/>
      <c r="K461" s="63"/>
      <c r="N461" s="63"/>
      <c r="P461" s="63"/>
    </row>
    <row r="462">
      <c r="F462" s="63">
        <v>0.0</v>
      </c>
      <c r="G462" s="149">
        <f t="shared" si="1"/>
        <v>0</v>
      </c>
      <c r="H462" s="63"/>
      <c r="I462" s="156"/>
      <c r="K462" s="63"/>
      <c r="N462" s="63"/>
      <c r="P462" s="63"/>
    </row>
    <row r="463">
      <c r="F463" s="63">
        <v>0.0</v>
      </c>
      <c r="G463" s="149">
        <f t="shared" si="1"/>
        <v>0</v>
      </c>
      <c r="H463" s="63"/>
      <c r="I463" s="156"/>
      <c r="K463" s="63"/>
      <c r="N463" s="63"/>
      <c r="P463" s="63"/>
    </row>
    <row r="464">
      <c r="F464" s="63">
        <v>0.0</v>
      </c>
      <c r="G464" s="149">
        <f t="shared" si="1"/>
        <v>0</v>
      </c>
      <c r="H464" s="63"/>
      <c r="I464" s="156"/>
      <c r="K464" s="63"/>
      <c r="N464" s="63"/>
      <c r="P464" s="63"/>
    </row>
    <row r="465">
      <c r="F465" s="63">
        <v>0.0</v>
      </c>
      <c r="G465" s="149">
        <f t="shared" si="1"/>
        <v>0</v>
      </c>
      <c r="H465" s="63"/>
      <c r="I465" s="156"/>
      <c r="K465" s="63"/>
      <c r="N465" s="63"/>
      <c r="P465" s="63"/>
    </row>
    <row r="466">
      <c r="F466" s="63">
        <v>0.0</v>
      </c>
      <c r="G466" s="149">
        <f t="shared" si="1"/>
        <v>0</v>
      </c>
      <c r="H466" s="63"/>
      <c r="I466" s="156"/>
      <c r="K466" s="63"/>
      <c r="N466" s="63"/>
      <c r="P466" s="63"/>
    </row>
    <row r="467">
      <c r="F467" s="63">
        <v>0.0</v>
      </c>
      <c r="G467" s="149">
        <f t="shared" si="1"/>
        <v>0</v>
      </c>
      <c r="H467" s="63"/>
      <c r="I467" s="156"/>
      <c r="K467" s="63"/>
      <c r="N467" s="63"/>
      <c r="P467" s="63"/>
    </row>
    <row r="468">
      <c r="F468" s="63">
        <v>0.0</v>
      </c>
      <c r="G468" s="149">
        <f t="shared" si="1"/>
        <v>0</v>
      </c>
      <c r="H468" s="63"/>
      <c r="I468" s="156"/>
      <c r="K468" s="63"/>
      <c r="N468" s="63"/>
      <c r="P468" s="63"/>
    </row>
    <row r="469">
      <c r="F469" s="63">
        <v>0.0</v>
      </c>
      <c r="G469" s="149">
        <f t="shared" si="1"/>
        <v>0</v>
      </c>
      <c r="H469" s="63"/>
      <c r="I469" s="156"/>
      <c r="K469" s="63"/>
      <c r="N469" s="63"/>
      <c r="P469" s="63"/>
    </row>
    <row r="470">
      <c r="F470" s="63">
        <v>0.0</v>
      </c>
      <c r="G470" s="149">
        <f t="shared" si="1"/>
        <v>0</v>
      </c>
      <c r="H470" s="63"/>
      <c r="I470" s="156"/>
      <c r="K470" s="63"/>
      <c r="N470" s="63"/>
      <c r="P470" s="63"/>
    </row>
    <row r="471">
      <c r="F471" s="63">
        <v>0.0</v>
      </c>
      <c r="G471" s="149">
        <f t="shared" si="1"/>
        <v>0</v>
      </c>
      <c r="H471" s="63"/>
      <c r="I471" s="156"/>
      <c r="K471" s="63"/>
      <c r="N471" s="63"/>
      <c r="P471" s="63"/>
    </row>
    <row r="472">
      <c r="F472" s="63">
        <v>0.0</v>
      </c>
      <c r="G472" s="149">
        <f t="shared" si="1"/>
        <v>0</v>
      </c>
      <c r="H472" s="63"/>
      <c r="I472" s="156"/>
      <c r="K472" s="63"/>
      <c r="N472" s="63"/>
      <c r="P472" s="63"/>
    </row>
    <row r="473">
      <c r="F473" s="63">
        <v>0.0</v>
      </c>
      <c r="G473" s="149">
        <f t="shared" si="1"/>
        <v>0</v>
      </c>
      <c r="H473" s="63"/>
      <c r="I473" s="156"/>
      <c r="K473" s="63"/>
      <c r="N473" s="63"/>
      <c r="P473" s="63"/>
    </row>
    <row r="474">
      <c r="F474" s="63">
        <v>0.0</v>
      </c>
      <c r="G474" s="149">
        <f t="shared" si="1"/>
        <v>0</v>
      </c>
      <c r="H474" s="63"/>
      <c r="I474" s="156"/>
      <c r="K474" s="63"/>
      <c r="N474" s="63"/>
      <c r="P474" s="63"/>
    </row>
    <row r="475">
      <c r="F475" s="63">
        <v>0.0</v>
      </c>
      <c r="G475" s="149">
        <f t="shared" si="1"/>
        <v>0</v>
      </c>
      <c r="H475" s="63"/>
      <c r="I475" s="156"/>
      <c r="K475" s="63"/>
      <c r="N475" s="63"/>
      <c r="P475" s="63"/>
    </row>
    <row r="476">
      <c r="F476" s="63">
        <v>0.0</v>
      </c>
      <c r="G476" s="149">
        <f t="shared" si="1"/>
        <v>0</v>
      </c>
      <c r="H476" s="63"/>
      <c r="I476" s="156"/>
      <c r="K476" s="63"/>
      <c r="N476" s="63"/>
      <c r="P476" s="63"/>
    </row>
    <row r="477">
      <c r="F477" s="63">
        <v>0.0</v>
      </c>
      <c r="G477" s="149">
        <f t="shared" si="1"/>
        <v>0</v>
      </c>
      <c r="H477" s="63"/>
      <c r="I477" s="156"/>
      <c r="K477" s="63"/>
      <c r="N477" s="63"/>
      <c r="P477" s="63"/>
    </row>
    <row r="478">
      <c r="F478" s="63">
        <v>0.0</v>
      </c>
      <c r="G478" s="149">
        <f t="shared" si="1"/>
        <v>0</v>
      </c>
      <c r="H478" s="63"/>
      <c r="I478" s="156"/>
      <c r="K478" s="63"/>
      <c r="N478" s="63"/>
      <c r="P478" s="63"/>
    </row>
    <row r="479">
      <c r="F479" s="63">
        <v>0.0</v>
      </c>
      <c r="G479" s="149">
        <f t="shared" si="1"/>
        <v>0</v>
      </c>
      <c r="H479" s="63"/>
      <c r="I479" s="156"/>
      <c r="K479" s="63"/>
      <c r="N479" s="63"/>
      <c r="P479" s="63"/>
    </row>
    <row r="480">
      <c r="F480" s="63">
        <v>0.0</v>
      </c>
      <c r="G480" s="149">
        <f t="shared" si="1"/>
        <v>0</v>
      </c>
      <c r="H480" s="63"/>
      <c r="I480" s="156"/>
      <c r="K480" s="63"/>
      <c r="N480" s="63"/>
      <c r="P480" s="63"/>
    </row>
    <row r="481">
      <c r="F481" s="63">
        <v>0.0</v>
      </c>
      <c r="G481" s="149">
        <f t="shared" si="1"/>
        <v>0</v>
      </c>
      <c r="H481" s="63"/>
      <c r="I481" s="156"/>
      <c r="K481" s="63"/>
      <c r="N481" s="63"/>
      <c r="P481" s="63"/>
    </row>
    <row r="482">
      <c r="F482" s="63">
        <v>0.0</v>
      </c>
      <c r="G482" s="149">
        <f t="shared" si="1"/>
        <v>0</v>
      </c>
      <c r="H482" s="63"/>
      <c r="I482" s="156"/>
      <c r="K482" s="63"/>
      <c r="N482" s="63"/>
      <c r="P482" s="63"/>
    </row>
    <row r="483">
      <c r="F483" s="63">
        <v>0.0</v>
      </c>
      <c r="G483" s="149">
        <f t="shared" si="1"/>
        <v>0</v>
      </c>
      <c r="H483" s="63"/>
      <c r="I483" s="156"/>
      <c r="K483" s="63"/>
      <c r="N483" s="63"/>
      <c r="P483" s="63"/>
    </row>
    <row r="484">
      <c r="F484" s="63">
        <v>0.0</v>
      </c>
      <c r="G484" s="149">
        <f t="shared" si="1"/>
        <v>0</v>
      </c>
      <c r="H484" s="63"/>
      <c r="I484" s="156"/>
      <c r="K484" s="63"/>
      <c r="N484" s="63"/>
      <c r="P484" s="63"/>
    </row>
    <row r="485">
      <c r="F485" s="63">
        <v>0.0</v>
      </c>
      <c r="G485" s="149">
        <f t="shared" si="1"/>
        <v>0</v>
      </c>
      <c r="H485" s="63"/>
      <c r="I485" s="156"/>
      <c r="K485" s="63"/>
      <c r="N485" s="63"/>
      <c r="P485" s="63"/>
    </row>
    <row r="486">
      <c r="F486" s="63">
        <v>0.0</v>
      </c>
      <c r="G486" s="149">
        <f t="shared" si="1"/>
        <v>0</v>
      </c>
      <c r="H486" s="63"/>
      <c r="I486" s="156"/>
      <c r="K486" s="63"/>
      <c r="N486" s="63"/>
      <c r="P486" s="63"/>
    </row>
    <row r="487">
      <c r="F487" s="63">
        <v>0.0</v>
      </c>
      <c r="G487" s="149">
        <f t="shared" si="1"/>
        <v>0</v>
      </c>
      <c r="H487" s="63"/>
      <c r="I487" s="156"/>
      <c r="K487" s="63"/>
      <c r="N487" s="63"/>
      <c r="P487" s="63"/>
    </row>
    <row r="488">
      <c r="F488" s="63">
        <v>0.0</v>
      </c>
      <c r="G488" s="149">
        <f t="shared" si="1"/>
        <v>0</v>
      </c>
      <c r="H488" s="63"/>
      <c r="I488" s="156"/>
      <c r="K488" s="63"/>
      <c r="N488" s="63"/>
      <c r="P488" s="63"/>
    </row>
    <row r="489">
      <c r="F489" s="63">
        <v>0.0</v>
      </c>
      <c r="G489" s="149">
        <f t="shared" si="1"/>
        <v>0</v>
      </c>
      <c r="H489" s="63"/>
      <c r="I489" s="156"/>
      <c r="K489" s="63"/>
      <c r="N489" s="63"/>
      <c r="P489" s="63"/>
    </row>
    <row r="490">
      <c r="F490" s="63">
        <v>0.0</v>
      </c>
      <c r="G490" s="149">
        <f t="shared" si="1"/>
        <v>0</v>
      </c>
      <c r="H490" s="63"/>
      <c r="I490" s="156"/>
      <c r="K490" s="63"/>
      <c r="N490" s="63"/>
      <c r="P490" s="63"/>
    </row>
    <row r="491">
      <c r="F491" s="63">
        <v>0.0</v>
      </c>
      <c r="G491" s="149">
        <f t="shared" si="1"/>
        <v>0</v>
      </c>
      <c r="H491" s="63"/>
      <c r="I491" s="156"/>
      <c r="K491" s="63"/>
      <c r="N491" s="63"/>
      <c r="P491" s="63"/>
    </row>
    <row r="492">
      <c r="F492" s="63">
        <v>0.0</v>
      </c>
      <c r="G492" s="149">
        <f t="shared" si="1"/>
        <v>0</v>
      </c>
      <c r="H492" s="63"/>
      <c r="I492" s="156"/>
      <c r="K492" s="63"/>
      <c r="N492" s="63"/>
      <c r="P492" s="63"/>
    </row>
    <row r="493">
      <c r="F493" s="63">
        <v>0.0</v>
      </c>
      <c r="G493" s="149">
        <f t="shared" si="1"/>
        <v>0</v>
      </c>
      <c r="H493" s="63"/>
      <c r="I493" s="156"/>
      <c r="K493" s="63"/>
      <c r="N493" s="63"/>
      <c r="P493" s="63"/>
    </row>
    <row r="494">
      <c r="F494" s="63">
        <v>0.0</v>
      </c>
      <c r="G494" s="149">
        <f t="shared" si="1"/>
        <v>0</v>
      </c>
      <c r="H494" s="63"/>
      <c r="I494" s="156"/>
      <c r="K494" s="63"/>
      <c r="N494" s="63"/>
      <c r="P494" s="63"/>
    </row>
    <row r="495">
      <c r="F495" s="63">
        <v>0.0</v>
      </c>
      <c r="G495" s="149">
        <f t="shared" si="1"/>
        <v>0</v>
      </c>
      <c r="H495" s="63"/>
      <c r="I495" s="156"/>
      <c r="K495" s="63"/>
      <c r="N495" s="63"/>
      <c r="P495" s="63"/>
    </row>
    <row r="496">
      <c r="F496" s="63">
        <v>0.0</v>
      </c>
      <c r="G496" s="149">
        <f t="shared" si="1"/>
        <v>0</v>
      </c>
      <c r="H496" s="63"/>
      <c r="I496" s="156"/>
      <c r="K496" s="63"/>
      <c r="N496" s="63"/>
      <c r="P496" s="63"/>
    </row>
    <row r="497">
      <c r="F497" s="63">
        <v>0.0</v>
      </c>
      <c r="G497" s="149">
        <f t="shared" si="1"/>
        <v>0</v>
      </c>
      <c r="H497" s="63"/>
      <c r="I497" s="156"/>
      <c r="K497" s="63"/>
      <c r="N497" s="63"/>
      <c r="P497" s="63"/>
    </row>
    <row r="498">
      <c r="F498" s="63">
        <v>0.0</v>
      </c>
      <c r="G498" s="149">
        <f t="shared" si="1"/>
        <v>0</v>
      </c>
      <c r="H498" s="63"/>
      <c r="I498" s="156"/>
      <c r="K498" s="63"/>
      <c r="N498" s="63"/>
      <c r="P498" s="63"/>
    </row>
    <row r="499">
      <c r="F499" s="63">
        <v>0.0</v>
      </c>
      <c r="G499" s="149">
        <f t="shared" si="1"/>
        <v>0</v>
      </c>
      <c r="H499" s="63"/>
      <c r="I499" s="156"/>
      <c r="K499" s="63"/>
      <c r="N499" s="63"/>
      <c r="P499" s="63"/>
    </row>
    <row r="500">
      <c r="F500" s="63">
        <v>0.0</v>
      </c>
      <c r="G500" s="149">
        <f t="shared" si="1"/>
        <v>0</v>
      </c>
      <c r="H500" s="63"/>
      <c r="I500" s="156"/>
      <c r="K500" s="63"/>
      <c r="N500" s="63"/>
      <c r="P500" s="63"/>
    </row>
    <row r="501">
      <c r="F501" s="63">
        <v>0.0</v>
      </c>
      <c r="G501" s="149">
        <f t="shared" si="1"/>
        <v>0</v>
      </c>
      <c r="H501" s="63"/>
      <c r="I501" s="156"/>
      <c r="K501" s="63"/>
      <c r="N501" s="63"/>
      <c r="P501" s="63"/>
    </row>
    <row r="502">
      <c r="F502" s="63">
        <v>0.0</v>
      </c>
      <c r="G502" s="149">
        <f t="shared" si="1"/>
        <v>0</v>
      </c>
      <c r="H502" s="63"/>
      <c r="I502" s="156"/>
      <c r="K502" s="63"/>
      <c r="N502" s="63"/>
      <c r="P502" s="63"/>
    </row>
    <row r="503">
      <c r="F503" s="63">
        <v>0.0</v>
      </c>
      <c r="G503" s="149">
        <f t="shared" si="1"/>
        <v>0</v>
      </c>
      <c r="H503" s="63"/>
      <c r="I503" s="156"/>
      <c r="K503" s="63"/>
      <c r="N503" s="63"/>
      <c r="P503" s="63"/>
    </row>
    <row r="504">
      <c r="F504" s="63">
        <v>0.0</v>
      </c>
      <c r="G504" s="149">
        <f t="shared" si="1"/>
        <v>0</v>
      </c>
      <c r="H504" s="63"/>
      <c r="I504" s="156"/>
      <c r="K504" s="63"/>
      <c r="N504" s="63"/>
      <c r="P504" s="63"/>
    </row>
    <row r="505">
      <c r="F505" s="63">
        <v>0.0</v>
      </c>
      <c r="G505" s="149">
        <f t="shared" si="1"/>
        <v>0</v>
      </c>
      <c r="H505" s="63"/>
      <c r="I505" s="156"/>
      <c r="K505" s="63"/>
      <c r="N505" s="63"/>
      <c r="P505" s="63"/>
    </row>
    <row r="506">
      <c r="F506" s="63">
        <v>0.0</v>
      </c>
      <c r="G506" s="149">
        <f t="shared" si="1"/>
        <v>0</v>
      </c>
      <c r="H506" s="63"/>
      <c r="I506" s="156"/>
      <c r="K506" s="63"/>
      <c r="N506" s="63"/>
      <c r="P506" s="63"/>
    </row>
    <row r="507">
      <c r="F507" s="63">
        <v>0.0</v>
      </c>
      <c r="G507" s="149">
        <f t="shared" si="1"/>
        <v>0</v>
      </c>
      <c r="H507" s="63"/>
      <c r="I507" s="156"/>
      <c r="K507" s="63"/>
      <c r="N507" s="63"/>
      <c r="P507" s="63"/>
    </row>
    <row r="508">
      <c r="F508" s="63">
        <v>0.0</v>
      </c>
      <c r="G508" s="149">
        <f t="shared" si="1"/>
        <v>0</v>
      </c>
      <c r="H508" s="63"/>
      <c r="I508" s="156"/>
      <c r="K508" s="63"/>
      <c r="N508" s="63"/>
      <c r="P508" s="63"/>
    </row>
    <row r="509">
      <c r="F509" s="63">
        <v>0.0</v>
      </c>
      <c r="G509" s="149">
        <f t="shared" si="1"/>
        <v>0</v>
      </c>
      <c r="H509" s="63"/>
      <c r="I509" s="156"/>
      <c r="K509" s="63"/>
      <c r="N509" s="63"/>
      <c r="P509" s="63"/>
    </row>
    <row r="510">
      <c r="F510" s="63">
        <v>0.0</v>
      </c>
      <c r="G510" s="149">
        <f t="shared" si="1"/>
        <v>0</v>
      </c>
      <c r="H510" s="63"/>
      <c r="I510" s="156"/>
      <c r="K510" s="63"/>
      <c r="N510" s="63"/>
      <c r="P510" s="63"/>
    </row>
    <row r="511">
      <c r="F511" s="63">
        <v>0.0</v>
      </c>
      <c r="G511" s="149">
        <f t="shared" si="1"/>
        <v>0</v>
      </c>
      <c r="H511" s="63"/>
      <c r="I511" s="156"/>
      <c r="K511" s="63"/>
      <c r="N511" s="63"/>
      <c r="P511" s="63"/>
    </row>
    <row r="512">
      <c r="F512" s="63">
        <v>0.0</v>
      </c>
      <c r="G512" s="149">
        <f t="shared" si="1"/>
        <v>0</v>
      </c>
      <c r="H512" s="63"/>
      <c r="I512" s="156"/>
      <c r="K512" s="63"/>
      <c r="N512" s="63"/>
      <c r="P512" s="63"/>
    </row>
    <row r="513">
      <c r="F513" s="63">
        <v>0.0</v>
      </c>
      <c r="G513" s="149">
        <f t="shared" si="1"/>
        <v>0</v>
      </c>
      <c r="H513" s="63"/>
      <c r="I513" s="156"/>
      <c r="K513" s="63"/>
      <c r="N513" s="63"/>
      <c r="P513" s="63"/>
    </row>
    <row r="514">
      <c r="F514" s="63">
        <v>0.0</v>
      </c>
      <c r="G514" s="149">
        <f t="shared" si="1"/>
        <v>0</v>
      </c>
      <c r="H514" s="63"/>
      <c r="I514" s="156"/>
      <c r="K514" s="63"/>
      <c r="N514" s="63"/>
      <c r="P514" s="63"/>
    </row>
    <row r="515">
      <c r="F515" s="63">
        <v>0.0</v>
      </c>
      <c r="G515" s="149">
        <f t="shared" si="1"/>
        <v>0</v>
      </c>
      <c r="H515" s="63"/>
      <c r="I515" s="156"/>
      <c r="K515" s="63"/>
      <c r="N515" s="63"/>
      <c r="P515" s="63"/>
    </row>
    <row r="516">
      <c r="F516" s="63">
        <v>0.0</v>
      </c>
      <c r="G516" s="149">
        <f t="shared" si="1"/>
        <v>0</v>
      </c>
      <c r="H516" s="63"/>
      <c r="I516" s="156"/>
      <c r="K516" s="63"/>
      <c r="N516" s="63"/>
      <c r="P516" s="63"/>
    </row>
    <row r="517">
      <c r="F517" s="63">
        <v>0.0</v>
      </c>
      <c r="G517" s="149">
        <f t="shared" si="1"/>
        <v>0</v>
      </c>
      <c r="H517" s="63"/>
      <c r="I517" s="156"/>
      <c r="K517" s="63"/>
      <c r="N517" s="63"/>
      <c r="P517" s="63"/>
    </row>
    <row r="518">
      <c r="F518" s="63">
        <v>0.0</v>
      </c>
      <c r="G518" s="149">
        <f t="shared" si="1"/>
        <v>0</v>
      </c>
      <c r="H518" s="63"/>
      <c r="I518" s="156"/>
      <c r="K518" s="63"/>
      <c r="N518" s="63"/>
      <c r="P518" s="63"/>
    </row>
    <row r="519">
      <c r="F519" s="63">
        <v>0.0</v>
      </c>
      <c r="G519" s="149">
        <f t="shared" si="1"/>
        <v>0</v>
      </c>
      <c r="H519" s="63"/>
      <c r="I519" s="156"/>
      <c r="K519" s="63"/>
      <c r="N519" s="63"/>
      <c r="P519" s="63"/>
    </row>
    <row r="520">
      <c r="F520" s="63">
        <v>0.0</v>
      </c>
      <c r="G520" s="149">
        <f t="shared" si="1"/>
        <v>0</v>
      </c>
      <c r="H520" s="63"/>
      <c r="I520" s="156"/>
      <c r="K520" s="63"/>
      <c r="N520" s="63"/>
      <c r="P520" s="63"/>
    </row>
    <row r="521">
      <c r="F521" s="63">
        <v>0.0</v>
      </c>
      <c r="G521" s="149">
        <f t="shared" si="1"/>
        <v>0</v>
      </c>
      <c r="H521" s="63"/>
      <c r="I521" s="156"/>
      <c r="K521" s="63"/>
      <c r="N521" s="63"/>
      <c r="P521" s="63"/>
    </row>
    <row r="522">
      <c r="F522" s="63">
        <v>0.0</v>
      </c>
      <c r="G522" s="149">
        <f t="shared" si="1"/>
        <v>0</v>
      </c>
      <c r="H522" s="63"/>
      <c r="I522" s="156"/>
      <c r="K522" s="63"/>
      <c r="N522" s="63"/>
      <c r="P522" s="63"/>
    </row>
    <row r="523">
      <c r="F523" s="63">
        <v>0.0</v>
      </c>
      <c r="G523" s="149">
        <f t="shared" si="1"/>
        <v>0</v>
      </c>
      <c r="H523" s="63"/>
      <c r="I523" s="156"/>
      <c r="K523" s="63"/>
      <c r="N523" s="63"/>
      <c r="P523" s="63"/>
    </row>
    <row r="524">
      <c r="F524" s="63">
        <v>0.0</v>
      </c>
      <c r="G524" s="149">
        <f t="shared" si="1"/>
        <v>0</v>
      </c>
      <c r="H524" s="63"/>
      <c r="I524" s="156"/>
      <c r="K524" s="63"/>
      <c r="N524" s="63"/>
      <c r="P524" s="63"/>
    </row>
    <row r="525">
      <c r="F525" s="63">
        <v>0.0</v>
      </c>
      <c r="G525" s="149">
        <f t="shared" si="1"/>
        <v>0</v>
      </c>
      <c r="H525" s="63"/>
      <c r="I525" s="156"/>
      <c r="K525" s="63"/>
      <c r="N525" s="63"/>
      <c r="P525" s="63"/>
    </row>
    <row r="526">
      <c r="F526" s="63">
        <v>0.0</v>
      </c>
      <c r="G526" s="149">
        <f t="shared" si="1"/>
        <v>0</v>
      </c>
      <c r="H526" s="63"/>
      <c r="I526" s="156"/>
      <c r="K526" s="63"/>
      <c r="N526" s="63"/>
      <c r="P526" s="63"/>
    </row>
    <row r="527">
      <c r="F527" s="63">
        <v>0.0</v>
      </c>
      <c r="G527" s="149">
        <f t="shared" si="1"/>
        <v>0</v>
      </c>
      <c r="H527" s="63"/>
      <c r="I527" s="156"/>
      <c r="K527" s="63"/>
      <c r="N527" s="63"/>
      <c r="P527" s="63"/>
    </row>
    <row r="528">
      <c r="F528" s="63">
        <v>0.0</v>
      </c>
      <c r="G528" s="149">
        <f t="shared" si="1"/>
        <v>0</v>
      </c>
      <c r="H528" s="63"/>
      <c r="I528" s="156"/>
      <c r="K528" s="63"/>
      <c r="N528" s="63"/>
      <c r="P528" s="63"/>
    </row>
    <row r="529">
      <c r="F529" s="63">
        <v>0.0</v>
      </c>
      <c r="G529" s="149">
        <f t="shared" si="1"/>
        <v>0</v>
      </c>
      <c r="H529" s="63"/>
      <c r="I529" s="156"/>
      <c r="K529" s="63"/>
      <c r="N529" s="63"/>
      <c r="P529" s="63"/>
    </row>
    <row r="530">
      <c r="F530" s="63">
        <v>0.0</v>
      </c>
      <c r="G530" s="149">
        <f t="shared" si="1"/>
        <v>0</v>
      </c>
      <c r="H530" s="63"/>
      <c r="I530" s="156"/>
      <c r="K530" s="63"/>
      <c r="N530" s="63"/>
      <c r="P530" s="63"/>
    </row>
    <row r="531">
      <c r="F531" s="63">
        <v>0.0</v>
      </c>
      <c r="G531" s="149">
        <f t="shared" si="1"/>
        <v>0</v>
      </c>
      <c r="H531" s="63"/>
      <c r="I531" s="156"/>
      <c r="K531" s="63"/>
      <c r="N531" s="63"/>
      <c r="P531" s="63"/>
    </row>
    <row r="532">
      <c r="F532" s="63">
        <v>0.0</v>
      </c>
      <c r="G532" s="149">
        <f t="shared" si="1"/>
        <v>0</v>
      </c>
      <c r="H532" s="63"/>
      <c r="I532" s="156"/>
      <c r="K532" s="63"/>
      <c r="N532" s="63"/>
      <c r="P532" s="63"/>
    </row>
    <row r="533">
      <c r="F533" s="63">
        <v>0.0</v>
      </c>
      <c r="G533" s="149">
        <f t="shared" si="1"/>
        <v>0</v>
      </c>
      <c r="H533" s="63"/>
      <c r="I533" s="156"/>
      <c r="K533" s="63"/>
      <c r="N533" s="63"/>
      <c r="P533" s="63"/>
    </row>
    <row r="534">
      <c r="F534" s="63">
        <v>0.0</v>
      </c>
      <c r="G534" s="149">
        <f t="shared" si="1"/>
        <v>0</v>
      </c>
      <c r="H534" s="63"/>
      <c r="I534" s="156"/>
      <c r="K534" s="63"/>
      <c r="N534" s="63"/>
      <c r="P534" s="63"/>
    </row>
    <row r="535">
      <c r="F535" s="63">
        <v>0.0</v>
      </c>
      <c r="G535" s="149">
        <f t="shared" si="1"/>
        <v>0</v>
      </c>
      <c r="H535" s="63"/>
      <c r="I535" s="156"/>
      <c r="K535" s="63"/>
      <c r="N535" s="63"/>
      <c r="P535" s="63"/>
    </row>
    <row r="536">
      <c r="F536" s="63">
        <v>0.0</v>
      </c>
      <c r="G536" s="149">
        <f t="shared" si="1"/>
        <v>0</v>
      </c>
      <c r="H536" s="63"/>
      <c r="I536" s="156"/>
      <c r="K536" s="63"/>
      <c r="N536" s="63"/>
      <c r="P536" s="63"/>
    </row>
    <row r="537">
      <c r="F537" s="63">
        <v>0.0</v>
      </c>
      <c r="G537" s="149">
        <f t="shared" si="1"/>
        <v>0</v>
      </c>
      <c r="H537" s="63"/>
      <c r="I537" s="156"/>
      <c r="K537" s="63"/>
      <c r="N537" s="63"/>
      <c r="P537" s="63"/>
    </row>
    <row r="538">
      <c r="F538" s="63">
        <v>0.0</v>
      </c>
      <c r="G538" s="149">
        <f t="shared" si="1"/>
        <v>0</v>
      </c>
      <c r="H538" s="63"/>
      <c r="I538" s="156"/>
      <c r="K538" s="63"/>
      <c r="N538" s="63"/>
      <c r="P538" s="63"/>
    </row>
    <row r="539">
      <c r="F539" s="63">
        <v>0.0</v>
      </c>
      <c r="G539" s="149">
        <f t="shared" si="1"/>
        <v>0</v>
      </c>
      <c r="H539" s="63"/>
      <c r="I539" s="156"/>
      <c r="K539" s="63"/>
      <c r="N539" s="63"/>
      <c r="P539" s="63"/>
    </row>
    <row r="540">
      <c r="F540" s="63">
        <v>0.0</v>
      </c>
      <c r="G540" s="149">
        <f t="shared" si="1"/>
        <v>0</v>
      </c>
      <c r="H540" s="63"/>
      <c r="I540" s="156"/>
      <c r="K540" s="63"/>
      <c r="N540" s="63"/>
      <c r="P540" s="63"/>
    </row>
    <row r="541">
      <c r="F541" s="63">
        <v>0.0</v>
      </c>
      <c r="G541" s="149">
        <f t="shared" si="1"/>
        <v>0</v>
      </c>
      <c r="H541" s="63"/>
      <c r="I541" s="156"/>
      <c r="K541" s="63"/>
      <c r="N541" s="63"/>
      <c r="P541" s="63"/>
    </row>
    <row r="542">
      <c r="F542" s="63">
        <v>0.0</v>
      </c>
      <c r="G542" s="149">
        <f t="shared" si="1"/>
        <v>0</v>
      </c>
      <c r="H542" s="63"/>
      <c r="I542" s="156"/>
      <c r="K542" s="63"/>
      <c r="N542" s="63"/>
      <c r="P542" s="63"/>
    </row>
    <row r="543">
      <c r="F543" s="63">
        <v>0.0</v>
      </c>
      <c r="G543" s="149">
        <f t="shared" si="1"/>
        <v>0</v>
      </c>
      <c r="H543" s="63"/>
      <c r="I543" s="156"/>
      <c r="K543" s="63"/>
      <c r="N543" s="63"/>
      <c r="P543" s="63"/>
    </row>
    <row r="544">
      <c r="F544" s="63">
        <v>0.0</v>
      </c>
      <c r="G544" s="149">
        <f t="shared" si="1"/>
        <v>0</v>
      </c>
      <c r="H544" s="63"/>
      <c r="I544" s="156"/>
      <c r="K544" s="63"/>
      <c r="N544" s="63"/>
      <c r="P544" s="63"/>
    </row>
    <row r="545">
      <c r="F545" s="63">
        <v>0.0</v>
      </c>
      <c r="G545" s="149">
        <f t="shared" si="1"/>
        <v>0</v>
      </c>
      <c r="H545" s="63"/>
      <c r="I545" s="156"/>
      <c r="K545" s="63"/>
      <c r="N545" s="63"/>
      <c r="P545" s="63"/>
    </row>
    <row r="546">
      <c r="F546" s="63">
        <v>0.0</v>
      </c>
      <c r="G546" s="149">
        <f t="shared" si="1"/>
        <v>0</v>
      </c>
      <c r="H546" s="63"/>
      <c r="I546" s="156"/>
      <c r="K546" s="63"/>
      <c r="N546" s="63"/>
      <c r="P546" s="63"/>
    </row>
    <row r="547">
      <c r="F547" s="63">
        <v>0.0</v>
      </c>
      <c r="G547" s="149">
        <f t="shared" si="1"/>
        <v>0</v>
      </c>
      <c r="H547" s="63"/>
      <c r="I547" s="156"/>
      <c r="K547" s="63"/>
      <c r="N547" s="63"/>
      <c r="P547" s="63"/>
    </row>
    <row r="548">
      <c r="F548" s="63">
        <v>0.0</v>
      </c>
      <c r="G548" s="149">
        <f t="shared" si="1"/>
        <v>0</v>
      </c>
      <c r="H548" s="63"/>
      <c r="I548" s="156"/>
      <c r="K548" s="63"/>
      <c r="N548" s="63"/>
      <c r="P548" s="63"/>
    </row>
    <row r="549">
      <c r="F549" s="63">
        <v>0.0</v>
      </c>
      <c r="G549" s="149">
        <f t="shared" si="1"/>
        <v>0</v>
      </c>
      <c r="H549" s="63"/>
      <c r="I549" s="156"/>
      <c r="K549" s="63"/>
      <c r="N549" s="63"/>
      <c r="P549" s="63"/>
    </row>
    <row r="550">
      <c r="F550" s="63">
        <v>0.0</v>
      </c>
      <c r="G550" s="149">
        <f t="shared" si="1"/>
        <v>0</v>
      </c>
      <c r="H550" s="63"/>
      <c r="I550" s="156"/>
      <c r="K550" s="63"/>
      <c r="N550" s="63"/>
      <c r="P550" s="63"/>
    </row>
    <row r="551">
      <c r="F551" s="63">
        <v>0.0</v>
      </c>
      <c r="G551" s="149">
        <f t="shared" si="1"/>
        <v>0</v>
      </c>
      <c r="H551" s="63"/>
      <c r="I551" s="156"/>
      <c r="K551" s="63"/>
      <c r="N551" s="63"/>
      <c r="P551" s="63"/>
    </row>
    <row r="552">
      <c r="F552" s="63">
        <v>0.0</v>
      </c>
      <c r="G552" s="149">
        <f t="shared" si="1"/>
        <v>0</v>
      </c>
      <c r="H552" s="63"/>
      <c r="I552" s="156"/>
      <c r="K552" s="63"/>
      <c r="N552" s="63"/>
      <c r="P552" s="63"/>
    </row>
    <row r="553">
      <c r="F553" s="63">
        <v>0.0</v>
      </c>
      <c r="G553" s="149">
        <f t="shared" si="1"/>
        <v>0</v>
      </c>
      <c r="H553" s="63"/>
      <c r="I553" s="156"/>
      <c r="K553" s="63"/>
      <c r="N553" s="63"/>
      <c r="P553" s="63"/>
    </row>
    <row r="554">
      <c r="F554" s="63">
        <v>0.0</v>
      </c>
      <c r="G554" s="149">
        <f t="shared" si="1"/>
        <v>0</v>
      </c>
      <c r="H554" s="63"/>
      <c r="I554" s="156"/>
      <c r="K554" s="63"/>
      <c r="N554" s="63"/>
      <c r="P554" s="63"/>
    </row>
    <row r="555">
      <c r="F555" s="63">
        <v>0.0</v>
      </c>
      <c r="G555" s="149">
        <f t="shared" si="1"/>
        <v>0</v>
      </c>
      <c r="H555" s="63"/>
      <c r="I555" s="156"/>
      <c r="K555" s="63"/>
      <c r="N555" s="63"/>
      <c r="P555" s="63"/>
    </row>
    <row r="556">
      <c r="F556" s="63">
        <v>0.0</v>
      </c>
      <c r="G556" s="149">
        <f t="shared" si="1"/>
        <v>0</v>
      </c>
      <c r="H556" s="63"/>
      <c r="I556" s="156"/>
      <c r="K556" s="63"/>
      <c r="N556" s="63"/>
      <c r="P556" s="63"/>
    </row>
    <row r="557">
      <c r="F557" s="63">
        <v>0.0</v>
      </c>
      <c r="G557" s="149">
        <f t="shared" si="1"/>
        <v>0</v>
      </c>
      <c r="H557" s="63"/>
      <c r="I557" s="156"/>
      <c r="K557" s="63"/>
      <c r="N557" s="63"/>
      <c r="P557" s="63"/>
    </row>
    <row r="558">
      <c r="F558" s="63">
        <v>0.0</v>
      </c>
      <c r="G558" s="149">
        <f t="shared" si="1"/>
        <v>0</v>
      </c>
      <c r="H558" s="63"/>
      <c r="I558" s="156"/>
      <c r="K558" s="63"/>
      <c r="N558" s="63"/>
      <c r="P558" s="63"/>
    </row>
    <row r="559">
      <c r="F559" s="63">
        <v>0.0</v>
      </c>
      <c r="G559" s="149">
        <f t="shared" si="1"/>
        <v>0</v>
      </c>
      <c r="H559" s="63"/>
      <c r="I559" s="156"/>
      <c r="K559" s="63"/>
      <c r="N559" s="63"/>
      <c r="P559" s="63"/>
    </row>
    <row r="560">
      <c r="F560" s="63">
        <v>0.0</v>
      </c>
      <c r="G560" s="149">
        <f t="shared" si="1"/>
        <v>0</v>
      </c>
      <c r="H560" s="63"/>
      <c r="I560" s="156"/>
      <c r="K560" s="63"/>
      <c r="N560" s="63"/>
      <c r="P560" s="63"/>
    </row>
    <row r="561">
      <c r="F561" s="63">
        <v>0.0</v>
      </c>
      <c r="G561" s="149">
        <f t="shared" si="1"/>
        <v>0</v>
      </c>
      <c r="H561" s="63"/>
      <c r="I561" s="156"/>
      <c r="K561" s="63"/>
      <c r="N561" s="63"/>
      <c r="P561" s="63"/>
    </row>
    <row r="562">
      <c r="F562" s="63">
        <v>0.0</v>
      </c>
      <c r="G562" s="149">
        <f t="shared" si="1"/>
        <v>0</v>
      </c>
      <c r="H562" s="63"/>
      <c r="I562" s="156"/>
      <c r="K562" s="63"/>
      <c r="N562" s="63"/>
      <c r="P562" s="63"/>
    </row>
    <row r="563">
      <c r="F563" s="63">
        <v>0.0</v>
      </c>
      <c r="G563" s="149">
        <f t="shared" si="1"/>
        <v>0</v>
      </c>
      <c r="H563" s="63"/>
      <c r="I563" s="156"/>
      <c r="K563" s="63"/>
      <c r="N563" s="63"/>
      <c r="P563" s="63"/>
    </row>
    <row r="564">
      <c r="F564" s="63">
        <v>0.0</v>
      </c>
      <c r="G564" s="149">
        <f t="shared" si="1"/>
        <v>0</v>
      </c>
      <c r="H564" s="63"/>
      <c r="I564" s="156"/>
      <c r="K564" s="63"/>
      <c r="N564" s="63"/>
      <c r="P564" s="63"/>
    </row>
    <row r="565">
      <c r="F565" s="63">
        <v>0.0</v>
      </c>
      <c r="G565" s="149">
        <f t="shared" si="1"/>
        <v>0</v>
      </c>
      <c r="H565" s="63"/>
      <c r="I565" s="156"/>
      <c r="K565" s="63"/>
      <c r="N565" s="63"/>
      <c r="P565" s="63"/>
    </row>
    <row r="566">
      <c r="F566" s="63">
        <v>0.0</v>
      </c>
      <c r="G566" s="149">
        <f t="shared" si="1"/>
        <v>0</v>
      </c>
      <c r="H566" s="63"/>
      <c r="I566" s="156"/>
      <c r="K566" s="63"/>
      <c r="N566" s="63"/>
      <c r="P566" s="63"/>
    </row>
    <row r="567">
      <c r="F567" s="63">
        <v>0.0</v>
      </c>
      <c r="G567" s="149">
        <f t="shared" si="1"/>
        <v>0</v>
      </c>
      <c r="H567" s="63"/>
      <c r="I567" s="156"/>
      <c r="K567" s="63"/>
      <c r="N567" s="63"/>
      <c r="P567" s="63"/>
    </row>
    <row r="568">
      <c r="F568" s="63">
        <v>0.0</v>
      </c>
      <c r="G568" s="149">
        <f t="shared" si="1"/>
        <v>0</v>
      </c>
      <c r="H568" s="63"/>
      <c r="I568" s="156"/>
      <c r="K568" s="63"/>
      <c r="N568" s="63"/>
      <c r="P568" s="63"/>
    </row>
    <row r="569">
      <c r="F569" s="63">
        <v>0.0</v>
      </c>
      <c r="G569" s="149">
        <f t="shared" si="1"/>
        <v>0</v>
      </c>
      <c r="H569" s="63"/>
      <c r="I569" s="156"/>
      <c r="K569" s="63"/>
      <c r="N569" s="63"/>
      <c r="P569" s="63"/>
    </row>
    <row r="570">
      <c r="F570" s="63">
        <v>0.0</v>
      </c>
      <c r="G570" s="149">
        <f t="shared" si="1"/>
        <v>0</v>
      </c>
      <c r="H570" s="63"/>
      <c r="I570" s="156"/>
      <c r="K570" s="63"/>
      <c r="N570" s="63"/>
      <c r="P570" s="63"/>
    </row>
    <row r="571">
      <c r="F571" s="63">
        <v>0.0</v>
      </c>
      <c r="G571" s="149">
        <f t="shared" si="1"/>
        <v>0</v>
      </c>
      <c r="H571" s="63"/>
      <c r="I571" s="156"/>
      <c r="K571" s="63"/>
      <c r="N571" s="63"/>
      <c r="P571" s="63"/>
    </row>
    <row r="572">
      <c r="F572" s="63">
        <v>0.0</v>
      </c>
      <c r="G572" s="149">
        <f t="shared" si="1"/>
        <v>0</v>
      </c>
      <c r="H572" s="63"/>
      <c r="I572" s="156"/>
      <c r="K572" s="63"/>
      <c r="N572" s="63"/>
      <c r="P572" s="63"/>
    </row>
    <row r="573">
      <c r="F573" s="63">
        <v>0.0</v>
      </c>
      <c r="G573" s="149">
        <f t="shared" si="1"/>
        <v>0</v>
      </c>
      <c r="H573" s="63"/>
      <c r="I573" s="156"/>
      <c r="K573" s="63"/>
      <c r="N573" s="63"/>
      <c r="P573" s="63"/>
    </row>
    <row r="574">
      <c r="F574" s="63">
        <v>0.0</v>
      </c>
      <c r="G574" s="149">
        <f t="shared" si="1"/>
        <v>0</v>
      </c>
      <c r="H574" s="63"/>
      <c r="I574" s="156"/>
      <c r="K574" s="63"/>
      <c r="N574" s="63"/>
      <c r="P574" s="63"/>
    </row>
    <row r="575">
      <c r="F575" s="63">
        <v>0.0</v>
      </c>
      <c r="G575" s="149">
        <f t="shared" si="1"/>
        <v>0</v>
      </c>
      <c r="H575" s="63"/>
      <c r="I575" s="156"/>
      <c r="K575" s="63"/>
      <c r="N575" s="63"/>
      <c r="P575" s="63"/>
    </row>
    <row r="576">
      <c r="F576" s="63">
        <v>0.0</v>
      </c>
      <c r="G576" s="149">
        <f t="shared" si="1"/>
        <v>0</v>
      </c>
      <c r="H576" s="63"/>
      <c r="I576" s="156"/>
      <c r="K576" s="63"/>
      <c r="N576" s="63"/>
      <c r="P576" s="63"/>
    </row>
    <row r="577">
      <c r="F577" s="63">
        <v>0.0</v>
      </c>
      <c r="G577" s="149">
        <f t="shared" si="1"/>
        <v>0</v>
      </c>
      <c r="H577" s="63"/>
      <c r="I577" s="156"/>
      <c r="K577" s="63"/>
      <c r="N577" s="63"/>
      <c r="P577" s="63"/>
    </row>
    <row r="578">
      <c r="F578" s="63">
        <v>0.0</v>
      </c>
      <c r="G578" s="149">
        <f t="shared" si="1"/>
        <v>0</v>
      </c>
      <c r="H578" s="63"/>
      <c r="I578" s="156"/>
      <c r="K578" s="63"/>
      <c r="N578" s="63"/>
      <c r="P578" s="63"/>
    </row>
    <row r="579">
      <c r="F579" s="63">
        <v>0.0</v>
      </c>
      <c r="G579" s="149">
        <f t="shared" si="1"/>
        <v>0</v>
      </c>
      <c r="H579" s="63"/>
      <c r="I579" s="156"/>
      <c r="K579" s="63"/>
      <c r="N579" s="63"/>
      <c r="P579" s="63"/>
    </row>
    <row r="580">
      <c r="F580" s="63">
        <v>0.0</v>
      </c>
      <c r="G580" s="149">
        <f t="shared" si="1"/>
        <v>0</v>
      </c>
      <c r="H580" s="63"/>
      <c r="I580" s="156"/>
      <c r="K580" s="63"/>
      <c r="N580" s="63"/>
      <c r="P580" s="63"/>
    </row>
    <row r="581">
      <c r="F581" s="63">
        <v>0.0</v>
      </c>
      <c r="G581" s="149">
        <f t="shared" si="1"/>
        <v>0</v>
      </c>
      <c r="H581" s="63"/>
      <c r="I581" s="156"/>
      <c r="K581" s="63"/>
      <c r="N581" s="63"/>
      <c r="P581" s="63"/>
    </row>
    <row r="582">
      <c r="F582" s="63">
        <v>0.0</v>
      </c>
      <c r="G582" s="149">
        <f t="shared" si="1"/>
        <v>0</v>
      </c>
      <c r="H582" s="63"/>
      <c r="I582" s="156"/>
      <c r="K582" s="63"/>
      <c r="N582" s="63"/>
      <c r="P582" s="63"/>
    </row>
    <row r="583">
      <c r="F583" s="63">
        <v>0.0</v>
      </c>
      <c r="G583" s="149">
        <f t="shared" si="1"/>
        <v>0</v>
      </c>
      <c r="H583" s="63"/>
      <c r="I583" s="156"/>
      <c r="K583" s="63"/>
      <c r="N583" s="63"/>
      <c r="P583" s="63"/>
    </row>
    <row r="584">
      <c r="F584" s="63">
        <v>0.0</v>
      </c>
      <c r="G584" s="149">
        <f t="shared" si="1"/>
        <v>0</v>
      </c>
      <c r="H584" s="63"/>
      <c r="I584" s="156"/>
      <c r="K584" s="63"/>
      <c r="N584" s="63"/>
      <c r="P584" s="63"/>
    </row>
    <row r="585">
      <c r="F585" s="63">
        <v>0.0</v>
      </c>
      <c r="G585" s="149">
        <f t="shared" si="1"/>
        <v>0</v>
      </c>
      <c r="H585" s="63"/>
      <c r="I585" s="156"/>
      <c r="K585" s="63"/>
      <c r="N585" s="63"/>
      <c r="P585" s="63"/>
    </row>
    <row r="586">
      <c r="F586" s="63">
        <v>0.0</v>
      </c>
      <c r="G586" s="149">
        <f t="shared" si="1"/>
        <v>0</v>
      </c>
      <c r="H586" s="63"/>
      <c r="I586" s="156"/>
      <c r="K586" s="63"/>
      <c r="N586" s="63"/>
      <c r="P586" s="63"/>
    </row>
    <row r="587">
      <c r="F587" s="63">
        <v>0.0</v>
      </c>
      <c r="G587" s="149">
        <f t="shared" si="1"/>
        <v>0</v>
      </c>
      <c r="H587" s="63"/>
      <c r="I587" s="156"/>
      <c r="K587" s="63"/>
      <c r="N587" s="63"/>
      <c r="P587" s="63"/>
    </row>
    <row r="588">
      <c r="F588" s="63">
        <v>0.0</v>
      </c>
      <c r="G588" s="149">
        <f t="shared" si="1"/>
        <v>0</v>
      </c>
      <c r="H588" s="63"/>
      <c r="I588" s="156"/>
      <c r="K588" s="63"/>
      <c r="N588" s="63"/>
      <c r="P588" s="63"/>
    </row>
    <row r="589">
      <c r="F589" s="63">
        <v>0.0</v>
      </c>
      <c r="G589" s="149">
        <f t="shared" si="1"/>
        <v>0</v>
      </c>
      <c r="H589" s="63"/>
      <c r="I589" s="156"/>
      <c r="K589" s="63"/>
      <c r="N589" s="63"/>
      <c r="P589" s="63"/>
    </row>
    <row r="590">
      <c r="F590" s="63">
        <v>0.0</v>
      </c>
      <c r="G590" s="149">
        <f t="shared" si="1"/>
        <v>0</v>
      </c>
      <c r="H590" s="63"/>
      <c r="I590" s="156"/>
      <c r="K590" s="63"/>
      <c r="N590" s="63"/>
      <c r="P590" s="63"/>
    </row>
    <row r="591">
      <c r="F591" s="63">
        <v>0.0</v>
      </c>
      <c r="G591" s="149">
        <f t="shared" si="1"/>
        <v>0</v>
      </c>
      <c r="H591" s="63"/>
      <c r="I591" s="156"/>
      <c r="K591" s="63"/>
      <c r="N591" s="63"/>
      <c r="P591" s="63"/>
    </row>
    <row r="592">
      <c r="F592" s="63">
        <v>0.0</v>
      </c>
      <c r="G592" s="149">
        <f t="shared" si="1"/>
        <v>0</v>
      </c>
      <c r="H592" s="63"/>
      <c r="I592" s="156"/>
      <c r="K592" s="63"/>
      <c r="N592" s="63"/>
      <c r="P592" s="63"/>
    </row>
    <row r="593">
      <c r="F593" s="63">
        <v>0.0</v>
      </c>
      <c r="G593" s="149">
        <f t="shared" si="1"/>
        <v>0</v>
      </c>
      <c r="H593" s="63"/>
      <c r="I593" s="156"/>
      <c r="K593" s="63"/>
      <c r="N593" s="63"/>
      <c r="P593" s="63"/>
    </row>
    <row r="594">
      <c r="F594" s="63">
        <v>0.0</v>
      </c>
      <c r="G594" s="149">
        <f t="shared" si="1"/>
        <v>0</v>
      </c>
      <c r="H594" s="63"/>
      <c r="I594" s="156"/>
      <c r="K594" s="63"/>
      <c r="N594" s="63"/>
      <c r="P594" s="63"/>
    </row>
    <row r="595">
      <c r="F595" s="63">
        <v>0.0</v>
      </c>
      <c r="G595" s="149">
        <f t="shared" si="1"/>
        <v>0</v>
      </c>
      <c r="H595" s="63"/>
      <c r="I595" s="156"/>
      <c r="K595" s="63"/>
      <c r="N595" s="63"/>
      <c r="P595" s="63"/>
    </row>
    <row r="596">
      <c r="F596" s="63">
        <v>0.0</v>
      </c>
      <c r="G596" s="149">
        <f t="shared" si="1"/>
        <v>0</v>
      </c>
      <c r="H596" s="63"/>
      <c r="I596" s="156"/>
      <c r="K596" s="63"/>
      <c r="N596" s="63"/>
      <c r="P596" s="63"/>
    </row>
    <row r="597">
      <c r="F597" s="63">
        <v>0.0</v>
      </c>
      <c r="G597" s="149">
        <f t="shared" si="1"/>
        <v>0</v>
      </c>
      <c r="H597" s="63"/>
      <c r="I597" s="156"/>
      <c r="K597" s="63"/>
      <c r="N597" s="63"/>
      <c r="P597" s="63"/>
    </row>
    <row r="598">
      <c r="F598" s="63">
        <v>0.0</v>
      </c>
      <c r="G598" s="149">
        <f t="shared" si="1"/>
        <v>0</v>
      </c>
      <c r="H598" s="63"/>
      <c r="I598" s="156"/>
      <c r="K598" s="63"/>
      <c r="N598" s="63"/>
      <c r="P598" s="63"/>
    </row>
    <row r="599">
      <c r="F599" s="63">
        <v>0.0</v>
      </c>
      <c r="G599" s="149">
        <f t="shared" si="1"/>
        <v>0</v>
      </c>
      <c r="H599" s="63"/>
      <c r="I599" s="156"/>
      <c r="K599" s="63"/>
      <c r="N599" s="63"/>
      <c r="P599" s="63"/>
    </row>
    <row r="600">
      <c r="F600" s="63">
        <v>0.0</v>
      </c>
      <c r="G600" s="149">
        <f t="shared" si="1"/>
        <v>0</v>
      </c>
      <c r="H600" s="63"/>
      <c r="I600" s="156"/>
      <c r="K600" s="63"/>
      <c r="N600" s="63"/>
      <c r="P600" s="63"/>
    </row>
    <row r="601">
      <c r="F601" s="63">
        <v>0.0</v>
      </c>
      <c r="G601" s="149">
        <f t="shared" si="1"/>
        <v>0</v>
      </c>
      <c r="H601" s="63"/>
      <c r="I601" s="156"/>
      <c r="K601" s="63"/>
      <c r="N601" s="63"/>
      <c r="P601" s="63"/>
    </row>
    <row r="602">
      <c r="F602" s="63">
        <v>0.0</v>
      </c>
      <c r="G602" s="149">
        <f t="shared" si="1"/>
        <v>0</v>
      </c>
      <c r="H602" s="63"/>
      <c r="I602" s="156"/>
      <c r="K602" s="63"/>
      <c r="N602" s="63"/>
      <c r="P602" s="63"/>
    </row>
    <row r="603">
      <c r="F603" s="63">
        <v>0.0</v>
      </c>
      <c r="G603" s="149">
        <f t="shared" si="1"/>
        <v>0</v>
      </c>
      <c r="H603" s="63"/>
      <c r="I603" s="156"/>
      <c r="K603" s="63"/>
      <c r="N603" s="63"/>
      <c r="P603" s="63"/>
    </row>
    <row r="604">
      <c r="F604" s="63">
        <v>0.0</v>
      </c>
      <c r="G604" s="149">
        <f t="shared" si="1"/>
        <v>0</v>
      </c>
      <c r="H604" s="63"/>
      <c r="I604" s="156"/>
      <c r="K604" s="63"/>
      <c r="N604" s="63"/>
      <c r="P604" s="63"/>
    </row>
    <row r="605">
      <c r="F605" s="63">
        <v>0.0</v>
      </c>
      <c r="G605" s="149">
        <f t="shared" si="1"/>
        <v>0</v>
      </c>
      <c r="H605" s="63"/>
      <c r="I605" s="156"/>
      <c r="K605" s="63"/>
      <c r="N605" s="63"/>
      <c r="P605" s="63"/>
    </row>
    <row r="606">
      <c r="F606" s="63">
        <v>0.0</v>
      </c>
      <c r="G606" s="149">
        <f t="shared" si="1"/>
        <v>0</v>
      </c>
      <c r="H606" s="63"/>
      <c r="I606" s="156"/>
      <c r="K606" s="63"/>
      <c r="N606" s="63"/>
      <c r="P606" s="63"/>
    </row>
    <row r="607">
      <c r="F607" s="63">
        <v>0.0</v>
      </c>
      <c r="G607" s="149">
        <f t="shared" si="1"/>
        <v>0</v>
      </c>
      <c r="H607" s="63"/>
      <c r="I607" s="156"/>
      <c r="K607" s="63"/>
      <c r="N607" s="63"/>
      <c r="P607" s="63"/>
    </row>
    <row r="608">
      <c r="F608" s="63">
        <v>0.0</v>
      </c>
      <c r="G608" s="149">
        <f t="shared" si="1"/>
        <v>0</v>
      </c>
      <c r="H608" s="63"/>
      <c r="I608" s="156"/>
      <c r="K608" s="63"/>
      <c r="N608" s="63"/>
      <c r="P608" s="63"/>
    </row>
    <row r="609">
      <c r="F609" s="63">
        <v>0.0</v>
      </c>
      <c r="G609" s="149">
        <f t="shared" si="1"/>
        <v>0</v>
      </c>
      <c r="H609" s="63"/>
      <c r="I609" s="156"/>
      <c r="K609" s="63"/>
      <c r="N609" s="63"/>
      <c r="P609" s="63"/>
    </row>
    <row r="610">
      <c r="F610" s="63">
        <v>0.0</v>
      </c>
      <c r="G610" s="149">
        <f t="shared" si="1"/>
        <v>0</v>
      </c>
      <c r="H610" s="63"/>
      <c r="I610" s="156"/>
      <c r="K610" s="63"/>
      <c r="N610" s="63"/>
      <c r="P610" s="63"/>
    </row>
    <row r="611">
      <c r="F611" s="63">
        <v>0.0</v>
      </c>
      <c r="G611" s="149">
        <f t="shared" si="1"/>
        <v>0</v>
      </c>
      <c r="H611" s="63"/>
      <c r="I611" s="156"/>
      <c r="K611" s="63"/>
      <c r="N611" s="63"/>
      <c r="P611" s="63"/>
    </row>
    <row r="612">
      <c r="F612" s="63">
        <v>0.0</v>
      </c>
      <c r="G612" s="149">
        <f t="shared" si="1"/>
        <v>0</v>
      </c>
      <c r="H612" s="63"/>
      <c r="I612" s="156"/>
      <c r="K612" s="63"/>
      <c r="N612" s="63"/>
      <c r="P612" s="63"/>
    </row>
    <row r="613">
      <c r="F613" s="63">
        <v>0.0</v>
      </c>
      <c r="G613" s="149">
        <f t="shared" si="1"/>
        <v>0</v>
      </c>
      <c r="H613" s="63"/>
      <c r="I613" s="156"/>
      <c r="K613" s="63"/>
      <c r="N613" s="63"/>
      <c r="P613" s="63"/>
    </row>
    <row r="614">
      <c r="F614" s="63">
        <v>0.0</v>
      </c>
      <c r="G614" s="149">
        <f t="shared" si="1"/>
        <v>0</v>
      </c>
      <c r="H614" s="63"/>
      <c r="I614" s="156"/>
      <c r="K614" s="63"/>
      <c r="N614" s="63"/>
      <c r="P614" s="63"/>
    </row>
    <row r="615">
      <c r="F615" s="63">
        <v>0.0</v>
      </c>
      <c r="G615" s="149">
        <f t="shared" si="1"/>
        <v>0</v>
      </c>
      <c r="H615" s="63"/>
      <c r="I615" s="156"/>
      <c r="K615" s="63"/>
      <c r="N615" s="63"/>
      <c r="P615" s="63"/>
    </row>
    <row r="616">
      <c r="F616" s="63">
        <v>0.0</v>
      </c>
      <c r="G616" s="149">
        <f t="shared" si="1"/>
        <v>0</v>
      </c>
      <c r="H616" s="63"/>
      <c r="I616" s="156"/>
      <c r="K616" s="63"/>
      <c r="N616" s="63"/>
      <c r="P616" s="63"/>
    </row>
    <row r="617">
      <c r="F617" s="63">
        <v>0.0</v>
      </c>
      <c r="G617" s="149">
        <f t="shared" si="1"/>
        <v>0</v>
      </c>
      <c r="H617" s="63"/>
      <c r="I617" s="156"/>
      <c r="K617" s="63"/>
      <c r="N617" s="63"/>
      <c r="P617" s="63"/>
    </row>
    <row r="618">
      <c r="F618" s="63">
        <v>0.0</v>
      </c>
      <c r="G618" s="149">
        <f t="shared" si="1"/>
        <v>0</v>
      </c>
      <c r="H618" s="63"/>
      <c r="I618" s="156"/>
      <c r="K618" s="63"/>
      <c r="N618" s="63"/>
      <c r="P618" s="63"/>
    </row>
    <row r="619">
      <c r="F619" s="63">
        <v>0.0</v>
      </c>
      <c r="G619" s="149">
        <f t="shared" si="1"/>
        <v>0</v>
      </c>
      <c r="H619" s="63"/>
      <c r="I619" s="156"/>
      <c r="K619" s="63"/>
      <c r="N619" s="63"/>
      <c r="P619" s="63"/>
    </row>
    <row r="620">
      <c r="F620" s="63">
        <v>0.0</v>
      </c>
      <c r="G620" s="149">
        <f t="shared" si="1"/>
        <v>0</v>
      </c>
      <c r="H620" s="63"/>
      <c r="I620" s="156"/>
      <c r="K620" s="63"/>
      <c r="N620" s="63"/>
      <c r="P620" s="63"/>
    </row>
    <row r="621">
      <c r="F621" s="63">
        <v>0.0</v>
      </c>
      <c r="G621" s="149">
        <f t="shared" si="1"/>
        <v>0</v>
      </c>
      <c r="H621" s="63"/>
      <c r="I621" s="156"/>
      <c r="K621" s="63"/>
      <c r="N621" s="63"/>
      <c r="P621" s="63"/>
    </row>
    <row r="622">
      <c r="F622" s="63">
        <v>0.0</v>
      </c>
      <c r="G622" s="149">
        <f t="shared" si="1"/>
        <v>0</v>
      </c>
      <c r="H622" s="63"/>
      <c r="I622" s="156"/>
      <c r="K622" s="63"/>
      <c r="N622" s="63"/>
      <c r="P622" s="63"/>
    </row>
    <row r="623">
      <c r="F623" s="63">
        <v>0.0</v>
      </c>
      <c r="G623" s="149">
        <f t="shared" si="1"/>
        <v>0</v>
      </c>
      <c r="H623" s="63"/>
      <c r="I623" s="156"/>
      <c r="K623" s="63"/>
      <c r="N623" s="63"/>
      <c r="P623" s="63"/>
    </row>
    <row r="624">
      <c r="F624" s="63">
        <v>0.0</v>
      </c>
      <c r="G624" s="149">
        <f t="shared" si="1"/>
        <v>0</v>
      </c>
      <c r="H624" s="63"/>
      <c r="I624" s="156"/>
      <c r="K624" s="63"/>
      <c r="N624" s="63"/>
      <c r="P624" s="63"/>
    </row>
    <row r="625">
      <c r="F625" s="63">
        <v>0.0</v>
      </c>
      <c r="G625" s="149">
        <f t="shared" si="1"/>
        <v>0</v>
      </c>
      <c r="H625" s="63"/>
      <c r="I625" s="156"/>
      <c r="K625" s="63"/>
      <c r="N625" s="63"/>
      <c r="P625" s="63"/>
    </row>
    <row r="626">
      <c r="F626" s="63">
        <v>0.0</v>
      </c>
      <c r="G626" s="149">
        <f t="shared" si="1"/>
        <v>0</v>
      </c>
      <c r="H626" s="63"/>
      <c r="I626" s="156"/>
      <c r="K626" s="63"/>
      <c r="N626" s="63"/>
      <c r="P626" s="63"/>
    </row>
    <row r="627">
      <c r="F627" s="63">
        <v>0.0</v>
      </c>
      <c r="G627" s="149">
        <f t="shared" si="1"/>
        <v>0</v>
      </c>
      <c r="H627" s="63"/>
      <c r="I627" s="156"/>
      <c r="K627" s="63"/>
      <c r="N627" s="63"/>
      <c r="P627" s="63"/>
    </row>
    <row r="628">
      <c r="F628" s="63">
        <v>0.0</v>
      </c>
      <c r="G628" s="149">
        <f t="shared" si="1"/>
        <v>0</v>
      </c>
      <c r="H628" s="63"/>
      <c r="I628" s="156"/>
      <c r="K628" s="63"/>
      <c r="N628" s="63"/>
      <c r="P628" s="63"/>
    </row>
    <row r="629">
      <c r="F629" s="63">
        <v>0.0</v>
      </c>
      <c r="G629" s="149">
        <f t="shared" si="1"/>
        <v>0</v>
      </c>
      <c r="H629" s="63"/>
      <c r="I629" s="156"/>
      <c r="K629" s="63"/>
      <c r="N629" s="63"/>
      <c r="P629" s="63"/>
    </row>
    <row r="630">
      <c r="F630" s="63">
        <v>0.0</v>
      </c>
      <c r="G630" s="149">
        <f t="shared" si="1"/>
        <v>0</v>
      </c>
      <c r="H630" s="63"/>
      <c r="I630" s="156"/>
      <c r="K630" s="63"/>
      <c r="N630" s="63"/>
      <c r="P630" s="63"/>
    </row>
    <row r="631">
      <c r="F631" s="63">
        <v>0.0</v>
      </c>
      <c r="G631" s="149">
        <f t="shared" si="1"/>
        <v>0</v>
      </c>
      <c r="H631" s="63"/>
      <c r="I631" s="156"/>
      <c r="K631" s="63"/>
      <c r="N631" s="63"/>
      <c r="P631" s="63"/>
    </row>
    <row r="632">
      <c r="F632" s="63">
        <v>0.0</v>
      </c>
      <c r="G632" s="149">
        <f t="shared" si="1"/>
        <v>0</v>
      </c>
      <c r="H632" s="63"/>
      <c r="I632" s="156"/>
      <c r="K632" s="63"/>
      <c r="N632" s="63"/>
      <c r="P632" s="63"/>
    </row>
    <row r="633">
      <c r="F633" s="63">
        <v>0.0</v>
      </c>
      <c r="G633" s="149">
        <f t="shared" si="1"/>
        <v>0</v>
      </c>
      <c r="H633" s="63"/>
      <c r="I633" s="156"/>
      <c r="K633" s="63"/>
      <c r="N633" s="63"/>
      <c r="P633" s="63"/>
    </row>
    <row r="634">
      <c r="F634" s="63">
        <v>0.0</v>
      </c>
      <c r="G634" s="149">
        <f t="shared" si="1"/>
        <v>0</v>
      </c>
      <c r="H634" s="63"/>
      <c r="I634" s="156"/>
      <c r="K634" s="63"/>
      <c r="N634" s="63"/>
      <c r="P634" s="63"/>
    </row>
    <row r="635">
      <c r="F635" s="63">
        <v>0.0</v>
      </c>
      <c r="G635" s="149">
        <f t="shared" si="1"/>
        <v>0</v>
      </c>
      <c r="H635" s="63"/>
      <c r="I635" s="156"/>
      <c r="K635" s="63"/>
      <c r="N635" s="63"/>
      <c r="P635" s="63"/>
    </row>
    <row r="636">
      <c r="F636" s="63">
        <v>0.0</v>
      </c>
      <c r="G636" s="149">
        <f t="shared" si="1"/>
        <v>0</v>
      </c>
      <c r="H636" s="63"/>
      <c r="I636" s="156"/>
      <c r="K636" s="63"/>
      <c r="N636" s="63"/>
      <c r="P636" s="63"/>
    </row>
    <row r="637">
      <c r="F637" s="63">
        <v>0.0</v>
      </c>
      <c r="G637" s="149">
        <f t="shared" si="1"/>
        <v>0</v>
      </c>
      <c r="H637" s="63"/>
      <c r="I637" s="156"/>
      <c r="K637" s="63"/>
      <c r="N637" s="63"/>
      <c r="P637" s="63"/>
    </row>
    <row r="638">
      <c r="F638" s="63">
        <v>0.0</v>
      </c>
      <c r="G638" s="149">
        <f t="shared" si="1"/>
        <v>0</v>
      </c>
      <c r="H638" s="63"/>
      <c r="I638" s="156"/>
      <c r="K638" s="63"/>
      <c r="N638" s="63"/>
      <c r="P638" s="63"/>
    </row>
    <row r="639">
      <c r="F639" s="63">
        <v>0.0</v>
      </c>
      <c r="G639" s="149">
        <f t="shared" si="1"/>
        <v>0</v>
      </c>
      <c r="H639" s="63"/>
      <c r="I639" s="156"/>
      <c r="K639" s="63"/>
      <c r="N639" s="63"/>
      <c r="P639" s="63"/>
    </row>
    <row r="640">
      <c r="F640" s="63">
        <v>0.0</v>
      </c>
      <c r="G640" s="149">
        <f t="shared" si="1"/>
        <v>0</v>
      </c>
      <c r="H640" s="63"/>
      <c r="I640" s="156"/>
      <c r="K640" s="63"/>
      <c r="N640" s="63"/>
      <c r="P640" s="63"/>
    </row>
    <row r="641">
      <c r="F641" s="63">
        <v>0.0</v>
      </c>
      <c r="G641" s="149">
        <f t="shared" si="1"/>
        <v>0</v>
      </c>
      <c r="H641" s="63"/>
      <c r="I641" s="156"/>
      <c r="K641" s="63"/>
      <c r="N641" s="63"/>
      <c r="P641" s="63"/>
    </row>
    <row r="642">
      <c r="F642" s="63">
        <v>0.0</v>
      </c>
      <c r="G642" s="149">
        <f t="shared" si="1"/>
        <v>0</v>
      </c>
      <c r="H642" s="63"/>
      <c r="I642" s="156"/>
      <c r="K642" s="63"/>
      <c r="N642" s="63"/>
      <c r="P642" s="63"/>
    </row>
    <row r="643">
      <c r="F643" s="63">
        <v>0.0</v>
      </c>
      <c r="G643" s="149">
        <f t="shared" si="1"/>
        <v>0</v>
      </c>
      <c r="H643" s="63"/>
      <c r="I643" s="156"/>
      <c r="K643" s="63"/>
      <c r="N643" s="63"/>
      <c r="P643" s="63"/>
    </row>
    <row r="644">
      <c r="F644" s="63">
        <v>0.0</v>
      </c>
      <c r="G644" s="149">
        <f t="shared" si="1"/>
        <v>0</v>
      </c>
      <c r="H644" s="63"/>
      <c r="I644" s="156"/>
      <c r="K644" s="63"/>
      <c r="N644" s="63"/>
      <c r="P644" s="63"/>
    </row>
    <row r="645">
      <c r="F645" s="63">
        <v>0.0</v>
      </c>
      <c r="G645" s="149">
        <f t="shared" si="1"/>
        <v>0</v>
      </c>
      <c r="H645" s="63"/>
      <c r="I645" s="156"/>
      <c r="K645" s="63"/>
      <c r="N645" s="63"/>
      <c r="P645" s="63"/>
    </row>
    <row r="646">
      <c r="F646" s="63">
        <v>0.0</v>
      </c>
      <c r="G646" s="149">
        <f t="shared" si="1"/>
        <v>0</v>
      </c>
      <c r="H646" s="63"/>
      <c r="I646" s="156"/>
      <c r="K646" s="63"/>
      <c r="N646" s="63"/>
      <c r="P646" s="63"/>
    </row>
    <row r="647">
      <c r="F647" s="63">
        <v>0.0</v>
      </c>
      <c r="G647" s="149">
        <f t="shared" si="1"/>
        <v>0</v>
      </c>
      <c r="H647" s="63"/>
      <c r="I647" s="156"/>
      <c r="K647" s="63"/>
      <c r="N647" s="63"/>
      <c r="P647" s="63"/>
    </row>
    <row r="648">
      <c r="F648" s="63">
        <v>0.0</v>
      </c>
      <c r="G648" s="149">
        <f t="shared" si="1"/>
        <v>0</v>
      </c>
      <c r="H648" s="63"/>
      <c r="I648" s="156"/>
      <c r="K648" s="63"/>
      <c r="N648" s="63"/>
      <c r="P648" s="63"/>
    </row>
    <row r="649">
      <c r="F649" s="63">
        <v>0.0</v>
      </c>
      <c r="G649" s="149">
        <f t="shared" si="1"/>
        <v>0</v>
      </c>
      <c r="H649" s="63"/>
      <c r="I649" s="156"/>
      <c r="K649" s="63"/>
      <c r="N649" s="63"/>
      <c r="P649" s="63"/>
    </row>
    <row r="650">
      <c r="F650" s="63">
        <v>0.0</v>
      </c>
      <c r="G650" s="149">
        <f t="shared" si="1"/>
        <v>0</v>
      </c>
      <c r="H650" s="63"/>
      <c r="I650" s="156"/>
      <c r="K650" s="63"/>
      <c r="N650" s="63"/>
      <c r="P650" s="63"/>
    </row>
    <row r="651">
      <c r="F651" s="63">
        <v>0.0</v>
      </c>
      <c r="G651" s="149">
        <f t="shared" si="1"/>
        <v>0</v>
      </c>
      <c r="H651" s="63"/>
      <c r="I651" s="156"/>
      <c r="K651" s="63"/>
      <c r="N651" s="63"/>
      <c r="P651" s="63"/>
    </row>
    <row r="652">
      <c r="F652" s="63">
        <v>0.0</v>
      </c>
      <c r="G652" s="149">
        <f t="shared" si="1"/>
        <v>0</v>
      </c>
      <c r="H652" s="63"/>
      <c r="I652" s="156"/>
      <c r="K652" s="63"/>
      <c r="N652" s="63"/>
      <c r="P652" s="63"/>
    </row>
    <row r="653">
      <c r="F653" s="63">
        <v>0.0</v>
      </c>
      <c r="G653" s="149">
        <f t="shared" si="1"/>
        <v>0</v>
      </c>
      <c r="H653" s="63"/>
      <c r="I653" s="156"/>
      <c r="K653" s="63"/>
      <c r="N653" s="63"/>
      <c r="P653" s="63"/>
    </row>
    <row r="654">
      <c r="F654" s="63">
        <v>0.0</v>
      </c>
      <c r="G654" s="149">
        <f t="shared" si="1"/>
        <v>0</v>
      </c>
      <c r="H654" s="63"/>
      <c r="I654" s="156"/>
      <c r="K654" s="63"/>
      <c r="N654" s="63"/>
      <c r="P654" s="63"/>
    </row>
    <row r="655">
      <c r="F655" s="63">
        <v>0.0</v>
      </c>
      <c r="G655" s="149">
        <f t="shared" si="1"/>
        <v>0</v>
      </c>
      <c r="H655" s="63"/>
      <c r="I655" s="156"/>
      <c r="K655" s="63"/>
      <c r="N655" s="63"/>
      <c r="P655" s="63"/>
    </row>
    <row r="656">
      <c r="F656" s="63">
        <v>0.0</v>
      </c>
      <c r="G656" s="149">
        <f t="shared" si="1"/>
        <v>0</v>
      </c>
      <c r="H656" s="63"/>
      <c r="I656" s="156"/>
      <c r="K656" s="63"/>
      <c r="N656" s="63"/>
      <c r="P656" s="63"/>
    </row>
    <row r="657">
      <c r="F657" s="63">
        <v>0.0</v>
      </c>
      <c r="G657" s="149">
        <f t="shared" si="1"/>
        <v>0</v>
      </c>
      <c r="H657" s="63"/>
      <c r="I657" s="156"/>
      <c r="K657" s="63"/>
      <c r="N657" s="63"/>
      <c r="P657" s="63"/>
    </row>
    <row r="658">
      <c r="F658" s="63">
        <v>0.0</v>
      </c>
      <c r="G658" s="149">
        <f t="shared" si="1"/>
        <v>0</v>
      </c>
      <c r="H658" s="63"/>
      <c r="I658" s="156"/>
      <c r="K658" s="63"/>
      <c r="N658" s="63"/>
      <c r="P658" s="63"/>
    </row>
    <row r="659">
      <c r="F659" s="63">
        <v>0.0</v>
      </c>
      <c r="G659" s="149">
        <f t="shared" si="1"/>
        <v>0</v>
      </c>
      <c r="H659" s="63"/>
      <c r="I659" s="156"/>
      <c r="K659" s="63"/>
      <c r="N659" s="63"/>
      <c r="P659" s="63"/>
    </row>
    <row r="660">
      <c r="F660" s="63">
        <v>0.0</v>
      </c>
      <c r="G660" s="149">
        <f t="shared" si="1"/>
        <v>0</v>
      </c>
      <c r="H660" s="63"/>
      <c r="I660" s="156"/>
      <c r="K660" s="63"/>
      <c r="N660" s="63"/>
      <c r="P660" s="63"/>
    </row>
    <row r="661">
      <c r="F661" s="63">
        <v>0.0</v>
      </c>
      <c r="G661" s="149">
        <f t="shared" si="1"/>
        <v>0</v>
      </c>
      <c r="H661" s="63"/>
      <c r="I661" s="156"/>
      <c r="K661" s="63"/>
      <c r="N661" s="63"/>
      <c r="P661" s="63"/>
    </row>
    <row r="662">
      <c r="F662" s="63">
        <v>0.0</v>
      </c>
      <c r="G662" s="149">
        <f t="shared" si="1"/>
        <v>0</v>
      </c>
      <c r="H662" s="63"/>
      <c r="I662" s="156"/>
      <c r="K662" s="63"/>
      <c r="N662" s="63"/>
      <c r="P662" s="63"/>
    </row>
    <row r="663">
      <c r="F663" s="63">
        <v>0.0</v>
      </c>
      <c r="G663" s="149">
        <f t="shared" si="1"/>
        <v>0</v>
      </c>
      <c r="H663" s="63"/>
      <c r="I663" s="156"/>
      <c r="K663" s="63"/>
      <c r="N663" s="63"/>
      <c r="P663" s="63"/>
    </row>
    <row r="664">
      <c r="F664" s="63">
        <v>0.0</v>
      </c>
      <c r="G664" s="149">
        <f t="shared" si="1"/>
        <v>0</v>
      </c>
      <c r="H664" s="63"/>
      <c r="I664" s="156"/>
      <c r="K664" s="63"/>
      <c r="N664" s="63"/>
      <c r="P664" s="63"/>
    </row>
    <row r="665">
      <c r="F665" s="63">
        <v>0.0</v>
      </c>
      <c r="G665" s="149">
        <f t="shared" si="1"/>
        <v>0</v>
      </c>
      <c r="H665" s="63"/>
      <c r="I665" s="156"/>
      <c r="K665" s="63"/>
      <c r="N665" s="63"/>
      <c r="P665" s="63"/>
    </row>
    <row r="666">
      <c r="F666" s="63">
        <v>0.0</v>
      </c>
      <c r="G666" s="149">
        <f t="shared" si="1"/>
        <v>0</v>
      </c>
      <c r="H666" s="63"/>
      <c r="I666" s="156"/>
      <c r="K666" s="63"/>
      <c r="N666" s="63"/>
      <c r="P666" s="63"/>
    </row>
    <row r="667">
      <c r="F667" s="63">
        <v>0.0</v>
      </c>
      <c r="G667" s="149">
        <f t="shared" si="1"/>
        <v>0</v>
      </c>
      <c r="H667" s="63"/>
      <c r="I667" s="156"/>
      <c r="K667" s="63"/>
      <c r="N667" s="63"/>
      <c r="P667" s="63"/>
    </row>
    <row r="668">
      <c r="F668" s="63">
        <v>0.0</v>
      </c>
      <c r="G668" s="149">
        <f t="shared" si="1"/>
        <v>0</v>
      </c>
      <c r="H668" s="63"/>
      <c r="I668" s="156"/>
      <c r="K668" s="63"/>
      <c r="N668" s="63"/>
      <c r="P668" s="63"/>
    </row>
    <row r="669">
      <c r="F669" s="63">
        <v>0.0</v>
      </c>
      <c r="G669" s="149">
        <f t="shared" si="1"/>
        <v>0</v>
      </c>
      <c r="H669" s="63"/>
      <c r="I669" s="156"/>
      <c r="K669" s="63"/>
      <c r="N669" s="63"/>
      <c r="P669" s="63"/>
    </row>
    <row r="670">
      <c r="F670" s="63">
        <v>0.0</v>
      </c>
      <c r="G670" s="149">
        <f t="shared" si="1"/>
        <v>0</v>
      </c>
      <c r="H670" s="63"/>
      <c r="I670" s="156"/>
      <c r="K670" s="63"/>
      <c r="N670" s="63"/>
      <c r="P670" s="63"/>
    </row>
    <row r="671">
      <c r="F671" s="63">
        <v>0.0</v>
      </c>
      <c r="G671" s="149">
        <f t="shared" si="1"/>
        <v>0</v>
      </c>
      <c r="H671" s="63"/>
      <c r="I671" s="156"/>
      <c r="K671" s="63"/>
      <c r="N671" s="63"/>
      <c r="P671" s="63"/>
    </row>
    <row r="672">
      <c r="F672" s="63">
        <v>0.0</v>
      </c>
      <c r="G672" s="149">
        <f t="shared" si="1"/>
        <v>0</v>
      </c>
      <c r="H672" s="63"/>
      <c r="I672" s="156"/>
      <c r="K672" s="63"/>
      <c r="N672" s="63"/>
      <c r="P672" s="63"/>
    </row>
    <row r="673">
      <c r="F673" s="63">
        <v>0.0</v>
      </c>
      <c r="G673" s="149">
        <f t="shared" si="1"/>
        <v>0</v>
      </c>
      <c r="H673" s="63"/>
      <c r="I673" s="156"/>
      <c r="K673" s="63"/>
      <c r="N673" s="63"/>
      <c r="P673" s="63"/>
    </row>
    <row r="674">
      <c r="F674" s="63">
        <v>0.0</v>
      </c>
      <c r="G674" s="149">
        <f t="shared" si="1"/>
        <v>0</v>
      </c>
      <c r="H674" s="63"/>
      <c r="I674" s="156"/>
      <c r="K674" s="63"/>
      <c r="N674" s="63"/>
      <c r="P674" s="63"/>
    </row>
    <row r="675">
      <c r="F675" s="63">
        <v>0.0</v>
      </c>
      <c r="G675" s="149">
        <f t="shared" si="1"/>
        <v>0</v>
      </c>
      <c r="H675" s="63"/>
      <c r="I675" s="156"/>
      <c r="K675" s="63"/>
      <c r="N675" s="63"/>
      <c r="P675" s="63"/>
    </row>
    <row r="676">
      <c r="F676" s="63">
        <v>0.0</v>
      </c>
      <c r="G676" s="149">
        <f t="shared" si="1"/>
        <v>0</v>
      </c>
      <c r="H676" s="63"/>
      <c r="I676" s="156"/>
      <c r="K676" s="63"/>
      <c r="N676" s="63"/>
      <c r="P676" s="63"/>
    </row>
    <row r="677">
      <c r="F677" s="63">
        <v>0.0</v>
      </c>
      <c r="G677" s="149">
        <f t="shared" si="1"/>
        <v>0</v>
      </c>
      <c r="H677" s="63"/>
      <c r="I677" s="156"/>
      <c r="K677" s="63"/>
      <c r="N677" s="63"/>
      <c r="P677" s="63"/>
    </row>
    <row r="678">
      <c r="F678" s="63">
        <v>0.0</v>
      </c>
      <c r="G678" s="149">
        <f t="shared" si="1"/>
        <v>0</v>
      </c>
      <c r="H678" s="63"/>
      <c r="I678" s="156"/>
      <c r="K678" s="63"/>
      <c r="N678" s="63"/>
      <c r="P678" s="63"/>
    </row>
    <row r="679">
      <c r="F679" s="63">
        <v>0.0</v>
      </c>
      <c r="G679" s="149">
        <f t="shared" si="1"/>
        <v>0</v>
      </c>
      <c r="H679" s="63"/>
      <c r="I679" s="156"/>
      <c r="K679" s="63"/>
      <c r="N679" s="63"/>
      <c r="P679" s="63"/>
    </row>
    <row r="680">
      <c r="F680" s="63">
        <v>0.0</v>
      </c>
      <c r="G680" s="149">
        <f t="shared" si="1"/>
        <v>0</v>
      </c>
      <c r="H680" s="63"/>
      <c r="I680" s="156"/>
      <c r="K680" s="63"/>
      <c r="N680" s="63"/>
      <c r="P680" s="63"/>
    </row>
    <row r="681">
      <c r="F681" s="63">
        <v>0.0</v>
      </c>
      <c r="G681" s="149">
        <f t="shared" si="1"/>
        <v>0</v>
      </c>
      <c r="H681" s="63"/>
      <c r="I681" s="156"/>
      <c r="K681" s="63"/>
      <c r="N681" s="63"/>
      <c r="P681" s="63"/>
    </row>
    <row r="682">
      <c r="F682" s="63">
        <v>0.0</v>
      </c>
      <c r="G682" s="149">
        <f t="shared" si="1"/>
        <v>0</v>
      </c>
      <c r="H682" s="63"/>
      <c r="I682" s="156"/>
      <c r="K682" s="63"/>
      <c r="N682" s="63"/>
      <c r="P682" s="63"/>
    </row>
    <row r="683">
      <c r="F683" s="63">
        <v>0.0</v>
      </c>
      <c r="G683" s="149">
        <f t="shared" si="1"/>
        <v>0</v>
      </c>
      <c r="H683" s="63"/>
      <c r="I683" s="156"/>
      <c r="K683" s="63"/>
      <c r="N683" s="63"/>
      <c r="P683" s="63"/>
    </row>
    <row r="684">
      <c r="F684" s="63">
        <v>0.0</v>
      </c>
      <c r="G684" s="149">
        <f t="shared" si="1"/>
        <v>0</v>
      </c>
      <c r="H684" s="63"/>
      <c r="I684" s="156"/>
      <c r="K684" s="63"/>
      <c r="N684" s="63"/>
      <c r="P684" s="63"/>
    </row>
    <row r="685">
      <c r="F685" s="63">
        <v>0.0</v>
      </c>
      <c r="G685" s="149">
        <f t="shared" si="1"/>
        <v>0</v>
      </c>
      <c r="H685" s="63"/>
      <c r="I685" s="156"/>
      <c r="K685" s="63"/>
      <c r="N685" s="63"/>
      <c r="P685" s="63"/>
    </row>
    <row r="686">
      <c r="F686" s="63">
        <v>0.0</v>
      </c>
      <c r="G686" s="149">
        <f t="shared" si="1"/>
        <v>0</v>
      </c>
      <c r="H686" s="63"/>
      <c r="I686" s="156"/>
      <c r="K686" s="63"/>
      <c r="N686" s="63"/>
      <c r="P686" s="63"/>
    </row>
    <row r="687">
      <c r="F687" s="63">
        <v>0.0</v>
      </c>
      <c r="G687" s="149">
        <f t="shared" si="1"/>
        <v>0</v>
      </c>
      <c r="H687" s="63"/>
      <c r="I687" s="156"/>
      <c r="K687" s="63"/>
      <c r="N687" s="63"/>
      <c r="P687" s="63"/>
    </row>
    <row r="688">
      <c r="F688" s="63">
        <v>0.0</v>
      </c>
      <c r="G688" s="149">
        <f t="shared" si="1"/>
        <v>0</v>
      </c>
      <c r="H688" s="63"/>
      <c r="I688" s="156"/>
      <c r="K688" s="63"/>
      <c r="N688" s="63"/>
      <c r="P688" s="63"/>
    </row>
    <row r="689">
      <c r="F689" s="63">
        <v>0.0</v>
      </c>
      <c r="G689" s="149">
        <f t="shared" si="1"/>
        <v>0</v>
      </c>
      <c r="H689" s="63"/>
      <c r="I689" s="156"/>
      <c r="K689" s="63"/>
      <c r="N689" s="63"/>
      <c r="P689" s="63"/>
    </row>
    <row r="690">
      <c r="F690" s="63">
        <v>0.0</v>
      </c>
      <c r="G690" s="149">
        <f t="shared" si="1"/>
        <v>0</v>
      </c>
      <c r="H690" s="63"/>
      <c r="I690" s="156"/>
      <c r="K690" s="63"/>
      <c r="N690" s="63"/>
      <c r="P690" s="63"/>
    </row>
    <row r="691">
      <c r="F691" s="63">
        <v>0.0</v>
      </c>
      <c r="G691" s="149">
        <f t="shared" si="1"/>
        <v>0</v>
      </c>
      <c r="H691" s="63"/>
      <c r="I691" s="156"/>
      <c r="K691" s="63"/>
      <c r="N691" s="63"/>
      <c r="P691" s="63"/>
    </row>
    <row r="692">
      <c r="F692" s="63">
        <v>0.0</v>
      </c>
      <c r="G692" s="149">
        <f t="shared" si="1"/>
        <v>0</v>
      </c>
      <c r="H692" s="63"/>
      <c r="I692" s="156"/>
      <c r="K692" s="63"/>
      <c r="N692" s="63"/>
      <c r="P692" s="63"/>
    </row>
    <row r="693">
      <c r="F693" s="63">
        <v>0.0</v>
      </c>
      <c r="G693" s="149">
        <f t="shared" si="1"/>
        <v>0</v>
      </c>
      <c r="H693" s="63"/>
      <c r="I693" s="156"/>
      <c r="K693" s="63"/>
      <c r="N693" s="63"/>
      <c r="P693" s="63"/>
    </row>
    <row r="694">
      <c r="F694" s="63">
        <v>0.0</v>
      </c>
      <c r="G694" s="149">
        <f t="shared" si="1"/>
        <v>0</v>
      </c>
      <c r="H694" s="63"/>
      <c r="I694" s="156"/>
      <c r="K694" s="63"/>
      <c r="N694" s="63"/>
      <c r="P694" s="63"/>
    </row>
    <row r="695">
      <c r="F695" s="63">
        <v>0.0</v>
      </c>
      <c r="G695" s="149">
        <f t="shared" si="1"/>
        <v>0</v>
      </c>
      <c r="H695" s="63"/>
      <c r="I695" s="156"/>
      <c r="K695" s="63"/>
      <c r="N695" s="63"/>
      <c r="P695" s="63"/>
    </row>
    <row r="696">
      <c r="F696" s="63">
        <v>0.0</v>
      </c>
      <c r="G696" s="149">
        <f t="shared" si="1"/>
        <v>0</v>
      </c>
      <c r="H696" s="63"/>
      <c r="I696" s="156"/>
      <c r="K696" s="63"/>
      <c r="N696" s="63"/>
      <c r="P696" s="63"/>
    </row>
    <row r="697">
      <c r="F697" s="63">
        <v>0.0</v>
      </c>
      <c r="G697" s="149">
        <f t="shared" si="1"/>
        <v>0</v>
      </c>
      <c r="H697" s="63"/>
      <c r="I697" s="156"/>
      <c r="K697" s="63"/>
      <c r="N697" s="63"/>
      <c r="P697" s="63"/>
    </row>
    <row r="698">
      <c r="F698" s="63">
        <v>0.0</v>
      </c>
      <c r="G698" s="149">
        <f t="shared" si="1"/>
        <v>0</v>
      </c>
      <c r="H698" s="63"/>
      <c r="I698" s="156"/>
      <c r="K698" s="63"/>
      <c r="N698" s="63"/>
      <c r="P698" s="63"/>
    </row>
    <row r="699">
      <c r="F699" s="63">
        <v>0.0</v>
      </c>
      <c r="G699" s="149">
        <f t="shared" si="1"/>
        <v>0</v>
      </c>
      <c r="H699" s="63"/>
      <c r="I699" s="156"/>
      <c r="K699" s="63"/>
      <c r="N699" s="63"/>
      <c r="P699" s="63"/>
    </row>
    <row r="700">
      <c r="F700" s="63">
        <v>0.0</v>
      </c>
      <c r="G700" s="149">
        <f t="shared" si="1"/>
        <v>0</v>
      </c>
      <c r="H700" s="63"/>
      <c r="I700" s="156"/>
      <c r="K700" s="63"/>
      <c r="N700" s="63"/>
      <c r="P700" s="63"/>
    </row>
    <row r="701">
      <c r="F701" s="63">
        <v>0.0</v>
      </c>
      <c r="G701" s="149">
        <f t="shared" si="1"/>
        <v>0</v>
      </c>
      <c r="H701" s="63"/>
      <c r="I701" s="156"/>
      <c r="K701" s="63"/>
      <c r="N701" s="63"/>
      <c r="P701" s="63"/>
    </row>
    <row r="702">
      <c r="F702" s="63">
        <v>0.0</v>
      </c>
      <c r="G702" s="149">
        <f t="shared" si="1"/>
        <v>0</v>
      </c>
      <c r="H702" s="63"/>
      <c r="I702" s="156"/>
      <c r="K702" s="63"/>
      <c r="N702" s="63"/>
      <c r="P702" s="63"/>
    </row>
    <row r="703">
      <c r="F703" s="63">
        <v>0.0</v>
      </c>
      <c r="G703" s="149">
        <f t="shared" si="1"/>
        <v>0</v>
      </c>
      <c r="H703" s="63"/>
      <c r="I703" s="156"/>
      <c r="K703" s="63"/>
      <c r="N703" s="63"/>
      <c r="P703" s="63"/>
    </row>
    <row r="704">
      <c r="F704" s="63">
        <v>0.0</v>
      </c>
      <c r="G704" s="149">
        <f t="shared" si="1"/>
        <v>0</v>
      </c>
      <c r="H704" s="63"/>
      <c r="I704" s="156"/>
      <c r="K704" s="63"/>
      <c r="N704" s="63"/>
      <c r="P704" s="63"/>
    </row>
    <row r="705">
      <c r="F705" s="63">
        <v>0.0</v>
      </c>
      <c r="G705" s="149">
        <f t="shared" si="1"/>
        <v>0</v>
      </c>
      <c r="H705" s="63"/>
      <c r="I705" s="156"/>
      <c r="K705" s="63"/>
      <c r="N705" s="63"/>
      <c r="P705" s="63"/>
    </row>
    <row r="706">
      <c r="F706" s="63">
        <v>0.0</v>
      </c>
      <c r="G706" s="149">
        <f t="shared" si="1"/>
        <v>0</v>
      </c>
      <c r="H706" s="63"/>
      <c r="I706" s="156"/>
      <c r="K706" s="63"/>
      <c r="N706" s="63"/>
      <c r="P706" s="63"/>
    </row>
    <row r="707">
      <c r="F707" s="63">
        <v>0.0</v>
      </c>
      <c r="G707" s="149">
        <f t="shared" si="1"/>
        <v>0</v>
      </c>
      <c r="H707" s="63"/>
      <c r="I707" s="156"/>
      <c r="K707" s="63"/>
      <c r="N707" s="63"/>
      <c r="P707" s="63"/>
    </row>
    <row r="708">
      <c r="F708" s="63">
        <v>0.0</v>
      </c>
      <c r="G708" s="149">
        <f t="shared" si="1"/>
        <v>0</v>
      </c>
      <c r="H708" s="63"/>
      <c r="I708" s="156"/>
      <c r="K708" s="63"/>
      <c r="N708" s="63"/>
      <c r="P708" s="63"/>
    </row>
    <row r="709">
      <c r="F709" s="63">
        <v>0.0</v>
      </c>
      <c r="G709" s="149">
        <f t="shared" si="1"/>
        <v>0</v>
      </c>
      <c r="H709" s="63"/>
      <c r="I709" s="156"/>
      <c r="K709" s="63"/>
      <c r="N709" s="63"/>
      <c r="P709" s="63"/>
    </row>
    <row r="710">
      <c r="F710" s="63">
        <v>0.0</v>
      </c>
      <c r="G710" s="149">
        <f t="shared" si="1"/>
        <v>0</v>
      </c>
      <c r="H710" s="63"/>
      <c r="I710" s="156"/>
      <c r="K710" s="63"/>
      <c r="N710" s="63"/>
      <c r="P710" s="63"/>
    </row>
    <row r="711">
      <c r="F711" s="63">
        <v>0.0</v>
      </c>
      <c r="G711" s="149">
        <f t="shared" si="1"/>
        <v>0</v>
      </c>
      <c r="H711" s="63"/>
      <c r="I711" s="156"/>
      <c r="K711" s="63"/>
      <c r="N711" s="63"/>
      <c r="P711" s="63"/>
    </row>
    <row r="712">
      <c r="F712" s="63">
        <v>0.0</v>
      </c>
      <c r="G712" s="149">
        <f t="shared" si="1"/>
        <v>0</v>
      </c>
      <c r="H712" s="63"/>
      <c r="I712" s="156"/>
      <c r="K712" s="63"/>
      <c r="N712" s="63"/>
      <c r="P712" s="63"/>
    </row>
    <row r="713">
      <c r="F713" s="63">
        <v>0.0</v>
      </c>
      <c r="G713" s="149">
        <f t="shared" si="1"/>
        <v>0</v>
      </c>
      <c r="H713" s="63"/>
      <c r="I713" s="156"/>
      <c r="K713" s="63"/>
      <c r="N713" s="63"/>
      <c r="P713" s="63"/>
    </row>
    <row r="714">
      <c r="F714" s="63">
        <v>0.0</v>
      </c>
      <c r="G714" s="149">
        <f t="shared" si="1"/>
        <v>0</v>
      </c>
      <c r="H714" s="63"/>
      <c r="I714" s="156"/>
      <c r="K714" s="63"/>
      <c r="N714" s="63"/>
      <c r="P714" s="63"/>
    </row>
    <row r="715">
      <c r="F715" s="63">
        <v>0.0</v>
      </c>
      <c r="G715" s="149">
        <f t="shared" si="1"/>
        <v>0</v>
      </c>
      <c r="H715" s="63"/>
      <c r="I715" s="156"/>
      <c r="K715" s="63"/>
      <c r="N715" s="63"/>
      <c r="P715" s="63"/>
    </row>
    <row r="716">
      <c r="F716" s="63">
        <v>0.0</v>
      </c>
      <c r="G716" s="149">
        <f t="shared" si="1"/>
        <v>0</v>
      </c>
      <c r="H716" s="63"/>
      <c r="I716" s="156"/>
      <c r="K716" s="63"/>
      <c r="N716" s="63"/>
      <c r="P716" s="63"/>
    </row>
    <row r="717">
      <c r="F717" s="63">
        <v>0.0</v>
      </c>
      <c r="G717" s="149">
        <f t="shared" si="1"/>
        <v>0</v>
      </c>
      <c r="H717" s="63"/>
      <c r="I717" s="156"/>
      <c r="K717" s="63"/>
      <c r="N717" s="63"/>
      <c r="P717" s="63"/>
    </row>
    <row r="718">
      <c r="F718" s="63">
        <v>0.0</v>
      </c>
      <c r="G718" s="149">
        <f t="shared" si="1"/>
        <v>0</v>
      </c>
      <c r="H718" s="63"/>
      <c r="I718" s="156"/>
      <c r="K718" s="63"/>
      <c r="N718" s="63"/>
      <c r="P718" s="63"/>
    </row>
    <row r="719">
      <c r="F719" s="63">
        <v>0.0</v>
      </c>
      <c r="G719" s="149">
        <f t="shared" si="1"/>
        <v>0</v>
      </c>
      <c r="H719" s="63"/>
      <c r="I719" s="156"/>
      <c r="K719" s="63"/>
      <c r="N719" s="63"/>
      <c r="P719" s="63"/>
    </row>
    <row r="720">
      <c r="F720" s="63">
        <v>0.0</v>
      </c>
      <c r="G720" s="149">
        <f t="shared" si="1"/>
        <v>0</v>
      </c>
      <c r="H720" s="63"/>
      <c r="I720" s="156"/>
      <c r="K720" s="63"/>
      <c r="N720" s="63"/>
      <c r="P720" s="63"/>
    </row>
    <row r="721">
      <c r="F721" s="63">
        <v>0.0</v>
      </c>
      <c r="G721" s="149">
        <f t="shared" si="1"/>
        <v>0</v>
      </c>
      <c r="H721" s="63"/>
      <c r="I721" s="156"/>
      <c r="K721" s="63"/>
      <c r="N721" s="63"/>
      <c r="P721" s="63"/>
    </row>
    <row r="722">
      <c r="F722" s="63">
        <v>0.0</v>
      </c>
      <c r="G722" s="149">
        <f t="shared" si="1"/>
        <v>0</v>
      </c>
      <c r="H722" s="63"/>
      <c r="I722" s="156"/>
      <c r="K722" s="63"/>
      <c r="N722" s="63"/>
      <c r="P722" s="63"/>
    </row>
    <row r="723">
      <c r="F723" s="63">
        <v>0.0</v>
      </c>
      <c r="G723" s="149">
        <f t="shared" si="1"/>
        <v>0</v>
      </c>
      <c r="H723" s="63"/>
      <c r="I723" s="156"/>
      <c r="K723" s="63"/>
      <c r="N723" s="63"/>
      <c r="P723" s="63"/>
    </row>
    <row r="724">
      <c r="F724" s="63">
        <v>0.0</v>
      </c>
      <c r="G724" s="149">
        <f t="shared" si="1"/>
        <v>0</v>
      </c>
      <c r="H724" s="63"/>
      <c r="I724" s="156"/>
      <c r="K724" s="63"/>
      <c r="N724" s="63"/>
      <c r="P724" s="63"/>
    </row>
    <row r="725">
      <c r="F725" s="63">
        <v>0.0</v>
      </c>
      <c r="G725" s="149">
        <f t="shared" si="1"/>
        <v>0</v>
      </c>
      <c r="H725" s="63"/>
      <c r="I725" s="156"/>
      <c r="K725" s="63"/>
      <c r="N725" s="63"/>
      <c r="P725" s="63"/>
    </row>
    <row r="726">
      <c r="F726" s="63">
        <v>0.0</v>
      </c>
      <c r="G726" s="149">
        <f t="shared" si="1"/>
        <v>0</v>
      </c>
      <c r="H726" s="63"/>
      <c r="I726" s="156"/>
      <c r="K726" s="63"/>
      <c r="N726" s="63"/>
      <c r="P726" s="63"/>
    </row>
    <row r="727">
      <c r="F727" s="63">
        <v>0.0</v>
      </c>
      <c r="G727" s="149">
        <f t="shared" si="1"/>
        <v>0</v>
      </c>
      <c r="H727" s="63"/>
      <c r="I727" s="156"/>
      <c r="K727" s="63"/>
      <c r="N727" s="63"/>
      <c r="P727" s="63"/>
    </row>
    <row r="728">
      <c r="F728" s="63">
        <v>0.0</v>
      </c>
      <c r="G728" s="149">
        <f t="shared" si="1"/>
        <v>0</v>
      </c>
      <c r="H728" s="63"/>
      <c r="I728" s="156"/>
      <c r="K728" s="63"/>
      <c r="N728" s="63"/>
      <c r="P728" s="63"/>
    </row>
    <row r="729">
      <c r="F729" s="63">
        <v>0.0</v>
      </c>
      <c r="G729" s="149">
        <f t="shared" si="1"/>
        <v>0</v>
      </c>
      <c r="H729" s="63"/>
      <c r="I729" s="156"/>
      <c r="K729" s="63"/>
      <c r="N729" s="63"/>
      <c r="P729" s="63"/>
    </row>
    <row r="730">
      <c r="F730" s="63">
        <v>0.0</v>
      </c>
      <c r="G730" s="149">
        <f t="shared" si="1"/>
        <v>0</v>
      </c>
      <c r="H730" s="63"/>
      <c r="I730" s="156"/>
      <c r="K730" s="63"/>
      <c r="N730" s="63"/>
      <c r="P730" s="63"/>
    </row>
    <row r="731">
      <c r="F731" s="63">
        <v>0.0</v>
      </c>
      <c r="G731" s="149">
        <f t="shared" si="1"/>
        <v>0</v>
      </c>
      <c r="H731" s="63"/>
      <c r="I731" s="156"/>
      <c r="K731" s="63"/>
      <c r="N731" s="63"/>
      <c r="P731" s="63"/>
    </row>
    <row r="732">
      <c r="F732" s="63">
        <v>0.0</v>
      </c>
      <c r="G732" s="149">
        <f t="shared" si="1"/>
        <v>0</v>
      </c>
      <c r="H732" s="63"/>
      <c r="I732" s="156"/>
      <c r="K732" s="63"/>
      <c r="N732" s="63"/>
      <c r="P732" s="63"/>
    </row>
    <row r="733">
      <c r="F733" s="63">
        <v>0.0</v>
      </c>
      <c r="G733" s="149">
        <f t="shared" si="1"/>
        <v>0</v>
      </c>
      <c r="H733" s="63"/>
      <c r="I733" s="156"/>
      <c r="K733" s="63"/>
      <c r="N733" s="63"/>
      <c r="P733" s="63"/>
    </row>
    <row r="734">
      <c r="F734" s="63">
        <v>0.0</v>
      </c>
      <c r="G734" s="149">
        <f t="shared" si="1"/>
        <v>0</v>
      </c>
      <c r="H734" s="63"/>
      <c r="I734" s="156"/>
      <c r="K734" s="63"/>
      <c r="N734" s="63"/>
      <c r="P734" s="63"/>
    </row>
    <row r="735">
      <c r="F735" s="63">
        <v>0.0</v>
      </c>
      <c r="G735" s="149">
        <f t="shared" si="1"/>
        <v>0</v>
      </c>
      <c r="H735" s="63"/>
      <c r="I735" s="156"/>
      <c r="K735" s="63"/>
      <c r="N735" s="63"/>
      <c r="P735" s="63"/>
    </row>
    <row r="736">
      <c r="F736" s="63">
        <v>0.0</v>
      </c>
      <c r="G736" s="149">
        <f t="shared" si="1"/>
        <v>0</v>
      </c>
      <c r="H736" s="63"/>
      <c r="I736" s="156"/>
      <c r="K736" s="63"/>
      <c r="N736" s="63"/>
      <c r="P736" s="63"/>
    </row>
    <row r="737">
      <c r="F737" s="63">
        <v>0.0</v>
      </c>
      <c r="G737" s="149">
        <f t="shared" si="1"/>
        <v>0</v>
      </c>
      <c r="H737" s="63"/>
      <c r="I737" s="156"/>
      <c r="K737" s="63"/>
      <c r="N737" s="63"/>
      <c r="P737" s="63"/>
    </row>
    <row r="738">
      <c r="F738" s="63">
        <v>0.0</v>
      </c>
      <c r="G738" s="149">
        <f t="shared" si="1"/>
        <v>0</v>
      </c>
      <c r="H738" s="63"/>
      <c r="I738" s="156"/>
      <c r="K738" s="63"/>
      <c r="N738" s="63"/>
      <c r="P738" s="63"/>
    </row>
    <row r="739">
      <c r="F739" s="63">
        <v>0.0</v>
      </c>
      <c r="G739" s="149">
        <f t="shared" si="1"/>
        <v>0</v>
      </c>
      <c r="H739" s="63"/>
      <c r="I739" s="156"/>
      <c r="K739" s="63"/>
      <c r="N739" s="63"/>
      <c r="P739" s="63"/>
    </row>
    <row r="740">
      <c r="F740" s="63">
        <v>0.0</v>
      </c>
      <c r="G740" s="149">
        <f t="shared" si="1"/>
        <v>0</v>
      </c>
      <c r="H740" s="63"/>
      <c r="I740" s="156"/>
      <c r="K740" s="63"/>
      <c r="N740" s="63"/>
      <c r="P740" s="63"/>
    </row>
    <row r="741">
      <c r="F741" s="63">
        <v>0.0</v>
      </c>
      <c r="G741" s="149">
        <f t="shared" si="1"/>
        <v>0</v>
      </c>
      <c r="H741" s="63"/>
      <c r="I741" s="156"/>
      <c r="K741" s="63"/>
      <c r="N741" s="63"/>
      <c r="P741" s="63"/>
    </row>
    <row r="742">
      <c r="F742" s="63">
        <v>0.0</v>
      </c>
      <c r="G742" s="149">
        <f t="shared" si="1"/>
        <v>0</v>
      </c>
      <c r="H742" s="63"/>
      <c r="I742" s="156"/>
      <c r="K742" s="63"/>
      <c r="N742" s="63"/>
      <c r="P742" s="63"/>
    </row>
    <row r="743">
      <c r="F743" s="63">
        <v>0.0</v>
      </c>
      <c r="G743" s="149">
        <f t="shared" si="1"/>
        <v>0</v>
      </c>
      <c r="H743" s="63"/>
      <c r="I743" s="156"/>
      <c r="K743" s="63"/>
      <c r="N743" s="63"/>
      <c r="P743" s="63"/>
    </row>
    <row r="744">
      <c r="F744" s="63">
        <v>0.0</v>
      </c>
      <c r="G744" s="149">
        <f t="shared" si="1"/>
        <v>0</v>
      </c>
      <c r="H744" s="63"/>
      <c r="I744" s="156"/>
      <c r="K744" s="63"/>
      <c r="N744" s="63"/>
      <c r="P744" s="63"/>
    </row>
    <row r="745">
      <c r="F745" s="63">
        <v>0.0</v>
      </c>
      <c r="G745" s="149">
        <f t="shared" si="1"/>
        <v>0</v>
      </c>
      <c r="H745" s="63"/>
      <c r="I745" s="156"/>
      <c r="K745" s="63"/>
      <c r="N745" s="63"/>
      <c r="P745" s="63"/>
    </row>
    <row r="746">
      <c r="F746" s="63">
        <v>0.0</v>
      </c>
      <c r="G746" s="149">
        <f t="shared" si="1"/>
        <v>0</v>
      </c>
      <c r="H746" s="63"/>
      <c r="I746" s="156"/>
      <c r="K746" s="63"/>
      <c r="N746" s="63"/>
      <c r="P746" s="63"/>
    </row>
    <row r="747">
      <c r="F747" s="63">
        <v>0.0</v>
      </c>
      <c r="G747" s="149">
        <f t="shared" si="1"/>
        <v>0</v>
      </c>
      <c r="H747" s="63"/>
      <c r="I747" s="156"/>
      <c r="K747" s="63"/>
      <c r="N747" s="63"/>
      <c r="P747" s="63"/>
    </row>
    <row r="748">
      <c r="F748" s="63">
        <v>0.0</v>
      </c>
      <c r="G748" s="149">
        <f t="shared" si="1"/>
        <v>0</v>
      </c>
      <c r="H748" s="63"/>
      <c r="I748" s="156"/>
      <c r="K748" s="63"/>
      <c r="N748" s="63"/>
      <c r="P748" s="63"/>
    </row>
    <row r="749">
      <c r="F749" s="63">
        <v>0.0</v>
      </c>
      <c r="G749" s="149">
        <f t="shared" si="1"/>
        <v>0</v>
      </c>
      <c r="H749" s="63"/>
      <c r="I749" s="156"/>
      <c r="K749" s="63"/>
      <c r="N749" s="63"/>
      <c r="P749" s="63"/>
    </row>
    <row r="750">
      <c r="F750" s="63">
        <v>0.0</v>
      </c>
      <c r="G750" s="149">
        <f t="shared" si="1"/>
        <v>0</v>
      </c>
      <c r="H750" s="63"/>
      <c r="I750" s="156"/>
      <c r="K750" s="63"/>
      <c r="N750" s="63"/>
      <c r="P750" s="63"/>
    </row>
    <row r="751">
      <c r="F751" s="63">
        <v>0.0</v>
      </c>
      <c r="G751" s="149">
        <f t="shared" si="1"/>
        <v>0</v>
      </c>
      <c r="H751" s="63"/>
      <c r="I751" s="156"/>
      <c r="K751" s="63"/>
      <c r="N751" s="63"/>
      <c r="P751" s="63"/>
    </row>
    <row r="752">
      <c r="F752" s="63">
        <v>0.0</v>
      </c>
      <c r="G752" s="149">
        <f t="shared" si="1"/>
        <v>0</v>
      </c>
      <c r="H752" s="63"/>
      <c r="I752" s="156"/>
      <c r="K752" s="63"/>
      <c r="N752" s="63"/>
      <c r="P752" s="63"/>
    </row>
    <row r="753">
      <c r="F753" s="63">
        <v>0.0</v>
      </c>
      <c r="G753" s="149">
        <f t="shared" si="1"/>
        <v>0</v>
      </c>
      <c r="H753" s="63"/>
      <c r="I753" s="156"/>
      <c r="K753" s="63"/>
      <c r="N753" s="63"/>
      <c r="P753" s="63"/>
    </row>
    <row r="754">
      <c r="F754" s="63">
        <v>0.0</v>
      </c>
      <c r="G754" s="149">
        <f t="shared" si="1"/>
        <v>0</v>
      </c>
      <c r="H754" s="63"/>
      <c r="I754" s="156"/>
      <c r="K754" s="63"/>
      <c r="N754" s="63"/>
      <c r="P754" s="63"/>
    </row>
    <row r="755">
      <c r="F755" s="63">
        <v>0.0</v>
      </c>
      <c r="G755" s="149">
        <f t="shared" si="1"/>
        <v>0</v>
      </c>
      <c r="H755" s="63"/>
      <c r="I755" s="156"/>
      <c r="K755" s="63"/>
      <c r="N755" s="63"/>
      <c r="P755" s="63"/>
    </row>
    <row r="756">
      <c r="F756" s="63">
        <v>0.0</v>
      </c>
      <c r="G756" s="149">
        <f t="shared" si="1"/>
        <v>0</v>
      </c>
      <c r="H756" s="63"/>
      <c r="I756" s="156"/>
      <c r="K756" s="63"/>
      <c r="N756" s="63"/>
      <c r="P756" s="63"/>
    </row>
    <row r="757">
      <c r="F757" s="63">
        <v>0.0</v>
      </c>
      <c r="G757" s="149">
        <f t="shared" si="1"/>
        <v>0</v>
      </c>
      <c r="H757" s="63"/>
      <c r="I757" s="156"/>
      <c r="K757" s="63"/>
      <c r="N757" s="63"/>
      <c r="P757" s="63"/>
    </row>
    <row r="758">
      <c r="F758" s="63">
        <v>0.0</v>
      </c>
      <c r="G758" s="149">
        <f t="shared" si="1"/>
        <v>0</v>
      </c>
      <c r="H758" s="63"/>
      <c r="I758" s="156"/>
      <c r="K758" s="63"/>
      <c r="N758" s="63"/>
      <c r="P758" s="63"/>
    </row>
    <row r="759">
      <c r="F759" s="63">
        <v>0.0</v>
      </c>
      <c r="G759" s="149">
        <f t="shared" si="1"/>
        <v>0</v>
      </c>
      <c r="H759" s="63"/>
      <c r="I759" s="156"/>
      <c r="K759" s="63"/>
      <c r="N759" s="63"/>
      <c r="P759" s="63"/>
    </row>
    <row r="760">
      <c r="F760" s="63">
        <v>0.0</v>
      </c>
      <c r="G760" s="149">
        <f t="shared" si="1"/>
        <v>0</v>
      </c>
      <c r="H760" s="63"/>
      <c r="I760" s="156"/>
      <c r="K760" s="63"/>
      <c r="N760" s="63"/>
      <c r="P760" s="63"/>
    </row>
    <row r="761">
      <c r="F761" s="63">
        <v>0.0</v>
      </c>
      <c r="G761" s="149">
        <f t="shared" si="1"/>
        <v>0</v>
      </c>
      <c r="H761" s="63"/>
      <c r="I761" s="156"/>
      <c r="K761" s="63"/>
      <c r="N761" s="63"/>
      <c r="P761" s="63"/>
    </row>
    <row r="762">
      <c r="F762" s="63">
        <v>0.0</v>
      </c>
      <c r="G762" s="149">
        <f t="shared" si="1"/>
        <v>0</v>
      </c>
      <c r="H762" s="63"/>
      <c r="I762" s="156"/>
      <c r="K762" s="63"/>
      <c r="N762" s="63"/>
      <c r="P762" s="63"/>
    </row>
    <row r="763">
      <c r="F763" s="63">
        <v>0.0</v>
      </c>
      <c r="G763" s="149">
        <f t="shared" si="1"/>
        <v>0</v>
      </c>
      <c r="H763" s="63"/>
      <c r="I763" s="156"/>
      <c r="K763" s="63"/>
      <c r="N763" s="63"/>
      <c r="P763" s="63"/>
    </row>
    <row r="764">
      <c r="F764" s="63">
        <v>0.0</v>
      </c>
      <c r="G764" s="149">
        <f t="shared" si="1"/>
        <v>0</v>
      </c>
      <c r="H764" s="63"/>
      <c r="I764" s="156"/>
      <c r="K764" s="63"/>
      <c r="N764" s="63"/>
      <c r="P764" s="63"/>
    </row>
    <row r="765">
      <c r="F765" s="63">
        <v>0.0</v>
      </c>
      <c r="G765" s="149">
        <f t="shared" si="1"/>
        <v>0</v>
      </c>
      <c r="H765" s="63"/>
      <c r="I765" s="156"/>
      <c r="K765" s="63"/>
      <c r="N765" s="63"/>
      <c r="P765" s="63"/>
    </row>
    <row r="766">
      <c r="F766" s="63">
        <v>0.0</v>
      </c>
      <c r="G766" s="149">
        <f t="shared" si="1"/>
        <v>0</v>
      </c>
      <c r="H766" s="63"/>
      <c r="I766" s="156"/>
      <c r="K766" s="63"/>
      <c r="N766" s="63"/>
      <c r="P766" s="63"/>
    </row>
    <row r="767">
      <c r="F767" s="63">
        <v>0.0</v>
      </c>
      <c r="G767" s="149">
        <f t="shared" si="1"/>
        <v>0</v>
      </c>
      <c r="H767" s="63"/>
      <c r="I767" s="156"/>
      <c r="K767" s="63"/>
      <c r="N767" s="63"/>
      <c r="P767" s="63"/>
    </row>
    <row r="768">
      <c r="F768" s="63">
        <v>0.0</v>
      </c>
      <c r="G768" s="149">
        <f t="shared" si="1"/>
        <v>0</v>
      </c>
      <c r="H768" s="63"/>
      <c r="I768" s="156"/>
      <c r="K768" s="63"/>
      <c r="N768" s="63"/>
      <c r="P768" s="63"/>
    </row>
    <row r="769">
      <c r="F769" s="63">
        <v>0.0</v>
      </c>
      <c r="G769" s="149">
        <f t="shared" si="1"/>
        <v>0</v>
      </c>
      <c r="H769" s="63"/>
      <c r="I769" s="156"/>
      <c r="K769" s="63"/>
      <c r="N769" s="63"/>
      <c r="P769" s="63"/>
    </row>
    <row r="770">
      <c r="F770" s="63">
        <v>0.0</v>
      </c>
      <c r="G770" s="149">
        <f t="shared" si="1"/>
        <v>0</v>
      </c>
      <c r="H770" s="63"/>
      <c r="I770" s="156"/>
      <c r="K770" s="63"/>
      <c r="N770" s="63"/>
      <c r="P770" s="63"/>
    </row>
    <row r="771">
      <c r="F771" s="63">
        <v>0.0</v>
      </c>
      <c r="G771" s="149">
        <f t="shared" si="1"/>
        <v>0</v>
      </c>
      <c r="H771" s="63"/>
      <c r="I771" s="156"/>
      <c r="K771" s="63"/>
      <c r="N771" s="63"/>
      <c r="P771" s="63"/>
    </row>
    <row r="772">
      <c r="F772" s="63">
        <v>0.0</v>
      </c>
      <c r="G772" s="149">
        <f t="shared" si="1"/>
        <v>0</v>
      </c>
      <c r="H772" s="63"/>
      <c r="I772" s="156"/>
      <c r="K772" s="63"/>
      <c r="N772" s="63"/>
      <c r="P772" s="63"/>
    </row>
    <row r="773">
      <c r="F773" s="63">
        <v>0.0</v>
      </c>
      <c r="G773" s="149">
        <f t="shared" si="1"/>
        <v>0</v>
      </c>
      <c r="H773" s="63"/>
      <c r="I773" s="156"/>
      <c r="K773" s="63"/>
      <c r="N773" s="63"/>
      <c r="P773" s="63"/>
    </row>
    <row r="774">
      <c r="F774" s="63">
        <v>0.0</v>
      </c>
      <c r="G774" s="149">
        <f t="shared" si="1"/>
        <v>0</v>
      </c>
      <c r="H774" s="63"/>
      <c r="I774" s="156"/>
      <c r="K774" s="63"/>
      <c r="N774" s="63"/>
      <c r="P774" s="63"/>
    </row>
    <row r="775">
      <c r="F775" s="63">
        <v>0.0</v>
      </c>
      <c r="G775" s="149">
        <f t="shared" si="1"/>
        <v>0</v>
      </c>
      <c r="H775" s="63"/>
      <c r="I775" s="156"/>
      <c r="K775" s="63"/>
      <c r="N775" s="63"/>
      <c r="P775" s="63"/>
    </row>
    <row r="776">
      <c r="F776" s="63">
        <v>0.0</v>
      </c>
      <c r="G776" s="149">
        <f t="shared" si="1"/>
        <v>0</v>
      </c>
      <c r="H776" s="63"/>
      <c r="I776" s="156"/>
      <c r="K776" s="63"/>
      <c r="N776" s="63"/>
      <c r="P776" s="63"/>
    </row>
    <row r="777">
      <c r="F777" s="63">
        <v>0.0</v>
      </c>
      <c r="G777" s="149">
        <f t="shared" si="1"/>
        <v>0</v>
      </c>
      <c r="H777" s="63"/>
      <c r="I777" s="156"/>
      <c r="K777" s="63"/>
      <c r="N777" s="63"/>
      <c r="P777" s="63"/>
    </row>
    <row r="778">
      <c r="F778" s="63">
        <v>0.0</v>
      </c>
      <c r="G778" s="149">
        <f t="shared" si="1"/>
        <v>0</v>
      </c>
      <c r="H778" s="63"/>
      <c r="I778" s="156"/>
      <c r="K778" s="63"/>
      <c r="N778" s="63"/>
      <c r="P778" s="63"/>
    </row>
    <row r="779">
      <c r="F779" s="63">
        <v>0.0</v>
      </c>
      <c r="G779" s="149">
        <f t="shared" si="1"/>
        <v>0</v>
      </c>
      <c r="H779" s="63"/>
      <c r="I779" s="156"/>
      <c r="K779" s="63"/>
      <c r="N779" s="63"/>
      <c r="P779" s="63"/>
    </row>
    <row r="780">
      <c r="F780" s="63">
        <v>0.0</v>
      </c>
      <c r="G780" s="149">
        <f t="shared" si="1"/>
        <v>0</v>
      </c>
      <c r="H780" s="63"/>
      <c r="I780" s="156"/>
      <c r="K780" s="63"/>
      <c r="N780" s="63"/>
      <c r="P780" s="63"/>
    </row>
    <row r="781">
      <c r="F781" s="63">
        <v>0.0</v>
      </c>
      <c r="G781" s="149">
        <f t="shared" si="1"/>
        <v>0</v>
      </c>
      <c r="H781" s="63"/>
      <c r="I781" s="156"/>
      <c r="K781" s="63"/>
      <c r="N781" s="63"/>
      <c r="P781" s="63"/>
    </row>
    <row r="782">
      <c r="F782" s="63">
        <v>0.0</v>
      </c>
      <c r="G782" s="149">
        <f t="shared" si="1"/>
        <v>0</v>
      </c>
      <c r="H782" s="63"/>
      <c r="I782" s="156"/>
      <c r="K782" s="63"/>
      <c r="N782" s="63"/>
      <c r="P782" s="63"/>
    </row>
    <row r="783">
      <c r="F783" s="63">
        <v>0.0</v>
      </c>
      <c r="G783" s="149">
        <f t="shared" si="1"/>
        <v>0</v>
      </c>
      <c r="H783" s="63"/>
      <c r="I783" s="156"/>
      <c r="K783" s="63"/>
      <c r="N783" s="63"/>
      <c r="P783" s="63"/>
    </row>
    <row r="784">
      <c r="F784" s="63">
        <v>0.0</v>
      </c>
      <c r="G784" s="149">
        <f t="shared" si="1"/>
        <v>0</v>
      </c>
      <c r="H784" s="63"/>
      <c r="I784" s="156"/>
      <c r="K784" s="63"/>
      <c r="N784" s="63"/>
      <c r="P784" s="63"/>
    </row>
    <row r="785">
      <c r="F785" s="63">
        <v>0.0</v>
      </c>
      <c r="G785" s="149">
        <f t="shared" si="1"/>
        <v>0</v>
      </c>
      <c r="H785" s="63"/>
      <c r="I785" s="156"/>
      <c r="K785" s="63"/>
      <c r="N785" s="63"/>
      <c r="P785" s="63"/>
    </row>
    <row r="786">
      <c r="F786" s="63">
        <v>0.0</v>
      </c>
      <c r="G786" s="149">
        <f t="shared" si="1"/>
        <v>0</v>
      </c>
      <c r="H786" s="63"/>
      <c r="I786" s="156"/>
      <c r="K786" s="63"/>
      <c r="N786" s="63"/>
      <c r="P786" s="63"/>
    </row>
    <row r="787">
      <c r="F787" s="63">
        <v>0.0</v>
      </c>
      <c r="G787" s="149">
        <f t="shared" si="1"/>
        <v>0</v>
      </c>
      <c r="H787" s="63"/>
      <c r="I787" s="156"/>
      <c r="K787" s="63"/>
      <c r="N787" s="63"/>
      <c r="P787" s="63"/>
    </row>
    <row r="788">
      <c r="F788" s="63">
        <v>0.0</v>
      </c>
      <c r="G788" s="149">
        <f t="shared" si="1"/>
        <v>0</v>
      </c>
      <c r="H788" s="63"/>
      <c r="I788" s="156"/>
      <c r="K788" s="63"/>
      <c r="N788" s="63"/>
      <c r="P788" s="63"/>
    </row>
    <row r="789">
      <c r="F789" s="63">
        <v>0.0</v>
      </c>
      <c r="G789" s="149">
        <f t="shared" si="1"/>
        <v>0</v>
      </c>
      <c r="H789" s="63"/>
      <c r="I789" s="156"/>
      <c r="K789" s="63"/>
      <c r="N789" s="63"/>
      <c r="P789" s="63"/>
    </row>
    <row r="790">
      <c r="F790" s="63">
        <v>0.0</v>
      </c>
      <c r="G790" s="149">
        <f t="shared" si="1"/>
        <v>0</v>
      </c>
      <c r="H790" s="63"/>
      <c r="I790" s="156"/>
      <c r="K790" s="63"/>
      <c r="N790" s="63"/>
      <c r="P790" s="63"/>
    </row>
    <row r="791">
      <c r="F791" s="63">
        <v>0.0</v>
      </c>
      <c r="G791" s="149">
        <f t="shared" si="1"/>
        <v>0</v>
      </c>
      <c r="H791" s="63"/>
      <c r="I791" s="156"/>
      <c r="K791" s="63"/>
      <c r="N791" s="63"/>
      <c r="P791" s="63"/>
    </row>
    <row r="792">
      <c r="F792" s="63">
        <v>0.0</v>
      </c>
      <c r="G792" s="149">
        <f t="shared" si="1"/>
        <v>0</v>
      </c>
      <c r="H792" s="63"/>
      <c r="I792" s="156"/>
      <c r="K792" s="63"/>
      <c r="N792" s="63"/>
      <c r="P792" s="63"/>
    </row>
    <row r="793">
      <c r="F793" s="63">
        <v>0.0</v>
      </c>
      <c r="G793" s="149">
        <f t="shared" si="1"/>
        <v>0</v>
      </c>
      <c r="H793" s="63"/>
      <c r="I793" s="156"/>
      <c r="K793" s="63"/>
      <c r="N793" s="63"/>
      <c r="P793" s="63"/>
    </row>
    <row r="794">
      <c r="F794" s="63">
        <v>0.0</v>
      </c>
      <c r="G794" s="149">
        <f t="shared" si="1"/>
        <v>0</v>
      </c>
      <c r="H794" s="63"/>
      <c r="I794" s="156"/>
      <c r="K794" s="63"/>
      <c r="N794" s="63"/>
      <c r="P794" s="63"/>
    </row>
    <row r="795">
      <c r="F795" s="63">
        <v>0.0</v>
      </c>
      <c r="G795" s="149">
        <f t="shared" si="1"/>
        <v>0</v>
      </c>
      <c r="H795" s="63"/>
      <c r="I795" s="156"/>
      <c r="K795" s="63"/>
      <c r="N795" s="63"/>
      <c r="P795" s="63"/>
    </row>
    <row r="796">
      <c r="F796" s="63">
        <v>0.0</v>
      </c>
      <c r="G796" s="149">
        <f t="shared" si="1"/>
        <v>0</v>
      </c>
      <c r="H796" s="63"/>
      <c r="I796" s="156"/>
      <c r="K796" s="63"/>
      <c r="N796" s="63"/>
      <c r="P796" s="63"/>
    </row>
    <row r="797">
      <c r="F797" s="63">
        <v>0.0</v>
      </c>
      <c r="G797" s="149">
        <f t="shared" si="1"/>
        <v>0</v>
      </c>
      <c r="H797" s="63"/>
      <c r="I797" s="156"/>
      <c r="K797" s="63"/>
      <c r="N797" s="63"/>
      <c r="P797" s="63"/>
    </row>
    <row r="798">
      <c r="F798" s="63">
        <v>0.0</v>
      </c>
      <c r="G798" s="149">
        <f t="shared" si="1"/>
        <v>0</v>
      </c>
      <c r="H798" s="63"/>
      <c r="I798" s="156"/>
      <c r="K798" s="63"/>
      <c r="N798" s="63"/>
      <c r="P798" s="63"/>
    </row>
    <row r="799">
      <c r="F799" s="63">
        <v>0.0</v>
      </c>
      <c r="G799" s="149">
        <f t="shared" si="1"/>
        <v>0</v>
      </c>
      <c r="H799" s="63"/>
      <c r="I799" s="156"/>
      <c r="K799" s="63"/>
      <c r="N799" s="63"/>
      <c r="P799" s="63"/>
    </row>
    <row r="800">
      <c r="F800" s="63">
        <v>0.0</v>
      </c>
      <c r="G800" s="149">
        <f t="shared" si="1"/>
        <v>0</v>
      </c>
      <c r="H800" s="63"/>
      <c r="I800" s="156"/>
      <c r="K800" s="63"/>
      <c r="N800" s="63"/>
      <c r="P800" s="63"/>
    </row>
    <row r="801">
      <c r="F801" s="63">
        <v>0.0</v>
      </c>
      <c r="G801" s="149">
        <f t="shared" si="1"/>
        <v>0</v>
      </c>
      <c r="H801" s="63"/>
      <c r="I801" s="156"/>
      <c r="K801" s="63"/>
      <c r="N801" s="63"/>
      <c r="P801" s="63"/>
    </row>
    <row r="802">
      <c r="F802" s="63">
        <v>0.0</v>
      </c>
      <c r="G802" s="149">
        <f t="shared" si="1"/>
        <v>0</v>
      </c>
      <c r="H802" s="63"/>
      <c r="I802" s="156"/>
      <c r="K802" s="63"/>
      <c r="N802" s="63"/>
      <c r="P802" s="63"/>
    </row>
    <row r="803">
      <c r="F803" s="63">
        <v>0.0</v>
      </c>
      <c r="G803" s="149">
        <f t="shared" si="1"/>
        <v>0</v>
      </c>
      <c r="H803" s="63"/>
      <c r="I803" s="156"/>
      <c r="K803" s="63"/>
      <c r="N803" s="63"/>
      <c r="P803" s="63"/>
    </row>
    <row r="804">
      <c r="F804" s="63">
        <v>0.0</v>
      </c>
      <c r="G804" s="149">
        <f t="shared" si="1"/>
        <v>0</v>
      </c>
      <c r="H804" s="63"/>
      <c r="I804" s="156"/>
      <c r="K804" s="63"/>
      <c r="N804" s="63"/>
      <c r="P804" s="63"/>
    </row>
    <row r="805">
      <c r="F805" s="63">
        <v>0.0</v>
      </c>
      <c r="G805" s="149">
        <f t="shared" si="1"/>
        <v>0</v>
      </c>
      <c r="H805" s="63"/>
      <c r="I805" s="156"/>
      <c r="K805" s="63"/>
      <c r="N805" s="63"/>
      <c r="P805" s="63"/>
    </row>
    <row r="806">
      <c r="F806" s="63">
        <v>0.0</v>
      </c>
      <c r="G806" s="149">
        <f t="shared" si="1"/>
        <v>0</v>
      </c>
      <c r="H806" s="63"/>
      <c r="I806" s="156"/>
      <c r="K806" s="63"/>
      <c r="N806" s="63"/>
      <c r="P806" s="63"/>
    </row>
    <row r="807">
      <c r="F807" s="63">
        <v>0.0</v>
      </c>
      <c r="G807" s="149">
        <f t="shared" si="1"/>
        <v>0</v>
      </c>
      <c r="H807" s="63"/>
      <c r="I807" s="156"/>
      <c r="K807" s="63"/>
      <c r="N807" s="63"/>
      <c r="P807" s="63"/>
    </row>
    <row r="808">
      <c r="F808" s="63">
        <v>0.0</v>
      </c>
      <c r="G808" s="149">
        <f t="shared" si="1"/>
        <v>0</v>
      </c>
      <c r="H808" s="63"/>
      <c r="I808" s="156"/>
      <c r="K808" s="63"/>
      <c r="N808" s="63"/>
      <c r="P808" s="63"/>
    </row>
    <row r="809">
      <c r="F809" s="63">
        <v>0.0</v>
      </c>
      <c r="G809" s="149">
        <f t="shared" si="1"/>
        <v>0</v>
      </c>
      <c r="H809" s="63"/>
      <c r="I809" s="156"/>
      <c r="K809" s="63"/>
      <c r="N809" s="63"/>
      <c r="P809" s="63"/>
    </row>
    <row r="810">
      <c r="F810" s="63">
        <v>0.0</v>
      </c>
      <c r="G810" s="149">
        <f t="shared" si="1"/>
        <v>0</v>
      </c>
      <c r="H810" s="63"/>
      <c r="I810" s="156"/>
      <c r="K810" s="63"/>
      <c r="N810" s="63"/>
      <c r="P810" s="63"/>
    </row>
    <row r="811">
      <c r="F811" s="63">
        <v>0.0</v>
      </c>
      <c r="G811" s="149">
        <f t="shared" si="1"/>
        <v>0</v>
      </c>
      <c r="H811" s="63"/>
      <c r="I811" s="156"/>
      <c r="K811" s="63"/>
      <c r="N811" s="63"/>
      <c r="P811" s="63"/>
    </row>
    <row r="812">
      <c r="F812" s="63">
        <v>0.0</v>
      </c>
      <c r="G812" s="149">
        <f t="shared" si="1"/>
        <v>0</v>
      </c>
      <c r="H812" s="63"/>
      <c r="I812" s="156"/>
      <c r="K812" s="63"/>
      <c r="N812" s="63"/>
      <c r="P812" s="63"/>
    </row>
    <row r="813">
      <c r="F813" s="63">
        <v>0.0</v>
      </c>
      <c r="G813" s="149">
        <f t="shared" si="1"/>
        <v>0</v>
      </c>
      <c r="H813" s="63"/>
      <c r="I813" s="156"/>
      <c r="K813" s="63"/>
      <c r="N813" s="63"/>
      <c r="P813" s="63"/>
    </row>
    <row r="814">
      <c r="F814" s="63">
        <v>0.0</v>
      </c>
      <c r="G814" s="149">
        <f t="shared" si="1"/>
        <v>0</v>
      </c>
      <c r="H814" s="63"/>
      <c r="I814" s="156"/>
      <c r="K814" s="63"/>
      <c r="N814" s="63"/>
      <c r="P814" s="63"/>
    </row>
    <row r="815">
      <c r="F815" s="63">
        <v>0.0</v>
      </c>
      <c r="G815" s="149">
        <f t="shared" si="1"/>
        <v>0</v>
      </c>
      <c r="H815" s="63"/>
      <c r="I815" s="156"/>
      <c r="K815" s="63"/>
      <c r="N815" s="63"/>
      <c r="P815" s="63"/>
    </row>
    <row r="816">
      <c r="F816" s="63">
        <v>0.0</v>
      </c>
      <c r="G816" s="149">
        <f t="shared" si="1"/>
        <v>0</v>
      </c>
      <c r="H816" s="63"/>
      <c r="I816" s="156"/>
      <c r="K816" s="63"/>
      <c r="N816" s="63"/>
      <c r="P816" s="63"/>
    </row>
    <row r="817">
      <c r="F817" s="63">
        <v>0.0</v>
      </c>
      <c r="G817" s="149">
        <f t="shared" si="1"/>
        <v>0</v>
      </c>
      <c r="H817" s="63"/>
      <c r="I817" s="156"/>
      <c r="K817" s="63"/>
      <c r="N817" s="63"/>
      <c r="P817" s="63"/>
    </row>
    <row r="818">
      <c r="F818" s="63">
        <v>0.0</v>
      </c>
      <c r="G818" s="149">
        <f t="shared" si="1"/>
        <v>0</v>
      </c>
      <c r="H818" s="63"/>
      <c r="I818" s="156"/>
      <c r="K818" s="63"/>
      <c r="N818" s="63"/>
      <c r="P818" s="63"/>
    </row>
    <row r="819">
      <c r="F819" s="63">
        <v>0.0</v>
      </c>
      <c r="G819" s="149">
        <f t="shared" si="1"/>
        <v>0</v>
      </c>
      <c r="H819" s="63"/>
      <c r="I819" s="156"/>
      <c r="K819" s="63"/>
      <c r="N819" s="63"/>
      <c r="P819" s="63"/>
    </row>
    <row r="820">
      <c r="F820" s="63">
        <v>0.0</v>
      </c>
      <c r="G820" s="149">
        <f t="shared" si="1"/>
        <v>0</v>
      </c>
      <c r="H820" s="63"/>
      <c r="I820" s="156"/>
      <c r="K820" s="63"/>
      <c r="N820" s="63"/>
      <c r="P820" s="63"/>
    </row>
    <row r="821">
      <c r="F821" s="63">
        <v>0.0</v>
      </c>
      <c r="G821" s="149">
        <f t="shared" si="1"/>
        <v>0</v>
      </c>
      <c r="H821" s="63"/>
      <c r="I821" s="156"/>
      <c r="K821" s="63"/>
      <c r="N821" s="63"/>
      <c r="P821" s="63"/>
    </row>
    <row r="822">
      <c r="F822" s="63">
        <v>0.0</v>
      </c>
      <c r="G822" s="149">
        <f t="shared" si="1"/>
        <v>0</v>
      </c>
      <c r="H822" s="63"/>
      <c r="I822" s="156"/>
      <c r="K822" s="63"/>
      <c r="N822" s="63"/>
      <c r="P822" s="63"/>
    </row>
    <row r="823">
      <c r="F823" s="63">
        <v>0.0</v>
      </c>
      <c r="G823" s="149">
        <f t="shared" si="1"/>
        <v>0</v>
      </c>
      <c r="H823" s="63"/>
      <c r="I823" s="156"/>
      <c r="K823" s="63"/>
      <c r="N823" s="63"/>
      <c r="P823" s="63"/>
    </row>
    <row r="824">
      <c r="F824" s="63">
        <v>0.0</v>
      </c>
      <c r="G824" s="149">
        <f t="shared" si="1"/>
        <v>0</v>
      </c>
      <c r="H824" s="63"/>
      <c r="I824" s="156"/>
      <c r="K824" s="63"/>
      <c r="N824" s="63"/>
      <c r="P824" s="63"/>
    </row>
    <row r="825">
      <c r="F825" s="63">
        <v>0.0</v>
      </c>
      <c r="G825" s="149">
        <f t="shared" si="1"/>
        <v>0</v>
      </c>
      <c r="H825" s="63"/>
      <c r="I825" s="156"/>
      <c r="K825" s="63"/>
      <c r="N825" s="63"/>
      <c r="P825" s="63"/>
    </row>
    <row r="826">
      <c r="F826" s="63">
        <v>0.0</v>
      </c>
      <c r="G826" s="149">
        <f t="shared" si="1"/>
        <v>0</v>
      </c>
      <c r="H826" s="63"/>
      <c r="I826" s="156"/>
      <c r="K826" s="63"/>
      <c r="N826" s="63"/>
      <c r="P826" s="63"/>
    </row>
    <row r="827">
      <c r="F827" s="63">
        <v>0.0</v>
      </c>
      <c r="G827" s="149">
        <f t="shared" si="1"/>
        <v>0</v>
      </c>
      <c r="H827" s="63"/>
      <c r="I827" s="156"/>
      <c r="K827" s="63"/>
      <c r="N827" s="63"/>
      <c r="P827" s="63"/>
    </row>
    <row r="828">
      <c r="F828" s="63">
        <v>0.0</v>
      </c>
      <c r="G828" s="149">
        <f t="shared" si="1"/>
        <v>0</v>
      </c>
      <c r="H828" s="63"/>
      <c r="I828" s="156"/>
      <c r="K828" s="63"/>
      <c r="N828" s="63"/>
      <c r="P828" s="63"/>
    </row>
    <row r="829">
      <c r="F829" s="63">
        <v>0.0</v>
      </c>
      <c r="G829" s="149">
        <f t="shared" si="1"/>
        <v>0</v>
      </c>
      <c r="H829" s="63"/>
      <c r="I829" s="156"/>
      <c r="K829" s="63"/>
      <c r="N829" s="63"/>
      <c r="P829" s="63"/>
    </row>
    <row r="830">
      <c r="F830" s="63">
        <v>0.0</v>
      </c>
      <c r="G830" s="149">
        <f t="shared" si="1"/>
        <v>0</v>
      </c>
      <c r="H830" s="63"/>
      <c r="I830" s="156"/>
      <c r="K830" s="63"/>
      <c r="N830" s="63"/>
      <c r="P830" s="63"/>
    </row>
    <row r="831">
      <c r="F831" s="63">
        <v>0.0</v>
      </c>
      <c r="G831" s="149">
        <f t="shared" si="1"/>
        <v>0</v>
      </c>
      <c r="H831" s="63"/>
      <c r="I831" s="156"/>
      <c r="K831" s="63"/>
      <c r="N831" s="63"/>
      <c r="P831" s="63"/>
    </row>
    <row r="832">
      <c r="F832" s="63">
        <v>0.0</v>
      </c>
      <c r="G832" s="149">
        <f t="shared" si="1"/>
        <v>0</v>
      </c>
      <c r="H832" s="63"/>
      <c r="I832" s="156"/>
      <c r="K832" s="63"/>
      <c r="N832" s="63"/>
      <c r="P832" s="63"/>
    </row>
    <row r="833">
      <c r="F833" s="63">
        <v>0.0</v>
      </c>
      <c r="G833" s="149">
        <f t="shared" si="1"/>
        <v>0</v>
      </c>
      <c r="H833" s="63"/>
      <c r="I833" s="156"/>
      <c r="K833" s="63"/>
      <c r="N833" s="63"/>
      <c r="P833" s="63"/>
    </row>
    <row r="834">
      <c r="F834" s="63">
        <v>0.0</v>
      </c>
      <c r="G834" s="149">
        <f t="shared" si="1"/>
        <v>0</v>
      </c>
      <c r="H834" s="63"/>
      <c r="I834" s="156"/>
      <c r="K834" s="63"/>
      <c r="N834" s="63"/>
      <c r="P834" s="63"/>
    </row>
    <row r="835">
      <c r="F835" s="63">
        <v>0.0</v>
      </c>
      <c r="G835" s="149">
        <f t="shared" si="1"/>
        <v>0</v>
      </c>
      <c r="H835" s="63"/>
      <c r="I835" s="156"/>
      <c r="K835" s="63"/>
      <c r="N835" s="63"/>
      <c r="P835" s="63"/>
    </row>
    <row r="836">
      <c r="F836" s="63">
        <v>0.0</v>
      </c>
      <c r="G836" s="149">
        <f t="shared" si="1"/>
        <v>0</v>
      </c>
      <c r="H836" s="63"/>
      <c r="I836" s="156"/>
      <c r="K836" s="63"/>
      <c r="N836" s="63"/>
      <c r="P836" s="63"/>
    </row>
    <row r="837">
      <c r="F837" s="63">
        <v>0.0</v>
      </c>
      <c r="G837" s="149">
        <f t="shared" si="1"/>
        <v>0</v>
      </c>
      <c r="H837" s="63"/>
      <c r="I837" s="156"/>
      <c r="K837" s="63"/>
      <c r="N837" s="63"/>
      <c r="P837" s="63"/>
    </row>
    <row r="838">
      <c r="F838" s="63">
        <v>0.0</v>
      </c>
      <c r="G838" s="149">
        <f t="shared" si="1"/>
        <v>0</v>
      </c>
      <c r="H838" s="63"/>
      <c r="I838" s="156"/>
      <c r="K838" s="63"/>
      <c r="N838" s="63"/>
      <c r="P838" s="63"/>
    </row>
    <row r="839">
      <c r="F839" s="63">
        <v>0.0</v>
      </c>
      <c r="G839" s="149">
        <f t="shared" si="1"/>
        <v>0</v>
      </c>
      <c r="H839" s="63"/>
      <c r="I839" s="156"/>
      <c r="K839" s="63"/>
      <c r="N839" s="63"/>
      <c r="P839" s="63"/>
    </row>
    <row r="840">
      <c r="F840" s="63">
        <v>0.0</v>
      </c>
      <c r="G840" s="149">
        <f t="shared" si="1"/>
        <v>0</v>
      </c>
      <c r="H840" s="63"/>
      <c r="I840" s="156"/>
      <c r="K840" s="63"/>
      <c r="N840" s="63"/>
      <c r="P840" s="63"/>
    </row>
    <row r="841">
      <c r="F841" s="63">
        <v>0.0</v>
      </c>
      <c r="G841" s="149">
        <f t="shared" si="1"/>
        <v>0</v>
      </c>
      <c r="H841" s="63"/>
      <c r="I841" s="156"/>
      <c r="K841" s="63"/>
      <c r="N841" s="63"/>
      <c r="P841" s="63"/>
    </row>
    <row r="842">
      <c r="F842" s="63">
        <v>0.0</v>
      </c>
      <c r="G842" s="149">
        <f t="shared" si="1"/>
        <v>0</v>
      </c>
      <c r="H842" s="63"/>
      <c r="I842" s="156"/>
      <c r="K842" s="63"/>
      <c r="N842" s="63"/>
      <c r="P842" s="63"/>
    </row>
    <row r="843">
      <c r="F843" s="63">
        <v>0.0</v>
      </c>
      <c r="G843" s="149">
        <f t="shared" si="1"/>
        <v>0</v>
      </c>
      <c r="H843" s="63"/>
      <c r="I843" s="156"/>
      <c r="K843" s="63"/>
      <c r="N843" s="63"/>
      <c r="P843" s="63"/>
    </row>
    <row r="844">
      <c r="F844" s="63">
        <v>0.0</v>
      </c>
      <c r="G844" s="149">
        <f t="shared" si="1"/>
        <v>0</v>
      </c>
      <c r="H844" s="63"/>
      <c r="I844" s="156"/>
      <c r="K844" s="63"/>
      <c r="N844" s="63"/>
      <c r="P844" s="63"/>
    </row>
    <row r="845">
      <c r="F845" s="63">
        <v>0.0</v>
      </c>
      <c r="G845" s="149">
        <f t="shared" si="1"/>
        <v>0</v>
      </c>
      <c r="H845" s="63"/>
      <c r="I845" s="156"/>
      <c r="K845" s="63"/>
      <c r="N845" s="63"/>
      <c r="P845" s="63"/>
    </row>
    <row r="846">
      <c r="F846" s="63">
        <v>0.0</v>
      </c>
      <c r="G846" s="149">
        <f t="shared" si="1"/>
        <v>0</v>
      </c>
      <c r="H846" s="63"/>
      <c r="I846" s="156"/>
      <c r="K846" s="63"/>
      <c r="N846" s="63"/>
      <c r="P846" s="63"/>
    </row>
    <row r="847">
      <c r="F847" s="63">
        <v>0.0</v>
      </c>
      <c r="G847" s="149">
        <f t="shared" si="1"/>
        <v>0</v>
      </c>
      <c r="H847" s="63"/>
      <c r="I847" s="156"/>
      <c r="K847" s="63"/>
      <c r="N847" s="63"/>
      <c r="P847" s="63"/>
    </row>
    <row r="848">
      <c r="F848" s="63">
        <v>0.0</v>
      </c>
      <c r="G848" s="149">
        <f t="shared" si="1"/>
        <v>0</v>
      </c>
      <c r="H848" s="63"/>
      <c r="I848" s="156"/>
      <c r="K848" s="63"/>
      <c r="N848" s="63"/>
      <c r="P848" s="63"/>
    </row>
    <row r="849">
      <c r="F849" s="63">
        <v>0.0</v>
      </c>
      <c r="G849" s="149">
        <f t="shared" si="1"/>
        <v>0</v>
      </c>
      <c r="H849" s="63"/>
      <c r="I849" s="156"/>
      <c r="K849" s="63"/>
      <c r="N849" s="63"/>
      <c r="P849" s="63"/>
    </row>
    <row r="850">
      <c r="F850" s="63">
        <v>0.0</v>
      </c>
      <c r="G850" s="149">
        <f t="shared" si="1"/>
        <v>0</v>
      </c>
      <c r="H850" s="63"/>
      <c r="I850" s="156"/>
      <c r="K850" s="63"/>
      <c r="N850" s="63"/>
      <c r="P850" s="63"/>
    </row>
    <row r="851">
      <c r="F851" s="63">
        <v>0.0</v>
      </c>
      <c r="G851" s="149">
        <f t="shared" si="1"/>
        <v>0</v>
      </c>
      <c r="H851" s="63"/>
      <c r="I851" s="156"/>
      <c r="K851" s="63"/>
      <c r="N851" s="63"/>
      <c r="P851" s="63"/>
    </row>
    <row r="852">
      <c r="F852" s="63">
        <v>0.0</v>
      </c>
      <c r="G852" s="149">
        <f t="shared" si="1"/>
        <v>0</v>
      </c>
      <c r="H852" s="63"/>
      <c r="I852" s="156"/>
      <c r="K852" s="63"/>
      <c r="N852" s="63"/>
      <c r="P852" s="63"/>
    </row>
    <row r="853">
      <c r="F853" s="63">
        <v>0.0</v>
      </c>
      <c r="G853" s="149">
        <f t="shared" si="1"/>
        <v>0</v>
      </c>
      <c r="H853" s="63"/>
      <c r="I853" s="156"/>
      <c r="K853" s="63"/>
      <c r="N853" s="63"/>
      <c r="P853" s="63"/>
    </row>
    <row r="854">
      <c r="F854" s="63">
        <v>0.0</v>
      </c>
      <c r="G854" s="149">
        <f t="shared" si="1"/>
        <v>0</v>
      </c>
      <c r="H854" s="63"/>
      <c r="I854" s="156"/>
      <c r="K854" s="63"/>
      <c r="N854" s="63"/>
      <c r="P854" s="63"/>
    </row>
    <row r="855">
      <c r="F855" s="63">
        <v>0.0</v>
      </c>
      <c r="G855" s="149">
        <f t="shared" si="1"/>
        <v>0</v>
      </c>
      <c r="H855" s="63"/>
      <c r="I855" s="156"/>
      <c r="K855" s="63"/>
      <c r="N855" s="63"/>
      <c r="P855" s="63"/>
    </row>
    <row r="856">
      <c r="F856" s="63">
        <v>0.0</v>
      </c>
      <c r="G856" s="149">
        <f t="shared" si="1"/>
        <v>0</v>
      </c>
      <c r="H856" s="63"/>
      <c r="I856" s="156"/>
      <c r="K856" s="63"/>
      <c r="N856" s="63"/>
      <c r="P856" s="63"/>
    </row>
    <row r="857">
      <c r="F857" s="63">
        <v>0.0</v>
      </c>
      <c r="G857" s="149">
        <f t="shared" si="1"/>
        <v>0</v>
      </c>
      <c r="H857" s="63"/>
      <c r="I857" s="156"/>
      <c r="K857" s="63"/>
      <c r="N857" s="63"/>
      <c r="P857" s="63"/>
    </row>
    <row r="858">
      <c r="F858" s="63">
        <v>0.0</v>
      </c>
      <c r="G858" s="149">
        <f t="shared" si="1"/>
        <v>0</v>
      </c>
      <c r="H858" s="63"/>
      <c r="I858" s="156"/>
      <c r="K858" s="63"/>
      <c r="N858" s="63"/>
      <c r="P858" s="63"/>
    </row>
    <row r="859">
      <c r="F859" s="63">
        <v>0.0</v>
      </c>
      <c r="G859" s="149">
        <f t="shared" si="1"/>
        <v>0</v>
      </c>
      <c r="H859" s="63"/>
      <c r="I859" s="156"/>
      <c r="K859" s="63"/>
      <c r="N859" s="63"/>
      <c r="P859" s="63"/>
    </row>
    <row r="860">
      <c r="F860" s="63">
        <v>0.0</v>
      </c>
      <c r="G860" s="149">
        <f t="shared" si="1"/>
        <v>0</v>
      </c>
      <c r="H860" s="63"/>
      <c r="I860" s="156"/>
      <c r="K860" s="63"/>
      <c r="N860" s="63"/>
      <c r="P860" s="63"/>
    </row>
    <row r="861">
      <c r="F861" s="63">
        <v>0.0</v>
      </c>
      <c r="G861" s="149">
        <f t="shared" si="1"/>
        <v>0</v>
      </c>
      <c r="H861" s="63"/>
      <c r="I861" s="156"/>
      <c r="K861" s="63"/>
      <c r="N861" s="63"/>
      <c r="P861" s="63"/>
    </row>
    <row r="862">
      <c r="F862" s="63">
        <v>0.0</v>
      </c>
      <c r="G862" s="149">
        <f t="shared" si="1"/>
        <v>0</v>
      </c>
      <c r="H862" s="63"/>
      <c r="I862" s="156"/>
      <c r="K862" s="63"/>
      <c r="N862" s="63"/>
      <c r="P862" s="63"/>
    </row>
    <row r="863">
      <c r="F863" s="63">
        <v>0.0</v>
      </c>
      <c r="G863" s="149">
        <f t="shared" si="1"/>
        <v>0</v>
      </c>
      <c r="H863" s="63"/>
      <c r="I863" s="156"/>
      <c r="K863" s="63"/>
      <c r="N863" s="63"/>
      <c r="P863" s="63"/>
    </row>
    <row r="864">
      <c r="F864" s="63">
        <v>0.0</v>
      </c>
      <c r="G864" s="149">
        <f t="shared" si="1"/>
        <v>0</v>
      </c>
      <c r="H864" s="63"/>
      <c r="I864" s="156"/>
      <c r="K864" s="63"/>
      <c r="N864" s="63"/>
      <c r="P864" s="63"/>
    </row>
    <row r="865">
      <c r="F865" s="63">
        <v>0.0</v>
      </c>
      <c r="G865" s="149">
        <f t="shared" si="1"/>
        <v>0</v>
      </c>
      <c r="H865" s="63"/>
      <c r="I865" s="156"/>
      <c r="K865" s="63"/>
      <c r="N865" s="63"/>
      <c r="P865" s="63"/>
    </row>
    <row r="866">
      <c r="F866" s="63">
        <v>0.0</v>
      </c>
      <c r="G866" s="149">
        <f t="shared" si="1"/>
        <v>0</v>
      </c>
      <c r="H866" s="63"/>
      <c r="I866" s="156"/>
      <c r="K866" s="63"/>
      <c r="N866" s="63"/>
      <c r="P866" s="63"/>
    </row>
    <row r="867">
      <c r="F867" s="63">
        <v>0.0</v>
      </c>
      <c r="G867" s="149">
        <f t="shared" si="1"/>
        <v>0</v>
      </c>
      <c r="H867" s="63"/>
      <c r="I867" s="156"/>
      <c r="K867" s="63"/>
      <c r="N867" s="63"/>
      <c r="P867" s="63"/>
    </row>
    <row r="868">
      <c r="F868" s="63">
        <v>0.0</v>
      </c>
      <c r="G868" s="149">
        <f t="shared" si="1"/>
        <v>0</v>
      </c>
      <c r="H868" s="63"/>
      <c r="I868" s="156"/>
      <c r="K868" s="63"/>
      <c r="N868" s="63"/>
      <c r="P868" s="63"/>
    </row>
    <row r="869">
      <c r="F869" s="63">
        <v>0.0</v>
      </c>
      <c r="G869" s="149">
        <f t="shared" si="1"/>
        <v>0</v>
      </c>
      <c r="H869" s="63"/>
      <c r="I869" s="156"/>
      <c r="K869" s="63"/>
      <c r="N869" s="63"/>
      <c r="P869" s="63"/>
    </row>
    <row r="870">
      <c r="F870" s="63">
        <v>0.0</v>
      </c>
      <c r="G870" s="149">
        <f t="shared" si="1"/>
        <v>0</v>
      </c>
      <c r="H870" s="63"/>
      <c r="I870" s="156"/>
      <c r="K870" s="63"/>
      <c r="N870" s="63"/>
      <c r="P870" s="63"/>
    </row>
    <row r="871">
      <c r="F871" s="63">
        <v>0.0</v>
      </c>
      <c r="G871" s="149">
        <f t="shared" si="1"/>
        <v>0</v>
      </c>
      <c r="H871" s="63"/>
      <c r="I871" s="156"/>
      <c r="K871" s="63"/>
      <c r="N871" s="63"/>
      <c r="P871" s="63"/>
    </row>
    <row r="872">
      <c r="F872" s="63">
        <v>0.0</v>
      </c>
      <c r="G872" s="149">
        <f t="shared" si="1"/>
        <v>0</v>
      </c>
      <c r="H872" s="63"/>
      <c r="I872" s="156"/>
      <c r="K872" s="63"/>
      <c r="N872" s="63"/>
      <c r="P872" s="63"/>
    </row>
    <row r="873">
      <c r="F873" s="63">
        <v>0.0</v>
      </c>
      <c r="G873" s="149">
        <f t="shared" si="1"/>
        <v>0</v>
      </c>
      <c r="H873" s="63"/>
      <c r="I873" s="156"/>
      <c r="K873" s="63"/>
      <c r="N873" s="63"/>
      <c r="P873" s="63"/>
    </row>
    <row r="874">
      <c r="F874" s="63">
        <v>0.0</v>
      </c>
      <c r="G874" s="149">
        <f t="shared" si="1"/>
        <v>0</v>
      </c>
      <c r="H874" s="63"/>
      <c r="I874" s="156"/>
      <c r="K874" s="63"/>
      <c r="N874" s="63"/>
      <c r="P874" s="63"/>
    </row>
    <row r="875">
      <c r="F875" s="63">
        <v>0.0</v>
      </c>
      <c r="G875" s="149">
        <f t="shared" si="1"/>
        <v>0</v>
      </c>
      <c r="H875" s="63"/>
      <c r="I875" s="156"/>
      <c r="K875" s="63"/>
      <c r="N875" s="63"/>
      <c r="P875" s="63"/>
    </row>
    <row r="876">
      <c r="F876" s="63">
        <v>0.0</v>
      </c>
      <c r="G876" s="149">
        <f t="shared" si="1"/>
        <v>0</v>
      </c>
      <c r="H876" s="63"/>
      <c r="I876" s="156"/>
      <c r="K876" s="63"/>
      <c r="N876" s="63"/>
      <c r="P876" s="63"/>
    </row>
    <row r="877">
      <c r="F877" s="63">
        <v>0.0</v>
      </c>
      <c r="G877" s="149">
        <f t="shared" si="1"/>
        <v>0</v>
      </c>
      <c r="H877" s="63"/>
      <c r="I877" s="156"/>
      <c r="K877" s="63"/>
      <c r="N877" s="63"/>
      <c r="P877" s="63"/>
    </row>
    <row r="878">
      <c r="F878" s="63">
        <v>0.0</v>
      </c>
      <c r="G878" s="149">
        <f t="shared" si="1"/>
        <v>0</v>
      </c>
      <c r="H878" s="63"/>
      <c r="I878" s="156"/>
      <c r="K878" s="63"/>
      <c r="N878" s="63"/>
      <c r="P878" s="63"/>
    </row>
    <row r="879">
      <c r="F879" s="63">
        <v>0.0</v>
      </c>
      <c r="G879" s="149">
        <f t="shared" si="1"/>
        <v>0</v>
      </c>
      <c r="H879" s="63"/>
      <c r="I879" s="156"/>
      <c r="K879" s="63"/>
      <c r="N879" s="63"/>
      <c r="P879" s="63"/>
    </row>
    <row r="880">
      <c r="F880" s="63">
        <v>0.0</v>
      </c>
      <c r="G880" s="149">
        <f t="shared" si="1"/>
        <v>0</v>
      </c>
      <c r="H880" s="63"/>
      <c r="I880" s="156"/>
      <c r="K880" s="63"/>
      <c r="N880" s="63"/>
      <c r="P880" s="63"/>
    </row>
    <row r="881">
      <c r="F881" s="63">
        <v>0.0</v>
      </c>
      <c r="G881" s="149">
        <f t="shared" si="1"/>
        <v>0</v>
      </c>
      <c r="H881" s="63"/>
      <c r="I881" s="156"/>
      <c r="K881" s="63"/>
      <c r="N881" s="63"/>
      <c r="P881" s="63"/>
    </row>
    <row r="882">
      <c r="F882" s="63">
        <v>0.0</v>
      </c>
      <c r="G882" s="149">
        <f t="shared" si="1"/>
        <v>0</v>
      </c>
      <c r="H882" s="63"/>
      <c r="I882" s="156"/>
      <c r="K882" s="63"/>
      <c r="N882" s="63"/>
      <c r="P882" s="63"/>
    </row>
    <row r="883">
      <c r="F883" s="63">
        <v>0.0</v>
      </c>
      <c r="G883" s="149">
        <f t="shared" si="1"/>
        <v>0</v>
      </c>
      <c r="H883" s="63"/>
      <c r="I883" s="156"/>
      <c r="K883" s="63"/>
      <c r="N883" s="63"/>
      <c r="P883" s="63"/>
    </row>
    <row r="884">
      <c r="F884" s="63">
        <v>0.0</v>
      </c>
      <c r="G884" s="149">
        <f t="shared" si="1"/>
        <v>0</v>
      </c>
      <c r="H884" s="63"/>
      <c r="I884" s="156"/>
      <c r="K884" s="63"/>
      <c r="N884" s="63"/>
      <c r="P884" s="63"/>
    </row>
    <row r="885">
      <c r="F885" s="63">
        <v>0.0</v>
      </c>
      <c r="G885" s="149">
        <f t="shared" si="1"/>
        <v>0</v>
      </c>
      <c r="H885" s="63"/>
      <c r="I885" s="156"/>
      <c r="K885" s="63"/>
      <c r="N885" s="63"/>
      <c r="P885" s="63"/>
    </row>
    <row r="886">
      <c r="F886" s="63">
        <v>0.0</v>
      </c>
      <c r="G886" s="149">
        <f t="shared" si="1"/>
        <v>0</v>
      </c>
      <c r="H886" s="63"/>
      <c r="I886" s="156"/>
      <c r="K886" s="63"/>
      <c r="N886" s="63"/>
      <c r="P886" s="63"/>
    </row>
    <row r="887">
      <c r="F887" s="63">
        <v>0.0</v>
      </c>
      <c r="G887" s="149">
        <f t="shared" si="1"/>
        <v>0</v>
      </c>
      <c r="H887" s="63"/>
      <c r="I887" s="156"/>
      <c r="K887" s="63"/>
      <c r="N887" s="63"/>
      <c r="P887" s="63"/>
    </row>
    <row r="888">
      <c r="F888" s="63">
        <v>0.0</v>
      </c>
      <c r="G888" s="149">
        <f t="shared" si="1"/>
        <v>0</v>
      </c>
      <c r="H888" s="63"/>
      <c r="I888" s="156"/>
      <c r="K888" s="63"/>
      <c r="N888" s="63"/>
      <c r="P888" s="63"/>
    </row>
    <row r="889">
      <c r="F889" s="63">
        <v>0.0</v>
      </c>
      <c r="G889" s="149">
        <f t="shared" si="1"/>
        <v>0</v>
      </c>
      <c r="H889" s="63"/>
      <c r="I889" s="156"/>
      <c r="K889" s="63"/>
      <c r="N889" s="63"/>
      <c r="P889" s="63"/>
    </row>
    <row r="890">
      <c r="F890" s="63">
        <v>0.0</v>
      </c>
      <c r="G890" s="149">
        <f t="shared" si="1"/>
        <v>0</v>
      </c>
      <c r="H890" s="63"/>
      <c r="I890" s="156"/>
      <c r="K890" s="63"/>
      <c r="N890" s="63"/>
      <c r="P890" s="63"/>
    </row>
    <row r="891">
      <c r="F891" s="63">
        <v>0.0</v>
      </c>
      <c r="G891" s="149">
        <f t="shared" si="1"/>
        <v>0</v>
      </c>
      <c r="H891" s="63"/>
      <c r="I891" s="156"/>
      <c r="K891" s="63"/>
      <c r="N891" s="63"/>
      <c r="P891" s="63"/>
    </row>
    <row r="892">
      <c r="F892" s="63">
        <v>0.0</v>
      </c>
      <c r="G892" s="149">
        <f t="shared" si="1"/>
        <v>0</v>
      </c>
      <c r="H892" s="63"/>
      <c r="I892" s="156"/>
      <c r="K892" s="63"/>
      <c r="N892" s="63"/>
      <c r="P892" s="63"/>
    </row>
    <row r="893">
      <c r="F893" s="63">
        <v>0.0</v>
      </c>
      <c r="G893" s="149">
        <f t="shared" si="1"/>
        <v>0</v>
      </c>
      <c r="H893" s="63"/>
      <c r="I893" s="156"/>
      <c r="K893" s="63"/>
      <c r="N893" s="63"/>
      <c r="P893" s="63"/>
    </row>
    <row r="894">
      <c r="F894" s="63">
        <v>0.0</v>
      </c>
      <c r="G894" s="149">
        <f t="shared" si="1"/>
        <v>0</v>
      </c>
      <c r="H894" s="63"/>
      <c r="I894" s="156"/>
      <c r="K894" s="63"/>
      <c r="N894" s="63"/>
      <c r="P894" s="63"/>
    </row>
    <row r="895">
      <c r="F895" s="63">
        <v>0.0</v>
      </c>
      <c r="G895" s="149">
        <f t="shared" si="1"/>
        <v>0</v>
      </c>
      <c r="H895" s="63"/>
      <c r="I895" s="156"/>
      <c r="K895" s="63"/>
      <c r="N895" s="63"/>
      <c r="P895" s="63"/>
    </row>
    <row r="896">
      <c r="F896" s="63">
        <v>0.0</v>
      </c>
      <c r="G896" s="149">
        <f t="shared" si="1"/>
        <v>0</v>
      </c>
      <c r="H896" s="63"/>
      <c r="I896" s="156"/>
      <c r="K896" s="63"/>
      <c r="N896" s="63"/>
      <c r="P896" s="63"/>
    </row>
    <row r="897">
      <c r="F897" s="63">
        <v>0.0</v>
      </c>
      <c r="G897" s="149">
        <f t="shared" si="1"/>
        <v>0</v>
      </c>
      <c r="H897" s="63"/>
      <c r="I897" s="156"/>
      <c r="K897" s="63"/>
      <c r="N897" s="63"/>
      <c r="P897" s="63"/>
    </row>
    <row r="898">
      <c r="F898" s="63">
        <v>0.0</v>
      </c>
      <c r="G898" s="149">
        <f t="shared" si="1"/>
        <v>0</v>
      </c>
      <c r="H898" s="63"/>
      <c r="I898" s="156"/>
      <c r="K898" s="63"/>
      <c r="N898" s="63"/>
      <c r="P898" s="63"/>
    </row>
    <row r="899">
      <c r="F899" s="63">
        <v>0.0</v>
      </c>
      <c r="G899" s="149">
        <f t="shared" si="1"/>
        <v>0</v>
      </c>
      <c r="H899" s="63"/>
      <c r="I899" s="156"/>
      <c r="K899" s="63"/>
      <c r="N899" s="63"/>
      <c r="P899" s="63"/>
    </row>
    <row r="900">
      <c r="F900" s="63">
        <v>0.0</v>
      </c>
      <c r="G900" s="149">
        <f t="shared" si="1"/>
        <v>0</v>
      </c>
      <c r="H900" s="63"/>
      <c r="I900" s="156"/>
      <c r="K900" s="63"/>
      <c r="N900" s="63"/>
      <c r="P900" s="63"/>
    </row>
    <row r="901">
      <c r="F901" s="63">
        <v>0.0</v>
      </c>
      <c r="G901" s="149">
        <f t="shared" si="1"/>
        <v>0</v>
      </c>
      <c r="H901" s="63"/>
      <c r="I901" s="156"/>
      <c r="K901" s="63"/>
      <c r="N901" s="63"/>
      <c r="P901" s="63"/>
    </row>
    <row r="902">
      <c r="F902" s="63">
        <v>0.0</v>
      </c>
      <c r="G902" s="149">
        <f t="shared" si="1"/>
        <v>0</v>
      </c>
      <c r="H902" s="63"/>
      <c r="I902" s="156"/>
      <c r="K902" s="63"/>
      <c r="N902" s="63"/>
      <c r="P902" s="63"/>
    </row>
    <row r="903">
      <c r="F903" s="63">
        <v>0.0</v>
      </c>
      <c r="G903" s="149">
        <f t="shared" si="1"/>
        <v>0</v>
      </c>
      <c r="H903" s="63"/>
      <c r="I903" s="156"/>
      <c r="K903" s="63"/>
      <c r="N903" s="63"/>
      <c r="P903" s="63"/>
    </row>
    <row r="904">
      <c r="F904" s="63">
        <v>0.0</v>
      </c>
      <c r="G904" s="149">
        <f t="shared" si="1"/>
        <v>0</v>
      </c>
      <c r="H904" s="63"/>
      <c r="I904" s="156"/>
      <c r="K904" s="63"/>
      <c r="N904" s="63"/>
      <c r="P904" s="63"/>
    </row>
    <row r="905">
      <c r="F905" s="63">
        <v>0.0</v>
      </c>
      <c r="G905" s="149">
        <f t="shared" si="1"/>
        <v>0</v>
      </c>
      <c r="H905" s="63"/>
      <c r="I905" s="156"/>
      <c r="K905" s="63"/>
      <c r="N905" s="63"/>
      <c r="P905" s="63"/>
    </row>
    <row r="906">
      <c r="F906" s="63">
        <v>0.0</v>
      </c>
      <c r="G906" s="149">
        <f t="shared" si="1"/>
        <v>0</v>
      </c>
      <c r="H906" s="63"/>
      <c r="I906" s="156"/>
      <c r="K906" s="63"/>
      <c r="N906" s="63"/>
      <c r="P906" s="63"/>
    </row>
    <row r="907">
      <c r="F907" s="63">
        <v>0.0</v>
      </c>
      <c r="G907" s="149">
        <f t="shared" si="1"/>
        <v>0</v>
      </c>
      <c r="H907" s="63"/>
      <c r="I907" s="156"/>
      <c r="K907" s="63"/>
      <c r="N907" s="63"/>
      <c r="P907" s="63"/>
    </row>
    <row r="908">
      <c r="F908" s="63">
        <v>0.0</v>
      </c>
      <c r="G908" s="149">
        <f t="shared" si="1"/>
        <v>0</v>
      </c>
      <c r="H908" s="63"/>
      <c r="I908" s="156"/>
      <c r="K908" s="63"/>
      <c r="N908" s="63"/>
      <c r="P908" s="63"/>
    </row>
    <row r="909">
      <c r="F909" s="63">
        <v>0.0</v>
      </c>
      <c r="G909" s="149">
        <f t="shared" si="1"/>
        <v>0</v>
      </c>
      <c r="H909" s="63"/>
      <c r="I909" s="156"/>
      <c r="K909" s="63"/>
      <c r="N909" s="63"/>
      <c r="P909" s="63"/>
    </row>
    <row r="910">
      <c r="F910" s="63">
        <v>0.0</v>
      </c>
      <c r="G910" s="149">
        <f t="shared" si="1"/>
        <v>0</v>
      </c>
      <c r="H910" s="63"/>
      <c r="I910" s="156"/>
      <c r="K910" s="63"/>
      <c r="N910" s="63"/>
      <c r="P910" s="63"/>
    </row>
    <row r="911">
      <c r="F911" s="63">
        <v>0.0</v>
      </c>
      <c r="G911" s="149">
        <f t="shared" si="1"/>
        <v>0</v>
      </c>
      <c r="H911" s="63"/>
      <c r="I911" s="156"/>
      <c r="K911" s="63"/>
      <c r="N911" s="63"/>
      <c r="P911" s="63"/>
    </row>
    <row r="912">
      <c r="F912" s="63">
        <v>0.0</v>
      </c>
      <c r="G912" s="149">
        <f t="shared" si="1"/>
        <v>0</v>
      </c>
      <c r="H912" s="63"/>
      <c r="I912" s="156"/>
      <c r="K912" s="63"/>
      <c r="N912" s="63"/>
      <c r="P912" s="63"/>
    </row>
    <row r="913">
      <c r="F913" s="63">
        <v>0.0</v>
      </c>
      <c r="G913" s="149">
        <f t="shared" si="1"/>
        <v>0</v>
      </c>
      <c r="H913" s="63"/>
      <c r="I913" s="156"/>
      <c r="K913" s="63"/>
      <c r="N913" s="63"/>
      <c r="P913" s="63"/>
    </row>
    <row r="914">
      <c r="F914" s="63">
        <v>0.0</v>
      </c>
      <c r="G914" s="149">
        <f t="shared" si="1"/>
        <v>0</v>
      </c>
      <c r="H914" s="63"/>
      <c r="I914" s="156"/>
      <c r="K914" s="63"/>
      <c r="N914" s="63"/>
      <c r="P914" s="63"/>
    </row>
    <row r="915">
      <c r="F915" s="63">
        <v>0.0</v>
      </c>
      <c r="G915" s="149">
        <f t="shared" si="1"/>
        <v>0</v>
      </c>
      <c r="H915" s="63"/>
      <c r="I915" s="156"/>
      <c r="K915" s="63"/>
      <c r="N915" s="63"/>
      <c r="P915" s="63"/>
    </row>
    <row r="916">
      <c r="F916" s="63">
        <v>0.0</v>
      </c>
      <c r="G916" s="149">
        <f t="shared" si="1"/>
        <v>0</v>
      </c>
      <c r="H916" s="63"/>
      <c r="I916" s="156"/>
      <c r="K916" s="63"/>
      <c r="N916" s="63"/>
      <c r="P916" s="63"/>
    </row>
    <row r="917">
      <c r="F917" s="63">
        <v>0.0</v>
      </c>
      <c r="G917" s="149">
        <f t="shared" si="1"/>
        <v>0</v>
      </c>
      <c r="H917" s="63"/>
      <c r="I917" s="156"/>
      <c r="K917" s="63"/>
      <c r="N917" s="63"/>
      <c r="P917" s="63"/>
    </row>
    <row r="918">
      <c r="F918" s="63">
        <v>0.0</v>
      </c>
      <c r="G918" s="149">
        <f t="shared" si="1"/>
        <v>0</v>
      </c>
      <c r="H918" s="63"/>
      <c r="I918" s="156"/>
      <c r="K918" s="63"/>
      <c r="N918" s="63"/>
      <c r="P918" s="63"/>
    </row>
    <row r="919">
      <c r="F919" s="63">
        <v>0.0</v>
      </c>
      <c r="G919" s="149">
        <f t="shared" si="1"/>
        <v>0</v>
      </c>
      <c r="H919" s="63"/>
      <c r="I919" s="156"/>
      <c r="K919" s="63"/>
      <c r="N919" s="63"/>
      <c r="P919" s="63"/>
    </row>
    <row r="920">
      <c r="F920" s="63">
        <v>0.0</v>
      </c>
      <c r="G920" s="149">
        <f t="shared" si="1"/>
        <v>0</v>
      </c>
      <c r="H920" s="63"/>
      <c r="I920" s="156"/>
      <c r="K920" s="63"/>
      <c r="N920" s="63"/>
      <c r="P920" s="63"/>
    </row>
    <row r="921">
      <c r="F921" s="63">
        <v>0.0</v>
      </c>
      <c r="G921" s="149">
        <f t="shared" si="1"/>
        <v>0</v>
      </c>
      <c r="H921" s="63"/>
      <c r="I921" s="156"/>
      <c r="K921" s="63"/>
      <c r="N921" s="63"/>
      <c r="P921" s="63"/>
    </row>
    <row r="922">
      <c r="F922" s="63">
        <v>0.0</v>
      </c>
      <c r="G922" s="149">
        <f t="shared" si="1"/>
        <v>0</v>
      </c>
      <c r="H922" s="63"/>
      <c r="I922" s="156"/>
      <c r="K922" s="63"/>
      <c r="N922" s="63"/>
      <c r="P922" s="63"/>
    </row>
    <row r="923">
      <c r="F923" s="63">
        <v>0.0</v>
      </c>
      <c r="G923" s="149">
        <f t="shared" si="1"/>
        <v>0</v>
      </c>
      <c r="H923" s="63"/>
      <c r="I923" s="156"/>
      <c r="K923" s="63"/>
      <c r="N923" s="63"/>
      <c r="P923" s="63"/>
    </row>
    <row r="924">
      <c r="F924" s="63">
        <v>0.0</v>
      </c>
      <c r="G924" s="149">
        <f t="shared" si="1"/>
        <v>0</v>
      </c>
      <c r="H924" s="63"/>
      <c r="I924" s="156"/>
      <c r="K924" s="63"/>
      <c r="N924" s="63"/>
      <c r="P924" s="63"/>
    </row>
    <row r="925">
      <c r="F925" s="63">
        <v>0.0</v>
      </c>
      <c r="G925" s="149">
        <f t="shared" si="1"/>
        <v>0</v>
      </c>
      <c r="H925" s="63"/>
      <c r="I925" s="156"/>
      <c r="K925" s="63"/>
      <c r="N925" s="63"/>
      <c r="P925" s="63"/>
    </row>
    <row r="926">
      <c r="F926" s="63">
        <v>0.0</v>
      </c>
      <c r="G926" s="149">
        <f t="shared" si="1"/>
        <v>0</v>
      </c>
      <c r="H926" s="63"/>
      <c r="I926" s="156"/>
      <c r="K926" s="63"/>
      <c r="N926" s="63"/>
      <c r="P926" s="63"/>
    </row>
    <row r="927">
      <c r="F927" s="63">
        <v>0.0</v>
      </c>
      <c r="G927" s="149">
        <f t="shared" si="1"/>
        <v>0</v>
      </c>
      <c r="H927" s="63"/>
      <c r="I927" s="156"/>
      <c r="K927" s="63"/>
      <c r="N927" s="63"/>
      <c r="P927" s="63"/>
    </row>
    <row r="928">
      <c r="F928" s="63">
        <v>0.0</v>
      </c>
      <c r="G928" s="149">
        <f t="shared" si="1"/>
        <v>0</v>
      </c>
      <c r="H928" s="63"/>
      <c r="I928" s="156"/>
      <c r="K928" s="63"/>
      <c r="N928" s="63"/>
      <c r="P928" s="63"/>
    </row>
    <row r="929">
      <c r="F929" s="63">
        <v>0.0</v>
      </c>
      <c r="G929" s="149">
        <f t="shared" si="1"/>
        <v>0</v>
      </c>
      <c r="H929" s="63"/>
      <c r="I929" s="156"/>
      <c r="K929" s="63"/>
      <c r="N929" s="63"/>
      <c r="P929" s="63"/>
    </row>
    <row r="930">
      <c r="F930" s="63">
        <v>0.0</v>
      </c>
      <c r="G930" s="149">
        <f t="shared" si="1"/>
        <v>0</v>
      </c>
      <c r="H930" s="63"/>
      <c r="I930" s="156"/>
      <c r="K930" s="63"/>
      <c r="N930" s="63"/>
      <c r="P930" s="63"/>
    </row>
    <row r="931">
      <c r="F931" s="63">
        <v>0.0</v>
      </c>
      <c r="G931" s="149">
        <f t="shared" si="1"/>
        <v>0</v>
      </c>
      <c r="H931" s="63"/>
      <c r="I931" s="156"/>
      <c r="K931" s="63"/>
      <c r="N931" s="63"/>
      <c r="P931" s="63"/>
    </row>
    <row r="932">
      <c r="F932" s="63">
        <v>0.0</v>
      </c>
      <c r="G932" s="149">
        <f t="shared" si="1"/>
        <v>0</v>
      </c>
      <c r="H932" s="63"/>
      <c r="I932" s="156"/>
      <c r="K932" s="63"/>
      <c r="N932" s="63"/>
      <c r="P932" s="63"/>
    </row>
    <row r="933">
      <c r="F933" s="63">
        <v>0.0</v>
      </c>
      <c r="G933" s="149">
        <f t="shared" si="1"/>
        <v>0</v>
      </c>
      <c r="H933" s="63"/>
      <c r="I933" s="156"/>
      <c r="K933" s="63"/>
      <c r="N933" s="63"/>
      <c r="P933" s="63"/>
    </row>
    <row r="934">
      <c r="F934" s="63">
        <v>0.0</v>
      </c>
      <c r="G934" s="149">
        <f t="shared" si="1"/>
        <v>0</v>
      </c>
      <c r="H934" s="63"/>
      <c r="I934" s="156"/>
      <c r="K934" s="63"/>
      <c r="N934" s="63"/>
      <c r="P934" s="63"/>
    </row>
    <row r="935">
      <c r="F935" s="63">
        <v>0.0</v>
      </c>
      <c r="G935" s="149">
        <f t="shared" si="1"/>
        <v>0</v>
      </c>
      <c r="H935" s="63"/>
      <c r="I935" s="156"/>
      <c r="K935" s="63"/>
      <c r="N935" s="63"/>
      <c r="P935" s="63"/>
    </row>
    <row r="936">
      <c r="F936" s="63">
        <v>0.0</v>
      </c>
      <c r="G936" s="149">
        <f t="shared" si="1"/>
        <v>0</v>
      </c>
      <c r="H936" s="63"/>
      <c r="I936" s="156"/>
      <c r="K936" s="63"/>
      <c r="N936" s="63"/>
      <c r="P936" s="63"/>
    </row>
    <row r="937">
      <c r="F937" s="63">
        <v>0.0</v>
      </c>
      <c r="G937" s="149">
        <f t="shared" si="1"/>
        <v>0</v>
      </c>
      <c r="H937" s="63"/>
      <c r="I937" s="156"/>
      <c r="K937" s="63"/>
      <c r="N937" s="63"/>
      <c r="P937" s="63"/>
    </row>
    <row r="938">
      <c r="F938" s="63">
        <v>0.0</v>
      </c>
      <c r="G938" s="149">
        <f t="shared" si="1"/>
        <v>0</v>
      </c>
      <c r="H938" s="63"/>
      <c r="I938" s="156"/>
      <c r="K938" s="63"/>
      <c r="N938" s="63"/>
      <c r="P938" s="63"/>
    </row>
    <row r="939">
      <c r="F939" s="63">
        <v>0.0</v>
      </c>
      <c r="G939" s="149">
        <f t="shared" si="1"/>
        <v>0</v>
      </c>
      <c r="H939" s="63"/>
      <c r="I939" s="156"/>
      <c r="K939" s="63"/>
      <c r="N939" s="63"/>
      <c r="P939" s="63"/>
    </row>
    <row r="940">
      <c r="F940" s="63">
        <v>0.0</v>
      </c>
      <c r="G940" s="149">
        <f t="shared" si="1"/>
        <v>0</v>
      </c>
      <c r="H940" s="63"/>
      <c r="I940" s="156"/>
      <c r="K940" s="63"/>
      <c r="N940" s="63"/>
      <c r="P940" s="63"/>
    </row>
    <row r="941">
      <c r="F941" s="63">
        <v>0.0</v>
      </c>
      <c r="G941" s="149">
        <f t="shared" si="1"/>
        <v>0</v>
      </c>
      <c r="H941" s="63"/>
      <c r="I941" s="156"/>
      <c r="K941" s="63"/>
      <c r="N941" s="63"/>
      <c r="P941" s="63"/>
    </row>
    <row r="942">
      <c r="F942" s="63">
        <v>0.0</v>
      </c>
      <c r="G942" s="149">
        <f t="shared" si="1"/>
        <v>0</v>
      </c>
      <c r="H942" s="63"/>
      <c r="I942" s="156"/>
      <c r="K942" s="63"/>
      <c r="N942" s="63"/>
      <c r="P942" s="63"/>
    </row>
    <row r="943">
      <c r="F943" s="63">
        <v>0.0</v>
      </c>
      <c r="G943" s="149">
        <f t="shared" si="1"/>
        <v>0</v>
      </c>
      <c r="H943" s="63"/>
      <c r="I943" s="156"/>
      <c r="K943" s="63"/>
      <c r="N943" s="63"/>
      <c r="P943" s="63"/>
    </row>
    <row r="944">
      <c r="F944" s="63">
        <v>0.0</v>
      </c>
      <c r="G944" s="149">
        <f t="shared" si="1"/>
        <v>0</v>
      </c>
      <c r="H944" s="63"/>
      <c r="I944" s="156"/>
      <c r="K944" s="63"/>
      <c r="N944" s="63"/>
      <c r="P944" s="63"/>
    </row>
    <row r="945">
      <c r="F945" s="63">
        <v>0.0</v>
      </c>
      <c r="G945" s="149">
        <f t="shared" si="1"/>
        <v>0</v>
      </c>
      <c r="H945" s="63"/>
      <c r="I945" s="156"/>
      <c r="K945" s="63"/>
      <c r="N945" s="63"/>
      <c r="P945" s="63"/>
    </row>
    <row r="946">
      <c r="F946" s="63">
        <v>0.0</v>
      </c>
      <c r="G946" s="149">
        <f t="shared" si="1"/>
        <v>0</v>
      </c>
      <c r="H946" s="63"/>
      <c r="I946" s="156"/>
      <c r="K946" s="63"/>
      <c r="N946" s="63"/>
      <c r="P946" s="63"/>
    </row>
    <row r="947">
      <c r="F947" s="63">
        <v>0.0</v>
      </c>
      <c r="G947" s="149">
        <f t="shared" si="1"/>
        <v>0</v>
      </c>
      <c r="H947" s="63"/>
      <c r="I947" s="156"/>
      <c r="K947" s="63"/>
      <c r="N947" s="63"/>
      <c r="P947" s="63"/>
    </row>
    <row r="948">
      <c r="F948" s="63">
        <v>0.0</v>
      </c>
      <c r="G948" s="149">
        <f t="shared" si="1"/>
        <v>0</v>
      </c>
      <c r="H948" s="63"/>
      <c r="I948" s="156"/>
      <c r="K948" s="63"/>
      <c r="N948" s="63"/>
      <c r="P948" s="63"/>
    </row>
    <row r="949">
      <c r="F949" s="63">
        <v>0.0</v>
      </c>
      <c r="G949" s="149">
        <f t="shared" si="1"/>
        <v>0</v>
      </c>
      <c r="H949" s="63"/>
      <c r="I949" s="156"/>
      <c r="K949" s="63"/>
      <c r="N949" s="63"/>
      <c r="P949" s="63"/>
    </row>
    <row r="950">
      <c r="F950" s="63">
        <v>0.0</v>
      </c>
      <c r="G950" s="149">
        <f t="shared" si="1"/>
        <v>0</v>
      </c>
      <c r="H950" s="63"/>
      <c r="I950" s="156"/>
      <c r="K950" s="63"/>
      <c r="N950" s="63"/>
      <c r="P950" s="63"/>
    </row>
    <row r="951">
      <c r="F951" s="63">
        <v>0.0</v>
      </c>
      <c r="G951" s="149">
        <f t="shared" si="1"/>
        <v>0</v>
      </c>
      <c r="H951" s="63"/>
      <c r="I951" s="156"/>
      <c r="K951" s="63"/>
      <c r="N951" s="63"/>
      <c r="P951" s="63"/>
    </row>
    <row r="952">
      <c r="F952" s="63">
        <v>0.0</v>
      </c>
      <c r="G952" s="149">
        <f t="shared" si="1"/>
        <v>0</v>
      </c>
      <c r="H952" s="63"/>
      <c r="I952" s="156"/>
      <c r="K952" s="63"/>
      <c r="N952" s="63"/>
      <c r="P952" s="63"/>
    </row>
    <row r="953">
      <c r="F953" s="63">
        <v>0.0</v>
      </c>
      <c r="G953" s="149">
        <f t="shared" si="1"/>
        <v>0</v>
      </c>
      <c r="H953" s="63"/>
      <c r="I953" s="156"/>
      <c r="K953" s="63"/>
      <c r="N953" s="63"/>
      <c r="P953" s="63"/>
    </row>
    <row r="954">
      <c r="F954" s="63">
        <v>0.0</v>
      </c>
      <c r="G954" s="149">
        <f t="shared" si="1"/>
        <v>0</v>
      </c>
      <c r="H954" s="63"/>
      <c r="I954" s="156"/>
      <c r="K954" s="63"/>
      <c r="N954" s="63"/>
      <c r="P954" s="63"/>
    </row>
    <row r="955">
      <c r="F955" s="63">
        <v>0.0</v>
      </c>
      <c r="G955" s="149">
        <f t="shared" si="1"/>
        <v>0</v>
      </c>
      <c r="H955" s="63"/>
      <c r="I955" s="156"/>
      <c r="K955" s="63"/>
      <c r="N955" s="63"/>
      <c r="P955" s="63"/>
    </row>
    <row r="956">
      <c r="F956" s="63">
        <v>0.0</v>
      </c>
      <c r="G956" s="149">
        <f t="shared" si="1"/>
        <v>0</v>
      </c>
      <c r="H956" s="63"/>
      <c r="I956" s="156"/>
      <c r="K956" s="63"/>
      <c r="N956" s="63"/>
      <c r="P956" s="63"/>
    </row>
    <row r="957">
      <c r="F957" s="63">
        <v>0.0</v>
      </c>
      <c r="G957" s="149">
        <f t="shared" si="1"/>
        <v>0</v>
      </c>
      <c r="H957" s="63"/>
      <c r="I957" s="156"/>
      <c r="K957" s="63"/>
      <c r="N957" s="63"/>
      <c r="P957" s="63"/>
    </row>
    <row r="958">
      <c r="F958" s="63">
        <v>0.0</v>
      </c>
      <c r="G958" s="149">
        <f t="shared" si="1"/>
        <v>0</v>
      </c>
      <c r="H958" s="63"/>
      <c r="I958" s="156"/>
      <c r="K958" s="63"/>
      <c r="N958" s="63"/>
      <c r="P958" s="63"/>
    </row>
    <row r="959">
      <c r="F959" s="63">
        <v>0.0</v>
      </c>
      <c r="G959" s="149">
        <f t="shared" si="1"/>
        <v>0</v>
      </c>
      <c r="H959" s="63"/>
      <c r="I959" s="156"/>
      <c r="K959" s="63"/>
      <c r="N959" s="63"/>
      <c r="P959" s="63"/>
    </row>
    <row r="960">
      <c r="F960" s="63">
        <v>0.0</v>
      </c>
      <c r="G960" s="149">
        <f t="shared" si="1"/>
        <v>0</v>
      </c>
      <c r="H960" s="63"/>
      <c r="I960" s="156"/>
      <c r="K960" s="63"/>
      <c r="N960" s="63"/>
      <c r="P960" s="63"/>
    </row>
    <row r="961">
      <c r="F961" s="63">
        <v>0.0</v>
      </c>
      <c r="G961" s="149">
        <f t="shared" si="1"/>
        <v>0</v>
      </c>
      <c r="H961" s="63"/>
      <c r="I961" s="156"/>
      <c r="K961" s="63"/>
      <c r="N961" s="63"/>
      <c r="P961" s="63"/>
    </row>
    <row r="962">
      <c r="F962" s="63">
        <v>0.0</v>
      </c>
      <c r="G962" s="149">
        <f t="shared" si="1"/>
        <v>0</v>
      </c>
      <c r="H962" s="63"/>
      <c r="I962" s="156"/>
      <c r="K962" s="63"/>
      <c r="N962" s="63"/>
      <c r="P962" s="63"/>
    </row>
    <row r="963">
      <c r="F963" s="63">
        <v>0.0</v>
      </c>
      <c r="G963" s="149">
        <f t="shared" si="1"/>
        <v>0</v>
      </c>
      <c r="H963" s="63"/>
      <c r="I963" s="156"/>
      <c r="K963" s="63"/>
      <c r="N963" s="63"/>
      <c r="P963" s="63"/>
    </row>
    <row r="964">
      <c r="F964" s="63">
        <v>0.0</v>
      </c>
      <c r="G964" s="149">
        <f t="shared" si="1"/>
        <v>0</v>
      </c>
      <c r="H964" s="63"/>
      <c r="I964" s="156"/>
      <c r="K964" s="63"/>
      <c r="N964" s="63"/>
      <c r="P964" s="63"/>
    </row>
    <row r="965">
      <c r="F965" s="63">
        <v>0.0</v>
      </c>
      <c r="G965" s="149">
        <f t="shared" si="1"/>
        <v>0</v>
      </c>
      <c r="H965" s="63"/>
      <c r="I965" s="156"/>
      <c r="K965" s="63"/>
      <c r="N965" s="63"/>
      <c r="P965" s="63"/>
    </row>
    <row r="966">
      <c r="F966" s="63">
        <v>0.0</v>
      </c>
      <c r="G966" s="149">
        <f t="shared" si="1"/>
        <v>0</v>
      </c>
      <c r="H966" s="63"/>
      <c r="I966" s="156"/>
      <c r="K966" s="63"/>
      <c r="N966" s="63"/>
      <c r="P966" s="63"/>
    </row>
    <row r="967">
      <c r="F967" s="63">
        <v>0.0</v>
      </c>
      <c r="G967" s="149">
        <f t="shared" si="1"/>
        <v>0</v>
      </c>
      <c r="H967" s="63"/>
      <c r="I967" s="156"/>
      <c r="K967" s="63"/>
      <c r="N967" s="63"/>
      <c r="P967" s="63"/>
    </row>
    <row r="968">
      <c r="F968" s="63">
        <v>0.0</v>
      </c>
      <c r="G968" s="149">
        <f t="shared" si="1"/>
        <v>0</v>
      </c>
      <c r="H968" s="63"/>
      <c r="I968" s="156"/>
      <c r="K968" s="63"/>
      <c r="N968" s="63"/>
      <c r="P968" s="63"/>
    </row>
    <row r="969">
      <c r="F969" s="63">
        <v>0.0</v>
      </c>
      <c r="G969" s="149">
        <f t="shared" si="1"/>
        <v>0</v>
      </c>
      <c r="H969" s="63"/>
      <c r="I969" s="156"/>
      <c r="K969" s="63"/>
      <c r="N969" s="63"/>
      <c r="P969" s="63"/>
    </row>
    <row r="970">
      <c r="F970" s="63">
        <v>0.0</v>
      </c>
      <c r="G970" s="149">
        <f t="shared" si="1"/>
        <v>0</v>
      </c>
      <c r="H970" s="63"/>
      <c r="I970" s="156"/>
      <c r="K970" s="63"/>
      <c r="N970" s="63"/>
      <c r="P970" s="63"/>
    </row>
    <row r="971">
      <c r="F971" s="63">
        <v>0.0</v>
      </c>
      <c r="G971" s="149">
        <f t="shared" si="1"/>
        <v>0</v>
      </c>
      <c r="H971" s="63"/>
      <c r="I971" s="156"/>
      <c r="K971" s="63"/>
      <c r="N971" s="63"/>
      <c r="P971" s="63"/>
    </row>
    <row r="972">
      <c r="F972" s="63">
        <v>0.0</v>
      </c>
      <c r="G972" s="149">
        <f t="shared" si="1"/>
        <v>0</v>
      </c>
      <c r="H972" s="63"/>
      <c r="I972" s="156"/>
      <c r="K972" s="63"/>
      <c r="N972" s="63"/>
      <c r="P972" s="63"/>
    </row>
    <row r="973">
      <c r="F973" s="63">
        <v>0.0</v>
      </c>
      <c r="G973" s="149">
        <f t="shared" si="1"/>
        <v>0</v>
      </c>
      <c r="H973" s="63"/>
      <c r="I973" s="156"/>
      <c r="K973" s="63"/>
      <c r="N973" s="63"/>
      <c r="P973" s="63"/>
    </row>
    <row r="974">
      <c r="F974" s="63">
        <v>0.0</v>
      </c>
      <c r="G974" s="149">
        <f t="shared" si="1"/>
        <v>0</v>
      </c>
      <c r="H974" s="63"/>
      <c r="I974" s="156"/>
      <c r="K974" s="63"/>
      <c r="N974" s="63"/>
      <c r="P974" s="63"/>
    </row>
    <row r="975">
      <c r="F975" s="63">
        <v>0.0</v>
      </c>
      <c r="G975" s="149">
        <f t="shared" si="1"/>
        <v>0</v>
      </c>
      <c r="H975" s="63"/>
      <c r="I975" s="156"/>
      <c r="K975" s="63"/>
      <c r="N975" s="63"/>
      <c r="P975" s="63"/>
    </row>
    <row r="976">
      <c r="F976" s="63">
        <v>0.0</v>
      </c>
      <c r="G976" s="149">
        <f t="shared" si="1"/>
        <v>0</v>
      </c>
      <c r="H976" s="63"/>
      <c r="I976" s="156"/>
      <c r="K976" s="63"/>
      <c r="N976" s="63"/>
      <c r="P976" s="63"/>
    </row>
    <row r="977">
      <c r="F977" s="63">
        <v>0.0</v>
      </c>
      <c r="G977" s="149">
        <f t="shared" si="1"/>
        <v>0</v>
      </c>
      <c r="H977" s="63"/>
      <c r="I977" s="156"/>
      <c r="K977" s="63"/>
      <c r="N977" s="63"/>
      <c r="P977" s="63"/>
    </row>
    <row r="978">
      <c r="F978" s="63">
        <v>0.0</v>
      </c>
      <c r="G978" s="149">
        <f t="shared" si="1"/>
        <v>0</v>
      </c>
      <c r="H978" s="63"/>
      <c r="I978" s="156"/>
      <c r="K978" s="63"/>
      <c r="N978" s="63"/>
      <c r="P978" s="63"/>
    </row>
    <row r="979">
      <c r="F979" s="63">
        <v>0.0</v>
      </c>
      <c r="G979" s="149">
        <f t="shared" si="1"/>
        <v>0</v>
      </c>
      <c r="H979" s="63"/>
      <c r="I979" s="156"/>
      <c r="K979" s="63"/>
      <c r="N979" s="63"/>
      <c r="P979" s="63"/>
    </row>
    <row r="980">
      <c r="F980" s="63">
        <v>0.0</v>
      </c>
      <c r="G980" s="149">
        <f t="shared" si="1"/>
        <v>0</v>
      </c>
      <c r="H980" s="63"/>
      <c r="I980" s="156"/>
      <c r="K980" s="63"/>
      <c r="N980" s="63"/>
      <c r="P980" s="63"/>
    </row>
    <row r="981">
      <c r="F981" s="63">
        <v>0.0</v>
      </c>
      <c r="G981" s="149">
        <f t="shared" si="1"/>
        <v>0</v>
      </c>
      <c r="H981" s="63"/>
      <c r="I981" s="156"/>
      <c r="K981" s="63"/>
      <c r="N981" s="63"/>
      <c r="P981" s="63"/>
    </row>
    <row r="982">
      <c r="F982" s="63">
        <v>0.0</v>
      </c>
      <c r="G982" s="149">
        <f t="shared" si="1"/>
        <v>0</v>
      </c>
      <c r="H982" s="63"/>
      <c r="I982" s="156"/>
      <c r="K982" s="63"/>
      <c r="N982" s="63"/>
      <c r="P982" s="63"/>
    </row>
    <row r="983">
      <c r="F983" s="63">
        <v>0.0</v>
      </c>
      <c r="G983" s="149">
        <f t="shared" si="1"/>
        <v>0</v>
      </c>
      <c r="H983" s="63"/>
      <c r="I983" s="156"/>
      <c r="K983" s="63"/>
      <c r="N983" s="63"/>
      <c r="P983" s="63"/>
    </row>
    <row r="984">
      <c r="F984" s="63">
        <v>0.0</v>
      </c>
      <c r="G984" s="149">
        <f t="shared" si="1"/>
        <v>0</v>
      </c>
      <c r="H984" s="63"/>
      <c r="I984" s="156"/>
      <c r="K984" s="63"/>
      <c r="N984" s="63"/>
      <c r="P984" s="63"/>
    </row>
    <row r="985">
      <c r="F985" s="63">
        <v>0.0</v>
      </c>
      <c r="G985" s="149">
        <f t="shared" si="1"/>
        <v>0</v>
      </c>
      <c r="H985" s="63"/>
      <c r="I985" s="156"/>
      <c r="K985" s="63"/>
      <c r="N985" s="63"/>
      <c r="P985" s="63"/>
    </row>
    <row r="986">
      <c r="F986" s="63">
        <v>0.0</v>
      </c>
      <c r="G986" s="149">
        <f t="shared" si="1"/>
        <v>0</v>
      </c>
      <c r="H986" s="63"/>
      <c r="I986" s="156"/>
      <c r="K986" s="63"/>
      <c r="N986" s="63"/>
      <c r="P986" s="63"/>
    </row>
    <row r="987">
      <c r="F987" s="63">
        <v>0.0</v>
      </c>
      <c r="G987" s="149">
        <f t="shared" si="1"/>
        <v>0</v>
      </c>
      <c r="H987" s="63"/>
      <c r="I987" s="156"/>
      <c r="K987" s="63"/>
      <c r="N987" s="63"/>
      <c r="P987" s="63"/>
    </row>
    <row r="988">
      <c r="F988" s="63">
        <v>0.0</v>
      </c>
      <c r="G988" s="149">
        <f t="shared" si="1"/>
        <v>0</v>
      </c>
      <c r="H988" s="63"/>
      <c r="I988" s="156"/>
      <c r="K988" s="63"/>
      <c r="N988" s="63"/>
      <c r="P988" s="63"/>
    </row>
    <row r="989">
      <c r="F989" s="63">
        <v>0.0</v>
      </c>
      <c r="G989" s="149">
        <f t="shared" si="1"/>
        <v>0</v>
      </c>
      <c r="H989" s="63"/>
      <c r="I989" s="156"/>
      <c r="K989" s="63"/>
      <c r="N989" s="63"/>
      <c r="P989" s="63"/>
    </row>
    <row r="990">
      <c r="F990" s="63">
        <v>0.0</v>
      </c>
      <c r="G990" s="149">
        <f t="shared" si="1"/>
        <v>0</v>
      </c>
      <c r="H990" s="63"/>
      <c r="I990" s="156"/>
      <c r="K990" s="63"/>
      <c r="N990" s="63"/>
      <c r="P990" s="63"/>
    </row>
    <row r="991">
      <c r="F991" s="63">
        <v>0.0</v>
      </c>
      <c r="G991" s="149">
        <f t="shared" si="1"/>
        <v>0</v>
      </c>
      <c r="H991" s="63"/>
      <c r="I991" s="156"/>
      <c r="K991" s="63"/>
      <c r="N991" s="63"/>
      <c r="P991" s="63"/>
    </row>
    <row r="992">
      <c r="F992" s="63">
        <v>0.0</v>
      </c>
      <c r="G992" s="149">
        <f t="shared" si="1"/>
        <v>0</v>
      </c>
      <c r="H992" s="63"/>
      <c r="I992" s="156"/>
      <c r="K992" s="63"/>
      <c r="N992" s="63"/>
      <c r="P992" s="63"/>
    </row>
    <row r="993">
      <c r="F993" s="63">
        <v>0.0</v>
      </c>
      <c r="G993" s="149">
        <f t="shared" si="1"/>
        <v>0</v>
      </c>
      <c r="H993" s="63"/>
      <c r="I993" s="156"/>
      <c r="K993" s="63"/>
      <c r="N993" s="63"/>
      <c r="P993" s="63"/>
    </row>
    <row r="994">
      <c r="F994" s="63">
        <v>0.0</v>
      </c>
      <c r="G994" s="149">
        <f t="shared" si="1"/>
        <v>0</v>
      </c>
      <c r="H994" s="63"/>
      <c r="I994" s="156"/>
      <c r="K994" s="63"/>
      <c r="N994" s="63"/>
      <c r="P994" s="63"/>
    </row>
    <row r="995">
      <c r="F995" s="63">
        <v>0.0</v>
      </c>
      <c r="G995" s="149">
        <f t="shared" si="1"/>
        <v>0</v>
      </c>
      <c r="H995" s="63"/>
      <c r="I995" s="156"/>
      <c r="K995" s="63"/>
      <c r="N995" s="63"/>
      <c r="P995" s="63"/>
    </row>
    <row r="996">
      <c r="F996" s="63">
        <v>0.0</v>
      </c>
      <c r="G996" s="149">
        <f t="shared" si="1"/>
        <v>0</v>
      </c>
      <c r="H996" s="63"/>
      <c r="I996" s="156"/>
      <c r="K996" s="63"/>
      <c r="N996" s="63"/>
      <c r="P996" s="63"/>
    </row>
    <row r="997">
      <c r="F997" s="63">
        <v>0.0</v>
      </c>
      <c r="G997" s="149">
        <f t="shared" si="1"/>
        <v>0</v>
      </c>
      <c r="H997" s="63"/>
      <c r="I997" s="156"/>
      <c r="K997" s="63"/>
      <c r="N997" s="63"/>
      <c r="P997" s="63"/>
    </row>
    <row r="998">
      <c r="F998" s="63">
        <v>0.0</v>
      </c>
      <c r="G998" s="149">
        <f t="shared" si="1"/>
        <v>0</v>
      </c>
      <c r="H998" s="63"/>
      <c r="I998" s="156"/>
      <c r="K998" s="63"/>
      <c r="N998" s="63"/>
      <c r="P998" s="63"/>
    </row>
    <row r="999">
      <c r="F999" s="63">
        <v>0.0</v>
      </c>
      <c r="G999" s="149">
        <f t="shared" si="1"/>
        <v>0</v>
      </c>
      <c r="H999" s="63"/>
      <c r="I999" s="156"/>
      <c r="K999" s="63"/>
      <c r="N999" s="63"/>
      <c r="P999" s="63"/>
    </row>
  </sheetData>
  <autoFilter ref="$A$1:$P$457"/>
  <drawing r:id="rId1"/>
</worksheet>
</file>